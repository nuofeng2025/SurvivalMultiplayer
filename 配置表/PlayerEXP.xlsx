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PlayerEX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<sst xmlns="http://schemas.openxmlformats.org/spreadsheetml/2006/main" count="52" uniqueCount="46">
  <si>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Level</t>
  </si>
  <si>
    <t>Exp</t>
  </si>
  <si>
    <t>int</t>
  </si>
  <si>
    <t>等级</t>
  </si>
  <si>
    <t>升级需要的经验值，升级后多余的经验累计到下一级，每一级都从0开始计算经验值</t>
  </si>
  <si>
    <t>体力回复</t>
  </si>
  <si>
    <t>每天最大</t>
  </si>
  <si>
    <t>1体力=1经验</t>
  </si>
  <si>
    <t>次数</t>
  </si>
  <si>
    <t>钻石购买</t>
  </si>
  <si>
    <t>回复体力</t>
  </si>
  <si>
    <t>每天赠送</t>
  </si>
  <si>
    <t>赠送个数</t>
  </si>
  <si>
    <t>每天购买道具</t>
  </si>
  <si>
    <t>购买体力</t>
  </si>
  <si>
    <t>每天免费</t>
  </si>
  <si>
    <t>小时回复</t>
  </si>
  <si>
    <t>每天回复</t>
  </si>
  <si>
    <t>10:00-23:59</t>
  </si>
  <si>
    <t>付费层度</t>
  </si>
  <si>
    <t>购买个数</t>
  </si>
  <si>
    <t>单个价值</t>
  </si>
  <si>
    <t>总付费</t>
  </si>
  <si>
    <t>道具回复</t>
  </si>
  <si>
    <t>体力获取</t>
  </si>
  <si>
    <t>18:00-23:59</t>
  </si>
  <si>
    <t>小R</t>
  </si>
  <si>
    <t>等级系数</t>
  </si>
  <si>
    <t>升级增加</t>
  </si>
  <si>
    <t>20:00-23:59</t>
  </si>
  <si>
    <t>中R</t>
  </si>
  <si>
    <t>等级常数</t>
  </si>
  <si>
    <t>初始体力</t>
  </si>
  <si>
    <t>大R</t>
  </si>
  <si>
    <t>倍率</t>
  </si>
  <si>
    <t>初始值</t>
  </si>
  <si>
    <t>总和</t>
  </si>
  <si>
    <t>总经验值</t>
  </si>
  <si>
    <t>下一级所需</t>
  </si>
  <si>
    <t>升级后所需经验</t>
  </si>
  <si>
    <t>最慢天数</t>
  </si>
  <si>
    <t>最快天数</t>
  </si>
  <si>
    <t>免费</t>
  </si>
  <si>
    <t>付费</t>
  </si>
  <si>
    <t>前天等级</t>
  </si>
  <si>
    <t>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</si>
</sst>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176" fontId="1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1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0" borderId="0" xfId="0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workbookViewId="0">
      <selection activeCell="A1" sqref="A1"/>
    </sheetView>
  </sheetViews>
  <sheetFormatPr defaultColWidth="9" defaultRowHeight="13.5" outlineLevelCol="5"/>
  <cols>
    <col min="2" max="2" width="35.5" style="16" customWidth="1"/>
    <col min="4" max="4" width="12.625"/>
  </cols>
  <sheetData>
    <row r="1" spans="1:2">
      <c r="A1" t="s">
        <v>0</v>
      </c>
      <c r="B1" s="16" t="s">
        <v>1</v>
      </c>
    </row>
    <row r="2" ht="16.5" spans="1:2">
      <c r="A2" s="17" t="s">
        <v>2</v>
      </c>
      <c r="B2" s="18" t="s">
        <v>2</v>
      </c>
    </row>
    <row r="3" spans="1:2">
      <c r="A3" t="s">
        <v>3</v>
      </c>
      <c r="B3" s="16" t="s">
        <v>4</v>
      </c>
    </row>
    <row r="4" spans="1:2">
      <c r="A4">
        <v>1</v>
      </c>
      <c r="B4" s="16">
        <v>10</v>
      </c>
    </row>
    <row r="5" spans="1:2">
      <c r="A5">
        <v>2</v>
      </c>
      <c r="B5" s="16">
        <v>15</v>
      </c>
    </row>
    <row r="6" spans="1:2">
      <c r="A6">
        <v>3</v>
      </c>
      <c r="B6" s="16">
        <v>25</v>
      </c>
    </row>
    <row r="7" spans="1:2">
      <c r="A7">
        <v>4</v>
      </c>
      <c r="B7" s="16">
        <v>35</v>
      </c>
    </row>
    <row r="8" spans="1:2">
      <c r="A8">
        <v>5</v>
      </c>
      <c r="B8" s="16">
        <v>50</v>
      </c>
    </row>
    <row r="9" spans="1:2">
      <c r="A9">
        <v>6</v>
      </c>
      <c r="B9" s="16">
        <v>65</v>
      </c>
    </row>
    <row r="10" spans="1:2">
      <c r="A10">
        <v>7</v>
      </c>
      <c r="B10" s="16">
        <v>80</v>
      </c>
    </row>
    <row r="11" spans="1:2">
      <c r="A11">
        <v>8</v>
      </c>
      <c r="B11" s="16">
        <v>100</v>
      </c>
    </row>
    <row r="12" spans="1:2">
      <c r="A12">
        <v>9</v>
      </c>
      <c r="B12" s="16">
        <v>130</v>
      </c>
    </row>
    <row r="13" spans="1:2">
      <c r="A13">
        <v>10</v>
      </c>
      <c r="B13" s="16">
        <v>150</v>
      </c>
    </row>
    <row r="14" spans="1:2">
      <c r="A14">
        <v>11</v>
      </c>
      <c r="B14" s="16">
        <v>180</v>
      </c>
    </row>
    <row r="15" spans="1:2">
      <c r="A15">
        <v>12</v>
      </c>
      <c r="B15" s="16">
        <v>210</v>
      </c>
    </row>
    <row r="16" spans="1:2">
      <c r="A16">
        <v>13</v>
      </c>
      <c r="B16" s="16">
        <v>240</v>
      </c>
    </row>
    <row r="17" spans="1:2">
      <c r="A17">
        <v>14</v>
      </c>
      <c r="B17" s="16">
        <v>280</v>
      </c>
    </row>
    <row r="18" spans="1:2">
      <c r="A18">
        <v>15</v>
      </c>
      <c r="B18" s="16">
        <v>310</v>
      </c>
    </row>
    <row r="19" spans="1:2">
      <c r="A19">
        <v>16</v>
      </c>
      <c r="B19" s="16">
        <v>350</v>
      </c>
    </row>
    <row r="20" spans="1:2">
      <c r="A20">
        <v>17</v>
      </c>
      <c r="B20" s="16">
        <v>390</v>
      </c>
    </row>
    <row r="21" spans="1:2">
      <c r="A21">
        <v>18</v>
      </c>
      <c r="B21" s="16">
        <v>430</v>
      </c>
    </row>
    <row r="22" spans="1:2">
      <c r="A22">
        <v>19</v>
      </c>
      <c r="B22" s="16">
        <v>480</v>
      </c>
    </row>
    <row r="23" spans="1:2">
      <c r="A23">
        <v>20</v>
      </c>
      <c r="B23" s="16">
        <v>530</v>
      </c>
    </row>
    <row r="24" spans="1:2">
      <c r="A24">
        <v>21</v>
      </c>
      <c r="B24" s="16">
        <v>580</v>
      </c>
    </row>
    <row r="25" spans="1:2">
      <c r="A25">
        <v>22</v>
      </c>
      <c r="B25" s="16">
        <v>630</v>
      </c>
    </row>
    <row r="26" spans="1:2">
      <c r="A26">
        <v>23</v>
      </c>
      <c r="B26" s="16">
        <v>680</v>
      </c>
    </row>
    <row r="27" spans="1:2">
      <c r="A27">
        <v>24</v>
      </c>
      <c r="B27" s="16">
        <v>740</v>
      </c>
    </row>
    <row r="28" spans="1:2">
      <c r="A28">
        <v>25</v>
      </c>
      <c r="B28" s="16">
        <v>800</v>
      </c>
    </row>
    <row r="29" spans="1:2">
      <c r="A29">
        <v>26</v>
      </c>
      <c r="B29" s="16">
        <v>860</v>
      </c>
    </row>
    <row r="30" spans="1:2">
      <c r="A30">
        <v>27</v>
      </c>
      <c r="B30" s="16">
        <v>920</v>
      </c>
    </row>
    <row r="31" spans="1:2">
      <c r="A31">
        <v>28</v>
      </c>
      <c r="B31" s="16">
        <v>990</v>
      </c>
    </row>
    <row r="32" spans="1:2">
      <c r="A32">
        <v>29</v>
      </c>
      <c r="B32" s="16">
        <v>1060</v>
      </c>
    </row>
    <row r="33" spans="1:2">
      <c r="A33">
        <v>30</v>
      </c>
      <c r="B33" s="16">
        <v>1130</v>
      </c>
    </row>
    <row r="34" spans="1:2">
      <c r="A34">
        <v>31</v>
      </c>
      <c r="B34" s="16">
        <v>1200</v>
      </c>
    </row>
    <row r="35" spans="1:2">
      <c r="A35">
        <v>32</v>
      </c>
      <c r="B35" s="16">
        <v>1270</v>
      </c>
    </row>
    <row r="36" spans="1:2">
      <c r="A36">
        <v>33</v>
      </c>
      <c r="B36" s="16">
        <v>1350</v>
      </c>
    </row>
    <row r="37" spans="1:2">
      <c r="A37">
        <v>34</v>
      </c>
      <c r="B37" s="16">
        <v>1430</v>
      </c>
    </row>
    <row r="38" spans="1:2">
      <c r="A38">
        <v>35</v>
      </c>
      <c r="B38" s="16">
        <v>1510</v>
      </c>
    </row>
    <row r="39" spans="1:2">
      <c r="A39">
        <v>36</v>
      </c>
      <c r="B39" s="16">
        <v>1590</v>
      </c>
    </row>
    <row r="40" spans="1:2">
      <c r="A40">
        <v>37</v>
      </c>
      <c r="B40" s="16">
        <v>1680</v>
      </c>
    </row>
    <row r="41" spans="1:2">
      <c r="A41">
        <v>38</v>
      </c>
      <c r="B41" s="16">
        <v>1770</v>
      </c>
    </row>
    <row r="42" spans="1:6">
      <c r="A42">
        <v>39</v>
      </c>
      <c r="B42" s="16">
        <v>1860</v>
      </c>
      <c r="C42"/>
      <c r="D42">
        <f>SUM(B5:B42)</f>
        <v>26100</v>
      </c>
      <c r="E42">
        <v>100</v>
      </c>
      <c r="F42">
        <f>D42/E42</f>
        <v>261</v>
      </c>
    </row>
    <row r="43" spans="1:2">
      <c r="A43">
        <v>40</v>
      </c>
      <c r="B43" s="16">
        <v>1950</v>
      </c>
    </row>
    <row r="44" spans="1:2">
      <c r="A44">
        <v>41</v>
      </c>
      <c r="B44" s="16">
        <v>2040</v>
      </c>
    </row>
    <row r="45" spans="1:2">
      <c r="A45">
        <v>42</v>
      </c>
      <c r="B45" s="16">
        <v>2140</v>
      </c>
    </row>
    <row r="46" spans="1:2">
      <c r="A46">
        <v>43</v>
      </c>
      <c r="B46" s="16">
        <v>2240</v>
      </c>
    </row>
    <row r="47" spans="1:2">
      <c r="A47">
        <v>44</v>
      </c>
      <c r="B47" s="16">
        <v>2340</v>
      </c>
    </row>
    <row r="48" spans="1:2">
      <c r="A48">
        <v>45</v>
      </c>
      <c r="B48" s="16">
        <v>2440</v>
      </c>
    </row>
    <row r="49" spans="1:2">
      <c r="A49">
        <v>46</v>
      </c>
      <c r="B49" s="16">
        <v>2550</v>
      </c>
    </row>
    <row r="50" spans="1:2">
      <c r="A50">
        <v>47</v>
      </c>
      <c r="B50" s="16">
        <v>2660</v>
      </c>
    </row>
    <row r="51" spans="1:2">
      <c r="A51">
        <v>48</v>
      </c>
      <c r="B51" s="16">
        <v>2770</v>
      </c>
    </row>
    <row r="52" spans="1:2">
      <c r="A52">
        <v>49</v>
      </c>
      <c r="B52" s="16">
        <v>2880</v>
      </c>
    </row>
    <row r="53" spans="1:2">
      <c r="A53">
        <v>50</v>
      </c>
      <c r="B53" s="16">
        <v>3000</v>
      </c>
    </row>
    <row r="54" spans="1:2">
      <c r="A54">
        <v>51</v>
      </c>
      <c r="B54" s="16">
        <v>3110</v>
      </c>
    </row>
    <row r="55" spans="1:2">
      <c r="A55">
        <v>52</v>
      </c>
      <c r="B55" s="16">
        <v>3230</v>
      </c>
    </row>
    <row r="56" spans="1:2">
      <c r="A56">
        <v>53</v>
      </c>
      <c r="B56" s="16">
        <v>3350</v>
      </c>
    </row>
    <row r="57" spans="1:2">
      <c r="A57">
        <v>54</v>
      </c>
      <c r="B57" s="16">
        <v>3480</v>
      </c>
    </row>
    <row r="58" spans="1:2">
      <c r="A58">
        <v>55</v>
      </c>
      <c r="B58" s="16">
        <v>3600</v>
      </c>
    </row>
    <row r="59" spans="1:2">
      <c r="A59">
        <v>56</v>
      </c>
      <c r="B59" s="16">
        <v>3730</v>
      </c>
    </row>
    <row r="60" spans="1:2">
      <c r="A60">
        <v>57</v>
      </c>
      <c r="B60" s="16">
        <v>3860</v>
      </c>
    </row>
    <row r="61" spans="1:2">
      <c r="A61">
        <v>58</v>
      </c>
      <c r="B61" s="16">
        <v>4000</v>
      </c>
    </row>
    <row r="62" spans="1:2">
      <c r="A62">
        <v>59</v>
      </c>
      <c r="B62" s="16">
        <v>4130</v>
      </c>
    </row>
    <row r="63" spans="1:2">
      <c r="A63">
        <v>60</v>
      </c>
      <c r="B63" s="16">
        <v>4270</v>
      </c>
    </row>
    <row r="64" spans="1:2">
      <c r="A64">
        <v>61</v>
      </c>
      <c r="B64" s="16">
        <v>4410</v>
      </c>
    </row>
    <row r="65" spans="1:2">
      <c r="A65">
        <v>62</v>
      </c>
      <c r="B65" s="16">
        <v>4550</v>
      </c>
    </row>
    <row r="66" spans="1:2">
      <c r="A66">
        <v>63</v>
      </c>
      <c r="B66" s="16">
        <v>4690</v>
      </c>
    </row>
    <row r="67" spans="1:2">
      <c r="A67">
        <v>64</v>
      </c>
      <c r="B67" s="16">
        <v>4840</v>
      </c>
    </row>
    <row r="68" spans="1:2">
      <c r="A68">
        <v>65</v>
      </c>
      <c r="B68" s="16">
        <v>4990</v>
      </c>
    </row>
    <row r="69" spans="1:2">
      <c r="A69">
        <v>66</v>
      </c>
      <c r="B69" s="16">
        <v>5140</v>
      </c>
    </row>
    <row r="70" spans="1:2">
      <c r="A70">
        <v>67</v>
      </c>
      <c r="B70" s="16">
        <v>5290</v>
      </c>
    </row>
    <row r="71" spans="1:2">
      <c r="A71">
        <v>68</v>
      </c>
      <c r="B71" s="16">
        <v>5450</v>
      </c>
    </row>
    <row r="72" spans="1:2">
      <c r="A72">
        <v>69</v>
      </c>
      <c r="B72" s="16">
        <v>5600</v>
      </c>
    </row>
    <row r="73" spans="1:2">
      <c r="A73">
        <v>70</v>
      </c>
      <c r="B73" s="16">
        <v>5760</v>
      </c>
    </row>
    <row r="74" spans="1:2">
      <c r="A74">
        <v>71</v>
      </c>
      <c r="B74" s="16">
        <v>5930</v>
      </c>
    </row>
    <row r="75" spans="1:2">
      <c r="A75">
        <v>72</v>
      </c>
      <c r="B75" s="16">
        <v>6090</v>
      </c>
    </row>
    <row r="76" spans="1:2">
      <c r="A76">
        <v>73</v>
      </c>
      <c r="B76" s="16">
        <v>6260</v>
      </c>
    </row>
    <row r="77" spans="1:2">
      <c r="A77">
        <v>74</v>
      </c>
      <c r="B77" s="16">
        <v>6430</v>
      </c>
    </row>
    <row r="78" spans="1:2">
      <c r="A78">
        <v>75</v>
      </c>
      <c r="B78" s="16">
        <v>6600</v>
      </c>
    </row>
    <row r="79" spans="1:2">
      <c r="A79">
        <v>76</v>
      </c>
      <c r="B79" s="16">
        <v>6770</v>
      </c>
    </row>
    <row r="80" spans="1:2">
      <c r="A80">
        <v>77</v>
      </c>
      <c r="B80" s="16">
        <v>6950</v>
      </c>
    </row>
    <row r="81" spans="1:2">
      <c r="A81">
        <v>78</v>
      </c>
      <c r="B81" s="16">
        <v>7120</v>
      </c>
    </row>
    <row r="82" spans="1:2">
      <c r="A82">
        <v>79</v>
      </c>
      <c r="B82" s="16">
        <v>7300</v>
      </c>
    </row>
    <row r="83" spans="1:2">
      <c r="A83">
        <v>80</v>
      </c>
      <c r="B83" s="16">
        <v>7490</v>
      </c>
    </row>
    <row r="84" spans="1:2">
      <c r="A84">
        <v>81</v>
      </c>
      <c r="B84" s="16">
        <v>7670</v>
      </c>
    </row>
    <row r="85" spans="1:2">
      <c r="A85">
        <v>82</v>
      </c>
      <c r="B85" s="16">
        <v>7860</v>
      </c>
    </row>
    <row r="86" spans="1:2">
      <c r="A86">
        <v>83</v>
      </c>
      <c r="B86" s="16">
        <v>8050</v>
      </c>
    </row>
    <row r="87" spans="1:2">
      <c r="A87">
        <v>84</v>
      </c>
      <c r="B87" s="16">
        <v>8240</v>
      </c>
    </row>
    <row r="88" spans="1:2">
      <c r="A88">
        <v>85</v>
      </c>
      <c r="B88" s="16">
        <v>8430</v>
      </c>
    </row>
    <row r="89" spans="1:2">
      <c r="A89">
        <v>86</v>
      </c>
      <c r="B89" s="16">
        <v>8630</v>
      </c>
    </row>
    <row r="90" spans="1:2">
      <c r="A90">
        <v>87</v>
      </c>
      <c r="B90" s="16">
        <v>8820</v>
      </c>
    </row>
    <row r="91" spans="1:2">
      <c r="A91">
        <v>88</v>
      </c>
      <c r="B91" s="16">
        <v>9020</v>
      </c>
    </row>
    <row r="92" spans="1:2">
      <c r="A92">
        <v>89</v>
      </c>
      <c r="B92" s="16">
        <v>9230</v>
      </c>
    </row>
    <row r="93" spans="1:2">
      <c r="A93">
        <v>90</v>
      </c>
      <c r="B93" s="16">
        <v>9430</v>
      </c>
    </row>
    <row r="94" spans="1:2">
      <c r="A94">
        <v>91</v>
      </c>
      <c r="B94" s="16">
        <v>9640</v>
      </c>
    </row>
    <row r="95" spans="1:2">
      <c r="A95">
        <v>92</v>
      </c>
      <c r="B95" s="16">
        <v>9850</v>
      </c>
    </row>
    <row r="96" spans="1:2">
      <c r="A96">
        <v>93</v>
      </c>
      <c r="B96" s="16">
        <v>10060</v>
      </c>
    </row>
    <row r="97" spans="1:2">
      <c r="A97">
        <v>94</v>
      </c>
      <c r="B97" s="16">
        <v>10270</v>
      </c>
    </row>
    <row r="98" spans="1:2">
      <c r="A98">
        <v>95</v>
      </c>
      <c r="B98" s="16">
        <v>10490</v>
      </c>
    </row>
    <row r="99" spans="1:2">
      <c r="A99">
        <v>96</v>
      </c>
      <c r="B99" s="16">
        <v>10710</v>
      </c>
    </row>
    <row r="100" spans="1:2">
      <c r="A100">
        <v>97</v>
      </c>
      <c r="B100" s="16">
        <v>10930</v>
      </c>
    </row>
    <row r="101" spans="1:2">
      <c r="A101">
        <v>98</v>
      </c>
      <c r="B101" s="16">
        <v>11150</v>
      </c>
    </row>
    <row r="102" spans="1:2">
      <c r="A102">
        <v>99</v>
      </c>
      <c r="B102" s="16">
        <v>11370</v>
      </c>
    </row>
    <row r="103" spans="1:2">
      <c r="A103">
        <v>100</v>
      </c>
      <c r="B103" s="16">
        <v>11530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0"/>
  <sheetViews>
    <sheetView topLeftCell="A83" workbookViewId="0">
      <selection activeCell="D10" sqref="D10:D108"/>
    </sheetView>
  </sheetViews>
  <sheetFormatPr defaultColWidth="9" defaultRowHeight="16.5"/>
  <cols>
    <col min="1" max="1" width="14.125" style="2" customWidth="1"/>
    <col min="2" max="2" width="9" style="1"/>
    <col min="3" max="4" width="12.625" style="1"/>
    <col min="5" max="5" width="13" style="1" customWidth="1"/>
    <col min="6" max="7" width="12.625" style="1"/>
    <col min="8" max="8" width="12.625" style="3"/>
    <col min="9" max="9" width="9" style="4"/>
    <col min="10" max="10" width="12.625" style="1"/>
    <col min="11" max="11" width="15.25" style="1" customWidth="1"/>
    <col min="12" max="14" width="9" style="1"/>
    <col min="15" max="15" width="13.125" style="1" customWidth="1"/>
    <col min="16" max="17" width="9" style="1"/>
    <col min="18" max="18" width="12.125" style="1" customWidth="1"/>
    <col min="19" max="20" width="9" style="1"/>
    <col min="21" max="21" width="8.5" style="1" customWidth="1"/>
    <col min="22" max="16384" width="9" style="1"/>
  </cols>
  <sheetData>
    <row r="1" s="1" customFormat="1" spans="1:19">
      <c r="A1" s="5" t="s">
        <v>5</v>
      </c>
      <c r="B1" s="6">
        <v>5</v>
      </c>
      <c r="C1" s="7" t="s">
        <v>6</v>
      </c>
      <c r="D1" s="6">
        <f>H2+M6+Q5</f>
        <v>968</v>
      </c>
      <c r="E1" s="1" t="s">
        <v>5</v>
      </c>
      <c r="F1" s="4" t="s">
        <v>7</v>
      </c>
      <c r="G1" s="4"/>
      <c r="H1" s="3"/>
      <c r="I1" s="4"/>
      <c r="K1" s="13" t="s">
        <v>8</v>
      </c>
      <c r="L1" s="13" t="s">
        <v>9</v>
      </c>
      <c r="M1" s="13" t="s">
        <v>10</v>
      </c>
      <c r="O1" s="13" t="s">
        <v>11</v>
      </c>
      <c r="P1" s="13" t="s">
        <v>12</v>
      </c>
      <c r="Q1" s="4"/>
      <c r="S1" s="1" t="s">
        <v>13</v>
      </c>
    </row>
    <row r="2" s="1" customFormat="1" spans="1:22">
      <c r="A2" s="5" t="s">
        <v>14</v>
      </c>
      <c r="B2" s="6">
        <v>120</v>
      </c>
      <c r="C2" s="7" t="s">
        <v>15</v>
      </c>
      <c r="D2" s="6">
        <f>H2+Q5</f>
        <v>488</v>
      </c>
      <c r="F2" s="4">
        <f>60/B1</f>
        <v>12</v>
      </c>
      <c r="G2" s="4" t="s">
        <v>16</v>
      </c>
      <c r="H2" s="3">
        <f>F2*24</f>
        <v>288</v>
      </c>
      <c r="I2" s="4" t="s">
        <v>17</v>
      </c>
      <c r="K2" s="13">
        <v>1</v>
      </c>
      <c r="L2" s="13">
        <v>50</v>
      </c>
      <c r="M2" s="13">
        <f>$B$2</f>
        <v>120</v>
      </c>
      <c r="O2" s="13" t="s">
        <v>18</v>
      </c>
      <c r="P2" s="13">
        <v>2</v>
      </c>
      <c r="Q2" s="4"/>
      <c r="S2" s="7" t="s">
        <v>19</v>
      </c>
      <c r="T2" s="7" t="s">
        <v>20</v>
      </c>
      <c r="U2" s="7" t="s">
        <v>21</v>
      </c>
      <c r="V2" s="7" t="s">
        <v>22</v>
      </c>
    </row>
    <row r="3" s="1" customFormat="1" spans="1:22">
      <c r="A3" s="8" t="s">
        <v>13</v>
      </c>
      <c r="B3" s="9">
        <v>3</v>
      </c>
      <c r="C3" s="7" t="s">
        <v>23</v>
      </c>
      <c r="D3" s="6">
        <v>50</v>
      </c>
      <c r="E3" s="1" t="s">
        <v>24</v>
      </c>
      <c r="H3" s="3"/>
      <c r="I3" s="4"/>
      <c r="K3" s="13">
        <v>2</v>
      </c>
      <c r="L3" s="13">
        <v>50</v>
      </c>
      <c r="M3" s="13">
        <f>M2</f>
        <v>120</v>
      </c>
      <c r="O3" s="13" t="s">
        <v>25</v>
      </c>
      <c r="P3" s="13">
        <v>1</v>
      </c>
      <c r="S3" s="7" t="s">
        <v>26</v>
      </c>
      <c r="T3" s="7">
        <v>1</v>
      </c>
      <c r="U3" s="13">
        <f>V3/T3</f>
        <v>12</v>
      </c>
      <c r="V3" s="7">
        <v>12</v>
      </c>
    </row>
    <row r="4" s="1" customFormat="1" spans="1:22">
      <c r="A4" s="5" t="s">
        <v>27</v>
      </c>
      <c r="B4" s="6">
        <v>1.1</v>
      </c>
      <c r="C4" s="7" t="s">
        <v>28</v>
      </c>
      <c r="D4" s="6">
        <v>60</v>
      </c>
      <c r="H4" s="3"/>
      <c r="I4" s="4"/>
      <c r="K4" s="13">
        <v>3</v>
      </c>
      <c r="L4" s="13">
        <v>100</v>
      </c>
      <c r="M4" s="13">
        <f>M3</f>
        <v>120</v>
      </c>
      <c r="O4" s="13" t="s">
        <v>29</v>
      </c>
      <c r="P4" s="13">
        <v>1</v>
      </c>
      <c r="S4" s="7" t="s">
        <v>30</v>
      </c>
      <c r="T4" s="7">
        <v>2</v>
      </c>
      <c r="U4" s="13">
        <f>V4/T4</f>
        <v>21</v>
      </c>
      <c r="V4" s="7">
        <f>12+30</f>
        <v>42</v>
      </c>
    </row>
    <row r="5" s="1" customFormat="1" spans="1:22">
      <c r="A5" s="5" t="s">
        <v>31</v>
      </c>
      <c r="B5" s="6">
        <v>1.5</v>
      </c>
      <c r="C5" s="7" t="s">
        <v>32</v>
      </c>
      <c r="D5" s="6">
        <v>100</v>
      </c>
      <c r="H5" s="3"/>
      <c r="I5" s="4"/>
      <c r="K5" s="13">
        <v>4</v>
      </c>
      <c r="L5" s="13">
        <v>200</v>
      </c>
      <c r="M5" s="13">
        <f>M4</f>
        <v>120</v>
      </c>
      <c r="P5" s="4">
        <f>SUM(P2:P4)</f>
        <v>4</v>
      </c>
      <c r="Q5" s="14">
        <f>P5*D3</f>
        <v>200</v>
      </c>
      <c r="S5" s="7" t="s">
        <v>33</v>
      </c>
      <c r="T5" s="7">
        <v>3</v>
      </c>
      <c r="U5" s="15">
        <f>V5/T5</f>
        <v>36.6666666666667</v>
      </c>
      <c r="V5" s="7">
        <f>12+30+68</f>
        <v>110</v>
      </c>
    </row>
    <row r="6" s="1" customFormat="1" spans="1:13">
      <c r="A6" s="5" t="s">
        <v>34</v>
      </c>
      <c r="B6" s="6">
        <v>1.02</v>
      </c>
      <c r="C6" s="5" t="s">
        <v>35</v>
      </c>
      <c r="D6" s="6">
        <v>20</v>
      </c>
      <c r="H6" s="3"/>
      <c r="I6" s="4"/>
      <c r="K6" s="13" t="s">
        <v>36</v>
      </c>
      <c r="L6" s="13">
        <f>SUM(L2:L4)</f>
        <v>200</v>
      </c>
      <c r="M6" s="13">
        <f>SUM(M2:M5)</f>
        <v>480</v>
      </c>
    </row>
    <row r="7" s="1" customFormat="1" spans="8:13">
      <c r="H7" s="3"/>
      <c r="I7" s="4"/>
      <c r="K7" s="4"/>
      <c r="L7" s="4"/>
      <c r="M7" s="4"/>
    </row>
    <row r="8" s="1" customFormat="1" spans="1:11">
      <c r="A8" s="2"/>
      <c r="B8" s="4" t="s">
        <v>3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3" t="s">
        <v>42</v>
      </c>
      <c r="I8" s="3" t="s">
        <v>43</v>
      </c>
      <c r="K8" s="1" t="s">
        <v>44</v>
      </c>
    </row>
    <row r="9" s="1" customFormat="1" spans="1:13">
      <c r="A9" s="2"/>
      <c r="B9" s="4">
        <v>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3"/>
      <c r="I9" s="3"/>
      <c r="K9" s="13" t="s">
        <v>45</v>
      </c>
      <c r="L9" s="13" t="s">
        <v>42</v>
      </c>
      <c r="M9" s="13" t="s">
        <v>43</v>
      </c>
    </row>
    <row r="10" s="1" customFormat="1" spans="1:13">
      <c r="A10" s="2"/>
      <c r="B10" s="4">
        <v>2</v>
      </c>
      <c r="C10" s="4">
        <f>SUM($D$9:D10)</f>
        <v>7</v>
      </c>
      <c r="D10" s="4">
        <f>INT((B10*$B$4+$B$5)*$B$6*B10)</f>
        <v>7</v>
      </c>
      <c r="E10" s="4">
        <f t="shared" ref="E10:E73" si="0">D10-60</f>
        <v>-53</v>
      </c>
      <c r="F10" s="10">
        <f>E10/$D$2</f>
        <v>-0.108606557377049</v>
      </c>
      <c r="G10" s="10">
        <f>E10/$D$1</f>
        <v>-0.0547520661157025</v>
      </c>
      <c r="H10" s="3">
        <f>SUM($F$9:F10)</f>
        <v>-0.108606557377049</v>
      </c>
      <c r="I10" s="3">
        <f>SUM($G$9:G10)</f>
        <v>-0.0547520661157025</v>
      </c>
      <c r="K10" s="13">
        <v>1</v>
      </c>
      <c r="L10" s="13">
        <v>13</v>
      </c>
      <c r="M10" s="13">
        <v>15</v>
      </c>
    </row>
    <row r="11" s="1" customFormat="1" spans="1:13">
      <c r="A11" s="2"/>
      <c r="B11" s="4">
        <v>3</v>
      </c>
      <c r="C11" s="4">
        <f>SUM($D$9:D11)</f>
        <v>21</v>
      </c>
      <c r="D11" s="4">
        <f>INT((B11*$B$4+$B$5)*$B$6*B11)</f>
        <v>14</v>
      </c>
      <c r="E11" s="4">
        <f t="shared" si="0"/>
        <v>-46</v>
      </c>
      <c r="F11" s="10">
        <f>E11/$D$2</f>
        <v>-0.0942622950819672</v>
      </c>
      <c r="G11" s="10">
        <f>E11/$D$1</f>
        <v>-0.0475206611570248</v>
      </c>
      <c r="H11" s="3">
        <f>SUM($F$9:F11)</f>
        <v>-0.202868852459016</v>
      </c>
      <c r="I11" s="3">
        <f>SUM($G$9:G11)</f>
        <v>-0.102272727272727</v>
      </c>
      <c r="K11" s="13">
        <v>2</v>
      </c>
      <c r="L11" s="13">
        <v>15</v>
      </c>
      <c r="M11" s="13">
        <v>18</v>
      </c>
    </row>
    <row r="12" s="1" customFormat="1" spans="1:13">
      <c r="A12" s="2"/>
      <c r="B12" s="4">
        <v>4</v>
      </c>
      <c r="C12" s="4">
        <f>SUM($D$9:D12)</f>
        <v>45</v>
      </c>
      <c r="D12" s="4">
        <f>INT((B12*$B$4+$B$5)*$B$6*B12)</f>
        <v>24</v>
      </c>
      <c r="E12" s="4">
        <f t="shared" si="0"/>
        <v>-36</v>
      </c>
      <c r="F12" s="10">
        <f>E12/$D$2</f>
        <v>-0.0737704918032787</v>
      </c>
      <c r="G12" s="10">
        <f>E12/$D$1</f>
        <v>-0.0371900826446281</v>
      </c>
      <c r="H12" s="3">
        <f>SUM($F$9:F12)</f>
        <v>-0.276639344262295</v>
      </c>
      <c r="I12" s="3">
        <f>SUM($G$9:G12)</f>
        <v>-0.139462809917355</v>
      </c>
      <c r="K12" s="13">
        <v>3</v>
      </c>
      <c r="L12" s="13">
        <v>17</v>
      </c>
      <c r="M12" s="13">
        <v>20</v>
      </c>
    </row>
    <row r="13" s="1" customFormat="1" spans="1:13">
      <c r="A13" s="2"/>
      <c r="B13" s="4">
        <v>5</v>
      </c>
      <c r="C13" s="4">
        <f>SUM($D$9:D13)</f>
        <v>80</v>
      </c>
      <c r="D13" s="4">
        <f>INT((B13*$B$4+$B$5)*$B$6*B13)</f>
        <v>35</v>
      </c>
      <c r="E13" s="4">
        <f t="shared" si="0"/>
        <v>-25</v>
      </c>
      <c r="F13" s="10">
        <f>E13/$D$2</f>
        <v>-0.0512295081967213</v>
      </c>
      <c r="G13" s="10">
        <f>E13/$D$1</f>
        <v>-0.0258264462809917</v>
      </c>
      <c r="H13" s="3">
        <f>SUM($F$9:F13)</f>
        <v>-0.327868852459016</v>
      </c>
      <c r="I13" s="3">
        <f>SUM($G$9:G13)</f>
        <v>-0.165289256198347</v>
      </c>
      <c r="K13" s="13">
        <v>4</v>
      </c>
      <c r="L13" s="13">
        <v>18</v>
      </c>
      <c r="M13" s="13">
        <v>22</v>
      </c>
    </row>
    <row r="14" s="1" customFormat="1" spans="1:13">
      <c r="A14" s="2"/>
      <c r="B14" s="4">
        <v>6</v>
      </c>
      <c r="C14" s="4">
        <f>SUM($D$9:D14)</f>
        <v>129</v>
      </c>
      <c r="D14" s="4">
        <f>INT((B14*$B$4+$B$5)*$B$6*B14)</f>
        <v>49</v>
      </c>
      <c r="E14" s="4">
        <f t="shared" si="0"/>
        <v>-11</v>
      </c>
      <c r="F14" s="10">
        <f>E14/$D$2</f>
        <v>-0.0225409836065574</v>
      </c>
      <c r="G14" s="10">
        <f>E14/$D$1</f>
        <v>-0.0113636363636364</v>
      </c>
      <c r="H14" s="3">
        <f>SUM($F$9:F14)</f>
        <v>-0.350409836065574</v>
      </c>
      <c r="I14" s="3">
        <f>SUM($G$9:G14)</f>
        <v>-0.176652892561983</v>
      </c>
      <c r="K14" s="13">
        <v>5</v>
      </c>
      <c r="L14" s="13">
        <v>19</v>
      </c>
      <c r="M14" s="13">
        <v>24</v>
      </c>
    </row>
    <row r="15" s="1" customFormat="1" spans="1:13">
      <c r="A15" s="2"/>
      <c r="B15" s="4">
        <v>7</v>
      </c>
      <c r="C15" s="4">
        <f>SUM($D$9:D15)</f>
        <v>194</v>
      </c>
      <c r="D15" s="4">
        <f>INT((B15*$B$4+$B$5)*$B$6*B15)</f>
        <v>65</v>
      </c>
      <c r="E15" s="4">
        <f t="shared" si="0"/>
        <v>5</v>
      </c>
      <c r="F15" s="10">
        <f>E15/$D$2</f>
        <v>0.0102459016393443</v>
      </c>
      <c r="G15" s="10">
        <f>E15/$D$1</f>
        <v>0.00516528925619835</v>
      </c>
      <c r="H15" s="3">
        <f>SUM($F$9:F15)</f>
        <v>-0.34016393442623</v>
      </c>
      <c r="I15" s="3">
        <f>SUM($G$9:G15)</f>
        <v>-0.171487603305785</v>
      </c>
      <c r="K15" s="13">
        <v>6</v>
      </c>
      <c r="L15" s="13">
        <v>20</v>
      </c>
      <c r="M15" s="13">
        <v>25</v>
      </c>
    </row>
    <row r="16" s="1" customFormat="1" spans="1:13">
      <c r="A16" s="2"/>
      <c r="B16" s="4">
        <v>8</v>
      </c>
      <c r="C16" s="4">
        <f>SUM($D$9:D16)</f>
        <v>274</v>
      </c>
      <c r="D16" s="4">
        <f>ROUND((B16*$B$4+$B$5)*$B$6*B16,-1)</f>
        <v>80</v>
      </c>
      <c r="E16" s="4">
        <f t="shared" si="0"/>
        <v>20</v>
      </c>
      <c r="F16" s="10">
        <f>E16/$D$2</f>
        <v>0.040983606557377</v>
      </c>
      <c r="G16" s="10">
        <f>E16/$D$1</f>
        <v>0.0206611570247934</v>
      </c>
      <c r="H16" s="3">
        <f>SUM($F$9:F16)</f>
        <v>-0.299180327868853</v>
      </c>
      <c r="I16" s="3">
        <f>SUM($G$9:G16)</f>
        <v>-0.150826446280992</v>
      </c>
      <c r="K16" s="13">
        <v>7</v>
      </c>
      <c r="L16" s="13">
        <v>21</v>
      </c>
      <c r="M16" s="13">
        <v>26</v>
      </c>
    </row>
    <row r="17" s="1" customFormat="1" spans="1:13">
      <c r="A17" s="2"/>
      <c r="B17" s="4">
        <v>9</v>
      </c>
      <c r="C17" s="4">
        <f>SUM($D$9:D17)</f>
        <v>374</v>
      </c>
      <c r="D17" s="4">
        <f>ROUND((B17*$B$4+$B$5)*$B$6*B17,-1)</f>
        <v>100</v>
      </c>
      <c r="E17" s="4">
        <f t="shared" si="0"/>
        <v>40</v>
      </c>
      <c r="F17" s="10">
        <f>E17/$D$2</f>
        <v>0.0819672131147541</v>
      </c>
      <c r="G17" s="10">
        <f>E17/$D$1</f>
        <v>0.0413223140495868</v>
      </c>
      <c r="H17" s="3">
        <f>SUM($F$9:F17)</f>
        <v>-0.217213114754098</v>
      </c>
      <c r="I17" s="3">
        <f>SUM($G$9:G17)</f>
        <v>-0.109504132231405</v>
      </c>
      <c r="J17" s="4"/>
      <c r="K17" s="13">
        <v>15</v>
      </c>
      <c r="L17" s="13">
        <v>27</v>
      </c>
      <c r="M17" s="13">
        <v>34</v>
      </c>
    </row>
    <row r="18" s="1" customFormat="1" spans="1:13">
      <c r="A18" s="2"/>
      <c r="B18" s="4">
        <v>10</v>
      </c>
      <c r="C18" s="4">
        <f>SUM($D$9:D18)</f>
        <v>504</v>
      </c>
      <c r="D18" s="4">
        <f>ROUND((B18*$B$4+$B$5)*$B$6*B18,-1)</f>
        <v>130</v>
      </c>
      <c r="E18" s="4">
        <f t="shared" si="0"/>
        <v>70</v>
      </c>
      <c r="F18" s="10">
        <f>E18/$D$2</f>
        <v>0.14344262295082</v>
      </c>
      <c r="G18" s="10">
        <f>E18/$D$1</f>
        <v>0.0723140495867769</v>
      </c>
      <c r="H18" s="3">
        <f>SUM($F$9:F18)</f>
        <v>-0.0737704918032788</v>
      </c>
      <c r="I18" s="3">
        <f>SUM($G$9:G18)</f>
        <v>-0.0371900826446281</v>
      </c>
      <c r="J18" s="4"/>
      <c r="K18" s="13">
        <v>30</v>
      </c>
      <c r="L18" s="13">
        <v>33</v>
      </c>
      <c r="M18" s="13">
        <v>42</v>
      </c>
    </row>
    <row r="19" s="1" customFormat="1" spans="1:11">
      <c r="A19" s="2"/>
      <c r="B19" s="4">
        <v>11</v>
      </c>
      <c r="C19" s="4">
        <f>SUM($D$9:D19)</f>
        <v>654</v>
      </c>
      <c r="D19" s="4">
        <f>ROUND((B19*$B$4+$B$5)*$B$6*B19,-1)</f>
        <v>150</v>
      </c>
      <c r="E19" s="4">
        <f t="shared" si="0"/>
        <v>90</v>
      </c>
      <c r="F19" s="10">
        <f>E19/$D$2</f>
        <v>0.184426229508197</v>
      </c>
      <c r="G19" s="10">
        <f>E19/$D$1</f>
        <v>0.0929752066115702</v>
      </c>
      <c r="H19" s="3">
        <f>SUM($F$9:F19)</f>
        <v>0.110655737704918</v>
      </c>
      <c r="I19" s="3">
        <f>SUM($G$9:G19)</f>
        <v>0.0557851239669421</v>
      </c>
      <c r="J19" s="4"/>
      <c r="K19" s="4"/>
    </row>
    <row r="20" s="1" customFormat="1" spans="1:11">
      <c r="A20" s="2"/>
      <c r="B20" s="4">
        <v>12</v>
      </c>
      <c r="C20" s="4">
        <f>SUM($D$9:D20)</f>
        <v>834</v>
      </c>
      <c r="D20" s="4">
        <f>ROUND((B20*$B$4+$B$5)*$B$6*B20,-1)</f>
        <v>180</v>
      </c>
      <c r="E20" s="4">
        <f t="shared" si="0"/>
        <v>120</v>
      </c>
      <c r="F20" s="10">
        <f>E20/$D$2</f>
        <v>0.245901639344262</v>
      </c>
      <c r="G20" s="10">
        <f>E20/$D$1</f>
        <v>0.12396694214876</v>
      </c>
      <c r="H20" s="3">
        <f>SUM($F$9:F20)</f>
        <v>0.35655737704918</v>
      </c>
      <c r="I20" s="3">
        <f>SUM($G$9:G20)</f>
        <v>0.179752066115702</v>
      </c>
      <c r="J20" s="4"/>
      <c r="K20" s="4"/>
    </row>
    <row r="21" s="1" customFormat="1" spans="1:9">
      <c r="A21" s="2"/>
      <c r="B21" s="4">
        <v>13</v>
      </c>
      <c r="C21" s="4">
        <f>SUM($D$9:D21)</f>
        <v>1044</v>
      </c>
      <c r="D21" s="4">
        <f>ROUND((B21*$B$4+$B$5)*$B$6*B21,-1)</f>
        <v>210</v>
      </c>
      <c r="E21" s="4">
        <f t="shared" si="0"/>
        <v>150</v>
      </c>
      <c r="F21" s="10">
        <f>E21/$D$2</f>
        <v>0.307377049180328</v>
      </c>
      <c r="G21" s="10">
        <f>E21/$D$1</f>
        <v>0.15495867768595</v>
      </c>
      <c r="H21" s="11">
        <f>SUM($F$9:F21)</f>
        <v>0.663934426229508</v>
      </c>
      <c r="I21" s="3">
        <f>SUM($G$9:G21)</f>
        <v>0.334710743801653</v>
      </c>
    </row>
    <row r="22" s="1" customFormat="1" spans="1:9">
      <c r="A22" s="2"/>
      <c r="B22" s="4">
        <v>14</v>
      </c>
      <c r="C22" s="4">
        <f>SUM($D$9:D22)</f>
        <v>1284</v>
      </c>
      <c r="D22" s="4">
        <f>ROUND((B22*$B$4+$B$5)*$B$6*B22,-1)</f>
        <v>240</v>
      </c>
      <c r="E22" s="4">
        <f t="shared" si="0"/>
        <v>180</v>
      </c>
      <c r="F22" s="10">
        <f>E22/$D$2</f>
        <v>0.368852459016393</v>
      </c>
      <c r="G22" s="10">
        <f>E22/$D$1</f>
        <v>0.18595041322314</v>
      </c>
      <c r="H22" s="3">
        <f>SUM($F$9:F22)</f>
        <v>1.0327868852459</v>
      </c>
      <c r="I22" s="3">
        <f>SUM($G$9:G22)</f>
        <v>0.520661157024793</v>
      </c>
    </row>
    <row r="23" s="1" customFormat="1" spans="1:9">
      <c r="A23" s="2"/>
      <c r="B23" s="4">
        <v>15</v>
      </c>
      <c r="C23" s="4">
        <f>SUM($D$9:D23)</f>
        <v>1564</v>
      </c>
      <c r="D23" s="4">
        <f>ROUND((B23*$B$4+$B$5)*$B$6*B23,-1)</f>
        <v>280</v>
      </c>
      <c r="E23" s="4">
        <f t="shared" si="0"/>
        <v>220</v>
      </c>
      <c r="F23" s="10">
        <f>E23/$D$2</f>
        <v>0.450819672131148</v>
      </c>
      <c r="G23" s="10">
        <f>E23/$D$1</f>
        <v>0.227272727272727</v>
      </c>
      <c r="H23" s="11">
        <f>SUM($F$9:F23)</f>
        <v>1.48360655737705</v>
      </c>
      <c r="I23" s="11">
        <f>SUM($G$9:G23)</f>
        <v>0.747933884297521</v>
      </c>
    </row>
    <row r="24" s="1" customFormat="1" spans="1:9">
      <c r="A24" s="2"/>
      <c r="B24" s="4">
        <v>16</v>
      </c>
      <c r="C24" s="4">
        <f>SUM($D$9:D24)</f>
        <v>1874</v>
      </c>
      <c r="D24" s="4">
        <f>ROUND((B24*$B$4+$B$5)*$B$6*B24,-1)</f>
        <v>310</v>
      </c>
      <c r="E24" s="4">
        <f t="shared" si="0"/>
        <v>250</v>
      </c>
      <c r="F24" s="10">
        <f>E24/$D$2</f>
        <v>0.512295081967213</v>
      </c>
      <c r="G24" s="10">
        <f>E24/$D$1</f>
        <v>0.258264462809917</v>
      </c>
      <c r="H24" s="3">
        <f>SUM($F$9:F24)</f>
        <v>1.99590163934426</v>
      </c>
      <c r="I24" s="3">
        <f>SUM($G$9:G24)</f>
        <v>1.00619834710744</v>
      </c>
    </row>
    <row r="25" s="1" customFormat="1" spans="1:9">
      <c r="A25" s="2"/>
      <c r="B25" s="4">
        <v>17</v>
      </c>
      <c r="C25" s="4">
        <f>SUM($D$9:D25)</f>
        <v>2224</v>
      </c>
      <c r="D25" s="4">
        <f>ROUND((B25*$B$4+$B$5)*$B$6*B25,-1)</f>
        <v>350</v>
      </c>
      <c r="E25" s="4">
        <f t="shared" si="0"/>
        <v>290</v>
      </c>
      <c r="F25" s="10">
        <f>E25/$D$2</f>
        <v>0.594262295081967</v>
      </c>
      <c r="G25" s="10">
        <f>E25/$D$1</f>
        <v>0.299586776859504</v>
      </c>
      <c r="H25" s="11">
        <f>SUM($F$9:F25)</f>
        <v>2.59016393442623</v>
      </c>
      <c r="I25" s="3">
        <f>SUM($G$9:G25)</f>
        <v>1.30578512396694</v>
      </c>
    </row>
    <row r="26" s="1" customFormat="1" spans="1:9">
      <c r="A26" s="2"/>
      <c r="B26" s="4">
        <v>18</v>
      </c>
      <c r="C26" s="4">
        <f>SUM($D$9:D26)</f>
        <v>2614</v>
      </c>
      <c r="D26" s="4">
        <f>ROUND((B26*$B$4+$B$5)*$B$6*B26,-1)</f>
        <v>390</v>
      </c>
      <c r="E26" s="4">
        <f t="shared" si="0"/>
        <v>330</v>
      </c>
      <c r="F26" s="10">
        <f>E26/$D$2</f>
        <v>0.676229508196721</v>
      </c>
      <c r="G26" s="10">
        <f>E26/$D$1</f>
        <v>0.340909090909091</v>
      </c>
      <c r="H26" s="11">
        <f>SUM($F$9:F26)</f>
        <v>3.26639344262295</v>
      </c>
      <c r="I26" s="11">
        <f>SUM($G$9:G26)</f>
        <v>1.64669421487603</v>
      </c>
    </row>
    <row r="27" s="1" customFormat="1" spans="1:9">
      <c r="A27" s="2"/>
      <c r="B27" s="4">
        <v>19</v>
      </c>
      <c r="C27" s="4">
        <f>SUM($D$9:D27)</f>
        <v>3044</v>
      </c>
      <c r="D27" s="4">
        <f>ROUND((B27*$B$4+$B$5)*$B$6*B27,-1)</f>
        <v>430</v>
      </c>
      <c r="E27" s="4">
        <f t="shared" si="0"/>
        <v>370</v>
      </c>
      <c r="F27" s="10">
        <f>E27/$D$2</f>
        <v>0.758196721311475</v>
      </c>
      <c r="G27" s="10">
        <f>E27/$D$1</f>
        <v>0.382231404958678</v>
      </c>
      <c r="H27" s="11">
        <f>SUM($F$9:F27)</f>
        <v>4.02459016393443</v>
      </c>
      <c r="I27" s="3">
        <f>SUM($G$9:G27)</f>
        <v>2.02892561983471</v>
      </c>
    </row>
    <row r="28" s="1" customFormat="1" spans="1:9">
      <c r="A28" s="2"/>
      <c r="B28" s="4">
        <v>20</v>
      </c>
      <c r="C28" s="4">
        <f>SUM($D$9:D28)</f>
        <v>3524</v>
      </c>
      <c r="D28" s="4">
        <f>ROUND((B28*$B$4+$B$5)*$B$6*B28,-1)</f>
        <v>480</v>
      </c>
      <c r="E28" s="4">
        <f t="shared" si="0"/>
        <v>420</v>
      </c>
      <c r="F28" s="10">
        <f>E28/$D$2</f>
        <v>0.860655737704918</v>
      </c>
      <c r="G28" s="10">
        <f>E28/$D$1</f>
        <v>0.433884297520661</v>
      </c>
      <c r="H28" s="11">
        <f>SUM($F$9:F28)</f>
        <v>4.88524590163934</v>
      </c>
      <c r="I28" s="11">
        <f>SUM($G$9:G28)</f>
        <v>2.46280991735537</v>
      </c>
    </row>
    <row r="29" s="1" customFormat="1" spans="1:9">
      <c r="A29" s="2"/>
      <c r="B29" s="4">
        <v>21</v>
      </c>
      <c r="C29" s="4">
        <f>SUM($D$9:D29)</f>
        <v>4054</v>
      </c>
      <c r="D29" s="4">
        <f>ROUND((B29*$B$4+$B$5)*$B$6*B29,-1)</f>
        <v>530</v>
      </c>
      <c r="E29" s="4">
        <f t="shared" si="0"/>
        <v>470</v>
      </c>
      <c r="F29" s="10">
        <f>E29/$D$2</f>
        <v>0.963114754098361</v>
      </c>
      <c r="G29" s="10">
        <f>E29/$D$1</f>
        <v>0.485537190082645</v>
      </c>
      <c r="H29" s="11">
        <f>SUM($F$9:F29)</f>
        <v>5.84836065573771</v>
      </c>
      <c r="I29" s="3">
        <f>SUM($G$9:G29)</f>
        <v>2.94834710743802</v>
      </c>
    </row>
    <row r="30" s="1" customFormat="1" spans="1:9">
      <c r="A30" s="2"/>
      <c r="B30" s="4">
        <v>22</v>
      </c>
      <c r="C30" s="4">
        <f>SUM($D$9:D30)</f>
        <v>4634</v>
      </c>
      <c r="D30" s="4">
        <f>ROUND((B30*$B$4+$B$5)*$B$6*B30,-1)</f>
        <v>580</v>
      </c>
      <c r="E30" s="4">
        <f t="shared" si="0"/>
        <v>520</v>
      </c>
      <c r="F30" s="10">
        <f>E30/$D$2</f>
        <v>1.0655737704918</v>
      </c>
      <c r="G30" s="10">
        <f>E30/$D$1</f>
        <v>0.537190082644628</v>
      </c>
      <c r="H30" s="3">
        <f>SUM($F$9:F30)</f>
        <v>6.91393442622951</v>
      </c>
      <c r="I30" s="11">
        <f>SUM($G$9:G30)</f>
        <v>3.48553719008264</v>
      </c>
    </row>
    <row r="31" s="1" customFormat="1" spans="1:9">
      <c r="A31" s="2"/>
      <c r="B31" s="4">
        <v>23</v>
      </c>
      <c r="C31" s="4">
        <f>SUM($D$9:D31)</f>
        <v>5264</v>
      </c>
      <c r="D31" s="4">
        <f>ROUND((B31*$B$4+$B$5)*$B$6*B31,-1)</f>
        <v>630</v>
      </c>
      <c r="E31" s="4">
        <f t="shared" si="0"/>
        <v>570</v>
      </c>
      <c r="F31" s="10">
        <f>E31/$D$2</f>
        <v>1.16803278688525</v>
      </c>
      <c r="G31" s="10">
        <f>E31/$D$1</f>
        <v>0.588842975206612</v>
      </c>
      <c r="H31" s="3">
        <f>SUM($F$9:F31)</f>
        <v>8.08196721311475</v>
      </c>
      <c r="I31" s="3">
        <f>SUM($G$9:G31)</f>
        <v>4.07438016528926</v>
      </c>
    </row>
    <row r="32" s="1" customFormat="1" spans="1:9">
      <c r="A32" s="2"/>
      <c r="B32" s="4">
        <v>24</v>
      </c>
      <c r="C32" s="4">
        <f>SUM($D$9:D32)</f>
        <v>5944</v>
      </c>
      <c r="D32" s="4">
        <f>ROUND((B32*$B$4+$B$5)*$B$6*B32,-1)</f>
        <v>680</v>
      </c>
      <c r="E32" s="4">
        <f t="shared" si="0"/>
        <v>620</v>
      </c>
      <c r="F32" s="10">
        <f>E32/$D$2</f>
        <v>1.27049180327869</v>
      </c>
      <c r="G32" s="10">
        <f>E32/$D$1</f>
        <v>0.640495867768595</v>
      </c>
      <c r="H32" s="3">
        <f>SUM($F$9:F32)</f>
        <v>9.35245901639344</v>
      </c>
      <c r="I32" s="11">
        <f>SUM($G$9:G32)</f>
        <v>4.71487603305785</v>
      </c>
    </row>
    <row r="33" s="1" customFormat="1" spans="1:9">
      <c r="A33" s="2"/>
      <c r="B33" s="4">
        <v>25</v>
      </c>
      <c r="C33" s="4">
        <f>SUM($D$9:D33)</f>
        <v>6684</v>
      </c>
      <c r="D33" s="4">
        <f>ROUND((B33*$B$4+$B$5)*$B$6*B33,-1)</f>
        <v>740</v>
      </c>
      <c r="E33" s="4">
        <f t="shared" si="0"/>
        <v>680</v>
      </c>
      <c r="F33" s="10">
        <f>E33/$D$2</f>
        <v>1.39344262295082</v>
      </c>
      <c r="G33" s="10">
        <f>E33/$D$1</f>
        <v>0.702479338842975</v>
      </c>
      <c r="H33" s="3">
        <f>SUM($F$9:F33)</f>
        <v>10.7459016393443</v>
      </c>
      <c r="I33" s="11">
        <f>SUM($G$9:G33)</f>
        <v>5.41735537190083</v>
      </c>
    </row>
    <row r="34" s="1" customFormat="1" spans="1:9">
      <c r="A34" s="2"/>
      <c r="B34" s="4">
        <v>26</v>
      </c>
      <c r="C34" s="4">
        <f>SUM($D$9:D34)</f>
        <v>7484</v>
      </c>
      <c r="D34" s="4">
        <f>ROUND((B34*$B$4+$B$5)*$B$6*B34,-1)</f>
        <v>800</v>
      </c>
      <c r="E34" s="4">
        <f t="shared" si="0"/>
        <v>740</v>
      </c>
      <c r="F34" s="10">
        <f>E34/$D$2</f>
        <v>1.51639344262295</v>
      </c>
      <c r="G34" s="10">
        <f>E34/$D$1</f>
        <v>0.764462809917355</v>
      </c>
      <c r="H34" s="3">
        <f>SUM($F$9:F34)</f>
        <v>12.2622950819672</v>
      </c>
      <c r="I34" s="11">
        <f>SUM($G$9:G34)</f>
        <v>6.18181818181818</v>
      </c>
    </row>
    <row r="35" s="1" customFormat="1" spans="1:9">
      <c r="A35" s="2"/>
      <c r="B35" s="4">
        <v>27</v>
      </c>
      <c r="C35" s="4">
        <f>SUM($D$9:D35)</f>
        <v>8344</v>
      </c>
      <c r="D35" s="4">
        <f>ROUND((B35*$B$4+$B$5)*$B$6*B35,-1)</f>
        <v>860</v>
      </c>
      <c r="E35" s="4">
        <f t="shared" si="0"/>
        <v>800</v>
      </c>
      <c r="F35" s="10">
        <f>E35/$D$2</f>
        <v>1.63934426229508</v>
      </c>
      <c r="G35" s="10">
        <f>E35/$D$1</f>
        <v>0.826446280991736</v>
      </c>
      <c r="H35" s="3">
        <f>SUM($F$9:F35)</f>
        <v>13.9016393442623</v>
      </c>
      <c r="I35" s="3">
        <f>SUM($G$9:G35)</f>
        <v>7.00826446280992</v>
      </c>
    </row>
    <row r="36" s="1" customFormat="1" spans="1:9">
      <c r="A36" s="2"/>
      <c r="B36" s="4">
        <v>28</v>
      </c>
      <c r="C36" s="4">
        <f>SUM($D$9:D36)</f>
        <v>9264</v>
      </c>
      <c r="D36" s="4">
        <f>ROUND((B36*$B$4+$B$5)*$B$6*B36,-1)</f>
        <v>920</v>
      </c>
      <c r="E36" s="4">
        <f t="shared" si="0"/>
        <v>860</v>
      </c>
      <c r="F36" s="10">
        <f>E36/$D$2</f>
        <v>1.76229508196721</v>
      </c>
      <c r="G36" s="10">
        <f>E36/$D$1</f>
        <v>0.888429752066116</v>
      </c>
      <c r="H36" s="3">
        <f>SUM($F$9:F36)</f>
        <v>15.6639344262295</v>
      </c>
      <c r="I36" s="3">
        <f>SUM($G$9:G36)</f>
        <v>7.89669421487603</v>
      </c>
    </row>
    <row r="37" s="1" customFormat="1" spans="1:9">
      <c r="A37" s="2"/>
      <c r="B37" s="4">
        <v>29</v>
      </c>
      <c r="C37" s="4">
        <f>SUM($D$9:D37)</f>
        <v>10254</v>
      </c>
      <c r="D37" s="4">
        <f>ROUND((B37*$B$4+$B$5)*$B$6*B37,-1)</f>
        <v>990</v>
      </c>
      <c r="E37" s="4">
        <f t="shared" si="0"/>
        <v>930</v>
      </c>
      <c r="F37" s="10">
        <f>E37/$D$2</f>
        <v>1.90573770491803</v>
      </c>
      <c r="G37" s="10">
        <f>E37/$D$1</f>
        <v>0.960743801652893</v>
      </c>
      <c r="H37" s="3">
        <f>SUM($F$9:F37)</f>
        <v>17.5696721311475</v>
      </c>
      <c r="I37" s="3">
        <f>SUM($G$9:G37)</f>
        <v>8.85743801652893</v>
      </c>
    </row>
    <row r="38" s="1" customFormat="1" spans="1:9">
      <c r="A38" s="2"/>
      <c r="B38" s="4">
        <v>30</v>
      </c>
      <c r="C38" s="4">
        <f>SUM($D$9:D38)</f>
        <v>11314</v>
      </c>
      <c r="D38" s="4">
        <f>ROUND((B38*$B$4+$B$5)*$B$6*B38,-1)</f>
        <v>1060</v>
      </c>
      <c r="E38" s="4">
        <f t="shared" si="0"/>
        <v>1000</v>
      </c>
      <c r="F38" s="10">
        <f>E38/$D$2</f>
        <v>2.04918032786885</v>
      </c>
      <c r="G38" s="10">
        <f>E38/$D$1</f>
        <v>1.03305785123967</v>
      </c>
      <c r="H38" s="3">
        <f>SUM($F$9:F38)</f>
        <v>19.6188524590164</v>
      </c>
      <c r="I38" s="3">
        <f>SUM($G$9:G38)</f>
        <v>9.8904958677686</v>
      </c>
    </row>
    <row r="39" s="1" customFormat="1" spans="1:9">
      <c r="A39" s="2"/>
      <c r="B39" s="4">
        <v>31</v>
      </c>
      <c r="C39" s="4">
        <f>SUM($D$9:D39)</f>
        <v>12444</v>
      </c>
      <c r="D39" s="4">
        <f>ROUND((B39*$B$4+$B$5)*$B$6*B39,-1)</f>
        <v>1130</v>
      </c>
      <c r="E39" s="4">
        <f t="shared" si="0"/>
        <v>1070</v>
      </c>
      <c r="F39" s="10">
        <f>E39/$D$2</f>
        <v>2.19262295081967</v>
      </c>
      <c r="G39" s="10">
        <f>E39/$D$1</f>
        <v>1.10537190082645</v>
      </c>
      <c r="H39" s="3">
        <f>SUM($F$9:F39)</f>
        <v>21.8114754098361</v>
      </c>
      <c r="I39" s="3">
        <f>SUM($G$9:G39)</f>
        <v>10.995867768595</v>
      </c>
    </row>
    <row r="40" s="1" customFormat="1" spans="1:9">
      <c r="A40" s="2"/>
      <c r="B40" s="4">
        <v>32</v>
      </c>
      <c r="C40" s="4">
        <f>SUM($D$9:D40)</f>
        <v>13644</v>
      </c>
      <c r="D40" s="4">
        <f>ROUND((B40*$B$4+$B$5)*$B$6*B40,-1)</f>
        <v>1200</v>
      </c>
      <c r="E40" s="4">
        <f t="shared" si="0"/>
        <v>1140</v>
      </c>
      <c r="F40" s="10">
        <f>E40/$D$2</f>
        <v>2.33606557377049</v>
      </c>
      <c r="G40" s="10">
        <f>E40/$D$1</f>
        <v>1.17768595041322</v>
      </c>
      <c r="H40" s="3">
        <f>SUM($F$9:F40)</f>
        <v>24.1475409836066</v>
      </c>
      <c r="I40" s="3">
        <f>SUM($G$9:G40)</f>
        <v>12.1735537190083</v>
      </c>
    </row>
    <row r="41" s="1" customFormat="1" spans="1:9">
      <c r="A41" s="2"/>
      <c r="B41" s="4">
        <v>33</v>
      </c>
      <c r="C41" s="4">
        <f>SUM($D$9:D41)</f>
        <v>14914</v>
      </c>
      <c r="D41" s="4">
        <f>ROUND((B41*$B$4+$B$5)*$B$6*B41,-1)</f>
        <v>1270</v>
      </c>
      <c r="E41" s="4">
        <f t="shared" si="0"/>
        <v>1210</v>
      </c>
      <c r="F41" s="10">
        <f>E41/$D$2</f>
        <v>2.47950819672131</v>
      </c>
      <c r="G41" s="10">
        <f>E41/$D$1</f>
        <v>1.25</v>
      </c>
      <c r="H41" s="3">
        <f>SUM($F$9:F41)</f>
        <v>26.6270491803279</v>
      </c>
      <c r="I41" s="3">
        <f>SUM($G$9:G41)</f>
        <v>13.4235537190083</v>
      </c>
    </row>
    <row r="42" s="1" customFormat="1" spans="1:9">
      <c r="A42" s="2"/>
      <c r="B42" s="4">
        <v>34</v>
      </c>
      <c r="C42" s="4">
        <f>SUM($D$9:D42)</f>
        <v>16264</v>
      </c>
      <c r="D42" s="4">
        <f>ROUND((B42*$B$4+$B$5)*$B$6*B42,-1)</f>
        <v>1350</v>
      </c>
      <c r="E42" s="4">
        <f t="shared" si="0"/>
        <v>1290</v>
      </c>
      <c r="F42" s="10">
        <f>E42/$D$2</f>
        <v>2.64344262295082</v>
      </c>
      <c r="G42" s="10">
        <f>E42/$D$1</f>
        <v>1.33264462809917</v>
      </c>
      <c r="H42" s="3">
        <f>SUM($F$9:F42)</f>
        <v>29.2704918032787</v>
      </c>
      <c r="I42" s="3">
        <f>SUM($G$9:G42)</f>
        <v>14.7561983471074</v>
      </c>
    </row>
    <row r="43" s="1" customFormat="1" spans="1:9">
      <c r="A43" s="2"/>
      <c r="B43" s="4">
        <v>35</v>
      </c>
      <c r="C43" s="4">
        <f>SUM($D$9:D43)</f>
        <v>17694</v>
      </c>
      <c r="D43" s="4">
        <f>ROUND((B43*$B$4+$B$5)*$B$6*B43,-1)</f>
        <v>1430</v>
      </c>
      <c r="E43" s="4">
        <f t="shared" si="0"/>
        <v>1370</v>
      </c>
      <c r="F43" s="10">
        <f>E43/$D$2</f>
        <v>2.80737704918033</v>
      </c>
      <c r="G43" s="10">
        <f>E43/$D$1</f>
        <v>1.41528925619835</v>
      </c>
      <c r="H43" s="3">
        <f>SUM($F$9:F43)</f>
        <v>32.077868852459</v>
      </c>
      <c r="I43" s="3">
        <f>SUM($G$9:G43)</f>
        <v>16.1714876033058</v>
      </c>
    </row>
    <row r="44" s="1" customFormat="1" spans="1:9">
      <c r="A44" s="2"/>
      <c r="B44" s="4">
        <v>36</v>
      </c>
      <c r="C44" s="4">
        <f>SUM($D$9:D44)</f>
        <v>19204</v>
      </c>
      <c r="D44" s="4">
        <f>ROUND((B44*$B$4+$B$5)*$B$6*B44,-1)</f>
        <v>1510</v>
      </c>
      <c r="E44" s="4">
        <f t="shared" si="0"/>
        <v>1450</v>
      </c>
      <c r="F44" s="10">
        <f>E44/$D$2</f>
        <v>2.97131147540984</v>
      </c>
      <c r="G44" s="10">
        <f>E44/$D$1</f>
        <v>1.49793388429752</v>
      </c>
      <c r="H44" s="3">
        <f>SUM($F$9:F44)</f>
        <v>35.0491803278689</v>
      </c>
      <c r="I44" s="3">
        <f>SUM($G$9:G44)</f>
        <v>17.6694214876033</v>
      </c>
    </row>
    <row r="45" s="1" customFormat="1" spans="1:9">
      <c r="A45" s="2"/>
      <c r="B45" s="4">
        <v>37</v>
      </c>
      <c r="C45" s="4">
        <f>SUM($D$9:D45)</f>
        <v>20794</v>
      </c>
      <c r="D45" s="4">
        <f>ROUND((B45*$B$4+$B$5)*$B$6*B45,-1)</f>
        <v>1590</v>
      </c>
      <c r="E45" s="4">
        <f t="shared" si="0"/>
        <v>1530</v>
      </c>
      <c r="F45" s="10">
        <f>E45/$D$2</f>
        <v>3.13524590163934</v>
      </c>
      <c r="G45" s="10">
        <f>E45/$D$1</f>
        <v>1.58057851239669</v>
      </c>
      <c r="H45" s="3">
        <f>SUM($F$9:F45)</f>
        <v>38.1844262295082</v>
      </c>
      <c r="I45" s="3">
        <f>SUM($G$9:G45)</f>
        <v>19.25</v>
      </c>
    </row>
    <row r="46" s="1" customFormat="1" spans="1:9">
      <c r="A46" s="2"/>
      <c r="B46" s="4">
        <v>38</v>
      </c>
      <c r="C46" s="4">
        <f>SUM($D$9:D46)</f>
        <v>22474</v>
      </c>
      <c r="D46" s="4">
        <f>ROUND((B46*$B$4+$B$5)*$B$6*B46,-1)</f>
        <v>1680</v>
      </c>
      <c r="E46" s="4">
        <f t="shared" si="0"/>
        <v>1620</v>
      </c>
      <c r="F46" s="10">
        <f>E46/$D$2</f>
        <v>3.31967213114754</v>
      </c>
      <c r="G46" s="10">
        <f>E46/$D$1</f>
        <v>1.67355371900826</v>
      </c>
      <c r="H46" s="3">
        <f>SUM($F$9:F46)</f>
        <v>41.5040983606557</v>
      </c>
      <c r="I46" s="3">
        <f>SUM($G$9:G46)</f>
        <v>20.9235537190083</v>
      </c>
    </row>
    <row r="47" s="1" customFormat="1" spans="1:9">
      <c r="A47" s="2"/>
      <c r="B47" s="4">
        <v>39</v>
      </c>
      <c r="C47" s="4">
        <f>SUM($D$9:D47)</f>
        <v>24244</v>
      </c>
      <c r="D47" s="4">
        <f>ROUND((B47*$B$4+$B$5)*$B$6*B47,-1)</f>
        <v>1770</v>
      </c>
      <c r="E47" s="4">
        <f t="shared" si="0"/>
        <v>1710</v>
      </c>
      <c r="F47" s="10">
        <f>E47/$D$2</f>
        <v>3.50409836065574</v>
      </c>
      <c r="G47" s="10">
        <f>E47/$D$1</f>
        <v>1.76652892561983</v>
      </c>
      <c r="H47" s="3">
        <f>SUM($F$9:F47)</f>
        <v>45.0081967213115</v>
      </c>
      <c r="I47" s="3">
        <f>SUM($G$9:G47)</f>
        <v>22.6900826446281</v>
      </c>
    </row>
    <row r="48" s="1" customFormat="1" spans="1:9">
      <c r="A48" s="2"/>
      <c r="B48" s="4">
        <v>40</v>
      </c>
      <c r="C48" s="4">
        <f>SUM($D$9:D48)</f>
        <v>26104</v>
      </c>
      <c r="D48" s="4">
        <f>ROUND((B48*$B$4+$B$5)*$B$6*B48,-1)</f>
        <v>1860</v>
      </c>
      <c r="E48" s="4">
        <f t="shared" si="0"/>
        <v>1800</v>
      </c>
      <c r="F48" s="10">
        <f>E48/$D$2</f>
        <v>3.68852459016393</v>
      </c>
      <c r="G48" s="10">
        <f>E48/$D$1</f>
        <v>1.8595041322314</v>
      </c>
      <c r="H48" s="3">
        <f>SUM($F$9:F48)</f>
        <v>48.6967213114754</v>
      </c>
      <c r="I48" s="3">
        <f>SUM($G$9:G48)</f>
        <v>24.5495867768595</v>
      </c>
    </row>
    <row r="49" s="1" customFormat="1" spans="1:9">
      <c r="A49" s="2"/>
      <c r="B49" s="4">
        <v>41</v>
      </c>
      <c r="C49" s="4">
        <f>SUM($D$9:D49)</f>
        <v>28054</v>
      </c>
      <c r="D49" s="4">
        <f>ROUND((B49*$B$4+$B$5)*$B$6*B49,-1)</f>
        <v>1950</v>
      </c>
      <c r="E49" s="4">
        <f t="shared" si="0"/>
        <v>1890</v>
      </c>
      <c r="F49" s="10">
        <f>E49/$D$2</f>
        <v>3.87295081967213</v>
      </c>
      <c r="G49" s="10">
        <f>E49/$D$1</f>
        <v>1.95247933884298</v>
      </c>
      <c r="H49" s="3">
        <f>SUM($F$9:F49)</f>
        <v>52.5696721311475</v>
      </c>
      <c r="I49" s="3">
        <f>SUM($G$9:G49)</f>
        <v>26.5020661157025</v>
      </c>
    </row>
    <row r="50" s="1" customFormat="1" spans="1:9">
      <c r="A50" s="2"/>
      <c r="B50" s="4">
        <v>42</v>
      </c>
      <c r="C50" s="4">
        <f>SUM($D$9:D50)</f>
        <v>30094</v>
      </c>
      <c r="D50" s="4">
        <f>ROUND((B50*$B$4+$B$5)*$B$6*B50,-1)</f>
        <v>2040</v>
      </c>
      <c r="E50" s="4">
        <f t="shared" si="0"/>
        <v>1980</v>
      </c>
      <c r="F50" s="10">
        <f>E50/$D$2</f>
        <v>4.05737704918033</v>
      </c>
      <c r="G50" s="10">
        <f>E50/$D$1</f>
        <v>2.04545454545455</v>
      </c>
      <c r="H50" s="3">
        <f>SUM($F$9:F50)</f>
        <v>56.6270491803279</v>
      </c>
      <c r="I50" s="3">
        <f>SUM($G$9:G50)</f>
        <v>28.547520661157</v>
      </c>
    </row>
    <row r="51" s="1" customFormat="1" spans="1:9">
      <c r="A51" s="2"/>
      <c r="B51" s="4">
        <v>43</v>
      </c>
      <c r="C51" s="4">
        <f>SUM($D$9:D51)</f>
        <v>32234</v>
      </c>
      <c r="D51" s="4">
        <f>ROUND((B51*$B$4+$B$5)*$B$6*B51,-1)</f>
        <v>2140</v>
      </c>
      <c r="E51" s="4">
        <f t="shared" si="0"/>
        <v>2080</v>
      </c>
      <c r="F51" s="10">
        <f>E51/$D$2</f>
        <v>4.26229508196721</v>
      </c>
      <c r="G51" s="10">
        <f>E51/$D$1</f>
        <v>2.14876033057851</v>
      </c>
      <c r="H51" s="3">
        <f>SUM($F$9:F51)</f>
        <v>60.8893442622951</v>
      </c>
      <c r="I51" s="3">
        <f>SUM($G$9:G51)</f>
        <v>30.6962809917355</v>
      </c>
    </row>
    <row r="52" s="1" customFormat="1" spans="1:9">
      <c r="A52" s="2"/>
      <c r="B52" s="4">
        <v>44</v>
      </c>
      <c r="C52" s="4">
        <f>SUM($D$9:D52)</f>
        <v>34474</v>
      </c>
      <c r="D52" s="4">
        <f>ROUND((B52*$B$4+$B$5)*$B$6*B52,-1)</f>
        <v>2240</v>
      </c>
      <c r="E52" s="4">
        <f t="shared" si="0"/>
        <v>2180</v>
      </c>
      <c r="F52" s="10">
        <f>E52/$D$2</f>
        <v>4.4672131147541</v>
      </c>
      <c r="G52" s="10">
        <f>E52/$D$1</f>
        <v>2.25206611570248</v>
      </c>
      <c r="H52" s="3">
        <f>SUM($F$9:F52)</f>
        <v>65.3565573770492</v>
      </c>
      <c r="I52" s="3">
        <f>SUM($G$9:G52)</f>
        <v>32.948347107438</v>
      </c>
    </row>
    <row r="53" s="1" customFormat="1" spans="1:9">
      <c r="A53" s="2"/>
      <c r="B53" s="4">
        <v>45</v>
      </c>
      <c r="C53" s="4">
        <f>SUM($D$9:D53)</f>
        <v>36814</v>
      </c>
      <c r="D53" s="4">
        <f>ROUND((B53*$B$4+$B$5)*$B$6*B53,-1)</f>
        <v>2340</v>
      </c>
      <c r="E53" s="4">
        <f t="shared" si="0"/>
        <v>2280</v>
      </c>
      <c r="F53" s="10">
        <f>E53/$D$2</f>
        <v>4.67213114754098</v>
      </c>
      <c r="G53" s="10">
        <f>E53/$D$1</f>
        <v>2.35537190082645</v>
      </c>
      <c r="H53" s="3">
        <f>SUM($F$9:F53)</f>
        <v>70.0286885245902</v>
      </c>
      <c r="I53" s="3">
        <f>SUM($G$9:G53)</f>
        <v>35.3037190082645</v>
      </c>
    </row>
    <row r="54" s="1" customFormat="1" spans="1:9">
      <c r="A54" s="2"/>
      <c r="B54" s="4">
        <v>46</v>
      </c>
      <c r="C54" s="4">
        <f>SUM($D$9:D54)</f>
        <v>39254</v>
      </c>
      <c r="D54" s="4">
        <f>ROUND((B54*$B$4+$B$5)*$B$6*B54,-1)</f>
        <v>2440</v>
      </c>
      <c r="E54" s="4">
        <f t="shared" si="0"/>
        <v>2380</v>
      </c>
      <c r="F54" s="10">
        <f>E54/$D$2</f>
        <v>4.87704918032787</v>
      </c>
      <c r="G54" s="10">
        <f>E54/$D$1</f>
        <v>2.45867768595041</v>
      </c>
      <c r="H54" s="3">
        <f>SUM($F$9:F54)</f>
        <v>74.905737704918</v>
      </c>
      <c r="I54" s="3">
        <f>SUM($G$9:G54)</f>
        <v>37.7623966942149</v>
      </c>
    </row>
    <row r="55" s="1" customFormat="1" spans="1:9">
      <c r="A55" s="2"/>
      <c r="B55" s="4">
        <v>47</v>
      </c>
      <c r="C55" s="4">
        <f>SUM($D$9:D55)</f>
        <v>41804</v>
      </c>
      <c r="D55" s="4">
        <f>ROUND((B55*$B$4+$B$5)*$B$6*B55,-1)</f>
        <v>2550</v>
      </c>
      <c r="E55" s="4">
        <f t="shared" si="0"/>
        <v>2490</v>
      </c>
      <c r="F55" s="10">
        <f>E55/$D$2</f>
        <v>5.10245901639344</v>
      </c>
      <c r="G55" s="10">
        <f>E55/$D$1</f>
        <v>2.57231404958678</v>
      </c>
      <c r="H55" s="12">
        <f>SUM($F$9:F55)</f>
        <v>80.0081967213115</v>
      </c>
      <c r="I55" s="12">
        <f>SUM($G$9:G55)</f>
        <v>40.3347107438017</v>
      </c>
    </row>
    <row r="56" s="1" customFormat="1" spans="1:9">
      <c r="A56" s="2"/>
      <c r="B56" s="4">
        <v>48</v>
      </c>
      <c r="C56" s="4">
        <f>SUM($D$9:D56)</f>
        <v>44464</v>
      </c>
      <c r="D56" s="4">
        <f>ROUND((B56*$B$4+$B$5)*$B$6*B56,-1)</f>
        <v>2660</v>
      </c>
      <c r="E56" s="4">
        <f t="shared" si="0"/>
        <v>2600</v>
      </c>
      <c r="F56" s="10">
        <f>E56/$D$2</f>
        <v>5.32786885245902</v>
      </c>
      <c r="G56" s="10">
        <f>E56/$D$1</f>
        <v>2.68595041322314</v>
      </c>
      <c r="H56" s="12">
        <f>SUM($F$9:F56)</f>
        <v>85.3360655737705</v>
      </c>
      <c r="I56" s="12">
        <f>SUM($G$9:G56)</f>
        <v>43.0206611570248</v>
      </c>
    </row>
    <row r="57" s="1" customFormat="1" spans="1:9">
      <c r="A57" s="2"/>
      <c r="B57" s="4">
        <v>49</v>
      </c>
      <c r="C57" s="4">
        <f>SUM($D$9:D57)</f>
        <v>47234</v>
      </c>
      <c r="D57" s="4">
        <f>ROUND((B57*$B$4+$B$5)*$B$6*B57,-1)</f>
        <v>2770</v>
      </c>
      <c r="E57" s="4">
        <f t="shared" si="0"/>
        <v>2710</v>
      </c>
      <c r="F57" s="10">
        <f>E57/$D$2</f>
        <v>5.55327868852459</v>
      </c>
      <c r="G57" s="10">
        <f>E57/$D$1</f>
        <v>2.7995867768595</v>
      </c>
      <c r="H57" s="12">
        <f>SUM($F$9:F57)</f>
        <v>90.8893442622951</v>
      </c>
      <c r="I57" s="12">
        <f>SUM($G$9:G57)</f>
        <v>45.8202479338843</v>
      </c>
    </row>
    <row r="58" s="1" customFormat="1" spans="1:9">
      <c r="A58" s="2"/>
      <c r="B58" s="4">
        <v>50</v>
      </c>
      <c r="C58" s="4">
        <f>SUM($D$9:D58)</f>
        <v>50114</v>
      </c>
      <c r="D58" s="4">
        <f>ROUND((B58*$B$4+$B$5)*$B$6*B58,-1)</f>
        <v>2880</v>
      </c>
      <c r="E58" s="4">
        <f t="shared" si="0"/>
        <v>2820</v>
      </c>
      <c r="F58" s="10">
        <f>E58/$D$2</f>
        <v>5.77868852459016</v>
      </c>
      <c r="G58" s="10">
        <f>E58/$D$1</f>
        <v>2.91322314049587</v>
      </c>
      <c r="H58" s="12">
        <f>SUM($F$9:F58)</f>
        <v>96.6680327868852</v>
      </c>
      <c r="I58" s="12">
        <f>SUM($G$9:G58)</f>
        <v>48.7334710743802</v>
      </c>
    </row>
    <row r="59" s="1" customFormat="1" spans="1:9">
      <c r="A59" s="2"/>
      <c r="B59" s="4">
        <v>51</v>
      </c>
      <c r="C59" s="4">
        <f>SUM($D$9:D59)</f>
        <v>53114</v>
      </c>
      <c r="D59" s="4">
        <f>ROUND((B59*$B$4+$B$5)*$B$6*B59,-1)</f>
        <v>3000</v>
      </c>
      <c r="E59" s="4">
        <f t="shared" si="0"/>
        <v>2940</v>
      </c>
      <c r="F59" s="10">
        <f>E59/$D$2</f>
        <v>6.02459016393443</v>
      </c>
      <c r="G59" s="10">
        <f>E59/$D$1</f>
        <v>3.03719008264463</v>
      </c>
      <c r="H59" s="12">
        <f>SUM($F$9:F59)</f>
        <v>102.69262295082</v>
      </c>
      <c r="I59" s="12">
        <f>SUM($G$9:G59)</f>
        <v>51.7706611570248</v>
      </c>
    </row>
    <row r="60" s="1" customFormat="1" spans="1:9">
      <c r="A60" s="2"/>
      <c r="B60" s="4">
        <v>52</v>
      </c>
      <c r="C60" s="4">
        <f>SUM($D$9:D60)</f>
        <v>56224</v>
      </c>
      <c r="D60" s="4">
        <f>ROUND((B60*$B$4+$B$5)*$B$6*B60,-1)</f>
        <v>3110</v>
      </c>
      <c r="E60" s="4">
        <f t="shared" si="0"/>
        <v>3050</v>
      </c>
      <c r="F60" s="10">
        <f>E60/$D$2</f>
        <v>6.25</v>
      </c>
      <c r="G60" s="10">
        <f>E60/$D$1</f>
        <v>3.15082644628099</v>
      </c>
      <c r="H60" s="12">
        <f>SUM($F$9:F60)</f>
        <v>108.94262295082</v>
      </c>
      <c r="I60" s="12">
        <f>SUM($G$9:G60)</f>
        <v>54.9214876033058</v>
      </c>
    </row>
    <row r="61" s="1" customFormat="1" spans="1:9">
      <c r="A61" s="2"/>
      <c r="B61" s="4">
        <v>53</v>
      </c>
      <c r="C61" s="4">
        <f>SUM($D$9:D61)</f>
        <v>59454</v>
      </c>
      <c r="D61" s="4">
        <f>ROUND((B61*$B$4+$B$5)*$B$6*B61,-1)</f>
        <v>3230</v>
      </c>
      <c r="E61" s="4">
        <f t="shared" si="0"/>
        <v>3170</v>
      </c>
      <c r="F61" s="10">
        <f>E61/$D$2</f>
        <v>6.49590163934426</v>
      </c>
      <c r="G61" s="10">
        <f>E61/$D$1</f>
        <v>3.27479338842975</v>
      </c>
      <c r="H61" s="12">
        <f>SUM($F$9:F61)</f>
        <v>115.438524590164</v>
      </c>
      <c r="I61" s="12">
        <f>SUM($G$9:G61)</f>
        <v>58.1962809917355</v>
      </c>
    </row>
    <row r="62" s="1" customFormat="1" spans="1:9">
      <c r="A62" s="2"/>
      <c r="B62" s="4">
        <v>54</v>
      </c>
      <c r="C62" s="4">
        <f>SUM($D$9:D62)</f>
        <v>62804</v>
      </c>
      <c r="D62" s="4">
        <f>ROUND((B62*$B$4+$B$5)*$B$6*B62,-1)</f>
        <v>3350</v>
      </c>
      <c r="E62" s="4">
        <f t="shared" si="0"/>
        <v>3290</v>
      </c>
      <c r="F62" s="10">
        <f>E62/$D$2</f>
        <v>6.74180327868852</v>
      </c>
      <c r="G62" s="10">
        <f>E62/$D$1</f>
        <v>3.39876033057851</v>
      </c>
      <c r="H62" s="12">
        <f>SUM($F$9:F62)</f>
        <v>122.180327868852</v>
      </c>
      <c r="I62" s="12">
        <f>SUM($G$9:G62)</f>
        <v>61.595041322314</v>
      </c>
    </row>
    <row r="63" s="1" customFormat="1" spans="1:9">
      <c r="A63" s="2"/>
      <c r="B63" s="4">
        <v>55</v>
      </c>
      <c r="C63" s="4">
        <f>SUM($D$9:D63)</f>
        <v>66284</v>
      </c>
      <c r="D63" s="4">
        <f>ROUND((B63*$B$4+$B$5)*$B$6*B63,-1)</f>
        <v>3480</v>
      </c>
      <c r="E63" s="4">
        <f t="shared" si="0"/>
        <v>3420</v>
      </c>
      <c r="F63" s="10">
        <f>E63/$D$2</f>
        <v>7.00819672131148</v>
      </c>
      <c r="G63" s="10">
        <f>E63/$D$1</f>
        <v>3.53305785123967</v>
      </c>
      <c r="H63" s="12">
        <f>SUM($F$9:F63)</f>
        <v>129.188524590164</v>
      </c>
      <c r="I63" s="12">
        <f>SUM($G$9:G63)</f>
        <v>65.1280991735537</v>
      </c>
    </row>
    <row r="64" s="1" customFormat="1" spans="1:9">
      <c r="A64" s="2"/>
      <c r="B64" s="4">
        <v>56</v>
      </c>
      <c r="C64" s="4">
        <f>SUM($D$9:D64)</f>
        <v>69884</v>
      </c>
      <c r="D64" s="4">
        <f>ROUND((B64*$B$4+$B$5)*$B$6*B64,-1)</f>
        <v>3600</v>
      </c>
      <c r="E64" s="4">
        <f t="shared" si="0"/>
        <v>3540</v>
      </c>
      <c r="F64" s="10">
        <f>E64/$D$2</f>
        <v>7.25409836065574</v>
      </c>
      <c r="G64" s="10">
        <f>E64/$D$1</f>
        <v>3.65702479338843</v>
      </c>
      <c r="H64" s="12">
        <f>SUM($F$9:F64)</f>
        <v>136.44262295082</v>
      </c>
      <c r="I64" s="12">
        <f>SUM($G$9:G64)</f>
        <v>68.7851239669422</v>
      </c>
    </row>
    <row r="65" s="1" customFormat="1" spans="1:9">
      <c r="A65" s="2"/>
      <c r="B65" s="4">
        <v>57</v>
      </c>
      <c r="C65" s="4">
        <f>SUM($D$9:D65)</f>
        <v>73614</v>
      </c>
      <c r="D65" s="4">
        <f>ROUND((B65*$B$4+$B$5)*$B$6*B65,-1)</f>
        <v>3730</v>
      </c>
      <c r="E65" s="4">
        <f t="shared" si="0"/>
        <v>3670</v>
      </c>
      <c r="F65" s="10">
        <f>E65/$D$2</f>
        <v>7.52049180327869</v>
      </c>
      <c r="G65" s="10">
        <f>E65/$D$1</f>
        <v>3.79132231404959</v>
      </c>
      <c r="H65" s="12">
        <f>SUM($F$9:F65)</f>
        <v>143.963114754098</v>
      </c>
      <c r="I65" s="12">
        <f>SUM($G$9:G65)</f>
        <v>72.5764462809917</v>
      </c>
    </row>
    <row r="66" s="1" customFormat="1" spans="1:9">
      <c r="A66" s="2"/>
      <c r="B66" s="4">
        <v>58</v>
      </c>
      <c r="C66" s="4">
        <f>SUM($D$9:D66)</f>
        <v>77474</v>
      </c>
      <c r="D66" s="4">
        <f>ROUND((B66*$B$4+$B$5)*$B$6*B66,-1)</f>
        <v>3860</v>
      </c>
      <c r="E66" s="4">
        <f t="shared" si="0"/>
        <v>3800</v>
      </c>
      <c r="F66" s="10">
        <f>E66/$D$2</f>
        <v>7.78688524590164</v>
      </c>
      <c r="G66" s="10">
        <f>E66/$D$1</f>
        <v>3.92561983471074</v>
      </c>
      <c r="H66" s="12">
        <f>SUM($F$9:F66)</f>
        <v>151.75</v>
      </c>
      <c r="I66" s="12">
        <f>SUM($G$9:G66)</f>
        <v>76.5020661157025</v>
      </c>
    </row>
    <row r="67" s="1" customFormat="1" spans="1:9">
      <c r="A67" s="2"/>
      <c r="B67" s="4">
        <v>59</v>
      </c>
      <c r="C67" s="4">
        <f>SUM($D$9:D67)</f>
        <v>81474</v>
      </c>
      <c r="D67" s="4">
        <f>ROUND((B67*$B$4+$B$5)*$B$6*B67,-1)</f>
        <v>4000</v>
      </c>
      <c r="E67" s="4">
        <f t="shared" si="0"/>
        <v>3940</v>
      </c>
      <c r="F67" s="10">
        <f>E67/$D$2</f>
        <v>8.07377049180328</v>
      </c>
      <c r="G67" s="10">
        <f>E67/$D$1</f>
        <v>4.0702479338843</v>
      </c>
      <c r="H67" s="12">
        <f>SUM($F$9:F67)</f>
        <v>159.823770491803</v>
      </c>
      <c r="I67" s="12">
        <f>SUM($G$9:G67)</f>
        <v>80.5723140495868</v>
      </c>
    </row>
    <row r="68" s="1" customFormat="1" spans="1:9">
      <c r="A68" s="2"/>
      <c r="B68" s="4">
        <v>60</v>
      </c>
      <c r="C68" s="4">
        <f>SUM($D$9:D68)</f>
        <v>85604</v>
      </c>
      <c r="D68" s="4">
        <f>ROUND((B68*$B$4+$B$5)*$B$6*B68,-1)</f>
        <v>4130</v>
      </c>
      <c r="E68" s="4">
        <f t="shared" si="0"/>
        <v>4070</v>
      </c>
      <c r="F68" s="10">
        <f>E68/$D$2</f>
        <v>8.34016393442623</v>
      </c>
      <c r="G68" s="10">
        <f>E68/$D$1</f>
        <v>4.20454545454545</v>
      </c>
      <c r="H68" s="12">
        <f>SUM($F$9:F68)</f>
        <v>168.16393442623</v>
      </c>
      <c r="I68" s="12">
        <f>SUM($G$9:G68)</f>
        <v>84.7768595041322</v>
      </c>
    </row>
    <row r="69" s="1" customFormat="1" spans="1:9">
      <c r="A69" s="2"/>
      <c r="B69" s="4">
        <v>61</v>
      </c>
      <c r="C69" s="4">
        <f>SUM($D$9:D69)</f>
        <v>89874</v>
      </c>
      <c r="D69" s="4">
        <f>ROUND((B69*$B$4+$B$5)*$B$6*B69,-1)</f>
        <v>4270</v>
      </c>
      <c r="E69" s="4">
        <f t="shared" si="0"/>
        <v>4210</v>
      </c>
      <c r="F69" s="10">
        <f>E69/$D$2</f>
        <v>8.62704918032787</v>
      </c>
      <c r="G69" s="10">
        <f>E69/$D$1</f>
        <v>4.34917355371901</v>
      </c>
      <c r="H69" s="12">
        <f>SUM($F$9:F69)</f>
        <v>176.790983606557</v>
      </c>
      <c r="I69" s="12">
        <f>SUM($G$9:G69)</f>
        <v>89.1260330578512</v>
      </c>
    </row>
    <row r="70" s="1" customFormat="1" spans="1:9">
      <c r="A70" s="2"/>
      <c r="B70" s="4">
        <v>62</v>
      </c>
      <c r="C70" s="4">
        <f>SUM($D$9:D70)</f>
        <v>94284</v>
      </c>
      <c r="D70" s="4">
        <f>ROUND((B70*$B$4+$B$5)*$B$6*B70,-1)</f>
        <v>4410</v>
      </c>
      <c r="E70" s="4">
        <f t="shared" si="0"/>
        <v>4350</v>
      </c>
      <c r="F70" s="10">
        <f>E70/$D$2</f>
        <v>8.91393442622951</v>
      </c>
      <c r="G70" s="10">
        <f>E70/$D$1</f>
        <v>4.49380165289256</v>
      </c>
      <c r="H70" s="12">
        <f>SUM($F$9:F70)</f>
        <v>185.704918032787</v>
      </c>
      <c r="I70" s="12">
        <f>SUM($G$9:G70)</f>
        <v>93.6198347107438</v>
      </c>
    </row>
    <row r="71" s="1" customFormat="1" spans="1:9">
      <c r="A71" s="2"/>
      <c r="B71" s="4">
        <v>63</v>
      </c>
      <c r="C71" s="4">
        <f>SUM($D$9:D71)</f>
        <v>98834</v>
      </c>
      <c r="D71" s="4">
        <f>ROUND((B71*$B$4+$B$5)*$B$6*B71,-1)</f>
        <v>4550</v>
      </c>
      <c r="E71" s="4">
        <f t="shared" si="0"/>
        <v>4490</v>
      </c>
      <c r="F71" s="10">
        <f>E71/$D$2</f>
        <v>9.20081967213115</v>
      </c>
      <c r="G71" s="10">
        <f>E71/$D$1</f>
        <v>4.63842975206612</v>
      </c>
      <c r="H71" s="3">
        <f>SUM($F$9:F71)</f>
        <v>194.905737704918</v>
      </c>
      <c r="I71" s="3">
        <f>SUM($G$9:G71)</f>
        <v>98.2582644628099</v>
      </c>
    </row>
    <row r="72" s="1" customFormat="1" spans="1:9">
      <c r="A72" s="2"/>
      <c r="B72" s="4">
        <v>64</v>
      </c>
      <c r="C72" s="4">
        <f>SUM($D$9:D72)</f>
        <v>103524</v>
      </c>
      <c r="D72" s="4">
        <f>ROUND((B72*$B$4+$B$5)*$B$6*B72,-1)</f>
        <v>4690</v>
      </c>
      <c r="E72" s="4">
        <f t="shared" si="0"/>
        <v>4630</v>
      </c>
      <c r="F72" s="10">
        <f>E72/$D$2</f>
        <v>9.48770491803279</v>
      </c>
      <c r="G72" s="10">
        <f>E72/$D$1</f>
        <v>4.78305785123967</v>
      </c>
      <c r="H72" s="3">
        <f>SUM($F$9:F72)</f>
        <v>204.393442622951</v>
      </c>
      <c r="I72" s="3">
        <f>SUM($G$9:G72)</f>
        <v>103.04132231405</v>
      </c>
    </row>
    <row r="73" s="1" customFormat="1" spans="1:9">
      <c r="A73" s="2"/>
      <c r="B73" s="4">
        <v>65</v>
      </c>
      <c r="C73" s="4">
        <f>SUM($D$9:D73)</f>
        <v>108364</v>
      </c>
      <c r="D73" s="4">
        <f>ROUND((B73*$B$4+$B$5)*$B$6*B73,-1)</f>
        <v>4840</v>
      </c>
      <c r="E73" s="4">
        <f t="shared" si="0"/>
        <v>4780</v>
      </c>
      <c r="F73" s="10">
        <f>E73/$D$2</f>
        <v>9.79508196721311</v>
      </c>
      <c r="G73" s="10">
        <f>E73/$D$1</f>
        <v>4.93801652892562</v>
      </c>
      <c r="H73" s="3">
        <f>SUM($F$9:F73)</f>
        <v>214.188524590164</v>
      </c>
      <c r="I73" s="3">
        <f>SUM($G$9:G73)</f>
        <v>107.979338842975</v>
      </c>
    </row>
    <row r="74" s="1" customFormat="1" spans="1:9">
      <c r="A74" s="2"/>
      <c r="B74" s="4">
        <v>66</v>
      </c>
      <c r="C74" s="4">
        <f>SUM($D$9:D74)</f>
        <v>113354</v>
      </c>
      <c r="D74" s="4">
        <f>ROUND((B74*$B$4+$B$5)*$B$6*B74,-1)</f>
        <v>4990</v>
      </c>
      <c r="E74" s="4">
        <f t="shared" ref="E74:E108" si="1">D74-60</f>
        <v>4930</v>
      </c>
      <c r="F74" s="10">
        <f>E74/$D$2</f>
        <v>10.1024590163934</v>
      </c>
      <c r="G74" s="10">
        <f>E74/$D$1</f>
        <v>5.09297520661157</v>
      </c>
      <c r="H74" s="3">
        <f>SUM($F$9:F74)</f>
        <v>224.290983606557</v>
      </c>
      <c r="I74" s="3">
        <f>SUM($G$9:G74)</f>
        <v>113.072314049587</v>
      </c>
    </row>
    <row r="75" s="1" customFormat="1" spans="1:9">
      <c r="A75" s="2"/>
      <c r="B75" s="4">
        <v>67</v>
      </c>
      <c r="C75" s="4">
        <f>SUM($D$9:D75)</f>
        <v>118494</v>
      </c>
      <c r="D75" s="4">
        <f>ROUND((B75*$B$4+$B$5)*$B$6*B75,-1)</f>
        <v>5140</v>
      </c>
      <c r="E75" s="4">
        <f t="shared" si="1"/>
        <v>5080</v>
      </c>
      <c r="F75" s="10">
        <f>E75/$D$2</f>
        <v>10.4098360655738</v>
      </c>
      <c r="G75" s="10">
        <f>E75/$D$1</f>
        <v>5.24793388429752</v>
      </c>
      <c r="H75" s="3">
        <f>SUM($F$9:F75)</f>
        <v>234.700819672131</v>
      </c>
      <c r="I75" s="3">
        <f>SUM($G$9:G75)</f>
        <v>118.320247933884</v>
      </c>
    </row>
    <row r="76" s="1" customFormat="1" spans="1:9">
      <c r="A76" s="2"/>
      <c r="B76" s="4">
        <v>68</v>
      </c>
      <c r="C76" s="4">
        <f>SUM($D$9:D76)</f>
        <v>123784</v>
      </c>
      <c r="D76" s="4">
        <f>ROUND((B76*$B$4+$B$5)*$B$6*B76,-1)</f>
        <v>5290</v>
      </c>
      <c r="E76" s="4">
        <f t="shared" si="1"/>
        <v>5230</v>
      </c>
      <c r="F76" s="10">
        <f>E76/$D$2</f>
        <v>10.7172131147541</v>
      </c>
      <c r="G76" s="10">
        <f>E76/$D$1</f>
        <v>5.40289256198347</v>
      </c>
      <c r="H76" s="3">
        <f>SUM($F$9:F76)</f>
        <v>245.418032786885</v>
      </c>
      <c r="I76" s="3">
        <f>SUM($G$9:G76)</f>
        <v>123.723140495868</v>
      </c>
    </row>
    <row r="77" s="1" customFormat="1" spans="1:9">
      <c r="A77" s="2"/>
      <c r="B77" s="4">
        <v>69</v>
      </c>
      <c r="C77" s="4">
        <f>SUM($D$9:D77)</f>
        <v>129234</v>
      </c>
      <c r="D77" s="4">
        <f>ROUND((B77*$B$4+$B$5)*$B$6*B77,-1)</f>
        <v>5450</v>
      </c>
      <c r="E77" s="4">
        <f t="shared" si="1"/>
        <v>5390</v>
      </c>
      <c r="F77" s="10">
        <f>E77/$D$2</f>
        <v>11.0450819672131</v>
      </c>
      <c r="G77" s="10">
        <f>E77/$D$1</f>
        <v>5.56818181818182</v>
      </c>
      <c r="H77" s="3">
        <f>SUM($F$9:F77)</f>
        <v>256.463114754098</v>
      </c>
      <c r="I77" s="3">
        <f>SUM($G$9:G77)</f>
        <v>129.29132231405</v>
      </c>
    </row>
    <row r="78" s="1" customFormat="1" spans="1:9">
      <c r="A78" s="2"/>
      <c r="B78" s="4">
        <v>70</v>
      </c>
      <c r="C78" s="4">
        <f>SUM($D$9:D78)</f>
        <v>134834</v>
      </c>
      <c r="D78" s="4">
        <f>ROUND((B78*$B$4+$B$5)*$B$6*B78,-1)</f>
        <v>5600</v>
      </c>
      <c r="E78" s="4">
        <f t="shared" si="1"/>
        <v>5540</v>
      </c>
      <c r="F78" s="10">
        <f>E78/$D$2</f>
        <v>11.3524590163934</v>
      </c>
      <c r="G78" s="10">
        <f>E78/$D$1</f>
        <v>5.72314049586777</v>
      </c>
      <c r="H78" s="3">
        <f>SUM($F$9:F78)</f>
        <v>267.815573770492</v>
      </c>
      <c r="I78" s="3">
        <f>SUM($G$9:G78)</f>
        <v>135.014462809917</v>
      </c>
    </row>
    <row r="79" s="1" customFormat="1" spans="1:9">
      <c r="A79" s="2"/>
      <c r="B79" s="4">
        <v>71</v>
      </c>
      <c r="C79" s="4">
        <f>SUM($D$9:D79)</f>
        <v>140594</v>
      </c>
      <c r="D79" s="4">
        <f>ROUND((B79*$B$4+$B$5)*$B$6*B79,-1)</f>
        <v>5760</v>
      </c>
      <c r="E79" s="4">
        <f t="shared" si="1"/>
        <v>5700</v>
      </c>
      <c r="F79" s="10">
        <f>E79/$D$2</f>
        <v>11.6803278688525</v>
      </c>
      <c r="G79" s="10">
        <f>E79/$D$1</f>
        <v>5.88842975206612</v>
      </c>
      <c r="H79" s="3">
        <f>SUM($F$9:F79)</f>
        <v>279.495901639344</v>
      </c>
      <c r="I79" s="3">
        <f>SUM($G$9:G79)</f>
        <v>140.902892561983</v>
      </c>
    </row>
    <row r="80" s="1" customFormat="1" spans="1:9">
      <c r="A80" s="2"/>
      <c r="B80" s="4">
        <v>72</v>
      </c>
      <c r="C80" s="4">
        <f>SUM($D$9:D80)</f>
        <v>146524</v>
      </c>
      <c r="D80" s="4">
        <f>ROUND((B80*$B$4+$B$5)*$B$6*B80,-1)</f>
        <v>5930</v>
      </c>
      <c r="E80" s="4">
        <f t="shared" si="1"/>
        <v>5870</v>
      </c>
      <c r="F80" s="10">
        <f>E80/$D$2</f>
        <v>12.0286885245902</v>
      </c>
      <c r="G80" s="10">
        <f>E80/$D$1</f>
        <v>6.06404958677686</v>
      </c>
      <c r="H80" s="3">
        <f>SUM($F$9:F80)</f>
        <v>291.524590163934</v>
      </c>
      <c r="I80" s="3">
        <f>SUM($G$9:G80)</f>
        <v>146.96694214876</v>
      </c>
    </row>
    <row r="81" s="1" customFormat="1" spans="1:9">
      <c r="A81" s="2"/>
      <c r="B81" s="4">
        <v>73</v>
      </c>
      <c r="C81" s="4">
        <f>SUM($D$9:D81)</f>
        <v>152614</v>
      </c>
      <c r="D81" s="4">
        <f>ROUND((B81*$B$4+$B$5)*$B$6*B81,-1)</f>
        <v>6090</v>
      </c>
      <c r="E81" s="4">
        <f t="shared" si="1"/>
        <v>6030</v>
      </c>
      <c r="F81" s="10">
        <f>E81/$D$2</f>
        <v>12.3565573770492</v>
      </c>
      <c r="G81" s="10">
        <f>E81/$D$1</f>
        <v>6.22933884297521</v>
      </c>
      <c r="H81" s="3">
        <f>SUM($F$9:F81)</f>
        <v>303.881147540984</v>
      </c>
      <c r="I81" s="3">
        <f>SUM($G$9:G81)</f>
        <v>153.196280991736</v>
      </c>
    </row>
    <row r="82" s="1" customFormat="1" spans="1:9">
      <c r="A82" s="2"/>
      <c r="B82" s="4">
        <v>74</v>
      </c>
      <c r="C82" s="4">
        <f>SUM($D$9:D82)</f>
        <v>158874</v>
      </c>
      <c r="D82" s="4">
        <f>ROUND((B82*$B$4+$B$5)*$B$6*B82,-1)</f>
        <v>6260</v>
      </c>
      <c r="E82" s="4">
        <f t="shared" si="1"/>
        <v>6200</v>
      </c>
      <c r="F82" s="10">
        <f>E82/$D$2</f>
        <v>12.7049180327869</v>
      </c>
      <c r="G82" s="10">
        <f>E82/$D$1</f>
        <v>6.40495867768595</v>
      </c>
      <c r="H82" s="3">
        <f>SUM($F$9:F82)</f>
        <v>316.58606557377</v>
      </c>
      <c r="I82" s="3">
        <f>SUM($G$9:G82)</f>
        <v>159.601239669421</v>
      </c>
    </row>
    <row r="83" s="1" customFormat="1" spans="1:9">
      <c r="A83" s="2"/>
      <c r="B83" s="4">
        <v>75</v>
      </c>
      <c r="C83" s="4">
        <f>SUM($D$9:D83)</f>
        <v>165304</v>
      </c>
      <c r="D83" s="4">
        <f>ROUND((B83*$B$4+$B$5)*$B$6*B83,-1)</f>
        <v>6430</v>
      </c>
      <c r="E83" s="4">
        <f t="shared" si="1"/>
        <v>6370</v>
      </c>
      <c r="F83" s="10">
        <f>E83/$D$2</f>
        <v>13.0532786885246</v>
      </c>
      <c r="G83" s="10">
        <f>E83/$D$1</f>
        <v>6.58057851239669</v>
      </c>
      <c r="H83" s="3">
        <f>SUM($F$9:F83)</f>
        <v>329.639344262295</v>
      </c>
      <c r="I83" s="3">
        <f>SUM($G$9:G83)</f>
        <v>166.181818181818</v>
      </c>
    </row>
    <row r="84" s="1" customFormat="1" spans="1:9">
      <c r="A84" s="2"/>
      <c r="B84" s="4">
        <v>76</v>
      </c>
      <c r="C84" s="4">
        <f>SUM($D$9:D84)</f>
        <v>171904</v>
      </c>
      <c r="D84" s="4">
        <f>ROUND((B84*$B$4+$B$5)*$B$6*B84,-1)</f>
        <v>6600</v>
      </c>
      <c r="E84" s="4">
        <f t="shared" si="1"/>
        <v>6540</v>
      </c>
      <c r="F84" s="10">
        <f>E84/$D$2</f>
        <v>13.4016393442623</v>
      </c>
      <c r="G84" s="10">
        <f>E84/$D$1</f>
        <v>6.75619834710744</v>
      </c>
      <c r="H84" s="3">
        <f>SUM($F$9:F84)</f>
        <v>343.040983606557</v>
      </c>
      <c r="I84" s="3">
        <f>SUM($G$9:G84)</f>
        <v>172.938016528926</v>
      </c>
    </row>
    <row r="85" s="1" customFormat="1" spans="1:9">
      <c r="A85" s="2"/>
      <c r="B85" s="4">
        <v>77</v>
      </c>
      <c r="C85" s="4">
        <f>SUM($D$9:D85)</f>
        <v>178674</v>
      </c>
      <c r="D85" s="4">
        <f>ROUND((B85*$B$4+$B$5)*$B$6*B85,-1)</f>
        <v>6770</v>
      </c>
      <c r="E85" s="4">
        <f t="shared" si="1"/>
        <v>6710</v>
      </c>
      <c r="F85" s="10">
        <f>E85/$D$2</f>
        <v>13.75</v>
      </c>
      <c r="G85" s="10">
        <f>E85/$D$1</f>
        <v>6.93181818181818</v>
      </c>
      <c r="H85" s="3">
        <f>SUM($F$9:F85)</f>
        <v>356.790983606557</v>
      </c>
      <c r="I85" s="3">
        <f>SUM($G$9:G85)</f>
        <v>179.869834710744</v>
      </c>
    </row>
    <row r="86" s="1" customFormat="1" spans="1:9">
      <c r="A86" s="2"/>
      <c r="B86" s="4">
        <v>78</v>
      </c>
      <c r="C86" s="4">
        <f>SUM($D$9:D86)</f>
        <v>185624</v>
      </c>
      <c r="D86" s="4">
        <f>ROUND((B86*$B$4+$B$5)*$B$6*B86,-1)</f>
        <v>6950</v>
      </c>
      <c r="E86" s="4">
        <f t="shared" si="1"/>
        <v>6890</v>
      </c>
      <c r="F86" s="10">
        <f>E86/$D$2</f>
        <v>14.1188524590164</v>
      </c>
      <c r="G86" s="10">
        <f>E86/$D$1</f>
        <v>7.11776859504132</v>
      </c>
      <c r="H86" s="3">
        <f>SUM($F$9:F86)</f>
        <v>370.909836065574</v>
      </c>
      <c r="I86" s="3">
        <f>SUM($G$9:G86)</f>
        <v>186.987603305785</v>
      </c>
    </row>
    <row r="87" s="1" customFormat="1" spans="1:9">
      <c r="A87" s="2"/>
      <c r="B87" s="4">
        <v>79</v>
      </c>
      <c r="C87" s="4">
        <f>SUM($D$9:D87)</f>
        <v>192744</v>
      </c>
      <c r="D87" s="4">
        <f>ROUND((B87*$B$4+$B$5)*$B$6*B87,-1)</f>
        <v>7120</v>
      </c>
      <c r="E87" s="4">
        <f t="shared" si="1"/>
        <v>7060</v>
      </c>
      <c r="F87" s="10">
        <f>E87/$D$2</f>
        <v>14.4672131147541</v>
      </c>
      <c r="G87" s="10">
        <f>E87/$D$1</f>
        <v>7.29338842975207</v>
      </c>
      <c r="H87" s="3">
        <f>SUM($F$9:F87)</f>
        <v>385.377049180328</v>
      </c>
      <c r="I87" s="3">
        <f>SUM($G$9:G87)</f>
        <v>194.280991735537</v>
      </c>
    </row>
    <row r="88" s="1" customFormat="1" spans="1:9">
      <c r="A88" s="2"/>
      <c r="B88" s="4">
        <v>80</v>
      </c>
      <c r="C88" s="4">
        <f>SUM($D$9:D88)</f>
        <v>200044</v>
      </c>
      <c r="D88" s="4">
        <f>ROUND((B88*$B$4+$B$5)*$B$6*B88,-1)</f>
        <v>7300</v>
      </c>
      <c r="E88" s="4">
        <f t="shared" si="1"/>
        <v>7240</v>
      </c>
      <c r="F88" s="10">
        <f>E88/$D$2</f>
        <v>14.8360655737705</v>
      </c>
      <c r="G88" s="10">
        <f>E88/$D$1</f>
        <v>7.47933884297521</v>
      </c>
      <c r="H88" s="3">
        <f>SUM($F$9:F88)</f>
        <v>400.213114754098</v>
      </c>
      <c r="I88" s="3">
        <f>SUM($G$9:G88)</f>
        <v>201.760330578512</v>
      </c>
    </row>
    <row r="89" s="1" customFormat="1" spans="1:9">
      <c r="A89" s="2"/>
      <c r="B89" s="4">
        <v>81</v>
      </c>
      <c r="C89" s="4">
        <f>SUM($D$9:D89)</f>
        <v>207534</v>
      </c>
      <c r="D89" s="4">
        <f>ROUND((B89*$B$4+$B$5)*$B$6*B89,-1)</f>
        <v>7490</v>
      </c>
      <c r="E89" s="4">
        <f t="shared" si="1"/>
        <v>7430</v>
      </c>
      <c r="F89" s="10">
        <f>E89/$D$2</f>
        <v>15.2254098360656</v>
      </c>
      <c r="G89" s="10">
        <f>E89/$D$1</f>
        <v>7.67561983471074</v>
      </c>
      <c r="H89" s="3">
        <f>SUM($F$9:F89)</f>
        <v>415.438524590164</v>
      </c>
      <c r="I89" s="3">
        <f>SUM($G$9:G89)</f>
        <v>209.435950413223</v>
      </c>
    </row>
    <row r="90" s="1" customFormat="1" spans="1:9">
      <c r="A90" s="2"/>
      <c r="B90" s="4">
        <v>82</v>
      </c>
      <c r="C90" s="4">
        <f>SUM($D$9:D90)</f>
        <v>215204</v>
      </c>
      <c r="D90" s="4">
        <f>ROUND((B90*$B$4+$B$5)*$B$6*B90,-1)</f>
        <v>7670</v>
      </c>
      <c r="E90" s="4">
        <f t="shared" si="1"/>
        <v>7610</v>
      </c>
      <c r="F90" s="10">
        <f>E90/$D$2</f>
        <v>15.594262295082</v>
      </c>
      <c r="G90" s="10">
        <f>E90/$D$1</f>
        <v>7.86157024793388</v>
      </c>
      <c r="H90" s="12">
        <f>SUM($F$9:F90)</f>
        <v>431.032786885246</v>
      </c>
      <c r="I90" s="12">
        <f>SUM($G$9:G90)</f>
        <v>217.297520661157</v>
      </c>
    </row>
    <row r="91" s="1" customFormat="1" spans="1:9">
      <c r="A91" s="2"/>
      <c r="B91" s="4">
        <v>83</v>
      </c>
      <c r="C91" s="4">
        <f>SUM($D$9:D91)</f>
        <v>223064</v>
      </c>
      <c r="D91" s="4">
        <f>ROUND((B91*$B$4+$B$5)*$B$6*B91,-1)</f>
        <v>7860</v>
      </c>
      <c r="E91" s="4">
        <f t="shared" si="1"/>
        <v>7800</v>
      </c>
      <c r="F91" s="10">
        <f>E91/$D$2</f>
        <v>15.983606557377</v>
      </c>
      <c r="G91" s="10">
        <f>E91/$D$1</f>
        <v>8.05785123966942</v>
      </c>
      <c r="H91" s="12">
        <f>SUM($F$9:F91)</f>
        <v>447.016393442623</v>
      </c>
      <c r="I91" s="12">
        <f>SUM($G$9:G91)</f>
        <v>225.355371900826</v>
      </c>
    </row>
    <row r="92" s="1" customFormat="1" spans="1:9">
      <c r="A92" s="2"/>
      <c r="B92" s="4">
        <v>84</v>
      </c>
      <c r="C92" s="4">
        <f>SUM($D$9:D92)</f>
        <v>231114</v>
      </c>
      <c r="D92" s="4">
        <f>ROUND((B92*$B$4+$B$5)*$B$6*B92,-1)</f>
        <v>8050</v>
      </c>
      <c r="E92" s="4">
        <f t="shared" si="1"/>
        <v>7990</v>
      </c>
      <c r="F92" s="10">
        <f>E92/$D$2</f>
        <v>16.3729508196721</v>
      </c>
      <c r="G92" s="10">
        <f>E92/$D$1</f>
        <v>8.25413223140496</v>
      </c>
      <c r="H92" s="12">
        <f>SUM($F$9:F92)</f>
        <v>463.389344262295</v>
      </c>
      <c r="I92" s="12">
        <f>SUM($G$9:G92)</f>
        <v>233.609504132231</v>
      </c>
    </row>
    <row r="93" s="1" customFormat="1" spans="1:9">
      <c r="A93" s="2"/>
      <c r="B93" s="4">
        <v>85</v>
      </c>
      <c r="C93" s="4">
        <f>SUM($D$9:D93)</f>
        <v>239354</v>
      </c>
      <c r="D93" s="4">
        <f>ROUND((B93*$B$4+$B$5)*$B$6*B93,-1)</f>
        <v>8240</v>
      </c>
      <c r="E93" s="4">
        <f t="shared" si="1"/>
        <v>8180</v>
      </c>
      <c r="F93" s="10">
        <f>E93/$D$2</f>
        <v>16.7622950819672</v>
      </c>
      <c r="G93" s="10">
        <f>E93/$D$1</f>
        <v>8.4504132231405</v>
      </c>
      <c r="H93" s="12">
        <f>SUM($F$9:F93)</f>
        <v>480.151639344262</v>
      </c>
      <c r="I93" s="12">
        <f>SUM($G$9:G93)</f>
        <v>242.059917355372</v>
      </c>
    </row>
    <row r="94" s="1" customFormat="1" spans="1:9">
      <c r="A94" s="2"/>
      <c r="B94" s="4">
        <v>86</v>
      </c>
      <c r="C94" s="4">
        <f>SUM($D$9:D94)</f>
        <v>247784</v>
      </c>
      <c r="D94" s="4">
        <f>ROUND((B94*$B$4+$B$5)*$B$6*B94,-1)</f>
        <v>8430</v>
      </c>
      <c r="E94" s="4">
        <f t="shared" si="1"/>
        <v>8370</v>
      </c>
      <c r="F94" s="10">
        <f>E94/$D$2</f>
        <v>17.1516393442623</v>
      </c>
      <c r="G94" s="10">
        <f>E94/$D$1</f>
        <v>8.64669421487603</v>
      </c>
      <c r="H94" s="12">
        <f>SUM($F$9:F94)</f>
        <v>497.303278688525</v>
      </c>
      <c r="I94" s="12">
        <f>SUM($G$9:G94)</f>
        <v>250.706611570248</v>
      </c>
    </row>
    <row r="95" s="1" customFormat="1" spans="1:9">
      <c r="A95" s="2"/>
      <c r="B95" s="4">
        <v>87</v>
      </c>
      <c r="C95" s="4">
        <f>SUM($D$9:D95)</f>
        <v>256414</v>
      </c>
      <c r="D95" s="4">
        <f>ROUND((B95*$B$4+$B$5)*$B$6*B95,-1)</f>
        <v>8630</v>
      </c>
      <c r="E95" s="4">
        <f t="shared" si="1"/>
        <v>8570</v>
      </c>
      <c r="F95" s="10">
        <f>E95/$D$2</f>
        <v>17.5614754098361</v>
      </c>
      <c r="G95" s="10">
        <f>E95/$D$1</f>
        <v>8.85330578512397</v>
      </c>
      <c r="H95" s="12">
        <f>SUM($F$9:F95)</f>
        <v>514.864754098361</v>
      </c>
      <c r="I95" s="12">
        <f>SUM($G$9:G95)</f>
        <v>259.559917355372</v>
      </c>
    </row>
    <row r="96" s="1" customFormat="1" spans="1:9">
      <c r="A96" s="2"/>
      <c r="B96" s="4">
        <v>88</v>
      </c>
      <c r="C96" s="4">
        <f>SUM($D$9:D96)</f>
        <v>265234</v>
      </c>
      <c r="D96" s="4">
        <f>ROUND((B96*$B$4+$B$5)*$B$6*B96,-1)</f>
        <v>8820</v>
      </c>
      <c r="E96" s="4">
        <f t="shared" si="1"/>
        <v>8760</v>
      </c>
      <c r="F96" s="10">
        <f>E96/$D$2</f>
        <v>17.9508196721311</v>
      </c>
      <c r="G96" s="10">
        <f>E96/$D$1</f>
        <v>9.0495867768595</v>
      </c>
      <c r="H96" s="12">
        <f>SUM($F$9:F96)</f>
        <v>532.815573770492</v>
      </c>
      <c r="I96" s="12">
        <f>SUM($G$9:G96)</f>
        <v>268.609504132231</v>
      </c>
    </row>
    <row r="97" s="1" customFormat="1" spans="1:9">
      <c r="A97" s="2"/>
      <c r="B97" s="4">
        <v>89</v>
      </c>
      <c r="C97" s="4">
        <f>SUM($D$9:D97)</f>
        <v>274254</v>
      </c>
      <c r="D97" s="4">
        <f>ROUND((B97*$B$4+$B$5)*$B$6*B97,-1)</f>
        <v>9020</v>
      </c>
      <c r="E97" s="4">
        <f t="shared" si="1"/>
        <v>8960</v>
      </c>
      <c r="F97" s="10">
        <f>E97/$D$2</f>
        <v>18.3606557377049</v>
      </c>
      <c r="G97" s="10">
        <f>E97/$D$1</f>
        <v>9.25619834710744</v>
      </c>
      <c r="H97" s="12">
        <f>SUM($F$9:F97)</f>
        <v>551.176229508197</v>
      </c>
      <c r="I97" s="12">
        <f>SUM($G$9:G97)</f>
        <v>277.865702479339</v>
      </c>
    </row>
    <row r="98" s="1" customFormat="1" spans="1:9">
      <c r="A98" s="2"/>
      <c r="B98" s="4">
        <v>90</v>
      </c>
      <c r="C98" s="4">
        <f>SUM($D$9:D98)</f>
        <v>283484</v>
      </c>
      <c r="D98" s="4">
        <f>ROUND((B98*$B$4+$B$5)*$B$6*B98,-1)</f>
        <v>9230</v>
      </c>
      <c r="E98" s="4">
        <f t="shared" si="1"/>
        <v>9170</v>
      </c>
      <c r="F98" s="10">
        <f>E98/$D$2</f>
        <v>18.7909836065574</v>
      </c>
      <c r="G98" s="10">
        <f>E98/$D$1</f>
        <v>9.47314049586777</v>
      </c>
      <c r="H98" s="12">
        <f>SUM($F$9:F98)</f>
        <v>569.967213114754</v>
      </c>
      <c r="I98" s="12">
        <f>SUM($G$9:G98)</f>
        <v>287.338842975207</v>
      </c>
    </row>
    <row r="99" s="1" customFormat="1" spans="1:9">
      <c r="A99" s="2"/>
      <c r="B99" s="4">
        <v>91</v>
      </c>
      <c r="C99" s="4">
        <f>SUM($D$9:D99)</f>
        <v>292914</v>
      </c>
      <c r="D99" s="4">
        <f>ROUND((B99*$B$4+$B$5)*$B$6*B99,-1)</f>
        <v>9430</v>
      </c>
      <c r="E99" s="4">
        <f t="shared" si="1"/>
        <v>9370</v>
      </c>
      <c r="F99" s="10">
        <f>E99/$D$2</f>
        <v>19.2008196721311</v>
      </c>
      <c r="G99" s="10">
        <f>E99/$D$1</f>
        <v>9.6797520661157</v>
      </c>
      <c r="H99" s="12">
        <f>SUM($F$9:F99)</f>
        <v>589.168032786885</v>
      </c>
      <c r="I99" s="12">
        <f>SUM($G$9:G99)</f>
        <v>297.018595041322</v>
      </c>
    </row>
    <row r="100" s="1" customFormat="1" spans="1:9">
      <c r="A100" s="2"/>
      <c r="B100" s="4">
        <v>92</v>
      </c>
      <c r="C100" s="4">
        <f>SUM($D$9:D100)</f>
        <v>302554</v>
      </c>
      <c r="D100" s="4">
        <f>ROUND((B100*$B$4+$B$5)*$B$6*B100,-1)</f>
        <v>9640</v>
      </c>
      <c r="E100" s="4">
        <f t="shared" si="1"/>
        <v>9580</v>
      </c>
      <c r="F100" s="10">
        <f>E100/$D$2</f>
        <v>19.6311475409836</v>
      </c>
      <c r="G100" s="10">
        <f>E100/$D$1</f>
        <v>9.89669421487603</v>
      </c>
      <c r="H100" s="12">
        <f>SUM($F$9:F100)</f>
        <v>608.799180327869</v>
      </c>
      <c r="I100" s="12">
        <f>SUM($G$9:G100)</f>
        <v>306.915289256198</v>
      </c>
    </row>
    <row r="101" s="1" customFormat="1" spans="1:9">
      <c r="A101" s="2"/>
      <c r="B101" s="4">
        <v>93</v>
      </c>
      <c r="C101" s="4">
        <f>SUM($D$9:D101)</f>
        <v>312404</v>
      </c>
      <c r="D101" s="4">
        <f>ROUND((B101*$B$4+$B$5)*$B$6*B101,-1)</f>
        <v>9850</v>
      </c>
      <c r="E101" s="4">
        <f t="shared" si="1"/>
        <v>9790</v>
      </c>
      <c r="F101" s="10">
        <f>E101/$D$2</f>
        <v>20.0614754098361</v>
      </c>
      <c r="G101" s="10">
        <f>E101/$D$1</f>
        <v>10.1136363636364</v>
      </c>
      <c r="H101" s="12">
        <f>SUM($F$9:F101)</f>
        <v>628.860655737705</v>
      </c>
      <c r="I101" s="12">
        <f>SUM($G$9:G101)</f>
        <v>317.028925619835</v>
      </c>
    </row>
    <row r="102" s="1" customFormat="1" spans="1:9">
      <c r="A102" s="2"/>
      <c r="B102" s="4">
        <v>94</v>
      </c>
      <c r="C102" s="4">
        <f>SUM($D$9:D102)</f>
        <v>322464</v>
      </c>
      <c r="D102" s="4">
        <f>ROUND((B102*$B$4+$B$5)*$B$6*B102,-1)</f>
        <v>10060</v>
      </c>
      <c r="E102" s="4">
        <f t="shared" si="1"/>
        <v>10000</v>
      </c>
      <c r="F102" s="10">
        <f>E102/$D$2</f>
        <v>20.4918032786885</v>
      </c>
      <c r="G102" s="10">
        <f>E102/$D$1</f>
        <v>10.3305785123967</v>
      </c>
      <c r="H102" s="12">
        <f>SUM($F$9:F102)</f>
        <v>649.352459016394</v>
      </c>
      <c r="I102" s="12">
        <f>SUM($G$9:G102)</f>
        <v>327.359504132231</v>
      </c>
    </row>
    <row r="103" s="1" customFormat="1" spans="1:9">
      <c r="A103" s="2"/>
      <c r="B103" s="4">
        <v>95</v>
      </c>
      <c r="C103" s="4">
        <f>SUM($D$9:D103)</f>
        <v>332734</v>
      </c>
      <c r="D103" s="4">
        <f>ROUND((B103*$B$4+$B$5)*$B$6*B103,-1)</f>
        <v>10270</v>
      </c>
      <c r="E103" s="4">
        <f t="shared" si="1"/>
        <v>10210</v>
      </c>
      <c r="F103" s="10">
        <f>E103/$D$2</f>
        <v>20.922131147541</v>
      </c>
      <c r="G103" s="10">
        <f>E103/$D$1</f>
        <v>10.547520661157</v>
      </c>
      <c r="H103" s="12">
        <f>SUM($F$9:F103)</f>
        <v>670.274590163935</v>
      </c>
      <c r="I103" s="12">
        <f>SUM($G$9:G103)</f>
        <v>337.907024793388</v>
      </c>
    </row>
    <row r="104" s="1" customFormat="1" spans="1:9">
      <c r="A104" s="2"/>
      <c r="B104" s="4">
        <v>96</v>
      </c>
      <c r="C104" s="4">
        <f>SUM($D$9:D104)</f>
        <v>343224</v>
      </c>
      <c r="D104" s="4">
        <f>ROUND((B104*$B$4+$B$5)*$B$6*B104,-1)</f>
        <v>10490</v>
      </c>
      <c r="E104" s="4">
        <f t="shared" si="1"/>
        <v>10430</v>
      </c>
      <c r="F104" s="10">
        <f>E104/$D$2</f>
        <v>21.3729508196721</v>
      </c>
      <c r="G104" s="10">
        <f>E104/$D$1</f>
        <v>10.7747933884298</v>
      </c>
      <c r="H104" s="12">
        <f>SUM($F$9:F104)</f>
        <v>691.647540983607</v>
      </c>
      <c r="I104" s="12">
        <f>SUM($G$9:G104)</f>
        <v>348.681818181818</v>
      </c>
    </row>
    <row r="105" s="1" customFormat="1" spans="1:9">
      <c r="A105" s="2"/>
      <c r="B105" s="4">
        <v>97</v>
      </c>
      <c r="C105" s="4">
        <f>SUM($D$9:D105)</f>
        <v>353934</v>
      </c>
      <c r="D105" s="4">
        <f>ROUND((B105*$B$4+$B$5)*$B$6*B105,-1)</f>
        <v>10710</v>
      </c>
      <c r="E105" s="4">
        <f t="shared" si="1"/>
        <v>10650</v>
      </c>
      <c r="F105" s="10">
        <f>E105/$D$2</f>
        <v>21.8237704918033</v>
      </c>
      <c r="G105" s="10">
        <f>E105/$D$1</f>
        <v>11.0020661157025</v>
      </c>
      <c r="H105" s="12">
        <f>SUM($F$9:F105)</f>
        <v>713.47131147541</v>
      </c>
      <c r="I105" s="12">
        <f>SUM($G$9:G105)</f>
        <v>359.683884297521</v>
      </c>
    </row>
    <row r="106" s="1" customFormat="1" spans="1:9">
      <c r="A106" s="2"/>
      <c r="B106" s="4">
        <v>98</v>
      </c>
      <c r="C106" s="4">
        <f>SUM($D$9:D106)</f>
        <v>364864</v>
      </c>
      <c r="D106" s="4">
        <f>ROUND((B106*$B$4+$B$5)*$B$6*B106,-1)</f>
        <v>10930</v>
      </c>
      <c r="E106" s="4">
        <f t="shared" si="1"/>
        <v>10870</v>
      </c>
      <c r="F106" s="10">
        <f>E106/$D$2</f>
        <v>22.2745901639344</v>
      </c>
      <c r="G106" s="10">
        <f>E106/$D$1</f>
        <v>11.2293388429752</v>
      </c>
      <c r="H106" s="12">
        <f>SUM($F$9:F106)</f>
        <v>735.745901639345</v>
      </c>
      <c r="I106" s="12">
        <f>SUM($G$9:G106)</f>
        <v>370.913223140496</v>
      </c>
    </row>
    <row r="107" s="1" customFormat="1" spans="1:9">
      <c r="A107" s="2"/>
      <c r="B107" s="4">
        <v>99</v>
      </c>
      <c r="C107" s="4">
        <f>SUM($D$9:D107)</f>
        <v>376014</v>
      </c>
      <c r="D107" s="4">
        <f>ROUND((B107*$B$4+$B$5)*$B$6*B107,-1)</f>
        <v>11150</v>
      </c>
      <c r="E107" s="4">
        <f t="shared" si="1"/>
        <v>11090</v>
      </c>
      <c r="F107" s="10">
        <f>E107/$D$2</f>
        <v>22.7254098360656</v>
      </c>
      <c r="G107" s="10">
        <f>E107/$D$1</f>
        <v>11.4566115702479</v>
      </c>
      <c r="H107" s="12">
        <f>SUM($F$9:F107)</f>
        <v>758.47131147541</v>
      </c>
      <c r="I107" s="12">
        <f>SUM($G$9:G107)</f>
        <v>382.369834710744</v>
      </c>
    </row>
    <row r="108" s="1" customFormat="1" spans="1:9">
      <c r="A108" s="2"/>
      <c r="B108" s="4">
        <v>100</v>
      </c>
      <c r="C108" s="4">
        <f>SUM($D$9:D108)</f>
        <v>387384</v>
      </c>
      <c r="D108" s="4">
        <f>ROUND((B108*$B$4+$B$5)*$B$6*B108,-1)</f>
        <v>11370</v>
      </c>
      <c r="E108" s="4">
        <f t="shared" si="1"/>
        <v>11310</v>
      </c>
      <c r="F108" s="10">
        <f>E108/$D$2</f>
        <v>23.1762295081967</v>
      </c>
      <c r="G108" s="10">
        <f>E108/$D$1</f>
        <v>11.6838842975207</v>
      </c>
      <c r="H108" s="12">
        <f>SUM($F$9:F108)</f>
        <v>781.647540983607</v>
      </c>
      <c r="I108" s="12">
        <f>SUM($G$9:G108)</f>
        <v>394.053719008265</v>
      </c>
    </row>
    <row r="109" s="1" customFormat="1" spans="1:9">
      <c r="A109" s="2"/>
      <c r="H109" s="3"/>
      <c r="I109" s="4"/>
    </row>
    <row r="110" s="1" customFormat="1" spans="1:9">
      <c r="A110" s="2"/>
      <c r="C110" s="10">
        <f>C108/D2</f>
        <v>793.819672131148</v>
      </c>
      <c r="F110" s="10">
        <f>SUM(F16:F108)</f>
        <v>781.987704918033</v>
      </c>
      <c r="G110" s="10">
        <f>SUM(G9:G108)</f>
        <v>394.053719008265</v>
      </c>
      <c r="H110" s="3"/>
      <c r="I110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PlayerEXP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WPS_1670481113</cp:lastModifiedBy>
  <dcterms:created xsi:type="dcterms:W3CDTF">2020-08-07T05:36:00Z</dcterms:created>
  <dcterms:modified xsi:type="dcterms:W3CDTF">2024-11-09T02:58:47Z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E2E1107A9E354918933C68A7E1B71C04</vt:lpwstr>
  </property>
</Properties>
</file>