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MissionLeader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MissionLeader!$A$3:$N$62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F1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1.通过X章y关
2.X个英雄等级提升到y级
3.X个英雄进阶到y星
4.获得X个英雄
5.扫荡或挑战玩法1x次
6.扫荡或挑战玩法2x次
7.扫荡或挑战玩法3x次
8.抽取英雄x次
9.穿戴x件装备
10.获取xx品质装备x件
11.挑战关卡x次
12.消耗体力x点
13.完成同类型任务x个
14.关卡星星累计获得x颗
15.英雄转职x次
16.学习科技x次</t>
        </r>
      </text>
    </comment>
  </commentList>
</comments>
</file>

<file path=xl/comments2.xml><?xml version="1.0" encoding="utf-8"?>
<comments xmlns="http://schemas.openxmlformats.org/spreadsheetml/2006/main">
  <authors>
    <author>15807</author>
  </authors>
  <commentList>
    <comment ref="A1" authorId="0">
      <text>
        <r>
          <rPr>
            <sz val="9"/>
            <rFont val="宋体"/>
            <charset val="134"/>
          </rPr>
          <t xml:space="preserve">
1.通过X章y关
2.X个英雄等级提升到y级
3.X个英雄进阶到y星
4.获得X个英雄
5.扫荡或挑战金币副本x次
6.扫荡或挑战科技副本x次
7.扫荡或挑战装备副本x次
8.抽取英雄x次
9.穿戴x件装备
10.获取xx品质装备x件
11.挑战关卡x次
12.消耗体力x点
13.完成同类型任务x个
14.关卡星星累计获得x颗
15.英雄转职x次
16.学习科技x次
17.学习士兵科技x级</t>
        </r>
      </text>
    </comment>
  </commentList>
</comments>
</file>

<file path=xl/sharedStrings.xml><?xml version="1.0" encoding="utf-8"?>
<sst xmlns="http://schemas.openxmlformats.org/spreadsheetml/2006/main" count="800" uniqueCount="316">
  <si>
    <t>id</t>
  </si>
  <si>
    <t>nextid</t>
  </si>
  <si>
    <t>uiIndex</t>
  </si>
  <si>
    <t>type</t>
  </si>
  <si>
    <t>showTip</t>
  </si>
  <si>
    <t>MissionType</t>
  </si>
  <si>
    <t>UseNum</t>
  </si>
  <si>
    <t>UseId</t>
  </si>
  <si>
    <t>Mission</t>
  </si>
  <si>
    <t>story1</t>
  </si>
  <si>
    <t>story2</t>
  </si>
  <si>
    <t>sound1</t>
  </si>
  <si>
    <t>sound2</t>
  </si>
  <si>
    <t>Reward</t>
  </si>
  <si>
    <t>int</t>
  </si>
  <si>
    <t>string</t>
  </si>
  <si>
    <t>引导任务id</t>
  </si>
  <si>
    <t>下个任务id</t>
  </si>
  <si>
    <t>ui识别id</t>
  </si>
  <si>
    <t>0强引导1任务</t>
  </si>
  <si>
    <t>显示信息</t>
  </si>
  <si>
    <t>任务类型</t>
  </si>
  <si>
    <t>完成任务需要的数量</t>
  </si>
  <si>
    <t>任务涉及到的内容</t>
  </si>
  <si>
    <t>映射</t>
  </si>
  <si>
    <t>任务故事</t>
  </si>
  <si>
    <t>任务完成故事</t>
  </si>
  <si>
    <t>任务语音</t>
  </si>
  <si>
    <t>完成任务后语音</t>
  </si>
  <si>
    <t>任务奖励</t>
  </si>
  <si>
    <t>通关章节1-1</t>
  </si>
  <si>
    <t>开始你的旅程吧，祝你一路顺风。</t>
  </si>
  <si>
    <t>恭喜你踏出了第一步，这是你的奖励，希望你能再接再厉！</t>
  </si>
  <si>
    <t>renwu_start_1</t>
  </si>
  <si>
    <t>renwu_end_1</t>
  </si>
  <si>
    <t>1:11:30|1:12:10000|1:22:2|1:10201:2</t>
  </si>
  <si>
    <t>1个英雄升级到2级</t>
  </si>
  <si>
    <t>升级英雄，提升能力。</t>
  </si>
  <si>
    <t>恭喜你，实力又提升一步。</t>
  </si>
  <si>
    <t>renwu_start_3</t>
  </si>
  <si>
    <t>renwu_end_3</t>
  </si>
  <si>
    <t>1:11:30|1:12:10000|1:22:2|1:10010:2</t>
  </si>
  <si>
    <t>通关章节1-2</t>
  </si>
  <si>
    <t>勇闯难关，祝你一路顺风。</t>
  </si>
  <si>
    <t>太棒了，这一关你都轻松通过。</t>
  </si>
  <si>
    <t>renwu_start_4</t>
  </si>
  <si>
    <t>renwu_end_4</t>
  </si>
  <si>
    <t>2个英雄升级到2级</t>
  </si>
  <si>
    <t>renwu_start_5</t>
  </si>
  <si>
    <t>renwu_end_5</t>
  </si>
  <si>
    <t>通关章节1-3</t>
  </si>
  <si>
    <t>renwu_start_6</t>
  </si>
  <si>
    <t>renwu_end_6</t>
  </si>
  <si>
    <t>累计召唤10次</t>
  </si>
  <si>
    <t>前往获得新的伙伴。</t>
  </si>
  <si>
    <t>在你的英明一下，又一位强力英雄加入你的阵营了。</t>
  </si>
  <si>
    <t>renwu_start_2</t>
  </si>
  <si>
    <t>renwu_end_2</t>
  </si>
  <si>
    <t>2个英雄升级到3级</t>
  </si>
  <si>
    <t>召唤英雄，获得新的伙伴。</t>
  </si>
  <si>
    <t>你获得了新的伙伴，后面的难关将更加轻松。</t>
  </si>
  <si>
    <t>renwu_start_7</t>
  </si>
  <si>
    <t>renwu_end_7</t>
  </si>
  <si>
    <t>学习科技1次</t>
  </si>
  <si>
    <t>提升科技，强化能力</t>
  </si>
  <si>
    <t>这么快就领悟科技的力量，太棒了。</t>
  </si>
  <si>
    <t>renwu_start_8</t>
  </si>
  <si>
    <t>renwu_end_8</t>
  </si>
  <si>
    <t>通关章节1-4</t>
  </si>
  <si>
    <t>renwu_start_9</t>
  </si>
  <si>
    <t>renwu_end_9</t>
  </si>
  <si>
    <t>3个英雄升到4级</t>
  </si>
  <si>
    <t>英雄突破，实力提升。</t>
  </si>
  <si>
    <t>似乎发生了不一样的变化，好像更强了。</t>
  </si>
  <si>
    <t>renwu_start_10</t>
  </si>
  <si>
    <t>renwu_end_10</t>
  </si>
  <si>
    <t>通关章节1-5</t>
  </si>
  <si>
    <t>renwu_start_11</t>
  </si>
  <si>
    <t>renwu_end_11</t>
  </si>
  <si>
    <t>3个英雄升到5级</t>
  </si>
  <si>
    <t>合理搭配阵容，有利于顺利通关。</t>
  </si>
  <si>
    <t>完美的阵容搭配，任何难关都不在话下。</t>
  </si>
  <si>
    <t>renwu_start_12</t>
  </si>
  <si>
    <t>renwu_end_12</t>
  </si>
  <si>
    <t>通关章节1-6</t>
  </si>
  <si>
    <t>renwu_start_13</t>
  </si>
  <si>
    <t>renwu_end_13</t>
  </si>
  <si>
    <t>3个英雄升到6级</t>
  </si>
  <si>
    <t>你的能力更上一层楼了，以后也要继续加油。</t>
  </si>
  <si>
    <t>renwu_start_14</t>
  </si>
  <si>
    <t>renwu_end_14</t>
  </si>
  <si>
    <t>通关章节1-7</t>
  </si>
  <si>
    <t>renwu_start_15</t>
  </si>
  <si>
    <t>renwu_end_15</t>
  </si>
  <si>
    <t>全力拓建你的队伍。</t>
  </si>
  <si>
    <t>领导你的英雄们勇闯难关吧。</t>
  </si>
  <si>
    <t>renwu_start_16</t>
  </si>
  <si>
    <t>renwu_end_16</t>
  </si>
  <si>
    <t>3个英雄升到7级</t>
  </si>
  <si>
    <t>一键升级，英雄属性快速提升</t>
  </si>
  <si>
    <t>你已经掌握英雄能力提升的关键了，希望你再接再厉。</t>
  </si>
  <si>
    <t>renwu_start_17</t>
  </si>
  <si>
    <t>renwu_end_17</t>
  </si>
  <si>
    <t>通关章节1-8</t>
  </si>
  <si>
    <t>renwu_start_18</t>
  </si>
  <si>
    <t>renwu_end_18</t>
  </si>
  <si>
    <t>3个英雄升到10级</t>
  </si>
  <si>
    <t>renwu_start_19</t>
  </si>
  <si>
    <t>renwu_end_19</t>
  </si>
  <si>
    <t>通关金币副本1次</t>
  </si>
  <si>
    <t>勇闯副本，金币副本可以给予你大量金币</t>
  </si>
  <si>
    <t>这一趟收获颇丰啊</t>
  </si>
  <si>
    <t>1:11:30|1:12:10000|1:22:2|1:30006:1</t>
  </si>
  <si>
    <t>英雄进阶1次</t>
  </si>
  <si>
    <t>英雄转职之路</t>
  </si>
  <si>
    <t>进阶英雄，你发现了新的力量，我就说还得是你。</t>
  </si>
  <si>
    <t>1:11:30|1:12:10000|1:22:2|1:20002:10</t>
  </si>
  <si>
    <t>通关科技副本1次</t>
  </si>
  <si>
    <t>科技副本可以提升士兵科技</t>
  </si>
  <si>
    <t>得到了这么多的材料，你的士兵又得到了强大的提升。</t>
  </si>
  <si>
    <t>1:11:30|1:12:10000|1:22:2|1:20003:5</t>
  </si>
  <si>
    <t>获得1件蓝色装备</t>
  </si>
  <si>
    <t>稀有的装备</t>
  </si>
  <si>
    <t>你的装备也太漂亮了，这么稀有的装备都被你得到了。</t>
  </si>
  <si>
    <t>1:11:30|1:12:10000|1:22:2|1:10011:2</t>
  </si>
  <si>
    <t>穿戴1件装备</t>
  </si>
  <si>
    <t>整装待发</t>
  </si>
  <si>
    <t>嗯，这身装备很合你身，我相信你能发挥出他们的最大实力。</t>
  </si>
  <si>
    <t>1:11:30|1:12:10000|1:22:2|1:10012:2</t>
  </si>
  <si>
    <t>通关装备副本1次</t>
  </si>
  <si>
    <t>装备副本可以获得强力的装备</t>
  </si>
  <si>
    <t>哇，这么漂亮的武器是在副本里面出的吗，你也太幸运了。</t>
  </si>
  <si>
    <t>1:11:30|1:12:10000|1:22:2|1:10013:2</t>
  </si>
  <si>
    <t>1个英雄达到3星</t>
  </si>
  <si>
    <t>英雄升星可大幅度提升英雄升级属性</t>
  </si>
  <si>
    <t>你的英雄们变的更强了</t>
  </si>
  <si>
    <t>消耗100点体力</t>
  </si>
  <si>
    <t>磨砺自身</t>
  </si>
  <si>
    <t>没想到你这么快就完成了，看来有点小看你了。</t>
  </si>
  <si>
    <t>英雄进阶3次</t>
  </si>
  <si>
    <t>获得2件蓝色装备</t>
  </si>
  <si>
    <t>穿戴2件装备</t>
  </si>
  <si>
    <t>2个英雄达到3星</t>
  </si>
  <si>
    <t>3个英雄升级至13级</t>
  </si>
  <si>
    <t>关卡星星累计获得24颗</t>
  </si>
  <si>
    <t>完美通关</t>
  </si>
  <si>
    <t>这么困难的敌人都被你完美的击败，希望你以后也如此。</t>
  </si>
  <si>
    <t>通关章节2-5</t>
  </si>
  <si>
    <t>英雄进阶5次</t>
  </si>
  <si>
    <t>获得4件蓝色装备</t>
  </si>
  <si>
    <t>穿戴4件装备</t>
  </si>
  <si>
    <t>3个英雄达到3星</t>
  </si>
  <si>
    <t>4个英雄升级至13级</t>
  </si>
  <si>
    <t>挑战关卡3次</t>
  </si>
  <si>
    <t>战术演习</t>
  </si>
  <si>
    <t>通过多次挑战来完善自身，看来你挺不错嘛。</t>
  </si>
  <si>
    <t>通关章节2-8</t>
  </si>
  <si>
    <t>英雄进阶8次</t>
  </si>
  <si>
    <t>获得1件紫色装备</t>
  </si>
  <si>
    <t>穿戴6件装备</t>
  </si>
  <si>
    <t>1个英雄达到4星</t>
  </si>
  <si>
    <t>关卡星星累计获得36颗</t>
  </si>
  <si>
    <t>通关章节3-5</t>
  </si>
  <si>
    <t>学习科技10次</t>
  </si>
  <si>
    <t>英雄进阶10次</t>
  </si>
  <si>
    <t>获得2件紫色装备</t>
  </si>
  <si>
    <t>穿戴8件装备</t>
  </si>
  <si>
    <t>2个英雄达到4星</t>
  </si>
  <si>
    <t>通关章节3-8</t>
  </si>
  <si>
    <t>3个英雄升级至18级</t>
  </si>
  <si>
    <t>通关章节4-5</t>
  </si>
  <si>
    <t>英雄进阶15次</t>
  </si>
  <si>
    <t>获得1件金色装备</t>
  </si>
  <si>
    <t>穿戴10件装备</t>
  </si>
  <si>
    <t>3个英雄达到4星</t>
  </si>
  <si>
    <t>关卡步骤</t>
  </si>
  <si>
    <t>新手引导</t>
  </si>
  <si>
    <t>抽技能</t>
  </si>
  <si>
    <t>安装技能</t>
  </si>
  <si>
    <t>替换技能</t>
  </si>
  <si>
    <t>renwu_start_bingzhong</t>
  </si>
  <si>
    <t>renwu_end_bingzhong</t>
  </si>
  <si>
    <t>卸载技能</t>
  </si>
  <si>
    <t>抽装备</t>
  </si>
  <si>
    <t>renwu_start_yingxiongshengji</t>
  </si>
  <si>
    <t>renwu_end_yingxiongshengji</t>
  </si>
  <si>
    <t>安装装备</t>
  </si>
  <si>
    <t>renwu_start_shenjishibing</t>
  </si>
  <si>
    <t>renwu_end_shenjishibing</t>
  </si>
  <si>
    <t>renwu_start_jineng</t>
  </si>
  <si>
    <t>renwu_end_jineng</t>
  </si>
  <si>
    <t>抽部队</t>
  </si>
  <si>
    <t>renwu_start_juqingtongyong</t>
  </si>
  <si>
    <t>renwu_end_juqingtongyong</t>
  </si>
  <si>
    <t>替换部队</t>
  </si>
  <si>
    <t>renwu_start_husong</t>
  </si>
  <si>
    <t>renwu_end_husong</t>
  </si>
  <si>
    <t>renwu_end_good</t>
  </si>
  <si>
    <t>英雄加经验</t>
  </si>
  <si>
    <t>renwu_start_longdebaozang</t>
  </si>
  <si>
    <t>renwu_end_longdebaozang</t>
  </si>
  <si>
    <t>铁匠铺到达级数</t>
  </si>
  <si>
    <t>添加副英雄</t>
  </si>
  <si>
    <t>renwu_start_mofaxunlian</t>
  </si>
  <si>
    <t>renwu_end_mofaxunlian</t>
  </si>
  <si>
    <t>renwu_start_shibingxunlian</t>
  </si>
  <si>
    <t>renwu_end_shibingxunlian</t>
  </si>
  <si>
    <t>获得N个部队</t>
  </si>
  <si>
    <r>
      <rPr>
        <sz val="11"/>
        <color theme="1"/>
        <rFont val="宋体"/>
        <charset val="134"/>
        <scheme val="minor"/>
      </rPr>
      <t>renwu_start_yingxiongshengji</t>
    </r>
  </si>
  <si>
    <r>
      <rPr>
        <sz val="11"/>
        <color theme="1"/>
        <rFont val="宋体"/>
        <charset val="134"/>
        <scheme val="minor"/>
      </rPr>
      <t>renwu_end_yingxiongshengji</t>
    </r>
  </si>
  <si>
    <t>获得N个技能</t>
  </si>
  <si>
    <t>通关指定玩法1</t>
  </si>
  <si>
    <t>玩家等级到达级数</t>
  </si>
  <si>
    <t>通关指定玩法2</t>
  </si>
  <si>
    <t>通关指定玩法3</t>
  </si>
  <si>
    <t>通关指定玩法4</t>
  </si>
  <si>
    <t>N部队升到N级</t>
  </si>
  <si>
    <t>奖励</t>
  </si>
  <si>
    <t>升级武学0/1</t>
  </si>
  <si>
    <t>八卦50经验20</t>
  </si>
  <si>
    <t>一步一步引导的</t>
  </si>
  <si>
    <t>通关1-1牛家村</t>
  </si>
  <si>
    <t>口诀(攻击+22)</t>
  </si>
  <si>
    <t>文案属性克制</t>
  </si>
  <si>
    <t>上阵口诀</t>
  </si>
  <si>
    <t>通关1-2</t>
  </si>
  <si>
    <t>奖励口诀+抽卡券</t>
  </si>
  <si>
    <t>奖励元宝50</t>
  </si>
  <si>
    <t>弱引导一步一步引导的</t>
  </si>
  <si>
    <t>激活图鉴</t>
  </si>
  <si>
    <t>通关1-3</t>
  </si>
  <si>
    <t>奖励技能</t>
  </si>
  <si>
    <t>提升武学境界</t>
  </si>
  <si>
    <t>奖励口诀（气血+176）</t>
  </si>
  <si>
    <t>通关1-4</t>
  </si>
  <si>
    <t>奖励口诀</t>
  </si>
  <si>
    <t>通关1-5</t>
  </si>
  <si>
    <t>彩石60，染草30</t>
  </si>
  <si>
    <t>引导安装内功</t>
  </si>
  <si>
    <t>变装</t>
  </si>
  <si>
    <t>通关1-6</t>
  </si>
  <si>
    <t>武学突破书10</t>
  </si>
  <si>
    <t>升级武学(7/10)次</t>
  </si>
  <si>
    <t>通关1-7</t>
  </si>
  <si>
    <t>领取挂机奖励</t>
  </si>
  <si>
    <t>奖励随机技能</t>
  </si>
  <si>
    <t>通关1-8</t>
  </si>
  <si>
    <t>通关1-9</t>
  </si>
  <si>
    <t>引导安装轻功</t>
  </si>
  <si>
    <t>通关1-10</t>
  </si>
  <si>
    <t>奖励剑</t>
  </si>
  <si>
    <t>穿戴装备0/1次</t>
  </si>
  <si>
    <t>通关2-3</t>
  </si>
  <si>
    <t>练功1次</t>
  </si>
  <si>
    <t>元宝100金币1000</t>
  </si>
  <si>
    <t>通关2-6</t>
  </si>
  <si>
    <t>奖励鞋子</t>
  </si>
  <si>
    <t>添加好友</t>
  </si>
  <si>
    <t>抽卡10次</t>
  </si>
  <si>
    <t>2-5开加速(2-20出现跳过)</t>
  </si>
  <si>
    <t>千机阁抽取10个技能</t>
  </si>
  <si>
    <t>通关2-9</t>
  </si>
  <si>
    <t>奖励镯子</t>
  </si>
  <si>
    <t>2-8出现其它玩家</t>
  </si>
  <si>
    <t>通关金钱副本</t>
  </si>
  <si>
    <t>元宝100</t>
  </si>
  <si>
    <t>通关2-12</t>
  </si>
  <si>
    <t>通关2-16</t>
  </si>
  <si>
    <t>奇遇记</t>
  </si>
  <si>
    <t>小游戏</t>
  </si>
  <si>
    <t>找线索。划水果。解密。飞行躲障碍。解密</t>
  </si>
  <si>
    <t>10分钟左右</t>
  </si>
  <si>
    <t>通关2-20</t>
  </si>
  <si>
    <t>奖励武学奖励手镯</t>
  </si>
  <si>
    <t>开启武学招式</t>
  </si>
  <si>
    <t>精进点100</t>
  </si>
  <si>
    <t>开启精武阁精进</t>
  </si>
  <si>
    <t>通关2-24</t>
  </si>
  <si>
    <t>元宝200</t>
  </si>
  <si>
    <t>参与擂台</t>
  </si>
  <si>
    <t>擂台卷</t>
  </si>
  <si>
    <t>通关3-4</t>
  </si>
  <si>
    <t>修决堂 修身口诀</t>
  </si>
  <si>
    <t>快速挂机1次</t>
  </si>
  <si>
    <t>奖励学习点</t>
  </si>
  <si>
    <t>通关3-8</t>
  </si>
  <si>
    <t>通关3-12</t>
  </si>
  <si>
    <t>5分钟</t>
  </si>
  <si>
    <t>奖励擂台卷</t>
  </si>
  <si>
    <t>通关3-16</t>
  </si>
  <si>
    <t>江湖卖艺1次</t>
  </si>
  <si>
    <t>通关3-20</t>
  </si>
  <si>
    <t>强化石3</t>
  </si>
  <si>
    <t>强化装备</t>
  </si>
  <si>
    <t>强化石5</t>
  </si>
  <si>
    <t>通关3-24</t>
  </si>
  <si>
    <t>奖励武器</t>
  </si>
  <si>
    <t>千机卷</t>
  </si>
  <si>
    <t>通关木人巷5关</t>
  </si>
  <si>
    <t>通关3-30</t>
  </si>
  <si>
    <t>奖励强化石和衣服</t>
  </si>
  <si>
    <t>提升修为</t>
  </si>
  <si>
    <t>绝学残卷</t>
  </si>
  <si>
    <t>1小时</t>
  </si>
  <si>
    <t>通关4-3</t>
  </si>
  <si>
    <t>绝学残卷和混元功法</t>
  </si>
  <si>
    <t>上阵内动+1</t>
  </si>
  <si>
    <t>奖励项链和强化石</t>
  </si>
  <si>
    <t>通关4-6</t>
  </si>
  <si>
    <t>提升角色等级至22</t>
  </si>
  <si>
    <t>卡住了过不去</t>
  </si>
  <si>
    <t>通关4-9</t>
  </si>
  <si>
    <t>SubType</t>
  </si>
  <si>
    <t>MissionID</t>
  </si>
  <si>
    <t>任务的子类型</t>
  </si>
  <si>
    <t>任务ID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</si>
</sst>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4" borderId="7" applyNumberFormat="0" applyAlignment="0" applyProtection="0">
      <alignment vertical="center"/>
    </xf>
    <xf numFmtId="0" fontId="11" fillId="15" borderId="8" applyNumberFormat="0" applyAlignment="0" applyProtection="0">
      <alignment vertical="center"/>
    </xf>
    <xf numFmtId="0" fontId="12" fillId="15" borderId="7" applyNumberFormat="0" applyAlignment="0" applyProtection="0">
      <alignment vertical="center"/>
    </xf>
    <xf numFmtId="0" fontId="13" fillId="1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ont="1" applyFill="1">
      <alignment vertical="center"/>
    </xf>
    <xf numFmtId="0" fontId="0" fillId="7" borderId="0" xfId="0" applyFont="1" applyFill="1">
      <alignment vertical="center"/>
    </xf>
    <xf numFmtId="0" fontId="0" fillId="7" borderId="0" xfId="0" applyFill="1">
      <alignment vertical="center"/>
    </xf>
    <xf numFmtId="0" fontId="0" fillId="8" borderId="0" xfId="0" applyFont="1" applyFill="1">
      <alignment vertical="center"/>
    </xf>
    <xf numFmtId="0" fontId="0" fillId="9" borderId="0" xfId="0" applyFont="1" applyFill="1">
      <alignment vertical="center"/>
    </xf>
    <xf numFmtId="0" fontId="0" fillId="4" borderId="0" xfId="0" applyFont="1" applyFill="1">
      <alignment vertical="center"/>
    </xf>
    <xf numFmtId="0" fontId="0" fillId="10" borderId="0" xfId="0" applyFont="1" applyFill="1">
      <alignment vertical="center"/>
    </xf>
    <xf numFmtId="0" fontId="0" fillId="11" borderId="0" xfId="0" applyFont="1" applyFill="1">
      <alignment vertical="center"/>
    </xf>
    <xf numFmtId="0" fontId="0" fillId="12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tabSelected="1" topLeftCell="A27" workbookViewId="0">
      <selection activeCell="E63" sqref="E63"/>
    </sheetView>
  </sheetViews>
  <sheetFormatPr defaultColWidth="9" defaultRowHeight="13.5"/>
  <cols>
    <col min="1" max="1" width="11.875" customWidth="1"/>
    <col min="2" max="3" width="15.75" customWidth="1"/>
    <col min="4" max="4" width="24.25" customWidth="1"/>
    <col min="5" max="5" width="22.875" customWidth="1"/>
    <col min="6" max="6" width="19.75" customWidth="1"/>
    <col min="7" max="7" width="19.875" customWidth="1"/>
    <col min="8" max="9" width="14.5" customWidth="1"/>
    <col min="10" max="10" width="31.625" customWidth="1"/>
    <col min="11" max="11" width="54.625" customWidth="1"/>
    <col min="12" max="12" width="16" customWidth="1"/>
    <col min="13" max="13" width="15" customWidth="1"/>
    <col min="14" max="14" width="26" customWidth="1"/>
  </cols>
  <sheetData>
    <row r="1" ht="16.5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8" t="s">
        <v>6</v>
      </c>
      <c r="H1" s="18" t="s">
        <v>7</v>
      </c>
      <c r="I1" s="21" t="s">
        <v>8</v>
      </c>
      <c r="J1" t="s">
        <v>9</v>
      </c>
      <c r="K1" t="s">
        <v>10</v>
      </c>
      <c r="L1" t="s">
        <v>11</v>
      </c>
      <c r="M1" t="s">
        <v>12</v>
      </c>
      <c r="N1" s="18" t="s">
        <v>13</v>
      </c>
    </row>
    <row r="2" ht="16.5" spans="1:14">
      <c r="A2" t="s">
        <v>14</v>
      </c>
      <c r="B2" t="s">
        <v>14</v>
      </c>
      <c r="C2" t="s">
        <v>14</v>
      </c>
      <c r="D2" t="s">
        <v>14</v>
      </c>
      <c r="E2" t="s">
        <v>15</v>
      </c>
      <c r="F2" t="s">
        <v>14</v>
      </c>
      <c r="G2" s="19" t="s">
        <v>14</v>
      </c>
      <c r="H2" s="19" t="s">
        <v>15</v>
      </c>
      <c r="I2" s="22" t="s">
        <v>14</v>
      </c>
      <c r="J2" t="s">
        <v>15</v>
      </c>
      <c r="K2" t="s">
        <v>15</v>
      </c>
      <c r="L2" t="s">
        <v>15</v>
      </c>
      <c r="M2" t="s">
        <v>15</v>
      </c>
      <c r="N2" s="19" t="s">
        <v>15</v>
      </c>
    </row>
    <row r="3" ht="16.5" spans="1:14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0" t="s">
        <v>22</v>
      </c>
      <c r="H3" s="20" t="s">
        <v>23</v>
      </c>
      <c r="I3" s="22" t="s">
        <v>24</v>
      </c>
      <c r="J3" t="s">
        <v>25</v>
      </c>
      <c r="K3" t="s">
        <v>26</v>
      </c>
      <c r="L3" t="s">
        <v>27</v>
      </c>
      <c r="M3" t="s">
        <v>28</v>
      </c>
      <c r="N3" s="20" t="s">
        <v>29</v>
      </c>
    </row>
    <row r="4" customFormat="1" spans="1:14">
      <c r="A4">
        <v>1</v>
      </c>
      <c r="B4">
        <v>2</v>
      </c>
      <c r="C4">
        <v>2</v>
      </c>
      <c r="D4">
        <v>1</v>
      </c>
      <c r="E4" t="s">
        <v>30</v>
      </c>
      <c r="F4">
        <v>1</v>
      </c>
      <c r="G4">
        <v>1</v>
      </c>
      <c r="H4">
        <v>12</v>
      </c>
      <c r="I4">
        <v>101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</row>
    <row r="5" customFormat="1" spans="1:14">
      <c r="A5">
        <v>2</v>
      </c>
      <c r="B5">
        <v>3</v>
      </c>
      <c r="C5">
        <v>2</v>
      </c>
      <c r="D5">
        <v>1</v>
      </c>
      <c r="E5" t="s">
        <v>36</v>
      </c>
      <c r="F5">
        <v>2</v>
      </c>
      <c r="G5">
        <v>1</v>
      </c>
      <c r="H5">
        <v>2</v>
      </c>
      <c r="I5">
        <v>108</v>
      </c>
      <c r="J5" t="s">
        <v>37</v>
      </c>
      <c r="K5" t="s">
        <v>38</v>
      </c>
      <c r="L5" t="s">
        <v>39</v>
      </c>
      <c r="M5" t="s">
        <v>40</v>
      </c>
      <c r="N5" t="s">
        <v>41</v>
      </c>
    </row>
    <row r="6" customFormat="1" spans="1:14">
      <c r="A6">
        <v>3</v>
      </c>
      <c r="B6">
        <v>4</v>
      </c>
      <c r="C6">
        <v>2</v>
      </c>
      <c r="D6">
        <v>1</v>
      </c>
      <c r="E6" t="s">
        <v>42</v>
      </c>
      <c r="F6">
        <v>1</v>
      </c>
      <c r="G6">
        <v>1</v>
      </c>
      <c r="H6">
        <v>13</v>
      </c>
      <c r="I6">
        <v>101</v>
      </c>
      <c r="J6" t="s">
        <v>43</v>
      </c>
      <c r="K6" t="s">
        <v>44</v>
      </c>
      <c r="L6" t="s">
        <v>45</v>
      </c>
      <c r="M6" t="s">
        <v>46</v>
      </c>
      <c r="N6" t="s">
        <v>35</v>
      </c>
    </row>
    <row r="7" customFormat="1" spans="1:14">
      <c r="A7">
        <v>4</v>
      </c>
      <c r="B7">
        <v>5</v>
      </c>
      <c r="C7">
        <v>2</v>
      </c>
      <c r="D7">
        <v>1</v>
      </c>
      <c r="E7" t="s">
        <v>47</v>
      </c>
      <c r="F7">
        <v>2</v>
      </c>
      <c r="G7">
        <v>2</v>
      </c>
      <c r="H7">
        <v>2</v>
      </c>
      <c r="I7">
        <v>108</v>
      </c>
      <c r="J7" t="s">
        <v>37</v>
      </c>
      <c r="K7" t="s">
        <v>38</v>
      </c>
      <c r="L7" t="s">
        <v>48</v>
      </c>
      <c r="M7" t="s">
        <v>49</v>
      </c>
      <c r="N7" t="s">
        <v>41</v>
      </c>
    </row>
    <row r="8" customFormat="1" spans="1:14">
      <c r="A8">
        <v>5</v>
      </c>
      <c r="B8">
        <v>6</v>
      </c>
      <c r="C8">
        <v>2</v>
      </c>
      <c r="D8">
        <v>1</v>
      </c>
      <c r="E8" t="s">
        <v>50</v>
      </c>
      <c r="F8">
        <v>1</v>
      </c>
      <c r="G8">
        <v>1</v>
      </c>
      <c r="H8">
        <v>14</v>
      </c>
      <c r="I8">
        <v>101</v>
      </c>
      <c r="J8" t="s">
        <v>43</v>
      </c>
      <c r="K8" t="s">
        <v>44</v>
      </c>
      <c r="L8" t="s">
        <v>51</v>
      </c>
      <c r="M8" t="s">
        <v>52</v>
      </c>
      <c r="N8" t="s">
        <v>35</v>
      </c>
    </row>
    <row r="9" customFormat="1" spans="1:14">
      <c r="A9">
        <v>6</v>
      </c>
      <c r="B9">
        <v>7</v>
      </c>
      <c r="C9">
        <v>2</v>
      </c>
      <c r="D9">
        <v>1</v>
      </c>
      <c r="E9" t="s">
        <v>53</v>
      </c>
      <c r="F9">
        <v>8</v>
      </c>
      <c r="G9">
        <v>10</v>
      </c>
      <c r="H9">
        <v>0</v>
      </c>
      <c r="I9">
        <v>102</v>
      </c>
      <c r="J9" t="s">
        <v>54</v>
      </c>
      <c r="K9" t="s">
        <v>55</v>
      </c>
      <c r="L9" t="s">
        <v>56</v>
      </c>
      <c r="M9" t="s">
        <v>57</v>
      </c>
      <c r="N9" t="s">
        <v>41</v>
      </c>
    </row>
    <row r="10" customFormat="1" spans="1:14">
      <c r="A10">
        <v>7</v>
      </c>
      <c r="B10">
        <v>8</v>
      </c>
      <c r="C10">
        <v>2</v>
      </c>
      <c r="D10">
        <v>1</v>
      </c>
      <c r="E10" t="s">
        <v>58</v>
      </c>
      <c r="F10">
        <v>2</v>
      </c>
      <c r="G10">
        <v>2</v>
      </c>
      <c r="H10">
        <v>3</v>
      </c>
      <c r="I10">
        <v>108</v>
      </c>
      <c r="J10" t="s">
        <v>59</v>
      </c>
      <c r="K10" t="s">
        <v>60</v>
      </c>
      <c r="L10" t="s">
        <v>61</v>
      </c>
      <c r="M10" t="s">
        <v>62</v>
      </c>
      <c r="N10" t="s">
        <v>35</v>
      </c>
    </row>
    <row r="11" customFormat="1" spans="1:14">
      <c r="A11">
        <v>8</v>
      </c>
      <c r="B11">
        <v>9</v>
      </c>
      <c r="C11">
        <v>2</v>
      </c>
      <c r="D11">
        <v>1</v>
      </c>
      <c r="E11" t="s">
        <v>63</v>
      </c>
      <c r="F11">
        <v>16</v>
      </c>
      <c r="G11">
        <v>1</v>
      </c>
      <c r="H11">
        <v>0</v>
      </c>
      <c r="I11">
        <v>116</v>
      </c>
      <c r="J11" t="s">
        <v>64</v>
      </c>
      <c r="K11" t="s">
        <v>65</v>
      </c>
      <c r="L11" t="s">
        <v>66</v>
      </c>
      <c r="M11" t="s">
        <v>67</v>
      </c>
      <c r="N11" t="s">
        <v>41</v>
      </c>
    </row>
    <row r="12" customFormat="1" spans="1:14">
      <c r="A12">
        <v>9</v>
      </c>
      <c r="B12">
        <v>10</v>
      </c>
      <c r="C12">
        <v>2</v>
      </c>
      <c r="D12">
        <v>1</v>
      </c>
      <c r="E12" t="s">
        <v>68</v>
      </c>
      <c r="F12">
        <v>1</v>
      </c>
      <c r="G12">
        <v>1</v>
      </c>
      <c r="H12">
        <v>15</v>
      </c>
      <c r="I12">
        <v>101</v>
      </c>
      <c r="J12" t="s">
        <v>43</v>
      </c>
      <c r="K12" t="s">
        <v>44</v>
      </c>
      <c r="L12" t="s">
        <v>69</v>
      </c>
      <c r="M12" t="s">
        <v>70</v>
      </c>
      <c r="N12" t="s">
        <v>35</v>
      </c>
    </row>
    <row r="13" customFormat="1" spans="1:14">
      <c r="A13">
        <v>10</v>
      </c>
      <c r="B13">
        <v>11</v>
      </c>
      <c r="C13">
        <v>2</v>
      </c>
      <c r="D13">
        <v>1</v>
      </c>
      <c r="E13" t="s">
        <v>71</v>
      </c>
      <c r="F13">
        <v>2</v>
      </c>
      <c r="G13">
        <v>3</v>
      </c>
      <c r="H13">
        <v>4</v>
      </c>
      <c r="I13">
        <v>108</v>
      </c>
      <c r="J13" t="s">
        <v>72</v>
      </c>
      <c r="K13" t="s">
        <v>73</v>
      </c>
      <c r="L13" t="s">
        <v>74</v>
      </c>
      <c r="M13" t="s">
        <v>75</v>
      </c>
      <c r="N13" t="s">
        <v>41</v>
      </c>
    </row>
    <row r="14" customFormat="1" spans="1:14">
      <c r="A14">
        <v>11</v>
      </c>
      <c r="B14">
        <v>12</v>
      </c>
      <c r="C14">
        <v>2</v>
      </c>
      <c r="D14">
        <v>1</v>
      </c>
      <c r="E14" t="s">
        <v>76</v>
      </c>
      <c r="F14">
        <v>1</v>
      </c>
      <c r="G14">
        <v>1</v>
      </c>
      <c r="H14">
        <v>16</v>
      </c>
      <c r="I14">
        <v>101</v>
      </c>
      <c r="J14" t="s">
        <v>43</v>
      </c>
      <c r="K14" t="s">
        <v>44</v>
      </c>
      <c r="L14" t="s">
        <v>77</v>
      </c>
      <c r="M14" t="s">
        <v>78</v>
      </c>
      <c r="N14" t="s">
        <v>35</v>
      </c>
    </row>
    <row r="15" customFormat="1" spans="1:14">
      <c r="A15">
        <v>12</v>
      </c>
      <c r="B15">
        <v>13</v>
      </c>
      <c r="C15">
        <v>2</v>
      </c>
      <c r="D15">
        <v>1</v>
      </c>
      <c r="E15" t="s">
        <v>79</v>
      </c>
      <c r="F15">
        <v>2</v>
      </c>
      <c r="G15">
        <v>3</v>
      </c>
      <c r="H15">
        <v>5</v>
      </c>
      <c r="I15">
        <v>108</v>
      </c>
      <c r="J15" t="s">
        <v>80</v>
      </c>
      <c r="K15" t="s">
        <v>81</v>
      </c>
      <c r="L15" t="s">
        <v>82</v>
      </c>
      <c r="M15" t="s">
        <v>83</v>
      </c>
      <c r="N15" t="s">
        <v>41</v>
      </c>
    </row>
    <row r="16" customFormat="1" spans="1:14">
      <c r="A16">
        <v>13</v>
      </c>
      <c r="B16">
        <v>14</v>
      </c>
      <c r="C16">
        <v>2</v>
      </c>
      <c r="D16">
        <v>1</v>
      </c>
      <c r="E16" t="s">
        <v>84</v>
      </c>
      <c r="F16">
        <v>1</v>
      </c>
      <c r="G16">
        <v>1</v>
      </c>
      <c r="H16">
        <v>17</v>
      </c>
      <c r="I16">
        <v>101</v>
      </c>
      <c r="J16" t="s">
        <v>43</v>
      </c>
      <c r="K16" t="s">
        <v>44</v>
      </c>
      <c r="L16" t="s">
        <v>85</v>
      </c>
      <c r="M16" t="s">
        <v>86</v>
      </c>
      <c r="N16" t="s">
        <v>35</v>
      </c>
    </row>
    <row r="17" customFormat="1" spans="1:14">
      <c r="A17">
        <v>14</v>
      </c>
      <c r="B17">
        <v>15</v>
      </c>
      <c r="C17">
        <v>2</v>
      </c>
      <c r="D17">
        <v>1</v>
      </c>
      <c r="E17" t="s">
        <v>87</v>
      </c>
      <c r="F17">
        <v>2</v>
      </c>
      <c r="G17">
        <v>3</v>
      </c>
      <c r="H17">
        <v>6</v>
      </c>
      <c r="I17">
        <v>108</v>
      </c>
      <c r="J17" t="s">
        <v>37</v>
      </c>
      <c r="K17" t="s">
        <v>88</v>
      </c>
      <c r="L17" t="s">
        <v>89</v>
      </c>
      <c r="M17" t="s">
        <v>90</v>
      </c>
      <c r="N17" t="s">
        <v>41</v>
      </c>
    </row>
    <row r="18" customFormat="1" spans="1:14">
      <c r="A18">
        <v>15</v>
      </c>
      <c r="B18">
        <v>16</v>
      </c>
      <c r="C18">
        <v>2</v>
      </c>
      <c r="D18">
        <v>1</v>
      </c>
      <c r="E18" t="s">
        <v>91</v>
      </c>
      <c r="F18">
        <v>1</v>
      </c>
      <c r="G18">
        <v>1</v>
      </c>
      <c r="H18">
        <v>18</v>
      </c>
      <c r="I18">
        <v>101</v>
      </c>
      <c r="J18" t="s">
        <v>43</v>
      </c>
      <c r="K18" t="s">
        <v>44</v>
      </c>
      <c r="L18" t="s">
        <v>92</v>
      </c>
      <c r="M18" t="s">
        <v>93</v>
      </c>
      <c r="N18" t="s">
        <v>35</v>
      </c>
    </row>
    <row r="19" customFormat="1" spans="1:14">
      <c r="A19">
        <v>16</v>
      </c>
      <c r="B19">
        <v>17</v>
      </c>
      <c r="C19">
        <v>2</v>
      </c>
      <c r="D19">
        <v>1</v>
      </c>
      <c r="E19" t="s">
        <v>53</v>
      </c>
      <c r="F19">
        <v>8</v>
      </c>
      <c r="G19">
        <v>20</v>
      </c>
      <c r="H19">
        <v>0</v>
      </c>
      <c r="I19">
        <v>102</v>
      </c>
      <c r="J19" t="s">
        <v>94</v>
      </c>
      <c r="K19" t="s">
        <v>95</v>
      </c>
      <c r="L19" t="s">
        <v>96</v>
      </c>
      <c r="M19" t="s">
        <v>97</v>
      </c>
      <c r="N19" t="s">
        <v>41</v>
      </c>
    </row>
    <row r="20" spans="1:14">
      <c r="A20">
        <v>17</v>
      </c>
      <c r="B20">
        <v>18</v>
      </c>
      <c r="C20">
        <v>2</v>
      </c>
      <c r="D20">
        <v>1</v>
      </c>
      <c r="E20" t="s">
        <v>98</v>
      </c>
      <c r="F20">
        <v>2</v>
      </c>
      <c r="G20">
        <v>3</v>
      </c>
      <c r="H20">
        <v>7</v>
      </c>
      <c r="I20">
        <v>108</v>
      </c>
      <c r="J20" t="s">
        <v>99</v>
      </c>
      <c r="K20" t="s">
        <v>100</v>
      </c>
      <c r="L20" t="s">
        <v>101</v>
      </c>
      <c r="M20" t="s">
        <v>102</v>
      </c>
      <c r="N20" t="s">
        <v>35</v>
      </c>
    </row>
    <row r="21" spans="1:14">
      <c r="A21">
        <v>18</v>
      </c>
      <c r="B21">
        <v>19</v>
      </c>
      <c r="C21">
        <v>2</v>
      </c>
      <c r="D21">
        <v>1</v>
      </c>
      <c r="E21" t="s">
        <v>103</v>
      </c>
      <c r="F21">
        <v>1</v>
      </c>
      <c r="G21">
        <v>1</v>
      </c>
      <c r="H21">
        <v>21</v>
      </c>
      <c r="I21">
        <v>101</v>
      </c>
      <c r="J21" t="s">
        <v>43</v>
      </c>
      <c r="K21" t="s">
        <v>44</v>
      </c>
      <c r="L21" t="s">
        <v>104</v>
      </c>
      <c r="M21" t="s">
        <v>105</v>
      </c>
      <c r="N21" t="s">
        <v>41</v>
      </c>
    </row>
    <row r="22" spans="1:14">
      <c r="A22">
        <v>19</v>
      </c>
      <c r="B22">
        <v>20</v>
      </c>
      <c r="C22">
        <v>2</v>
      </c>
      <c r="D22">
        <v>1</v>
      </c>
      <c r="E22" t="s">
        <v>106</v>
      </c>
      <c r="F22">
        <v>2</v>
      </c>
      <c r="G22">
        <v>3</v>
      </c>
      <c r="H22">
        <v>10</v>
      </c>
      <c r="I22">
        <v>108</v>
      </c>
      <c r="J22" t="s">
        <v>99</v>
      </c>
      <c r="K22" t="s">
        <v>100</v>
      </c>
      <c r="L22" t="s">
        <v>107</v>
      </c>
      <c r="M22" t="s">
        <v>108</v>
      </c>
      <c r="N22" t="s">
        <v>35</v>
      </c>
    </row>
    <row r="23" spans="1:14">
      <c r="A23">
        <v>20</v>
      </c>
      <c r="B23">
        <v>21</v>
      </c>
      <c r="C23">
        <v>2</v>
      </c>
      <c r="D23">
        <v>1</v>
      </c>
      <c r="E23" t="s">
        <v>109</v>
      </c>
      <c r="F23">
        <v>5</v>
      </c>
      <c r="G23">
        <v>1</v>
      </c>
      <c r="H23">
        <v>0</v>
      </c>
      <c r="I23">
        <v>117</v>
      </c>
      <c r="J23" t="s">
        <v>110</v>
      </c>
      <c r="K23" t="s">
        <v>111</v>
      </c>
      <c r="L23" t="s">
        <v>107</v>
      </c>
      <c r="M23" t="s">
        <v>108</v>
      </c>
      <c r="N23" t="s">
        <v>112</v>
      </c>
    </row>
    <row r="24" spans="1:14">
      <c r="A24">
        <v>21</v>
      </c>
      <c r="B24">
        <v>22</v>
      </c>
      <c r="C24">
        <v>2</v>
      </c>
      <c r="D24">
        <v>1</v>
      </c>
      <c r="E24" t="s">
        <v>113</v>
      </c>
      <c r="F24">
        <v>15</v>
      </c>
      <c r="G24">
        <v>1</v>
      </c>
      <c r="H24">
        <v>0</v>
      </c>
      <c r="I24">
        <v>114</v>
      </c>
      <c r="J24" t="s">
        <v>114</v>
      </c>
      <c r="K24" t="s">
        <v>115</v>
      </c>
      <c r="L24" t="s">
        <v>107</v>
      </c>
      <c r="M24" t="s">
        <v>108</v>
      </c>
      <c r="N24" t="s">
        <v>116</v>
      </c>
    </row>
    <row r="25" spans="1:14">
      <c r="A25">
        <v>22</v>
      </c>
      <c r="B25">
        <v>23</v>
      </c>
      <c r="C25">
        <v>2</v>
      </c>
      <c r="D25">
        <v>1</v>
      </c>
      <c r="E25" t="s">
        <v>117</v>
      </c>
      <c r="F25">
        <v>6</v>
      </c>
      <c r="G25">
        <v>1</v>
      </c>
      <c r="H25">
        <v>0</v>
      </c>
      <c r="I25">
        <v>120</v>
      </c>
      <c r="J25" t="s">
        <v>118</v>
      </c>
      <c r="K25" t="s">
        <v>119</v>
      </c>
      <c r="L25" t="s">
        <v>107</v>
      </c>
      <c r="M25" t="s">
        <v>108</v>
      </c>
      <c r="N25" t="s">
        <v>120</v>
      </c>
    </row>
    <row r="26" spans="1:14">
      <c r="A26">
        <v>23</v>
      </c>
      <c r="B26">
        <v>24</v>
      </c>
      <c r="C26">
        <v>2</v>
      </c>
      <c r="D26">
        <v>1</v>
      </c>
      <c r="E26" t="s">
        <v>121</v>
      </c>
      <c r="F26">
        <v>10</v>
      </c>
      <c r="G26">
        <v>1</v>
      </c>
      <c r="H26">
        <v>2</v>
      </c>
      <c r="I26">
        <v>126</v>
      </c>
      <c r="J26" t="s">
        <v>122</v>
      </c>
      <c r="K26" t="s">
        <v>123</v>
      </c>
      <c r="L26" t="s">
        <v>107</v>
      </c>
      <c r="M26" t="s">
        <v>108</v>
      </c>
      <c r="N26" t="s">
        <v>124</v>
      </c>
    </row>
    <row r="27" spans="1:14">
      <c r="A27">
        <v>24</v>
      </c>
      <c r="B27">
        <v>25</v>
      </c>
      <c r="C27">
        <v>2</v>
      </c>
      <c r="D27">
        <v>1</v>
      </c>
      <c r="E27" t="s">
        <v>125</v>
      </c>
      <c r="F27">
        <v>9</v>
      </c>
      <c r="G27">
        <v>1</v>
      </c>
      <c r="H27">
        <v>0</v>
      </c>
      <c r="I27">
        <v>112</v>
      </c>
      <c r="J27" t="s">
        <v>126</v>
      </c>
      <c r="K27" t="s">
        <v>127</v>
      </c>
      <c r="L27" t="s">
        <v>107</v>
      </c>
      <c r="M27" t="s">
        <v>108</v>
      </c>
      <c r="N27" t="s">
        <v>128</v>
      </c>
    </row>
    <row r="28" spans="1:14">
      <c r="A28">
        <v>25</v>
      </c>
      <c r="B28">
        <v>26</v>
      </c>
      <c r="C28">
        <v>2</v>
      </c>
      <c r="D28">
        <v>1</v>
      </c>
      <c r="E28" t="s">
        <v>129</v>
      </c>
      <c r="F28">
        <v>7</v>
      </c>
      <c r="G28">
        <v>1</v>
      </c>
      <c r="H28">
        <v>0</v>
      </c>
      <c r="I28">
        <v>123</v>
      </c>
      <c r="J28" t="s">
        <v>130</v>
      </c>
      <c r="K28" t="s">
        <v>131</v>
      </c>
      <c r="L28" t="s">
        <v>107</v>
      </c>
      <c r="M28" t="s">
        <v>108</v>
      </c>
      <c r="N28" t="s">
        <v>132</v>
      </c>
    </row>
    <row r="29" spans="1:14">
      <c r="A29">
        <v>26</v>
      </c>
      <c r="B29">
        <v>27</v>
      </c>
      <c r="C29">
        <v>2</v>
      </c>
      <c r="D29">
        <v>1</v>
      </c>
      <c r="E29" t="s">
        <v>133</v>
      </c>
      <c r="F29">
        <v>3</v>
      </c>
      <c r="G29">
        <v>1</v>
      </c>
      <c r="H29">
        <v>3</v>
      </c>
      <c r="I29">
        <v>110</v>
      </c>
      <c r="J29" t="s">
        <v>134</v>
      </c>
      <c r="K29" t="s">
        <v>135</v>
      </c>
      <c r="L29" t="s">
        <v>107</v>
      </c>
      <c r="M29" t="s">
        <v>108</v>
      </c>
      <c r="N29" t="s">
        <v>112</v>
      </c>
    </row>
    <row r="30" spans="1:14">
      <c r="A30">
        <v>27</v>
      </c>
      <c r="B30">
        <v>28</v>
      </c>
      <c r="C30">
        <v>2</v>
      </c>
      <c r="D30">
        <v>1</v>
      </c>
      <c r="E30" t="s">
        <v>136</v>
      </c>
      <c r="F30">
        <v>12</v>
      </c>
      <c r="G30">
        <v>100</v>
      </c>
      <c r="H30">
        <v>0</v>
      </c>
      <c r="I30">
        <v>104</v>
      </c>
      <c r="J30" t="s">
        <v>137</v>
      </c>
      <c r="K30" t="s">
        <v>138</v>
      </c>
      <c r="L30" t="s">
        <v>107</v>
      </c>
      <c r="M30" t="s">
        <v>108</v>
      </c>
      <c r="N30" t="s">
        <v>116</v>
      </c>
    </row>
    <row r="31" spans="1:14">
      <c r="A31">
        <v>28</v>
      </c>
      <c r="B31">
        <v>29</v>
      </c>
      <c r="C31">
        <v>2</v>
      </c>
      <c r="D31">
        <v>1</v>
      </c>
      <c r="E31" t="s">
        <v>139</v>
      </c>
      <c r="F31">
        <v>15</v>
      </c>
      <c r="G31">
        <v>3</v>
      </c>
      <c r="H31">
        <v>0</v>
      </c>
      <c r="I31">
        <v>114</v>
      </c>
      <c r="J31" t="s">
        <v>114</v>
      </c>
      <c r="K31" t="s">
        <v>115</v>
      </c>
      <c r="L31" t="s">
        <v>107</v>
      </c>
      <c r="M31" t="s">
        <v>108</v>
      </c>
      <c r="N31" t="s">
        <v>120</v>
      </c>
    </row>
    <row r="32" spans="1:14">
      <c r="A32">
        <v>29</v>
      </c>
      <c r="B32">
        <v>30</v>
      </c>
      <c r="C32">
        <v>2</v>
      </c>
      <c r="D32">
        <v>1</v>
      </c>
      <c r="E32" t="s">
        <v>140</v>
      </c>
      <c r="F32">
        <v>10</v>
      </c>
      <c r="G32">
        <v>2</v>
      </c>
      <c r="H32">
        <v>2</v>
      </c>
      <c r="I32">
        <v>126</v>
      </c>
      <c r="J32" t="s">
        <v>122</v>
      </c>
      <c r="K32" t="s">
        <v>123</v>
      </c>
      <c r="L32" t="s">
        <v>107</v>
      </c>
      <c r="M32" t="s">
        <v>108</v>
      </c>
      <c r="N32" t="s">
        <v>124</v>
      </c>
    </row>
    <row r="33" spans="1:14">
      <c r="A33">
        <v>30</v>
      </c>
      <c r="B33">
        <v>31</v>
      </c>
      <c r="C33">
        <v>2</v>
      </c>
      <c r="D33">
        <v>1</v>
      </c>
      <c r="E33" t="s">
        <v>141</v>
      </c>
      <c r="F33">
        <v>9</v>
      </c>
      <c r="G33">
        <v>2</v>
      </c>
      <c r="H33">
        <v>0</v>
      </c>
      <c r="I33">
        <v>112</v>
      </c>
      <c r="J33" t="s">
        <v>126</v>
      </c>
      <c r="K33" t="s">
        <v>127</v>
      </c>
      <c r="L33" t="s">
        <v>107</v>
      </c>
      <c r="M33" t="s">
        <v>108</v>
      </c>
      <c r="N33" t="s">
        <v>128</v>
      </c>
    </row>
    <row r="34" spans="1:14">
      <c r="A34">
        <v>31</v>
      </c>
      <c r="B34">
        <v>32</v>
      </c>
      <c r="C34">
        <v>2</v>
      </c>
      <c r="D34">
        <v>1</v>
      </c>
      <c r="E34" t="s">
        <v>142</v>
      </c>
      <c r="F34">
        <v>3</v>
      </c>
      <c r="G34">
        <v>2</v>
      </c>
      <c r="H34">
        <v>3</v>
      </c>
      <c r="I34">
        <v>110</v>
      </c>
      <c r="J34" t="s">
        <v>134</v>
      </c>
      <c r="K34" t="s">
        <v>135</v>
      </c>
      <c r="L34" t="s">
        <v>107</v>
      </c>
      <c r="M34" t="s">
        <v>108</v>
      </c>
      <c r="N34" t="s">
        <v>132</v>
      </c>
    </row>
    <row r="35" spans="1:14">
      <c r="A35">
        <v>32</v>
      </c>
      <c r="B35">
        <v>33</v>
      </c>
      <c r="C35">
        <v>2</v>
      </c>
      <c r="D35">
        <v>1</v>
      </c>
      <c r="E35" t="s">
        <v>143</v>
      </c>
      <c r="F35">
        <v>2</v>
      </c>
      <c r="G35">
        <v>3</v>
      </c>
      <c r="H35">
        <v>13</v>
      </c>
      <c r="I35">
        <v>108</v>
      </c>
      <c r="J35" t="s">
        <v>99</v>
      </c>
      <c r="K35" t="s">
        <v>100</v>
      </c>
      <c r="L35" t="s">
        <v>107</v>
      </c>
      <c r="M35" t="s">
        <v>108</v>
      </c>
      <c r="N35" t="s">
        <v>112</v>
      </c>
    </row>
    <row r="36" spans="1:14">
      <c r="A36">
        <v>33</v>
      </c>
      <c r="B36">
        <v>34</v>
      </c>
      <c r="C36">
        <v>2</v>
      </c>
      <c r="D36">
        <v>1</v>
      </c>
      <c r="E36" t="s">
        <v>144</v>
      </c>
      <c r="F36">
        <v>14</v>
      </c>
      <c r="G36">
        <v>24</v>
      </c>
      <c r="H36">
        <v>0</v>
      </c>
      <c r="I36">
        <v>106</v>
      </c>
      <c r="J36" t="s">
        <v>145</v>
      </c>
      <c r="K36" t="s">
        <v>146</v>
      </c>
      <c r="L36" t="s">
        <v>107</v>
      </c>
      <c r="M36" t="s">
        <v>108</v>
      </c>
      <c r="N36" t="s">
        <v>116</v>
      </c>
    </row>
    <row r="37" spans="1:14">
      <c r="A37">
        <v>34</v>
      </c>
      <c r="B37">
        <v>35</v>
      </c>
      <c r="C37">
        <v>2</v>
      </c>
      <c r="D37">
        <v>1</v>
      </c>
      <c r="E37" t="s">
        <v>147</v>
      </c>
      <c r="F37">
        <v>1</v>
      </c>
      <c r="G37">
        <v>1</v>
      </c>
      <c r="H37">
        <v>26</v>
      </c>
      <c r="I37">
        <v>101</v>
      </c>
      <c r="J37" t="s">
        <v>43</v>
      </c>
      <c r="K37" t="s">
        <v>44</v>
      </c>
      <c r="L37" t="s">
        <v>107</v>
      </c>
      <c r="M37" t="s">
        <v>108</v>
      </c>
      <c r="N37" t="s">
        <v>120</v>
      </c>
    </row>
    <row r="38" spans="1:14">
      <c r="A38">
        <v>35</v>
      </c>
      <c r="B38">
        <v>36</v>
      </c>
      <c r="C38">
        <v>2</v>
      </c>
      <c r="D38">
        <v>1</v>
      </c>
      <c r="E38" t="s">
        <v>148</v>
      </c>
      <c r="F38">
        <v>15</v>
      </c>
      <c r="G38">
        <v>5</v>
      </c>
      <c r="H38">
        <v>0</v>
      </c>
      <c r="I38">
        <v>114</v>
      </c>
      <c r="J38" t="s">
        <v>114</v>
      </c>
      <c r="K38" t="s">
        <v>115</v>
      </c>
      <c r="L38" t="s">
        <v>107</v>
      </c>
      <c r="M38" t="s">
        <v>108</v>
      </c>
      <c r="N38" t="s">
        <v>124</v>
      </c>
    </row>
    <row r="39" spans="1:14">
      <c r="A39">
        <v>36</v>
      </c>
      <c r="B39">
        <v>37</v>
      </c>
      <c r="C39">
        <v>2</v>
      </c>
      <c r="D39">
        <v>1</v>
      </c>
      <c r="E39" t="s">
        <v>149</v>
      </c>
      <c r="F39">
        <v>10</v>
      </c>
      <c r="G39">
        <v>4</v>
      </c>
      <c r="H39">
        <v>2</v>
      </c>
      <c r="I39">
        <v>126</v>
      </c>
      <c r="J39" t="s">
        <v>122</v>
      </c>
      <c r="K39" t="s">
        <v>123</v>
      </c>
      <c r="L39" t="s">
        <v>107</v>
      </c>
      <c r="M39" t="s">
        <v>108</v>
      </c>
      <c r="N39" t="s">
        <v>128</v>
      </c>
    </row>
    <row r="40" spans="1:14">
      <c r="A40">
        <v>37</v>
      </c>
      <c r="B40">
        <v>38</v>
      </c>
      <c r="C40">
        <v>2</v>
      </c>
      <c r="D40">
        <v>1</v>
      </c>
      <c r="E40" t="s">
        <v>150</v>
      </c>
      <c r="F40">
        <v>9</v>
      </c>
      <c r="G40">
        <v>4</v>
      </c>
      <c r="H40">
        <v>0</v>
      </c>
      <c r="I40">
        <v>112</v>
      </c>
      <c r="J40" t="s">
        <v>126</v>
      </c>
      <c r="K40" t="s">
        <v>127</v>
      </c>
      <c r="L40" t="s">
        <v>107</v>
      </c>
      <c r="M40" t="s">
        <v>108</v>
      </c>
      <c r="N40" t="s">
        <v>132</v>
      </c>
    </row>
    <row r="41" spans="1:14">
      <c r="A41">
        <v>38</v>
      </c>
      <c r="B41">
        <v>39</v>
      </c>
      <c r="C41">
        <v>2</v>
      </c>
      <c r="D41">
        <v>1</v>
      </c>
      <c r="E41" t="s">
        <v>151</v>
      </c>
      <c r="F41">
        <v>3</v>
      </c>
      <c r="G41">
        <v>3</v>
      </c>
      <c r="H41">
        <v>3</v>
      </c>
      <c r="I41">
        <v>110</v>
      </c>
      <c r="J41" t="s">
        <v>134</v>
      </c>
      <c r="K41" t="s">
        <v>135</v>
      </c>
      <c r="L41" t="s">
        <v>107</v>
      </c>
      <c r="M41" t="s">
        <v>108</v>
      </c>
      <c r="N41" t="s">
        <v>112</v>
      </c>
    </row>
    <row r="42" spans="1:14">
      <c r="A42">
        <v>39</v>
      </c>
      <c r="B42">
        <v>40</v>
      </c>
      <c r="C42">
        <v>2</v>
      </c>
      <c r="D42">
        <v>1</v>
      </c>
      <c r="E42" t="s">
        <v>152</v>
      </c>
      <c r="F42">
        <v>2</v>
      </c>
      <c r="G42">
        <v>4</v>
      </c>
      <c r="H42">
        <v>13</v>
      </c>
      <c r="I42">
        <v>108</v>
      </c>
      <c r="J42" t="s">
        <v>99</v>
      </c>
      <c r="K42" t="s">
        <v>100</v>
      </c>
      <c r="L42" t="s">
        <v>107</v>
      </c>
      <c r="M42" t="s">
        <v>108</v>
      </c>
      <c r="N42" t="s">
        <v>116</v>
      </c>
    </row>
    <row r="43" spans="1:14">
      <c r="A43">
        <v>40</v>
      </c>
      <c r="B43">
        <v>41</v>
      </c>
      <c r="C43">
        <v>2</v>
      </c>
      <c r="D43">
        <v>1</v>
      </c>
      <c r="E43" t="s">
        <v>153</v>
      </c>
      <c r="F43">
        <v>11</v>
      </c>
      <c r="G43">
        <v>3</v>
      </c>
      <c r="H43">
        <v>0</v>
      </c>
      <c r="I43">
        <v>602</v>
      </c>
      <c r="J43" t="s">
        <v>154</v>
      </c>
      <c r="K43" t="s">
        <v>155</v>
      </c>
      <c r="L43" t="s">
        <v>107</v>
      </c>
      <c r="M43" t="s">
        <v>108</v>
      </c>
      <c r="N43" t="s">
        <v>120</v>
      </c>
    </row>
    <row r="44" spans="1:14">
      <c r="A44">
        <v>41</v>
      </c>
      <c r="B44">
        <v>42</v>
      </c>
      <c r="C44">
        <v>2</v>
      </c>
      <c r="D44">
        <v>1</v>
      </c>
      <c r="E44" t="s">
        <v>156</v>
      </c>
      <c r="F44">
        <v>1</v>
      </c>
      <c r="G44">
        <v>1</v>
      </c>
      <c r="H44">
        <v>31</v>
      </c>
      <c r="I44">
        <v>101</v>
      </c>
      <c r="J44" t="s">
        <v>43</v>
      </c>
      <c r="K44" t="s">
        <v>44</v>
      </c>
      <c r="L44" t="s">
        <v>107</v>
      </c>
      <c r="M44" t="s">
        <v>108</v>
      </c>
      <c r="N44" t="s">
        <v>124</v>
      </c>
    </row>
    <row r="45" spans="1:14">
      <c r="A45">
        <v>42</v>
      </c>
      <c r="B45">
        <v>43</v>
      </c>
      <c r="C45">
        <v>2</v>
      </c>
      <c r="D45">
        <v>1</v>
      </c>
      <c r="E45" t="s">
        <v>157</v>
      </c>
      <c r="F45">
        <v>15</v>
      </c>
      <c r="G45">
        <v>8</v>
      </c>
      <c r="H45">
        <v>0</v>
      </c>
      <c r="I45">
        <v>114</v>
      </c>
      <c r="J45" t="s">
        <v>114</v>
      </c>
      <c r="K45" t="s">
        <v>115</v>
      </c>
      <c r="L45" t="s">
        <v>107</v>
      </c>
      <c r="M45" t="s">
        <v>108</v>
      </c>
      <c r="N45" t="s">
        <v>128</v>
      </c>
    </row>
    <row r="46" spans="1:14">
      <c r="A46">
        <v>43</v>
      </c>
      <c r="B46">
        <v>44</v>
      </c>
      <c r="C46">
        <v>2</v>
      </c>
      <c r="D46">
        <v>1</v>
      </c>
      <c r="E46" t="s">
        <v>158</v>
      </c>
      <c r="F46">
        <v>10</v>
      </c>
      <c r="G46">
        <v>1</v>
      </c>
      <c r="H46">
        <v>3</v>
      </c>
      <c r="I46">
        <v>127</v>
      </c>
      <c r="J46" t="s">
        <v>122</v>
      </c>
      <c r="K46" t="s">
        <v>123</v>
      </c>
      <c r="L46" t="s">
        <v>107</v>
      </c>
      <c r="M46" t="s">
        <v>108</v>
      </c>
      <c r="N46" t="s">
        <v>132</v>
      </c>
    </row>
    <row r="47" spans="1:14">
      <c r="A47">
        <v>44</v>
      </c>
      <c r="B47">
        <v>45</v>
      </c>
      <c r="C47">
        <v>2</v>
      </c>
      <c r="D47">
        <v>1</v>
      </c>
      <c r="E47" t="s">
        <v>159</v>
      </c>
      <c r="F47">
        <v>9</v>
      </c>
      <c r="G47">
        <v>6</v>
      </c>
      <c r="H47">
        <v>0</v>
      </c>
      <c r="I47">
        <v>112</v>
      </c>
      <c r="J47" t="s">
        <v>126</v>
      </c>
      <c r="K47" t="s">
        <v>127</v>
      </c>
      <c r="L47" t="s">
        <v>107</v>
      </c>
      <c r="M47" t="s">
        <v>108</v>
      </c>
      <c r="N47" t="s">
        <v>112</v>
      </c>
    </row>
    <row r="48" spans="1:14">
      <c r="A48">
        <v>45</v>
      </c>
      <c r="B48">
        <v>46</v>
      </c>
      <c r="C48">
        <v>2</v>
      </c>
      <c r="D48">
        <v>1</v>
      </c>
      <c r="E48" t="s">
        <v>160</v>
      </c>
      <c r="F48">
        <v>3</v>
      </c>
      <c r="G48">
        <v>1</v>
      </c>
      <c r="H48">
        <v>4</v>
      </c>
      <c r="I48">
        <v>110</v>
      </c>
      <c r="J48" t="s">
        <v>134</v>
      </c>
      <c r="K48" t="s">
        <v>135</v>
      </c>
      <c r="L48" t="s">
        <v>107</v>
      </c>
      <c r="M48" t="s">
        <v>108</v>
      </c>
      <c r="N48" t="s">
        <v>116</v>
      </c>
    </row>
    <row r="49" spans="1:14">
      <c r="A49">
        <v>46</v>
      </c>
      <c r="B49">
        <v>47</v>
      </c>
      <c r="C49">
        <v>2</v>
      </c>
      <c r="D49">
        <v>1</v>
      </c>
      <c r="E49" t="s">
        <v>161</v>
      </c>
      <c r="F49">
        <v>14</v>
      </c>
      <c r="G49">
        <v>36</v>
      </c>
      <c r="H49">
        <v>0</v>
      </c>
      <c r="I49">
        <v>106</v>
      </c>
      <c r="J49" t="s">
        <v>145</v>
      </c>
      <c r="K49" t="s">
        <v>146</v>
      </c>
      <c r="L49" t="s">
        <v>107</v>
      </c>
      <c r="M49" t="s">
        <v>108</v>
      </c>
      <c r="N49" t="s">
        <v>120</v>
      </c>
    </row>
    <row r="50" spans="1:14">
      <c r="A50">
        <v>47</v>
      </c>
      <c r="B50">
        <v>48</v>
      </c>
      <c r="C50">
        <v>2</v>
      </c>
      <c r="D50">
        <v>1</v>
      </c>
      <c r="E50" t="s">
        <v>162</v>
      </c>
      <c r="F50">
        <v>1</v>
      </c>
      <c r="G50">
        <v>1</v>
      </c>
      <c r="H50">
        <v>36</v>
      </c>
      <c r="I50">
        <v>101</v>
      </c>
      <c r="J50" t="s">
        <v>43</v>
      </c>
      <c r="K50" t="s">
        <v>44</v>
      </c>
      <c r="L50" t="s">
        <v>107</v>
      </c>
      <c r="M50" t="s">
        <v>108</v>
      </c>
      <c r="N50" t="s">
        <v>124</v>
      </c>
    </row>
    <row r="51" spans="1:14">
      <c r="A51">
        <v>48</v>
      </c>
      <c r="B51">
        <v>49</v>
      </c>
      <c r="C51">
        <v>2</v>
      </c>
      <c r="D51">
        <v>1</v>
      </c>
      <c r="E51" t="s">
        <v>163</v>
      </c>
      <c r="F51">
        <v>16</v>
      </c>
      <c r="G51">
        <v>10</v>
      </c>
      <c r="H51">
        <v>0</v>
      </c>
      <c r="I51">
        <v>116</v>
      </c>
      <c r="J51" t="s">
        <v>64</v>
      </c>
      <c r="K51" t="s">
        <v>65</v>
      </c>
      <c r="L51" t="s">
        <v>107</v>
      </c>
      <c r="M51" t="s">
        <v>108</v>
      </c>
      <c r="N51" t="s">
        <v>128</v>
      </c>
    </row>
    <row r="52" spans="1:14">
      <c r="A52">
        <v>49</v>
      </c>
      <c r="B52">
        <v>50</v>
      </c>
      <c r="C52">
        <v>2</v>
      </c>
      <c r="D52">
        <v>1</v>
      </c>
      <c r="E52" t="s">
        <v>164</v>
      </c>
      <c r="F52">
        <v>15</v>
      </c>
      <c r="G52">
        <v>10</v>
      </c>
      <c r="H52">
        <v>0</v>
      </c>
      <c r="I52">
        <v>114</v>
      </c>
      <c r="J52" t="s">
        <v>114</v>
      </c>
      <c r="K52" t="s">
        <v>115</v>
      </c>
      <c r="L52" t="s">
        <v>107</v>
      </c>
      <c r="M52" t="s">
        <v>108</v>
      </c>
      <c r="N52" t="s">
        <v>132</v>
      </c>
    </row>
    <row r="53" spans="1:14">
      <c r="A53">
        <v>50</v>
      </c>
      <c r="B53">
        <v>51</v>
      </c>
      <c r="C53">
        <v>2</v>
      </c>
      <c r="D53">
        <v>1</v>
      </c>
      <c r="E53" t="s">
        <v>165</v>
      </c>
      <c r="F53">
        <v>10</v>
      </c>
      <c r="G53">
        <v>2</v>
      </c>
      <c r="H53">
        <v>3</v>
      </c>
      <c r="I53">
        <v>127</v>
      </c>
      <c r="J53" t="s">
        <v>122</v>
      </c>
      <c r="K53" t="s">
        <v>123</v>
      </c>
      <c r="L53" t="s">
        <v>107</v>
      </c>
      <c r="M53" t="s">
        <v>108</v>
      </c>
      <c r="N53" t="s">
        <v>112</v>
      </c>
    </row>
    <row r="54" spans="1:14">
      <c r="A54">
        <v>51</v>
      </c>
      <c r="B54">
        <v>52</v>
      </c>
      <c r="C54">
        <v>2</v>
      </c>
      <c r="D54">
        <v>1</v>
      </c>
      <c r="E54" t="s">
        <v>166</v>
      </c>
      <c r="F54">
        <v>9</v>
      </c>
      <c r="G54">
        <v>8</v>
      </c>
      <c r="H54">
        <v>0</v>
      </c>
      <c r="I54">
        <v>112</v>
      </c>
      <c r="J54" t="s">
        <v>126</v>
      </c>
      <c r="K54" t="s">
        <v>127</v>
      </c>
      <c r="L54" t="s">
        <v>107</v>
      </c>
      <c r="M54" t="s">
        <v>108</v>
      </c>
      <c r="N54" t="s">
        <v>116</v>
      </c>
    </row>
    <row r="55" spans="1:14">
      <c r="A55">
        <v>52</v>
      </c>
      <c r="B55">
        <v>53</v>
      </c>
      <c r="C55">
        <v>2</v>
      </c>
      <c r="D55">
        <v>1</v>
      </c>
      <c r="E55" t="s">
        <v>167</v>
      </c>
      <c r="F55">
        <v>3</v>
      </c>
      <c r="G55">
        <v>2</v>
      </c>
      <c r="H55">
        <v>4</v>
      </c>
      <c r="I55">
        <v>110</v>
      </c>
      <c r="J55" t="s">
        <v>134</v>
      </c>
      <c r="K55" t="s">
        <v>135</v>
      </c>
      <c r="L55" t="s">
        <v>107</v>
      </c>
      <c r="M55" t="s">
        <v>108</v>
      </c>
      <c r="N55" t="s">
        <v>120</v>
      </c>
    </row>
    <row r="56" spans="1:14">
      <c r="A56">
        <v>53</v>
      </c>
      <c r="B56">
        <v>54</v>
      </c>
      <c r="C56">
        <v>2</v>
      </c>
      <c r="D56">
        <v>1</v>
      </c>
      <c r="E56" t="s">
        <v>168</v>
      </c>
      <c r="F56">
        <v>1</v>
      </c>
      <c r="G56">
        <v>1</v>
      </c>
      <c r="H56">
        <v>41</v>
      </c>
      <c r="I56">
        <v>101</v>
      </c>
      <c r="J56" t="s">
        <v>43</v>
      </c>
      <c r="K56" t="s">
        <v>44</v>
      </c>
      <c r="L56" t="s">
        <v>107</v>
      </c>
      <c r="M56" t="s">
        <v>108</v>
      </c>
      <c r="N56" t="s">
        <v>124</v>
      </c>
    </row>
    <row r="57" spans="1:14">
      <c r="A57">
        <v>54</v>
      </c>
      <c r="B57">
        <v>55</v>
      </c>
      <c r="C57">
        <v>2</v>
      </c>
      <c r="D57">
        <v>1</v>
      </c>
      <c r="E57" t="s">
        <v>169</v>
      </c>
      <c r="F57">
        <v>2</v>
      </c>
      <c r="G57">
        <v>3</v>
      </c>
      <c r="H57">
        <v>18</v>
      </c>
      <c r="I57">
        <v>108</v>
      </c>
      <c r="J57" t="s">
        <v>99</v>
      </c>
      <c r="K57" t="s">
        <v>100</v>
      </c>
      <c r="L57" t="s">
        <v>107</v>
      </c>
      <c r="M57" t="s">
        <v>108</v>
      </c>
      <c r="N57" t="s">
        <v>128</v>
      </c>
    </row>
    <row r="58" spans="1:14">
      <c r="A58">
        <v>55</v>
      </c>
      <c r="B58">
        <v>56</v>
      </c>
      <c r="C58">
        <v>2</v>
      </c>
      <c r="D58">
        <v>1</v>
      </c>
      <c r="E58" t="s">
        <v>170</v>
      </c>
      <c r="F58">
        <v>1</v>
      </c>
      <c r="G58">
        <v>1</v>
      </c>
      <c r="H58">
        <v>46</v>
      </c>
      <c r="I58">
        <v>101</v>
      </c>
      <c r="J58" t="s">
        <v>43</v>
      </c>
      <c r="K58" t="s">
        <v>44</v>
      </c>
      <c r="L58" t="s">
        <v>107</v>
      </c>
      <c r="M58" t="s">
        <v>108</v>
      </c>
      <c r="N58" t="s">
        <v>132</v>
      </c>
    </row>
    <row r="59" spans="1:14">
      <c r="A59">
        <v>56</v>
      </c>
      <c r="B59">
        <v>57</v>
      </c>
      <c r="C59">
        <v>2</v>
      </c>
      <c r="D59">
        <v>1</v>
      </c>
      <c r="E59" t="s">
        <v>171</v>
      </c>
      <c r="F59">
        <v>15</v>
      </c>
      <c r="G59">
        <v>15</v>
      </c>
      <c r="H59">
        <v>0</v>
      </c>
      <c r="I59">
        <v>114</v>
      </c>
      <c r="J59" t="s">
        <v>114</v>
      </c>
      <c r="K59" t="s">
        <v>115</v>
      </c>
      <c r="L59" t="s">
        <v>107</v>
      </c>
      <c r="M59" t="s">
        <v>108</v>
      </c>
      <c r="N59" t="s">
        <v>112</v>
      </c>
    </row>
    <row r="60" spans="1:14">
      <c r="A60">
        <v>57</v>
      </c>
      <c r="B60">
        <v>58</v>
      </c>
      <c r="C60">
        <v>2</v>
      </c>
      <c r="D60">
        <v>1</v>
      </c>
      <c r="E60" t="s">
        <v>172</v>
      </c>
      <c r="F60">
        <v>10</v>
      </c>
      <c r="G60">
        <v>1</v>
      </c>
      <c r="H60">
        <v>4</v>
      </c>
      <c r="I60">
        <v>128</v>
      </c>
      <c r="J60" t="s">
        <v>122</v>
      </c>
      <c r="K60" t="s">
        <v>123</v>
      </c>
      <c r="L60" t="s">
        <v>107</v>
      </c>
      <c r="M60" t="s">
        <v>108</v>
      </c>
      <c r="N60" t="s">
        <v>116</v>
      </c>
    </row>
    <row r="61" spans="1:14">
      <c r="A61">
        <v>58</v>
      </c>
      <c r="B61">
        <v>59</v>
      </c>
      <c r="C61">
        <v>2</v>
      </c>
      <c r="D61">
        <v>1</v>
      </c>
      <c r="E61" t="s">
        <v>173</v>
      </c>
      <c r="F61">
        <v>9</v>
      </c>
      <c r="G61">
        <v>10</v>
      </c>
      <c r="H61">
        <v>0</v>
      </c>
      <c r="I61">
        <v>112</v>
      </c>
      <c r="J61" t="s">
        <v>126</v>
      </c>
      <c r="K61" t="s">
        <v>127</v>
      </c>
      <c r="L61" t="s">
        <v>107</v>
      </c>
      <c r="M61" t="s">
        <v>108</v>
      </c>
      <c r="N61" t="s">
        <v>120</v>
      </c>
    </row>
    <row r="62" spans="1:14">
      <c r="A62">
        <v>59</v>
      </c>
      <c r="B62">
        <v>60</v>
      </c>
      <c r="C62">
        <v>2</v>
      </c>
      <c r="D62">
        <v>1</v>
      </c>
      <c r="E62" t="s">
        <v>174</v>
      </c>
      <c r="F62">
        <v>3</v>
      </c>
      <c r="G62">
        <v>3</v>
      </c>
      <c r="H62">
        <v>4</v>
      </c>
      <c r="I62">
        <v>110</v>
      </c>
      <c r="J62" t="s">
        <v>134</v>
      </c>
      <c r="K62" t="s">
        <v>135</v>
      </c>
      <c r="L62" t="s">
        <v>107</v>
      </c>
      <c r="M62" t="s">
        <v>108</v>
      </c>
      <c r="N62" t="s">
        <v>124</v>
      </c>
    </row>
  </sheetData>
  <autoFilter ref="A3:N62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29"/>
  <sheetViews>
    <sheetView workbookViewId="0">
      <selection activeCell="K1" sqref="K1:L129"/>
    </sheetView>
  </sheetViews>
  <sheetFormatPr defaultColWidth="9" defaultRowHeight="13.5"/>
  <cols>
    <col min="2" max="2" width="14.5" customWidth="1"/>
    <col min="7" max="7" width="15.625" customWidth="1"/>
  </cols>
  <sheetData>
    <row r="1" spans="11:12">
      <c r="K1" t="str">
        <f>"renwu_start_"&amp;D1&amp;""</f>
        <v>renwu_start_</v>
      </c>
      <c r="L1" t="str">
        <f>"renwu_end_"&amp;D1&amp;""</f>
        <v>renwu_end_</v>
      </c>
    </row>
    <row r="2" spans="11:12">
      <c r="K2" t="str">
        <f>"renwu_start_"&amp;D2&amp;""</f>
        <v>renwu_start_</v>
      </c>
      <c r="L2" t="str">
        <f>"renwu_end_"&amp;D2&amp;""</f>
        <v>renwu_end_</v>
      </c>
    </row>
    <row r="3" spans="11:12">
      <c r="K3" t="str">
        <f>"renwu_start_"&amp;D3&amp;""</f>
        <v>renwu_start_</v>
      </c>
      <c r="L3" t="str">
        <f>"renwu_end_"&amp;D3&amp;""</f>
        <v>renwu_end_</v>
      </c>
    </row>
    <row r="4" spans="2:12">
      <c r="B4" t="s">
        <v>175</v>
      </c>
      <c r="C4">
        <v>1</v>
      </c>
      <c r="D4">
        <v>1</v>
      </c>
      <c r="F4" t="s">
        <v>176</v>
      </c>
      <c r="G4" s="8" t="s">
        <v>177</v>
      </c>
      <c r="K4" t="str">
        <f>"renwu_start_6"</f>
        <v>renwu_start_6</v>
      </c>
      <c r="L4" t="str">
        <f>"renwu_end_6"</f>
        <v>renwu_end_6</v>
      </c>
    </row>
    <row r="5" spans="2:12">
      <c r="B5" t="s">
        <v>175</v>
      </c>
      <c r="C5">
        <v>1</v>
      </c>
      <c r="D5">
        <v>2</v>
      </c>
      <c r="G5" s="8" t="s">
        <v>178</v>
      </c>
      <c r="K5" t="str">
        <f>"renwu_start_5"</f>
        <v>renwu_start_5</v>
      </c>
      <c r="L5" t="str">
        <f>"renwu_end_5"</f>
        <v>renwu_end_5</v>
      </c>
    </row>
    <row r="6" spans="2:12">
      <c r="B6" t="s">
        <v>175</v>
      </c>
      <c r="C6">
        <v>1</v>
      </c>
      <c r="D6">
        <v>3</v>
      </c>
      <c r="G6" s="8" t="s">
        <v>179</v>
      </c>
      <c r="K6" s="9" t="s">
        <v>180</v>
      </c>
      <c r="L6" s="9" t="s">
        <v>181</v>
      </c>
    </row>
    <row r="7" spans="2:12">
      <c r="B7" t="s">
        <v>175</v>
      </c>
      <c r="C7">
        <v>1</v>
      </c>
      <c r="D7">
        <v>4</v>
      </c>
      <c r="G7" s="8" t="s">
        <v>182</v>
      </c>
      <c r="K7" t="str">
        <f>"renwu_start_"&amp;8&amp;""</f>
        <v>renwu_start_8</v>
      </c>
      <c r="L7" t="str">
        <f>"renwu_end_"&amp;8&amp;""</f>
        <v>renwu_end_8</v>
      </c>
    </row>
    <row r="8" spans="2:12">
      <c r="B8" t="s">
        <v>175</v>
      </c>
      <c r="C8">
        <v>1</v>
      </c>
      <c r="D8">
        <v>5</v>
      </c>
      <c r="G8" s="8"/>
      <c r="K8" t="str">
        <f>"renwu_start_"&amp;9&amp;""</f>
        <v>renwu_start_9</v>
      </c>
      <c r="L8" t="str">
        <f>"renwu_end_"&amp;9&amp;""</f>
        <v>renwu_end_9</v>
      </c>
    </row>
    <row r="9" spans="2:12">
      <c r="B9" t="s">
        <v>175</v>
      </c>
      <c r="C9">
        <v>1</v>
      </c>
      <c r="D9">
        <v>6</v>
      </c>
      <c r="G9" s="8" t="s">
        <v>183</v>
      </c>
      <c r="K9" t="s">
        <v>184</v>
      </c>
      <c r="L9" t="s">
        <v>185</v>
      </c>
    </row>
    <row r="10" spans="2:12">
      <c r="B10" t="s">
        <v>175</v>
      </c>
      <c r="C10">
        <v>2</v>
      </c>
      <c r="D10">
        <v>1</v>
      </c>
      <c r="G10" s="8" t="s">
        <v>186</v>
      </c>
      <c r="K10" s="10" t="s">
        <v>187</v>
      </c>
      <c r="L10" s="11" t="s">
        <v>188</v>
      </c>
    </row>
    <row r="11" spans="2:12">
      <c r="B11" t="s">
        <v>175</v>
      </c>
      <c r="C11">
        <v>2</v>
      </c>
      <c r="D11">
        <v>2</v>
      </c>
      <c r="G11" s="8"/>
      <c r="K11" t="str">
        <f>"renwu_start_12"</f>
        <v>renwu_start_12</v>
      </c>
      <c r="L11" t="str">
        <f>"renwu_end_12"</f>
        <v>renwu_end_12</v>
      </c>
    </row>
    <row r="12" spans="2:12">
      <c r="B12" t="s">
        <v>175</v>
      </c>
      <c r="C12">
        <v>2</v>
      </c>
      <c r="D12">
        <v>3</v>
      </c>
      <c r="G12" s="8"/>
      <c r="K12" s="12" t="s">
        <v>189</v>
      </c>
      <c r="L12" s="12" t="s">
        <v>190</v>
      </c>
    </row>
    <row r="13" spans="2:12">
      <c r="B13" t="s">
        <v>175</v>
      </c>
      <c r="C13">
        <v>2</v>
      </c>
      <c r="D13">
        <v>4</v>
      </c>
      <c r="G13" s="8" t="s">
        <v>191</v>
      </c>
      <c r="K13" s="13" t="s">
        <v>192</v>
      </c>
      <c r="L13" s="13" t="s">
        <v>193</v>
      </c>
    </row>
    <row r="14" spans="2:12">
      <c r="B14" t="s">
        <v>175</v>
      </c>
      <c r="C14">
        <v>2</v>
      </c>
      <c r="D14">
        <v>5</v>
      </c>
      <c r="G14" s="8" t="s">
        <v>194</v>
      </c>
      <c r="K14" s="14" t="s">
        <v>195</v>
      </c>
      <c r="L14" s="14" t="s">
        <v>196</v>
      </c>
    </row>
    <row r="15" spans="2:12">
      <c r="B15" t="s">
        <v>175</v>
      </c>
      <c r="C15">
        <v>2</v>
      </c>
      <c r="D15">
        <v>6</v>
      </c>
      <c r="G15" s="8"/>
      <c r="K15" t="str">
        <f>"renwu_start_11"</f>
        <v>renwu_start_11</v>
      </c>
      <c r="L15" t="s">
        <v>197</v>
      </c>
    </row>
    <row r="16" spans="7:12">
      <c r="G16" s="8" t="s">
        <v>198</v>
      </c>
      <c r="K16" s="15" t="s">
        <v>199</v>
      </c>
      <c r="L16" s="15" t="s">
        <v>200</v>
      </c>
    </row>
    <row r="17" spans="7:12">
      <c r="G17" s="8"/>
      <c r="K17" t="str">
        <f>"renwu_start_16"</f>
        <v>renwu_start_16</v>
      </c>
      <c r="L17" t="str">
        <f>"renwu_end_16"</f>
        <v>renwu_end_16</v>
      </c>
    </row>
    <row r="18" spans="2:12">
      <c r="B18" t="s">
        <v>201</v>
      </c>
      <c r="C18">
        <v>1</v>
      </c>
      <c r="G18" s="8" t="s">
        <v>202</v>
      </c>
      <c r="K18" s="16" t="s">
        <v>203</v>
      </c>
      <c r="L18" s="16" t="s">
        <v>204</v>
      </c>
    </row>
    <row r="19" spans="3:12">
      <c r="C19">
        <v>2</v>
      </c>
      <c r="K19" s="17" t="s">
        <v>205</v>
      </c>
      <c r="L19" s="17" t="s">
        <v>206</v>
      </c>
    </row>
    <row r="20" spans="3:12">
      <c r="C20">
        <v>3</v>
      </c>
      <c r="K20" t="str">
        <f>"renwu_start_"&amp;21&amp;""</f>
        <v>renwu_start_21</v>
      </c>
      <c r="L20" t="str">
        <f>"renwu_end_"&amp;21&amp;""</f>
        <v>renwu_end_21</v>
      </c>
    </row>
    <row r="21" spans="3:12">
      <c r="C21">
        <v>4</v>
      </c>
      <c r="K21" s="9" t="s">
        <v>180</v>
      </c>
      <c r="L21" s="9" t="s">
        <v>181</v>
      </c>
    </row>
    <row r="22" spans="3:12">
      <c r="C22">
        <v>5</v>
      </c>
      <c r="G22" t="s">
        <v>207</v>
      </c>
      <c r="K22" s="13" t="s">
        <v>192</v>
      </c>
      <c r="L22" s="13" t="s">
        <v>193</v>
      </c>
    </row>
    <row r="23" spans="3:12">
      <c r="C23">
        <v>6</v>
      </c>
      <c r="K23" t="s">
        <v>208</v>
      </c>
      <c r="L23" t="s">
        <v>209</v>
      </c>
    </row>
    <row r="24" spans="3:12">
      <c r="C24">
        <v>7</v>
      </c>
      <c r="K24" s="13" t="s">
        <v>192</v>
      </c>
      <c r="L24" s="13" t="s">
        <v>193</v>
      </c>
    </row>
    <row r="25" spans="7:12">
      <c r="G25" t="s">
        <v>210</v>
      </c>
      <c r="K25" s="10" t="s">
        <v>187</v>
      </c>
      <c r="L25" s="11" t="s">
        <v>188</v>
      </c>
    </row>
    <row r="26" spans="11:12">
      <c r="K26" s="13" t="s">
        <v>192</v>
      </c>
      <c r="L26" s="13" t="s">
        <v>193</v>
      </c>
    </row>
    <row r="27" spans="7:12">
      <c r="G27" t="s">
        <v>211</v>
      </c>
      <c r="K27" s="14" t="s">
        <v>195</v>
      </c>
      <c r="L27" s="14" t="s">
        <v>196</v>
      </c>
    </row>
    <row r="28" spans="2:12">
      <c r="B28" t="s">
        <v>212</v>
      </c>
      <c r="C28">
        <v>1</v>
      </c>
      <c r="G28" t="s">
        <v>213</v>
      </c>
      <c r="K28" s="15" t="s">
        <v>199</v>
      </c>
      <c r="L28" s="15" t="s">
        <v>200</v>
      </c>
    </row>
    <row r="29" spans="3:12">
      <c r="C29">
        <v>2</v>
      </c>
      <c r="G29" t="s">
        <v>214</v>
      </c>
      <c r="K29" s="13" t="s">
        <v>192</v>
      </c>
      <c r="L29" s="13" t="s">
        <v>193</v>
      </c>
    </row>
    <row r="30" spans="3:12">
      <c r="C30">
        <v>3</v>
      </c>
      <c r="G30" t="s">
        <v>215</v>
      </c>
      <c r="K30" s="16" t="s">
        <v>203</v>
      </c>
      <c r="L30" s="16" t="s">
        <v>204</v>
      </c>
    </row>
    <row r="31" spans="3:12">
      <c r="C31">
        <v>4</v>
      </c>
      <c r="K31" s="17" t="s">
        <v>205</v>
      </c>
      <c r="L31" s="17" t="s">
        <v>206</v>
      </c>
    </row>
    <row r="32" spans="3:12">
      <c r="C32">
        <v>5</v>
      </c>
      <c r="K32" s="13" t="s">
        <v>192</v>
      </c>
      <c r="L32" s="13" t="s">
        <v>193</v>
      </c>
    </row>
    <row r="33" spans="3:12">
      <c r="C33">
        <v>6</v>
      </c>
      <c r="G33" t="s">
        <v>216</v>
      </c>
      <c r="K33" s="12" t="s">
        <v>189</v>
      </c>
      <c r="L33" s="12" t="s">
        <v>190</v>
      </c>
    </row>
    <row r="34" spans="3:12">
      <c r="C34">
        <v>7</v>
      </c>
      <c r="K34" s="13" t="s">
        <v>192</v>
      </c>
      <c r="L34" s="13" t="s">
        <v>193</v>
      </c>
    </row>
    <row r="35" spans="11:12">
      <c r="K35" s="9" t="s">
        <v>180</v>
      </c>
      <c r="L35" s="9" t="s">
        <v>181</v>
      </c>
    </row>
    <row r="36" spans="11:12">
      <c r="K36" s="13" t="s">
        <v>192</v>
      </c>
      <c r="L36" s="13" t="s">
        <v>193</v>
      </c>
    </row>
    <row r="37" spans="11:12">
      <c r="K37" t="s">
        <v>208</v>
      </c>
      <c r="L37" t="s">
        <v>209</v>
      </c>
    </row>
    <row r="38" spans="11:12">
      <c r="K38" s="13" t="s">
        <v>192</v>
      </c>
      <c r="L38" s="13" t="s">
        <v>193</v>
      </c>
    </row>
    <row r="39" spans="11:12">
      <c r="K39" s="10" t="s">
        <v>187</v>
      </c>
      <c r="L39" s="11" t="s">
        <v>188</v>
      </c>
    </row>
    <row r="40" spans="11:12">
      <c r="K40" s="13" t="s">
        <v>192</v>
      </c>
      <c r="L40" s="13" t="s">
        <v>193</v>
      </c>
    </row>
    <row r="41" spans="11:12">
      <c r="K41" s="14" t="s">
        <v>195</v>
      </c>
      <c r="L41" s="14" t="s">
        <v>196</v>
      </c>
    </row>
    <row r="42" spans="11:12">
      <c r="K42" s="15" t="s">
        <v>199</v>
      </c>
      <c r="L42" s="15" t="s">
        <v>200</v>
      </c>
    </row>
    <row r="43" spans="11:12">
      <c r="K43" s="13" t="s">
        <v>192</v>
      </c>
      <c r="L43" s="13" t="s">
        <v>193</v>
      </c>
    </row>
    <row r="44" spans="11:12">
      <c r="K44" s="16" t="s">
        <v>203</v>
      </c>
      <c r="L44" s="16" t="s">
        <v>204</v>
      </c>
    </row>
    <row r="45" spans="11:12">
      <c r="K45" s="17" t="s">
        <v>205</v>
      </c>
      <c r="L45" s="17" t="s">
        <v>206</v>
      </c>
    </row>
    <row r="46" spans="11:12">
      <c r="K46" s="13" t="s">
        <v>192</v>
      </c>
      <c r="L46" s="13" t="s">
        <v>193</v>
      </c>
    </row>
    <row r="47" spans="11:12">
      <c r="K47" s="12" t="s">
        <v>189</v>
      </c>
      <c r="L47" s="12" t="s">
        <v>190</v>
      </c>
    </row>
    <row r="48" spans="11:12">
      <c r="K48" s="13" t="s">
        <v>192</v>
      </c>
      <c r="L48" s="13" t="s">
        <v>193</v>
      </c>
    </row>
    <row r="49" spans="11:12">
      <c r="K49" s="9" t="s">
        <v>180</v>
      </c>
      <c r="L49" s="9" t="s">
        <v>181</v>
      </c>
    </row>
    <row r="50" spans="11:12">
      <c r="K50" s="13" t="s">
        <v>192</v>
      </c>
      <c r="L50" s="13" t="s">
        <v>193</v>
      </c>
    </row>
    <row r="51" spans="11:12">
      <c r="K51" t="s">
        <v>208</v>
      </c>
      <c r="L51" t="s">
        <v>209</v>
      </c>
    </row>
    <row r="52" spans="11:12">
      <c r="K52" s="13" t="s">
        <v>192</v>
      </c>
      <c r="L52" s="13" t="s">
        <v>193</v>
      </c>
    </row>
    <row r="53" spans="11:12">
      <c r="K53" s="14" t="s">
        <v>195</v>
      </c>
      <c r="L53" s="14" t="s">
        <v>196</v>
      </c>
    </row>
    <row r="54" spans="11:12">
      <c r="K54" s="15" t="s">
        <v>199</v>
      </c>
      <c r="L54" s="15" t="s">
        <v>200</v>
      </c>
    </row>
    <row r="55" spans="11:12">
      <c r="K55" s="13" t="s">
        <v>192</v>
      </c>
      <c r="L55" s="13" t="s">
        <v>193</v>
      </c>
    </row>
    <row r="56" spans="11:12">
      <c r="K56" s="10" t="s">
        <v>187</v>
      </c>
      <c r="L56" s="11" t="s">
        <v>188</v>
      </c>
    </row>
    <row r="57" spans="11:12">
      <c r="K57" s="13" t="s">
        <v>192</v>
      </c>
      <c r="L57" s="13" t="s">
        <v>193</v>
      </c>
    </row>
    <row r="58" spans="11:12">
      <c r="K58" s="16" t="s">
        <v>203</v>
      </c>
      <c r="L58" s="16" t="s">
        <v>204</v>
      </c>
    </row>
    <row r="59" spans="11:12">
      <c r="K59" s="17" t="s">
        <v>205</v>
      </c>
      <c r="L59" s="17" t="s">
        <v>206</v>
      </c>
    </row>
    <row r="60" spans="11:12">
      <c r="K60" s="13" t="s">
        <v>192</v>
      </c>
      <c r="L60" s="13" t="s">
        <v>193</v>
      </c>
    </row>
    <row r="61" spans="11:12">
      <c r="K61" s="12" t="s">
        <v>189</v>
      </c>
      <c r="L61" s="12" t="s">
        <v>190</v>
      </c>
    </row>
    <row r="62" spans="11:12">
      <c r="K62" s="13" t="s">
        <v>192</v>
      </c>
      <c r="L62" s="13" t="s">
        <v>193</v>
      </c>
    </row>
    <row r="63" spans="11:12">
      <c r="K63" s="9" t="s">
        <v>180</v>
      </c>
      <c r="L63" s="9" t="s">
        <v>181</v>
      </c>
    </row>
    <row r="64" spans="11:12">
      <c r="K64" s="13" t="s">
        <v>192</v>
      </c>
      <c r="L64" s="13" t="s">
        <v>193</v>
      </c>
    </row>
    <row r="65" spans="11:12">
      <c r="K65" t="s">
        <v>208</v>
      </c>
      <c r="L65" t="s">
        <v>209</v>
      </c>
    </row>
    <row r="66" spans="11:12">
      <c r="K66" s="13" t="s">
        <v>192</v>
      </c>
      <c r="L66" s="13" t="s">
        <v>193</v>
      </c>
    </row>
    <row r="67" spans="11:12">
      <c r="K67" s="14" t="s">
        <v>195</v>
      </c>
      <c r="L67" s="14" t="s">
        <v>196</v>
      </c>
    </row>
    <row r="68" spans="11:12">
      <c r="K68" s="15" t="s">
        <v>199</v>
      </c>
      <c r="L68" s="15" t="s">
        <v>200</v>
      </c>
    </row>
    <row r="69" spans="11:12">
      <c r="K69" s="13" t="s">
        <v>192</v>
      </c>
      <c r="L69" s="13" t="s">
        <v>193</v>
      </c>
    </row>
    <row r="70" spans="11:12">
      <c r="K70" s="10" t="s">
        <v>187</v>
      </c>
      <c r="L70" s="11" t="s">
        <v>188</v>
      </c>
    </row>
    <row r="71" spans="11:12">
      <c r="K71" s="13" t="s">
        <v>192</v>
      </c>
      <c r="L71" s="13" t="s">
        <v>193</v>
      </c>
    </row>
    <row r="72" spans="11:12">
      <c r="K72" s="16" t="s">
        <v>203</v>
      </c>
      <c r="L72" s="16" t="s">
        <v>204</v>
      </c>
    </row>
    <row r="73" spans="11:12">
      <c r="K73" s="17" t="s">
        <v>205</v>
      </c>
      <c r="L73" s="17" t="s">
        <v>206</v>
      </c>
    </row>
    <row r="74" spans="11:12">
      <c r="K74" s="13" t="s">
        <v>192</v>
      </c>
      <c r="L74" s="13" t="s">
        <v>193</v>
      </c>
    </row>
    <row r="75" spans="11:12">
      <c r="K75" s="12" t="s">
        <v>189</v>
      </c>
      <c r="L75" s="12" t="s">
        <v>190</v>
      </c>
    </row>
    <row r="76" spans="11:12">
      <c r="K76" s="13" t="s">
        <v>192</v>
      </c>
      <c r="L76" s="13" t="s">
        <v>193</v>
      </c>
    </row>
    <row r="77" spans="11:12">
      <c r="K77" s="9" t="s">
        <v>180</v>
      </c>
      <c r="L77" s="9" t="s">
        <v>181</v>
      </c>
    </row>
    <row r="78" spans="11:12">
      <c r="K78" s="13" t="s">
        <v>192</v>
      </c>
      <c r="L78" s="13" t="s">
        <v>193</v>
      </c>
    </row>
    <row r="79" spans="11:12">
      <c r="K79" t="s">
        <v>208</v>
      </c>
      <c r="L79" t="s">
        <v>209</v>
      </c>
    </row>
    <row r="80" spans="11:12">
      <c r="K80" s="13" t="s">
        <v>192</v>
      </c>
      <c r="L80" s="13" t="s">
        <v>193</v>
      </c>
    </row>
    <row r="81" spans="11:12">
      <c r="K81" s="14" t="s">
        <v>195</v>
      </c>
      <c r="L81" s="14" t="s">
        <v>196</v>
      </c>
    </row>
    <row r="82" spans="11:12">
      <c r="K82" s="15" t="s">
        <v>199</v>
      </c>
      <c r="L82" s="15" t="s">
        <v>200</v>
      </c>
    </row>
    <row r="83" spans="11:12">
      <c r="K83" s="13" t="s">
        <v>192</v>
      </c>
      <c r="L83" s="13" t="s">
        <v>193</v>
      </c>
    </row>
    <row r="84" spans="11:12">
      <c r="K84" s="10" t="s">
        <v>187</v>
      </c>
      <c r="L84" s="11" t="s">
        <v>188</v>
      </c>
    </row>
    <row r="85" spans="11:12">
      <c r="K85" s="13" t="s">
        <v>192</v>
      </c>
      <c r="L85" s="13" t="s">
        <v>193</v>
      </c>
    </row>
    <row r="86" spans="11:12">
      <c r="K86" s="16" t="s">
        <v>203</v>
      </c>
      <c r="L86" s="16" t="s">
        <v>204</v>
      </c>
    </row>
    <row r="87" spans="11:12">
      <c r="K87" s="17" t="s">
        <v>205</v>
      </c>
      <c r="L87" s="17" t="s">
        <v>206</v>
      </c>
    </row>
    <row r="88" spans="11:12">
      <c r="K88" s="13" t="s">
        <v>192</v>
      </c>
      <c r="L88" s="13" t="s">
        <v>193</v>
      </c>
    </row>
    <row r="89" spans="11:12">
      <c r="K89" s="12" t="s">
        <v>189</v>
      </c>
      <c r="L89" s="12" t="s">
        <v>190</v>
      </c>
    </row>
    <row r="90" spans="11:12">
      <c r="K90" s="13" t="s">
        <v>192</v>
      </c>
      <c r="L90" s="13" t="s">
        <v>193</v>
      </c>
    </row>
    <row r="91" spans="11:12">
      <c r="K91" s="9" t="s">
        <v>180</v>
      </c>
      <c r="L91" s="9" t="s">
        <v>181</v>
      </c>
    </row>
    <row r="92" spans="11:12">
      <c r="K92" s="13" t="s">
        <v>192</v>
      </c>
      <c r="L92" s="13" t="s">
        <v>193</v>
      </c>
    </row>
    <row r="93" spans="11:12">
      <c r="K93" t="s">
        <v>208</v>
      </c>
      <c r="L93" t="s">
        <v>209</v>
      </c>
    </row>
    <row r="94" spans="11:12">
      <c r="K94" s="13" t="s">
        <v>192</v>
      </c>
      <c r="L94" s="13" t="s">
        <v>193</v>
      </c>
    </row>
    <row r="95" spans="11:12">
      <c r="K95" s="14" t="s">
        <v>195</v>
      </c>
      <c r="L95" s="14" t="s">
        <v>196</v>
      </c>
    </row>
    <row r="96" spans="11:12">
      <c r="K96" s="15" t="s">
        <v>199</v>
      </c>
      <c r="L96" s="15" t="s">
        <v>200</v>
      </c>
    </row>
    <row r="97" spans="11:12">
      <c r="K97" s="13" t="s">
        <v>192</v>
      </c>
      <c r="L97" s="13" t="s">
        <v>193</v>
      </c>
    </row>
    <row r="98" spans="11:12">
      <c r="K98" s="10" t="s">
        <v>187</v>
      </c>
      <c r="L98" s="11" t="s">
        <v>188</v>
      </c>
    </row>
    <row r="99" spans="11:12">
      <c r="K99" s="13" t="s">
        <v>192</v>
      </c>
      <c r="L99" s="13" t="s">
        <v>193</v>
      </c>
    </row>
    <row r="100" spans="11:12">
      <c r="K100" s="16" t="s">
        <v>203</v>
      </c>
      <c r="L100" s="16" t="s">
        <v>204</v>
      </c>
    </row>
    <row r="101" spans="11:12">
      <c r="K101" s="17" t="s">
        <v>205</v>
      </c>
      <c r="L101" s="17" t="s">
        <v>206</v>
      </c>
    </row>
    <row r="102" spans="11:12">
      <c r="K102" s="13" t="s">
        <v>192</v>
      </c>
      <c r="L102" s="13" t="s">
        <v>193</v>
      </c>
    </row>
    <row r="103" spans="11:12">
      <c r="K103" s="12" t="s">
        <v>189</v>
      </c>
      <c r="L103" s="12" t="s">
        <v>190</v>
      </c>
    </row>
    <row r="104" spans="11:12">
      <c r="K104" s="13" t="s">
        <v>192</v>
      </c>
      <c r="L104" s="13" t="s">
        <v>193</v>
      </c>
    </row>
    <row r="105" spans="11:12">
      <c r="K105" s="9" t="s">
        <v>180</v>
      </c>
      <c r="L105" s="9" t="s">
        <v>181</v>
      </c>
    </row>
    <row r="106" spans="11:12">
      <c r="K106" s="13" t="s">
        <v>192</v>
      </c>
      <c r="L106" s="13" t="s">
        <v>193</v>
      </c>
    </row>
    <row r="107" spans="11:12">
      <c r="K107" t="s">
        <v>208</v>
      </c>
      <c r="L107" t="s">
        <v>209</v>
      </c>
    </row>
    <row r="108" spans="11:12">
      <c r="K108" s="13" t="s">
        <v>192</v>
      </c>
      <c r="L108" s="13" t="s">
        <v>193</v>
      </c>
    </row>
    <row r="109" spans="11:12">
      <c r="K109" s="14" t="s">
        <v>195</v>
      </c>
      <c r="L109" s="14" t="s">
        <v>196</v>
      </c>
    </row>
    <row r="110" spans="11:12">
      <c r="K110" s="15" t="s">
        <v>199</v>
      </c>
      <c r="L110" s="15" t="s">
        <v>200</v>
      </c>
    </row>
    <row r="111" spans="11:12">
      <c r="K111" s="13" t="s">
        <v>192</v>
      </c>
      <c r="L111" s="13" t="s">
        <v>193</v>
      </c>
    </row>
    <row r="112" spans="11:12">
      <c r="K112" s="10" t="s">
        <v>187</v>
      </c>
      <c r="L112" s="11" t="s">
        <v>188</v>
      </c>
    </row>
    <row r="113" spans="11:12">
      <c r="K113" s="13" t="s">
        <v>192</v>
      </c>
      <c r="L113" s="13" t="s">
        <v>193</v>
      </c>
    </row>
    <row r="114" spans="11:12">
      <c r="K114" s="16" t="s">
        <v>203</v>
      </c>
      <c r="L114" s="16" t="s">
        <v>204</v>
      </c>
    </row>
    <row r="115" spans="11:12">
      <c r="K115" s="17" t="s">
        <v>205</v>
      </c>
      <c r="L115" s="17" t="s">
        <v>206</v>
      </c>
    </row>
    <row r="116" spans="11:12">
      <c r="K116" s="13" t="s">
        <v>192</v>
      </c>
      <c r="L116" s="13" t="s">
        <v>193</v>
      </c>
    </row>
    <row r="117" spans="11:12">
      <c r="K117" s="12" t="s">
        <v>189</v>
      </c>
      <c r="L117" s="12" t="s">
        <v>190</v>
      </c>
    </row>
    <row r="118" spans="11:12">
      <c r="K118" s="13" t="s">
        <v>192</v>
      </c>
      <c r="L118" s="13" t="s">
        <v>193</v>
      </c>
    </row>
    <row r="119" spans="11:12">
      <c r="K119" s="9" t="s">
        <v>180</v>
      </c>
      <c r="L119" s="9" t="s">
        <v>181</v>
      </c>
    </row>
    <row r="120" spans="11:12">
      <c r="K120" s="13" t="s">
        <v>192</v>
      </c>
      <c r="L120" s="13" t="s">
        <v>193</v>
      </c>
    </row>
    <row r="121" spans="11:12">
      <c r="K121" t="s">
        <v>208</v>
      </c>
      <c r="L121" t="s">
        <v>209</v>
      </c>
    </row>
    <row r="122" spans="11:12">
      <c r="K122" s="13" t="s">
        <v>192</v>
      </c>
      <c r="L122" s="13" t="s">
        <v>193</v>
      </c>
    </row>
    <row r="123" spans="11:12">
      <c r="K123" s="14" t="s">
        <v>195</v>
      </c>
      <c r="L123" s="14" t="s">
        <v>196</v>
      </c>
    </row>
    <row r="124" spans="11:12">
      <c r="K124" s="15" t="s">
        <v>199</v>
      </c>
      <c r="L124" s="15" t="s">
        <v>200</v>
      </c>
    </row>
    <row r="125" spans="11:12">
      <c r="K125" s="13" t="s">
        <v>192</v>
      </c>
      <c r="L125" s="13" t="s">
        <v>193</v>
      </c>
    </row>
    <row r="126" spans="11:12">
      <c r="K126" s="10" t="s">
        <v>187</v>
      </c>
      <c r="L126" s="11" t="s">
        <v>188</v>
      </c>
    </row>
    <row r="127" spans="11:12">
      <c r="K127" s="13" t="s">
        <v>192</v>
      </c>
      <c r="L127" s="13" t="s">
        <v>193</v>
      </c>
    </row>
    <row r="128" spans="11:12">
      <c r="K128" s="16" t="s">
        <v>203</v>
      </c>
      <c r="L128" s="16" t="s">
        <v>204</v>
      </c>
    </row>
    <row r="129" spans="11:12">
      <c r="K129" s="17" t="s">
        <v>205</v>
      </c>
      <c r="L129" s="17" t="s">
        <v>206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55"/>
  <sheetViews>
    <sheetView topLeftCell="A13" workbookViewId="0">
      <selection activeCell="G50" sqref="G50"/>
    </sheetView>
  </sheetViews>
  <sheetFormatPr defaultColWidth="9" defaultRowHeight="13.5" outlineLevelCol="4"/>
  <cols>
    <col min="2" max="2" width="25.375" customWidth="1"/>
    <col min="3" max="3" width="16.625" customWidth="1"/>
    <col min="4" max="4" width="37.375" customWidth="1"/>
    <col min="5" max="5" width="22.5" customWidth="1"/>
  </cols>
  <sheetData>
    <row r="2" spans="3:3">
      <c r="C2" t="s">
        <v>217</v>
      </c>
    </row>
    <row r="3" spans="1:4">
      <c r="A3">
        <v>1</v>
      </c>
      <c r="B3" t="s">
        <v>218</v>
      </c>
      <c r="C3" t="s">
        <v>219</v>
      </c>
      <c r="D3" t="s">
        <v>220</v>
      </c>
    </row>
    <row r="4" spans="1:4">
      <c r="A4">
        <v>2</v>
      </c>
      <c r="B4" t="s">
        <v>221</v>
      </c>
      <c r="C4" t="s">
        <v>222</v>
      </c>
      <c r="D4" t="s">
        <v>223</v>
      </c>
    </row>
    <row r="5" spans="1:4">
      <c r="A5">
        <v>3</v>
      </c>
      <c r="B5" t="s">
        <v>224</v>
      </c>
      <c r="D5" t="s">
        <v>220</v>
      </c>
    </row>
    <row r="6" spans="1:3">
      <c r="A6">
        <v>4</v>
      </c>
      <c r="B6" t="s">
        <v>225</v>
      </c>
      <c r="C6" t="s">
        <v>226</v>
      </c>
    </row>
    <row r="7" spans="1:4">
      <c r="A7">
        <v>5</v>
      </c>
      <c r="B7" t="s">
        <v>177</v>
      </c>
      <c r="C7" t="s">
        <v>227</v>
      </c>
      <c r="D7" t="s">
        <v>228</v>
      </c>
    </row>
    <row r="8" spans="1:3">
      <c r="A8">
        <v>6</v>
      </c>
      <c r="B8" t="s">
        <v>229</v>
      </c>
      <c r="C8" t="s">
        <v>227</v>
      </c>
    </row>
    <row r="9" spans="1:3">
      <c r="A9">
        <v>7</v>
      </c>
      <c r="B9" t="s">
        <v>230</v>
      </c>
      <c r="C9" t="s">
        <v>231</v>
      </c>
    </row>
    <row r="10" spans="1:3">
      <c r="A10">
        <v>8</v>
      </c>
      <c r="B10" t="s">
        <v>232</v>
      </c>
      <c r="C10" t="s">
        <v>233</v>
      </c>
    </row>
    <row r="11" spans="1:3">
      <c r="A11">
        <v>9</v>
      </c>
      <c r="B11" t="s">
        <v>234</v>
      </c>
      <c r="C11" t="s">
        <v>235</v>
      </c>
    </row>
    <row r="12" spans="1:4">
      <c r="A12">
        <v>10</v>
      </c>
      <c r="B12" t="s">
        <v>236</v>
      </c>
      <c r="C12" t="s">
        <v>237</v>
      </c>
      <c r="D12" t="s">
        <v>238</v>
      </c>
    </row>
    <row r="13" spans="1:3">
      <c r="A13">
        <v>11</v>
      </c>
      <c r="B13" t="s">
        <v>239</v>
      </c>
      <c r="C13" t="s">
        <v>227</v>
      </c>
    </row>
    <row r="14" spans="1:3">
      <c r="A14">
        <v>12</v>
      </c>
      <c r="B14" t="s">
        <v>240</v>
      </c>
      <c r="C14" t="s">
        <v>241</v>
      </c>
    </row>
    <row r="15" spans="1:3">
      <c r="A15">
        <v>13</v>
      </c>
      <c r="B15" t="s">
        <v>242</v>
      </c>
      <c r="C15" t="s">
        <v>235</v>
      </c>
    </row>
    <row r="16" spans="1:3">
      <c r="A16">
        <v>14</v>
      </c>
      <c r="B16" t="s">
        <v>243</v>
      </c>
      <c r="C16" t="s">
        <v>235</v>
      </c>
    </row>
    <row r="17" spans="1:3">
      <c r="A17">
        <v>15</v>
      </c>
      <c r="B17" t="s">
        <v>244</v>
      </c>
      <c r="C17" t="s">
        <v>245</v>
      </c>
    </row>
    <row r="18" spans="1:3">
      <c r="A18">
        <v>16</v>
      </c>
      <c r="B18" t="s">
        <v>246</v>
      </c>
      <c r="C18" t="s">
        <v>235</v>
      </c>
    </row>
    <row r="19" spans="1:4">
      <c r="A19">
        <v>17</v>
      </c>
      <c r="B19" t="s">
        <v>247</v>
      </c>
      <c r="C19" t="s">
        <v>235</v>
      </c>
      <c r="D19" t="s">
        <v>248</v>
      </c>
    </row>
    <row r="20" spans="1:3">
      <c r="A20">
        <v>18</v>
      </c>
      <c r="B20" t="s">
        <v>249</v>
      </c>
      <c r="C20" t="s">
        <v>250</v>
      </c>
    </row>
    <row r="21" spans="1:3">
      <c r="A21">
        <v>19</v>
      </c>
      <c r="B21" t="s">
        <v>251</v>
      </c>
      <c r="C21" t="s">
        <v>235</v>
      </c>
    </row>
    <row r="22" spans="1:3">
      <c r="A22">
        <v>20</v>
      </c>
      <c r="B22" t="s">
        <v>252</v>
      </c>
      <c r="C22" t="s">
        <v>241</v>
      </c>
    </row>
    <row r="23" spans="1:3">
      <c r="A23">
        <v>21</v>
      </c>
      <c r="B23" t="s">
        <v>253</v>
      </c>
      <c r="C23" t="s">
        <v>254</v>
      </c>
    </row>
    <row r="24" spans="1:3">
      <c r="A24">
        <v>22</v>
      </c>
      <c r="B24" t="s">
        <v>255</v>
      </c>
      <c r="C24" t="s">
        <v>256</v>
      </c>
    </row>
    <row r="25" spans="1:4">
      <c r="A25">
        <v>23</v>
      </c>
      <c r="B25" t="s">
        <v>257</v>
      </c>
      <c r="C25" t="s">
        <v>258</v>
      </c>
      <c r="D25" t="s">
        <v>259</v>
      </c>
    </row>
    <row r="26" spans="1:2">
      <c r="A26">
        <v>24</v>
      </c>
      <c r="B26" t="s">
        <v>260</v>
      </c>
    </row>
    <row r="27" spans="1:4">
      <c r="A27">
        <v>25</v>
      </c>
      <c r="B27" t="s">
        <v>261</v>
      </c>
      <c r="C27" t="s">
        <v>262</v>
      </c>
      <c r="D27" t="s">
        <v>263</v>
      </c>
    </row>
    <row r="28" spans="1:3">
      <c r="A28">
        <v>26</v>
      </c>
      <c r="B28" t="s">
        <v>264</v>
      </c>
      <c r="C28" t="s">
        <v>265</v>
      </c>
    </row>
    <row r="29" spans="1:3">
      <c r="A29">
        <v>27</v>
      </c>
      <c r="B29" t="s">
        <v>266</v>
      </c>
      <c r="C29" t="s">
        <v>265</v>
      </c>
    </row>
    <row r="30" spans="1:3">
      <c r="A30">
        <v>28</v>
      </c>
      <c r="B30" t="s">
        <v>267</v>
      </c>
      <c r="C30" t="s">
        <v>265</v>
      </c>
    </row>
    <row r="31" spans="1:5">
      <c r="A31">
        <v>29</v>
      </c>
      <c r="B31" t="s">
        <v>268</v>
      </c>
      <c r="C31" t="s">
        <v>269</v>
      </c>
      <c r="D31" t="s">
        <v>270</v>
      </c>
      <c r="E31" t="s">
        <v>271</v>
      </c>
    </row>
    <row r="32" spans="1:3">
      <c r="A32">
        <v>30</v>
      </c>
      <c r="B32" t="s">
        <v>272</v>
      </c>
      <c r="C32" t="s">
        <v>273</v>
      </c>
    </row>
    <row r="33" spans="1:3">
      <c r="A33">
        <v>31</v>
      </c>
      <c r="B33" t="s">
        <v>274</v>
      </c>
      <c r="C33" t="s">
        <v>275</v>
      </c>
    </row>
    <row r="34" spans="1:3">
      <c r="A34">
        <v>32</v>
      </c>
      <c r="B34" t="s">
        <v>276</v>
      </c>
      <c r="C34" t="s">
        <v>275</v>
      </c>
    </row>
    <row r="35" spans="1:3">
      <c r="A35">
        <v>33</v>
      </c>
      <c r="B35" t="s">
        <v>277</v>
      </c>
      <c r="C35" t="s">
        <v>278</v>
      </c>
    </row>
    <row r="36" spans="1:3">
      <c r="A36">
        <v>34</v>
      </c>
      <c r="B36" t="s">
        <v>279</v>
      </c>
      <c r="C36" t="s">
        <v>280</v>
      </c>
    </row>
    <row r="37" spans="2:3">
      <c r="B37" t="s">
        <v>281</v>
      </c>
      <c r="C37" t="s">
        <v>282</v>
      </c>
    </row>
    <row r="38" spans="2:3">
      <c r="B38" t="s">
        <v>283</v>
      </c>
      <c r="C38" t="s">
        <v>284</v>
      </c>
    </row>
    <row r="39" spans="2:3">
      <c r="B39" t="s">
        <v>285</v>
      </c>
      <c r="C39" t="s">
        <v>241</v>
      </c>
    </row>
    <row r="40" spans="2:5">
      <c r="B40" t="s">
        <v>286</v>
      </c>
      <c r="C40" t="s">
        <v>235</v>
      </c>
      <c r="E40" t="s">
        <v>287</v>
      </c>
    </row>
    <row r="41" spans="2:5">
      <c r="B41" t="s">
        <v>279</v>
      </c>
      <c r="C41" t="s">
        <v>288</v>
      </c>
      <c r="E41" t="s">
        <v>287</v>
      </c>
    </row>
    <row r="42" spans="2:5">
      <c r="B42" t="s">
        <v>289</v>
      </c>
      <c r="C42" t="s">
        <v>241</v>
      </c>
      <c r="E42" t="s">
        <v>287</v>
      </c>
    </row>
    <row r="43" spans="2:5">
      <c r="B43" t="s">
        <v>290</v>
      </c>
      <c r="C43" t="s">
        <v>265</v>
      </c>
      <c r="E43" t="s">
        <v>287</v>
      </c>
    </row>
    <row r="44" spans="2:5">
      <c r="B44" t="s">
        <v>291</v>
      </c>
      <c r="C44" t="s">
        <v>292</v>
      </c>
      <c r="E44" t="s">
        <v>287</v>
      </c>
    </row>
    <row r="45" spans="2:5">
      <c r="B45" t="s">
        <v>293</v>
      </c>
      <c r="C45" t="s">
        <v>294</v>
      </c>
      <c r="E45" t="s">
        <v>287</v>
      </c>
    </row>
    <row r="46" spans="2:5">
      <c r="B46" t="s">
        <v>295</v>
      </c>
      <c r="C46" t="s">
        <v>296</v>
      </c>
      <c r="E46" t="s">
        <v>287</v>
      </c>
    </row>
    <row r="47" spans="2:5">
      <c r="B47" t="s">
        <v>244</v>
      </c>
      <c r="C47" t="s">
        <v>297</v>
      </c>
      <c r="E47" t="s">
        <v>287</v>
      </c>
    </row>
    <row r="48" spans="2:5">
      <c r="B48" t="s">
        <v>298</v>
      </c>
      <c r="C48" t="s">
        <v>265</v>
      </c>
      <c r="E48" t="s">
        <v>287</v>
      </c>
    </row>
    <row r="49" spans="2:5">
      <c r="B49" t="s">
        <v>299</v>
      </c>
      <c r="C49" t="s">
        <v>300</v>
      </c>
      <c r="E49" t="s">
        <v>287</v>
      </c>
    </row>
    <row r="50" spans="2:5">
      <c r="B50" t="s">
        <v>301</v>
      </c>
      <c r="C50" t="s">
        <v>302</v>
      </c>
      <c r="E50" t="s">
        <v>303</v>
      </c>
    </row>
    <row r="51" spans="2:5">
      <c r="B51" t="s">
        <v>304</v>
      </c>
      <c r="C51" t="s">
        <v>305</v>
      </c>
      <c r="E51" t="s">
        <v>287</v>
      </c>
    </row>
    <row r="52" spans="2:5">
      <c r="B52" t="s">
        <v>306</v>
      </c>
      <c r="C52" t="s">
        <v>307</v>
      </c>
      <c r="E52" t="s">
        <v>287</v>
      </c>
    </row>
    <row r="53" spans="2:5">
      <c r="B53" t="s">
        <v>308</v>
      </c>
      <c r="C53" t="s">
        <v>302</v>
      </c>
      <c r="E53" t="s">
        <v>287</v>
      </c>
    </row>
    <row r="54" spans="2:5">
      <c r="B54" t="s">
        <v>309</v>
      </c>
      <c r="C54" t="s">
        <v>297</v>
      </c>
      <c r="E54" t="s">
        <v>310</v>
      </c>
    </row>
    <row r="55" spans="2:2">
      <c r="B55" t="s">
        <v>311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"/>
  <sheetViews>
    <sheetView workbookViewId="0">
      <selection activeCell="F12" sqref="F12"/>
    </sheetView>
  </sheetViews>
  <sheetFormatPr defaultColWidth="9" defaultRowHeight="13.5" outlineLevelCol="1"/>
  <cols>
    <col min="1" max="1" width="12.875" customWidth="1"/>
    <col min="2" max="2" width="12.25" customWidth="1"/>
  </cols>
  <sheetData>
    <row r="1" customFormat="1" ht="16.5" spans="1:2">
      <c r="A1" s="1" t="s">
        <v>312</v>
      </c>
      <c r="B1" s="1" t="s">
        <v>313</v>
      </c>
    </row>
    <row r="2" customFormat="1" ht="16.5" spans="1:2">
      <c r="A2" s="2" t="s">
        <v>14</v>
      </c>
      <c r="B2" s="2" t="s">
        <v>14</v>
      </c>
    </row>
    <row r="3" customFormat="1" ht="16.5" spans="1:2">
      <c r="A3" s="3" t="s">
        <v>314</v>
      </c>
      <c r="B3" s="3" t="s">
        <v>315</v>
      </c>
    </row>
    <row r="4" customFormat="1" spans="1:2">
      <c r="A4" s="4">
        <v>1</v>
      </c>
      <c r="B4" s="4">
        <v>101</v>
      </c>
    </row>
    <row r="5" customFormat="1" spans="1:2">
      <c r="A5" s="4">
        <v>8</v>
      </c>
      <c r="B5" s="4">
        <v>102</v>
      </c>
    </row>
    <row r="6" customFormat="1" spans="1:2">
      <c r="A6" s="4">
        <v>8</v>
      </c>
      <c r="B6" s="4">
        <v>103</v>
      </c>
    </row>
    <row r="7" customFormat="1" spans="1:2">
      <c r="A7" s="4">
        <v>12</v>
      </c>
      <c r="B7" s="4">
        <v>104</v>
      </c>
    </row>
    <row r="8" customFormat="1" spans="1:2">
      <c r="A8" s="4">
        <v>12</v>
      </c>
      <c r="B8" s="4">
        <v>105</v>
      </c>
    </row>
    <row r="9" customFormat="1" spans="1:2">
      <c r="A9" s="4">
        <v>14</v>
      </c>
      <c r="B9" s="4">
        <v>106</v>
      </c>
    </row>
    <row r="10" customFormat="1" spans="1:2">
      <c r="A10" s="4">
        <v>14</v>
      </c>
      <c r="B10" s="4">
        <v>107</v>
      </c>
    </row>
    <row r="11" customFormat="1" spans="1:2">
      <c r="A11" s="4">
        <v>2</v>
      </c>
      <c r="B11" s="4">
        <v>108</v>
      </c>
    </row>
    <row r="12" customFormat="1" spans="1:2">
      <c r="A12" s="4">
        <v>2</v>
      </c>
      <c r="B12" s="4">
        <v>109</v>
      </c>
    </row>
    <row r="13" customFormat="1" spans="1:2">
      <c r="A13" s="4">
        <v>3</v>
      </c>
      <c r="B13" s="4">
        <v>110</v>
      </c>
    </row>
    <row r="14" customFormat="1" spans="1:2">
      <c r="A14" s="4">
        <v>3</v>
      </c>
      <c r="B14" s="4">
        <v>111</v>
      </c>
    </row>
    <row r="15" customFormat="1" spans="1:2">
      <c r="A15" s="4">
        <v>9</v>
      </c>
      <c r="B15" s="4">
        <v>112</v>
      </c>
    </row>
    <row r="16" customFormat="1" spans="1:2">
      <c r="A16" s="4">
        <v>9</v>
      </c>
      <c r="B16" s="4">
        <v>113</v>
      </c>
    </row>
    <row r="17" customFormat="1" spans="1:2">
      <c r="A17" s="4">
        <v>15</v>
      </c>
      <c r="B17" s="4">
        <v>114</v>
      </c>
    </row>
    <row r="18" customFormat="1" spans="1:2">
      <c r="A18" s="4">
        <v>15</v>
      </c>
      <c r="B18" s="4">
        <v>115</v>
      </c>
    </row>
    <row r="19" customFormat="1" spans="1:2">
      <c r="A19" s="4">
        <v>16</v>
      </c>
      <c r="B19" s="4">
        <v>116</v>
      </c>
    </row>
    <row r="20" customFormat="1" spans="1:2">
      <c r="A20" s="4">
        <v>5</v>
      </c>
      <c r="B20" s="4">
        <v>117</v>
      </c>
    </row>
    <row r="21" customFormat="1" spans="1:2">
      <c r="A21" s="4">
        <v>5</v>
      </c>
      <c r="B21" s="4">
        <v>118</v>
      </c>
    </row>
    <row r="22" customFormat="1" spans="1:2">
      <c r="A22" s="4">
        <v>5</v>
      </c>
      <c r="B22" s="4">
        <v>119</v>
      </c>
    </row>
    <row r="23" customFormat="1" spans="1:2">
      <c r="A23" s="4">
        <v>6</v>
      </c>
      <c r="B23" s="4">
        <v>120</v>
      </c>
    </row>
    <row r="24" customFormat="1" spans="1:2">
      <c r="A24" s="4">
        <v>6</v>
      </c>
      <c r="B24" s="4">
        <v>121</v>
      </c>
    </row>
    <row r="25" customFormat="1" spans="1:2">
      <c r="A25" s="4">
        <v>6</v>
      </c>
      <c r="B25" s="4">
        <v>122</v>
      </c>
    </row>
    <row r="26" customFormat="1" spans="1:2">
      <c r="A26" s="4">
        <v>7</v>
      </c>
      <c r="B26" s="4">
        <v>123</v>
      </c>
    </row>
    <row r="27" customFormat="1" spans="1:2">
      <c r="A27" s="4">
        <v>7</v>
      </c>
      <c r="B27" s="4">
        <v>124</v>
      </c>
    </row>
    <row r="28" customFormat="1" spans="1:2">
      <c r="A28" s="4">
        <v>7</v>
      </c>
      <c r="B28" s="4">
        <v>125</v>
      </c>
    </row>
    <row r="29" customFormat="1" spans="1:2">
      <c r="A29" s="4">
        <v>10</v>
      </c>
      <c r="B29" s="4">
        <v>126</v>
      </c>
    </row>
    <row r="30" customFormat="1" spans="1:2">
      <c r="A30" s="4">
        <v>10</v>
      </c>
      <c r="B30" s="4">
        <v>127</v>
      </c>
    </row>
    <row r="31" customFormat="1" spans="1:2">
      <c r="A31" s="4">
        <v>10</v>
      </c>
      <c r="B31" s="4">
        <v>128</v>
      </c>
    </row>
    <row r="32" customFormat="1" spans="1:2">
      <c r="A32" s="4">
        <v>2</v>
      </c>
      <c r="B32" s="4">
        <v>129</v>
      </c>
    </row>
    <row r="33" customFormat="1" spans="1:2">
      <c r="A33" s="4">
        <v>2</v>
      </c>
      <c r="B33" s="4">
        <v>130</v>
      </c>
    </row>
    <row r="34" customFormat="1" spans="1:2">
      <c r="A34" s="4">
        <v>2</v>
      </c>
      <c r="B34" s="4">
        <v>131</v>
      </c>
    </row>
    <row r="35" customFormat="1" spans="1:2">
      <c r="A35" s="4">
        <v>2</v>
      </c>
      <c r="B35" s="4">
        <v>132</v>
      </c>
    </row>
    <row r="36" customFormat="1" spans="1:2">
      <c r="A36" s="5">
        <v>1</v>
      </c>
      <c r="B36" s="5">
        <v>501</v>
      </c>
    </row>
    <row r="37" customFormat="1" spans="1:2">
      <c r="A37" s="5">
        <v>1</v>
      </c>
      <c r="B37" s="5">
        <v>502</v>
      </c>
    </row>
    <row r="38" customFormat="1" spans="1:2">
      <c r="A38" s="5">
        <v>1</v>
      </c>
      <c r="B38" s="5">
        <v>503</v>
      </c>
    </row>
    <row r="39" customFormat="1" spans="1:2">
      <c r="A39" s="5">
        <v>1</v>
      </c>
      <c r="B39" s="5">
        <v>504</v>
      </c>
    </row>
    <row r="40" customFormat="1" spans="1:2">
      <c r="A40" s="5">
        <v>1</v>
      </c>
      <c r="B40" s="5">
        <v>505</v>
      </c>
    </row>
    <row r="41" customFormat="1" spans="1:2">
      <c r="A41" s="5">
        <v>1</v>
      </c>
      <c r="B41" s="5">
        <v>506</v>
      </c>
    </row>
    <row r="42" customFormat="1" spans="1:2">
      <c r="A42" s="5">
        <v>1</v>
      </c>
      <c r="B42" s="5">
        <v>507</v>
      </c>
    </row>
    <row r="43" customFormat="1" spans="1:2">
      <c r="A43" s="5">
        <v>1</v>
      </c>
      <c r="B43" s="5">
        <v>508</v>
      </c>
    </row>
    <row r="44" customFormat="1" spans="1:2">
      <c r="A44" s="5">
        <v>4</v>
      </c>
      <c r="B44" s="5">
        <v>509</v>
      </c>
    </row>
    <row r="45" customFormat="1" spans="1:2">
      <c r="A45" s="5">
        <v>4</v>
      </c>
      <c r="B45" s="5">
        <v>510</v>
      </c>
    </row>
    <row r="46" customFormat="1" spans="1:2">
      <c r="A46" s="5">
        <v>4</v>
      </c>
      <c r="B46" s="5">
        <v>511</v>
      </c>
    </row>
    <row r="47" customFormat="1" spans="1:2">
      <c r="A47" s="5">
        <v>4</v>
      </c>
      <c r="B47" s="5">
        <v>512</v>
      </c>
    </row>
    <row r="48" customFormat="1" spans="1:2">
      <c r="A48" s="5">
        <v>4</v>
      </c>
      <c r="B48" s="5">
        <v>513</v>
      </c>
    </row>
    <row r="49" customFormat="1" spans="1:2">
      <c r="A49" s="5">
        <v>3</v>
      </c>
      <c r="B49" s="5">
        <v>514</v>
      </c>
    </row>
    <row r="50" customFormat="1" spans="1:2">
      <c r="A50" s="5">
        <v>3</v>
      </c>
      <c r="B50" s="6">
        <v>515</v>
      </c>
    </row>
    <row r="51" customFormat="1" spans="1:2">
      <c r="A51" s="5">
        <v>3</v>
      </c>
      <c r="B51" s="6">
        <v>516</v>
      </c>
    </row>
    <row r="52" customFormat="1" spans="1:2">
      <c r="A52" s="5">
        <v>3</v>
      </c>
      <c r="B52" s="6">
        <v>517</v>
      </c>
    </row>
    <row r="53" customFormat="1" spans="1:2">
      <c r="A53" s="5">
        <v>3</v>
      </c>
      <c r="B53" s="6">
        <v>518</v>
      </c>
    </row>
    <row r="54" customFormat="1" spans="1:2">
      <c r="A54" s="7">
        <v>8</v>
      </c>
      <c r="B54" s="7">
        <v>601</v>
      </c>
    </row>
    <row r="55" customFormat="1" spans="1:2">
      <c r="A55" s="7">
        <v>11</v>
      </c>
      <c r="B55" s="7">
        <v>602</v>
      </c>
    </row>
    <row r="56" customFormat="1" spans="1:2">
      <c r="A56" s="7">
        <v>11</v>
      </c>
      <c r="B56" s="7">
        <v>603</v>
      </c>
    </row>
    <row r="57" customFormat="1" spans="1:2">
      <c r="A57" s="7">
        <v>11</v>
      </c>
      <c r="B57" s="7">
        <v>604</v>
      </c>
    </row>
    <row r="58" customFormat="1" spans="1:2">
      <c r="A58" s="7">
        <v>11</v>
      </c>
      <c r="B58" s="7">
        <v>605</v>
      </c>
    </row>
    <row r="59" customFormat="1" spans="1:2">
      <c r="A59" s="7">
        <v>12</v>
      </c>
      <c r="B59" s="7">
        <v>606</v>
      </c>
    </row>
    <row r="60" customFormat="1" spans="1:2">
      <c r="A60" s="7">
        <v>12</v>
      </c>
      <c r="B60" s="7">
        <v>607</v>
      </c>
    </row>
    <row r="61" customFormat="1" spans="1:2">
      <c r="A61" s="7">
        <v>12</v>
      </c>
      <c r="B61" s="7">
        <v>608</v>
      </c>
    </row>
    <row r="62" customFormat="1" spans="1:2">
      <c r="A62" s="7">
        <v>12</v>
      </c>
      <c r="B62" s="7">
        <v>609</v>
      </c>
    </row>
    <row r="63" customFormat="1" spans="1:2">
      <c r="A63" s="7">
        <v>13</v>
      </c>
      <c r="B63" s="7">
        <v>610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MissionLeader</vt:lpstr>
      <vt:lpstr>Sheet2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芷颖之殇</cp:lastModifiedBy>
  <dcterms:created xsi:type="dcterms:W3CDTF">2023-06-24T04:24:00Z</dcterms:created>
  <dcterms:modified xsi:type="dcterms:W3CDTF">2025-04-16T08:37:08Z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7C227FDB98534F1BA2E3CC666D0E50D4_13</vt:lpwstr>
  </property>
  <property fmtid="{D5CDD505-2E9C-101B-9397-08002B2CF9AE}" pid="3" name="KSOProductBuildVer">
    <vt:lpwstr>2052-12.1.0.15990</vt:lpwstr>
  </property>
</Properties>
</file>