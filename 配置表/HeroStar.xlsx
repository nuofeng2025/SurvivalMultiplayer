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HeroStar" sheetId="1" r:id="rId1"/>
    <sheet name="Sheet2" sheetId="2" r:id="rId2"/>
    <sheet name="cost" sheetId="3" r:id="rId3"/>
    <sheet name="Sheet1" sheetId="4" r:id="rId4"/>
    <sheet name="Sheet3" sheetId="5" r:id="rId5"/>
  </sheets>
  <definedNames>
    <definedName name="_xlnm._FilterDatabase" localSheetId="0" hidden="1">HeroStar!$A$3:$M$1011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NINGMEI</author>
  </authors>
  <commentLis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  <comment ref="F3" authorId="1">
      <text>
        <r>
          <rPr>
            <sz val="9"/>
            <rFont val="宋体"/>
            <charset val="134"/>
          </rPr>
          <t>关联Creture表以下对应字段
1.生命成长(UpHp)
2.攻击成长(UpAtk)
3.防御成长(UpDef)
4.魔力成长(UpAp)
5.魔防成长(UpMdef)
6.技巧成长(UpDex)
类型|系数
UpHp数值*系数（直接读系数）</t>
        </r>
      </text>
    </comment>
  </commentList>
</comments>
</file>

<file path=xl/sharedStrings.xml><?xml version="1.0" encoding="utf-8"?>
<sst xmlns="http://schemas.openxmlformats.org/spreadsheetml/2006/main" count="7017" uniqueCount="717">
  <si>
    <t>ID</t>
  </si>
  <si>
    <t>HeroId</t>
  </si>
  <si>
    <t>Star</t>
  </si>
  <si>
    <t>Star1</t>
  </si>
  <si>
    <t>Cost</t>
  </si>
  <si>
    <t>PowerLimit</t>
  </si>
  <si>
    <t>Icon</t>
  </si>
  <si>
    <t>SkillUp</t>
  </si>
  <si>
    <t>AllUp</t>
  </si>
  <si>
    <t>Text</t>
  </si>
  <si>
    <t>int</t>
  </si>
  <si>
    <t>string</t>
  </si>
  <si>
    <t>英雄ID</t>
  </si>
  <si>
    <t>星级</t>
  </si>
  <si>
    <t>进度</t>
  </si>
  <si>
    <t>星级消耗</t>
  </si>
  <si>
    <t>星级成长</t>
  </si>
  <si>
    <t>成长图标</t>
  </si>
  <si>
    <t>天赋提升</t>
  </si>
  <si>
    <t>全体加成</t>
  </si>
  <si>
    <t>文本</t>
  </si>
  <si>
    <t>101001:20</t>
  </si>
  <si>
    <t>1|1#2|1#3|1#4|1#5|1</t>
  </si>
  <si>
    <t>1|1.05#2|1#3|1#4|1#5|1</t>
  </si>
  <si>
    <t>icon1</t>
  </si>
  <si>
    <t>进度加成：英雄生命成长提高5%</t>
  </si>
  <si>
    <t>1|1.05#2|1.05#3|1#4|1#5|1</t>
  </si>
  <si>
    <t>icon2</t>
  </si>
  <si>
    <t>进度加成：英雄攻击成长提高5%</t>
  </si>
  <si>
    <t>1|1.05#2|1.05#3|1.05#4|1#5|1</t>
  </si>
  <si>
    <t>icon3</t>
  </si>
  <si>
    <t>进度加成：英雄防御成长提高5%</t>
  </si>
  <si>
    <t>1|1.05#2|1.05#3|1.05#4|1.05#5|1</t>
  </si>
  <si>
    <t>icon4</t>
  </si>
  <si>
    <t>进度加成：英雄魔力成长提高5%</t>
  </si>
  <si>
    <t>1|1.05#2|1.05#3|1.05#4|1.05#5|1.05</t>
  </si>
  <si>
    <t>icon5</t>
  </si>
  <si>
    <t>进度加成：英雄魔防成长提高5%</t>
  </si>
  <si>
    <t>icon6</t>
  </si>
  <si>
    <t>101|10</t>
  </si>
  <si>
    <t>进度加成：英雄天赋等级+1</t>
  </si>
  <si>
    <t>101001:40</t>
  </si>
  <si>
    <t>1|1.1#2|1.05#3|1.05#4|1.05#5|1.05</t>
  </si>
  <si>
    <t>进度加成：英雄生命成长提高10%</t>
  </si>
  <si>
    <t>1|1.1#2|1.1#3|1.05#4|1.05#5|1.05</t>
  </si>
  <si>
    <t>进度加成：英雄攻击成长提高10%</t>
  </si>
  <si>
    <t>1|1.1#2|1.1#3|1.1#4|1.05#5|1.05</t>
  </si>
  <si>
    <t>进度加成：英雄防御成长提高10%</t>
  </si>
  <si>
    <t>1|1.1#2|1.1#3|1.1#4|1.1#5|1.05</t>
  </si>
  <si>
    <t>进度加成：英雄魔力成长提高10%</t>
  </si>
  <si>
    <t>1|1.1#2|1.1#3|1.1#4|1.1#5|1.1</t>
  </si>
  <si>
    <t>进度加成：英雄魔防成长提高10%</t>
  </si>
  <si>
    <t>101|15</t>
  </si>
  <si>
    <t>101001:90</t>
  </si>
  <si>
    <t>1|1.15#2|1.1#3|1.1#4|1.1#5|1.1</t>
  </si>
  <si>
    <t>进度加成：英雄生命成长提高15%</t>
  </si>
  <si>
    <t>1|1.15#2|1.15#3|1.1#4|1.1#5|1.1</t>
  </si>
  <si>
    <t>进度加成：英雄攻击成长提高15%</t>
  </si>
  <si>
    <t>1|1.15#2|1.15#3|1.15#4|1.1#5|1.1</t>
  </si>
  <si>
    <t>进度加成：英雄防御成长提高15%</t>
  </si>
  <si>
    <t>1|1.15#2|1.15#3|1.15#4|1.15#5|1.1</t>
  </si>
  <si>
    <t>进度加成：英雄魔力成长提高15%</t>
  </si>
  <si>
    <t>1|1.15#2|1.15#3|1.15#4|1.15#5|1.15</t>
  </si>
  <si>
    <t>进度加成：英雄魔防成长提高15%</t>
  </si>
  <si>
    <t>101|20</t>
  </si>
  <si>
    <t>101001:150</t>
  </si>
  <si>
    <t>1|1.2#2|1.15#3|1.15#4|1.15#5|1.15</t>
  </si>
  <si>
    <t>进度加成：英雄生命成长提高20%</t>
  </si>
  <si>
    <t>1|1.2#2|1.2#3|1.15#4|1.15#5|1.15</t>
  </si>
  <si>
    <t>进度加成：英雄攻击成长提高20%</t>
  </si>
  <si>
    <t>1|1.2#2|1.2#3|1.2#4|1.15#5|1.15</t>
  </si>
  <si>
    <t>进度加成：英雄防御成长提高20%</t>
  </si>
  <si>
    <t>1|1.2#2|1.2#3|1.2#4|1.2#5|1.15</t>
  </si>
  <si>
    <t>进度加成：英雄魔力成长提高20%</t>
  </si>
  <si>
    <t>1|1.2#2|1.2#3|1.2#4|1.2#5|1.2</t>
  </si>
  <si>
    <t>进度加成：英雄魔防成长提高20%</t>
  </si>
  <si>
    <t>101|25</t>
  </si>
  <si>
    <t>101001:180</t>
  </si>
  <si>
    <t>1|1.3#2|1.2#3|1.2#4|1.2#5|1.2</t>
  </si>
  <si>
    <t>进度加成：英雄生命成长提高30%</t>
  </si>
  <si>
    <t>1|1.3#2|1.3#3|1.2#4|1.2#5|1.2</t>
  </si>
  <si>
    <t>进度加成：英雄攻击成长提高30%</t>
  </si>
  <si>
    <t>1|1.3#2|1.3#3|1.3#4|1.2#5|1.2</t>
  </si>
  <si>
    <t>进度加成：英雄防御成长提高30%</t>
  </si>
  <si>
    <t>1|1.3#2|1.3#3|1.3#4|1.3#5|1.2</t>
  </si>
  <si>
    <t>进度加成：英雄魔力成长提高30%</t>
  </si>
  <si>
    <t>1|1.3#2|1.3#3|1.3#4|1.3#5|1.3</t>
  </si>
  <si>
    <t>进度加成：英雄魔防成长提高30%</t>
  </si>
  <si>
    <t>101|30</t>
  </si>
  <si>
    <t>1|1.4#2|1.3#3|1.3#4|1.3#5|1.3</t>
  </si>
  <si>
    <t>进度加成：英雄生命成长提高40%</t>
  </si>
  <si>
    <t>1|1.4#2|1.4#3|1.3#4|1.3#5|1.3</t>
  </si>
  <si>
    <t>进度加成：英雄攻击成长提高40%</t>
  </si>
  <si>
    <t>1|1.4#2|1.4#3|1.4#4|1.3#5|1.3</t>
  </si>
  <si>
    <t>进度加成：英雄防御成长提高40%</t>
  </si>
  <si>
    <t>1|1.4#2|1.4#3|1.4#4|1.4#5|1.3</t>
  </si>
  <si>
    <t>进度加成：英雄魔力成长提高40%</t>
  </si>
  <si>
    <t>1|1.4#2|1.4#3|1.4#4|1.4#5|1.4</t>
  </si>
  <si>
    <t>进度加成：英雄魔防成长提高40%</t>
  </si>
  <si>
    <t>101|40</t>
  </si>
  <si>
    <t>102001:20</t>
  </si>
  <si>
    <t>111|10</t>
  </si>
  <si>
    <t>102001:40</t>
  </si>
  <si>
    <t>111|15</t>
  </si>
  <si>
    <t>102001:90</t>
  </si>
  <si>
    <t>111|20</t>
  </si>
  <si>
    <t>102001:150</t>
  </si>
  <si>
    <t>111|25</t>
  </si>
  <si>
    <t>102001:180</t>
  </si>
  <si>
    <t>111|30</t>
  </si>
  <si>
    <t>111|40</t>
  </si>
  <si>
    <t>103001:20</t>
  </si>
  <si>
    <t>121|10</t>
  </si>
  <si>
    <t>103001:40</t>
  </si>
  <si>
    <t>121|15</t>
  </si>
  <si>
    <t>103001:90</t>
  </si>
  <si>
    <t>121|20</t>
  </si>
  <si>
    <t>103001:150</t>
  </si>
  <si>
    <t>121|25</t>
  </si>
  <si>
    <t>103001:180</t>
  </si>
  <si>
    <t>121|30</t>
  </si>
  <si>
    <t>121|40</t>
  </si>
  <si>
    <t>104001:20</t>
  </si>
  <si>
    <t>131|10</t>
  </si>
  <si>
    <t>104001:40</t>
  </si>
  <si>
    <t>131|15</t>
  </si>
  <si>
    <t>104001:90</t>
  </si>
  <si>
    <t>131|20</t>
  </si>
  <si>
    <t>104001:150</t>
  </si>
  <si>
    <t>131|25</t>
  </si>
  <si>
    <t>104001:180</t>
  </si>
  <si>
    <t>131|30</t>
  </si>
  <si>
    <t>131|40</t>
  </si>
  <si>
    <t>105001:20</t>
  </si>
  <si>
    <t>151|10</t>
  </si>
  <si>
    <t>105001:40</t>
  </si>
  <si>
    <t>151|15</t>
  </si>
  <si>
    <t>105001:90</t>
  </si>
  <si>
    <t>151|20</t>
  </si>
  <si>
    <t>105001:150</t>
  </si>
  <si>
    <t>151|25</t>
  </si>
  <si>
    <t>105001:180</t>
  </si>
  <si>
    <t>151|30</t>
  </si>
  <si>
    <t>151|40</t>
  </si>
  <si>
    <t>106001:20</t>
  </si>
  <si>
    <t>141|10</t>
  </si>
  <si>
    <t>106001:40</t>
  </si>
  <si>
    <t>141|15</t>
  </si>
  <si>
    <t>106001:90</t>
  </si>
  <si>
    <t>141|20</t>
  </si>
  <si>
    <t>106001:150</t>
  </si>
  <si>
    <t>141|25</t>
  </si>
  <si>
    <t>106001:180</t>
  </si>
  <si>
    <t>141|30</t>
  </si>
  <si>
    <t>141|40</t>
  </si>
  <si>
    <t>201001:20</t>
  </si>
  <si>
    <t>103|5</t>
  </si>
  <si>
    <t>201001:40</t>
  </si>
  <si>
    <t>103|6</t>
  </si>
  <si>
    <t>201001:90</t>
  </si>
  <si>
    <t>103|7</t>
  </si>
  <si>
    <t>201001:150</t>
  </si>
  <si>
    <t>103|8</t>
  </si>
  <si>
    <t>201001:180</t>
  </si>
  <si>
    <t>103|9</t>
  </si>
  <si>
    <t>103|12</t>
  </si>
  <si>
    <t>202001:20</t>
  </si>
  <si>
    <t>113|5</t>
  </si>
  <si>
    <t>202001:40</t>
  </si>
  <si>
    <t>113|6</t>
  </si>
  <si>
    <t>202001:90</t>
  </si>
  <si>
    <t>113|7</t>
  </si>
  <si>
    <t>202001:150</t>
  </si>
  <si>
    <t>113|8</t>
  </si>
  <si>
    <t>202001:180</t>
  </si>
  <si>
    <t>113|9</t>
  </si>
  <si>
    <t>113|12</t>
  </si>
  <si>
    <t>203001:20</t>
  </si>
  <si>
    <t>123|5</t>
  </si>
  <si>
    <t>203001:40</t>
  </si>
  <si>
    <t>123|6</t>
  </si>
  <si>
    <t>203001:90</t>
  </si>
  <si>
    <t>123|7</t>
  </si>
  <si>
    <t>203001:150</t>
  </si>
  <si>
    <t>123|8</t>
  </si>
  <si>
    <t>203001:180</t>
  </si>
  <si>
    <t>123|9</t>
  </si>
  <si>
    <t>123|12</t>
  </si>
  <si>
    <t>204001:20</t>
  </si>
  <si>
    <t>133|5</t>
  </si>
  <si>
    <t>204001:40</t>
  </si>
  <si>
    <t>133|6</t>
  </si>
  <si>
    <t>204001:90</t>
  </si>
  <si>
    <t>133|7</t>
  </si>
  <si>
    <t>204001:150</t>
  </si>
  <si>
    <t>133|8</t>
  </si>
  <si>
    <t>204001:180</t>
  </si>
  <si>
    <t>133|9</t>
  </si>
  <si>
    <t>133|12</t>
  </si>
  <si>
    <t>205001:20</t>
  </si>
  <si>
    <t>143|5</t>
  </si>
  <si>
    <t>205001:40</t>
  </si>
  <si>
    <t>143|6</t>
  </si>
  <si>
    <t>205001:90</t>
  </si>
  <si>
    <t>143|7</t>
  </si>
  <si>
    <t>205001:150</t>
  </si>
  <si>
    <t>143|8</t>
  </si>
  <si>
    <t>205001:180</t>
  </si>
  <si>
    <t>143|9</t>
  </si>
  <si>
    <t>143|12</t>
  </si>
  <si>
    <t>206001:20</t>
  </si>
  <si>
    <t>153|5</t>
  </si>
  <si>
    <t>206001:40</t>
  </si>
  <si>
    <t>153|6</t>
  </si>
  <si>
    <t>206001:90</t>
  </si>
  <si>
    <t>153|7</t>
  </si>
  <si>
    <t>206001:150</t>
  </si>
  <si>
    <t>153|8</t>
  </si>
  <si>
    <t>206001:180</t>
  </si>
  <si>
    <t>153|9</t>
  </si>
  <si>
    <t>153|12</t>
  </si>
  <si>
    <t>208001:20</t>
  </si>
  <si>
    <t>163|5</t>
  </si>
  <si>
    <t>208001:40</t>
  </si>
  <si>
    <t>163|6</t>
  </si>
  <si>
    <t>208001:90</t>
  </si>
  <si>
    <t>163|7</t>
  </si>
  <si>
    <t>208001:150</t>
  </si>
  <si>
    <t>163|8</t>
  </si>
  <si>
    <t>208001:180</t>
  </si>
  <si>
    <t>163|9</t>
  </si>
  <si>
    <t>163|12</t>
  </si>
  <si>
    <t>301001:20</t>
  </si>
  <si>
    <t>102|8</t>
  </si>
  <si>
    <t>301001:40</t>
  </si>
  <si>
    <t>102|12</t>
  </si>
  <si>
    <t>301001:90</t>
  </si>
  <si>
    <t>102|16</t>
  </si>
  <si>
    <t>301001:150</t>
  </si>
  <si>
    <t>102|20</t>
  </si>
  <si>
    <t>301001:180</t>
  </si>
  <si>
    <t>102|25</t>
  </si>
  <si>
    <t>102|30</t>
  </si>
  <si>
    <t>301002:20</t>
  </si>
  <si>
    <t>112|8</t>
  </si>
  <si>
    <t>301002:40</t>
  </si>
  <si>
    <t>112|12</t>
  </si>
  <si>
    <t>301002:90</t>
  </si>
  <si>
    <t>112|16</t>
  </si>
  <si>
    <t>301002:150</t>
  </si>
  <si>
    <t>112|20</t>
  </si>
  <si>
    <t>301002:180</t>
  </si>
  <si>
    <t>112|25</t>
  </si>
  <si>
    <t>112|30</t>
  </si>
  <si>
    <t>302001:20</t>
  </si>
  <si>
    <t>122|8</t>
  </si>
  <si>
    <t>302001:40</t>
  </si>
  <si>
    <t>122|12</t>
  </si>
  <si>
    <t>302001:90</t>
  </si>
  <si>
    <t>122|16</t>
  </si>
  <si>
    <t>302001:150</t>
  </si>
  <si>
    <t>122|20</t>
  </si>
  <si>
    <t>302001:180</t>
  </si>
  <si>
    <t>122|25</t>
  </si>
  <si>
    <t>122|30</t>
  </si>
  <si>
    <t>303001:20</t>
  </si>
  <si>
    <t>104|8</t>
  </si>
  <si>
    <t>303001:40</t>
  </si>
  <si>
    <t>104|12</t>
  </si>
  <si>
    <t>303001:90</t>
  </si>
  <si>
    <t>104|16</t>
  </si>
  <si>
    <t>303001:150</t>
  </si>
  <si>
    <t>104|20</t>
  </si>
  <si>
    <t>303001:180</t>
  </si>
  <si>
    <t>104|25</t>
  </si>
  <si>
    <t>104|30</t>
  </si>
  <si>
    <t>304001:20</t>
  </si>
  <si>
    <t>132|8</t>
  </si>
  <si>
    <t>304001:40</t>
  </si>
  <si>
    <t>132|12</t>
  </si>
  <si>
    <t>304001:90</t>
  </si>
  <si>
    <t>132|16</t>
  </si>
  <si>
    <t>304001:150</t>
  </si>
  <si>
    <t>132|20</t>
  </si>
  <si>
    <t>304001:180</t>
  </si>
  <si>
    <t>132|25</t>
  </si>
  <si>
    <t>132|30</t>
  </si>
  <si>
    <t>305001:20</t>
  </si>
  <si>
    <t>155|8</t>
  </si>
  <si>
    <t>305001:40</t>
  </si>
  <si>
    <t>155|12</t>
  </si>
  <si>
    <t>305001:90</t>
  </si>
  <si>
    <t>155|16</t>
  </si>
  <si>
    <t>305001:150</t>
  </si>
  <si>
    <t>155|20</t>
  </si>
  <si>
    <t>305001:180</t>
  </si>
  <si>
    <t>155|25</t>
  </si>
  <si>
    <t>155|30</t>
  </si>
  <si>
    <t>306001:20</t>
  </si>
  <si>
    <t>145|8</t>
  </si>
  <si>
    <t>306001:40</t>
  </si>
  <si>
    <t>145|12</t>
  </si>
  <si>
    <t>306001:90</t>
  </si>
  <si>
    <t>145|16</t>
  </si>
  <si>
    <t>306001:150</t>
  </si>
  <si>
    <t>145|20</t>
  </si>
  <si>
    <t>306001:180</t>
  </si>
  <si>
    <t>145|25</t>
  </si>
  <si>
    <t>145|30</t>
  </si>
  <si>
    <t>307001:20</t>
  </si>
  <si>
    <t>172|8</t>
  </si>
  <si>
    <t>307001:40</t>
  </si>
  <si>
    <t>172|12</t>
  </si>
  <si>
    <t>307001:90</t>
  </si>
  <si>
    <t>172|16</t>
  </si>
  <si>
    <t>307001:150</t>
  </si>
  <si>
    <t>172|20</t>
  </si>
  <si>
    <t>307001:180</t>
  </si>
  <si>
    <t>172|25</t>
  </si>
  <si>
    <t>172|30</t>
  </si>
  <si>
    <t>307002:20</t>
  </si>
  <si>
    <t>173|8</t>
  </si>
  <si>
    <t>307002:40</t>
  </si>
  <si>
    <t>173|12</t>
  </si>
  <si>
    <t>307002:90</t>
  </si>
  <si>
    <t>173|16</t>
  </si>
  <si>
    <t>307002:150</t>
  </si>
  <si>
    <t>173|20</t>
  </si>
  <si>
    <t>307002:180</t>
  </si>
  <si>
    <t>173|25</t>
  </si>
  <si>
    <t>173|30</t>
  </si>
  <si>
    <t>308001:20</t>
  </si>
  <si>
    <t>165|8</t>
  </si>
  <si>
    <t>308001:40</t>
  </si>
  <si>
    <t>165|12</t>
  </si>
  <si>
    <t>308001:90</t>
  </si>
  <si>
    <t>165|16</t>
  </si>
  <si>
    <t>308001:150</t>
  </si>
  <si>
    <t>165|20</t>
  </si>
  <si>
    <t>308001:180</t>
  </si>
  <si>
    <t>165|25</t>
  </si>
  <si>
    <t>165|30</t>
  </si>
  <si>
    <t>308002:20</t>
  </si>
  <si>
    <t>162|8</t>
  </si>
  <si>
    <t>308002:40</t>
  </si>
  <si>
    <t>162|12</t>
  </si>
  <si>
    <t>308002:90</t>
  </si>
  <si>
    <t>162|16</t>
  </si>
  <si>
    <t>308002:150</t>
  </si>
  <si>
    <t>162|20</t>
  </si>
  <si>
    <t>308002:180</t>
  </si>
  <si>
    <t>162|25</t>
  </si>
  <si>
    <t>162|30</t>
  </si>
  <si>
    <t>#</t>
  </si>
  <si>
    <t>:</t>
  </si>
  <si>
    <t>|</t>
  </si>
  <si>
    <t>1|1.05</t>
  </si>
  <si>
    <t>101001:3</t>
  </si>
  <si>
    <t>2|1.05</t>
  </si>
  <si>
    <t>3|1.05</t>
  </si>
  <si>
    <t>4|1.05</t>
  </si>
  <si>
    <t>5|1.05</t>
  </si>
  <si>
    <t>6|1.05</t>
  </si>
  <si>
    <t>101001:5</t>
  </si>
  <si>
    <t>1|1.1</t>
  </si>
  <si>
    <t>101001:8</t>
  </si>
  <si>
    <t>2|1.1</t>
  </si>
  <si>
    <t>3|1.1</t>
  </si>
  <si>
    <t>4|1.1</t>
  </si>
  <si>
    <t>5|1.1</t>
  </si>
  <si>
    <t>6|1.1</t>
  </si>
  <si>
    <t>1|1.15</t>
  </si>
  <si>
    <t>101001:12</t>
  </si>
  <si>
    <t>2|1.15</t>
  </si>
  <si>
    <t>3|1.15</t>
  </si>
  <si>
    <t>4|1.15</t>
  </si>
  <si>
    <t>5|1.15</t>
  </si>
  <si>
    <t>6|1.15</t>
  </si>
  <si>
    <t>101001:30</t>
  </si>
  <si>
    <t>1|1.2</t>
  </si>
  <si>
    <t>101001:16</t>
  </si>
  <si>
    <t>2|1.2</t>
  </si>
  <si>
    <t>3|1.2</t>
  </si>
  <si>
    <t>4|1.2</t>
  </si>
  <si>
    <t>5|1.2</t>
  </si>
  <si>
    <t>6|1.2</t>
  </si>
  <si>
    <t>1|1.3</t>
  </si>
  <si>
    <t>101001:18</t>
  </si>
  <si>
    <t>2|1.3</t>
  </si>
  <si>
    <t>3|1.3</t>
  </si>
  <si>
    <t>4|1.3</t>
  </si>
  <si>
    <t>5|1.3</t>
  </si>
  <si>
    <t>6|1.3</t>
  </si>
  <si>
    <t>101001:60</t>
  </si>
  <si>
    <t>1|1.4</t>
  </si>
  <si>
    <t>101001:24</t>
  </si>
  <si>
    <t>2|1.4</t>
  </si>
  <si>
    <t>3|1.4</t>
  </si>
  <si>
    <t>4|1.4</t>
  </si>
  <si>
    <t>5|1.4</t>
  </si>
  <si>
    <t>6|1.4</t>
  </si>
  <si>
    <t>102001:3</t>
  </si>
  <si>
    <t>102001:5</t>
  </si>
  <si>
    <t>102001:8</t>
  </si>
  <si>
    <t>102001:12</t>
  </si>
  <si>
    <t>102001:30</t>
  </si>
  <si>
    <t>102001:16</t>
  </si>
  <si>
    <t>1|50</t>
  </si>
  <si>
    <t>102001:18</t>
  </si>
  <si>
    <t>102001:60</t>
  </si>
  <si>
    <t>102001:24</t>
  </si>
  <si>
    <t>103001:3</t>
  </si>
  <si>
    <t>103001:5</t>
  </si>
  <si>
    <t>103001:8</t>
  </si>
  <si>
    <t>103001:12</t>
  </si>
  <si>
    <t>103001:30</t>
  </si>
  <si>
    <t>103001:16</t>
  </si>
  <si>
    <t>103001:18</t>
  </si>
  <si>
    <t>103001:60</t>
  </si>
  <si>
    <t>103001:0</t>
  </si>
  <si>
    <t>103001:24</t>
  </si>
  <si>
    <t>104001:3</t>
  </si>
  <si>
    <t>104001:5</t>
  </si>
  <si>
    <t>104001:0</t>
  </si>
  <si>
    <t>104001:8</t>
  </si>
  <si>
    <t>104001:12</t>
  </si>
  <si>
    <t>104001:30</t>
  </si>
  <si>
    <t>104001:16</t>
  </si>
  <si>
    <t>104001:18</t>
  </si>
  <si>
    <t>104001:60</t>
  </si>
  <si>
    <t>104001:24</t>
  </si>
  <si>
    <t>105001:3</t>
  </si>
  <si>
    <t>105001:5</t>
  </si>
  <si>
    <t>105001:0</t>
  </si>
  <si>
    <t>105001:8</t>
  </si>
  <si>
    <t>105001:12</t>
  </si>
  <si>
    <t>105001:30</t>
  </si>
  <si>
    <t>105001:16</t>
  </si>
  <si>
    <t>105001:18</t>
  </si>
  <si>
    <t>105001:60</t>
  </si>
  <si>
    <t>105001:24</t>
  </si>
  <si>
    <t>106001:3</t>
  </si>
  <si>
    <t>106001:5</t>
  </si>
  <si>
    <t>106001:0</t>
  </si>
  <si>
    <t>106001:8</t>
  </si>
  <si>
    <t>106001:12</t>
  </si>
  <si>
    <t>106001:30</t>
  </si>
  <si>
    <t>106001:16</t>
  </si>
  <si>
    <t>106001:18</t>
  </si>
  <si>
    <t>106001:60</t>
  </si>
  <si>
    <t>106001:24</t>
  </si>
  <si>
    <t>201001:3</t>
  </si>
  <si>
    <t>201001:5</t>
  </si>
  <si>
    <t>201001:0</t>
  </si>
  <si>
    <t>201001:8</t>
  </si>
  <si>
    <t>201001:12</t>
  </si>
  <si>
    <t>201001:30</t>
  </si>
  <si>
    <t>201001:16</t>
  </si>
  <si>
    <t>201001:18</t>
  </si>
  <si>
    <t>201001:60</t>
  </si>
  <si>
    <t>201001:24</t>
  </si>
  <si>
    <t>202001:3</t>
  </si>
  <si>
    <t>202001:5</t>
  </si>
  <si>
    <t>202001:0</t>
  </si>
  <si>
    <t>202001:8</t>
  </si>
  <si>
    <t>202001:12</t>
  </si>
  <si>
    <t>202001:30</t>
  </si>
  <si>
    <t>202001:16</t>
  </si>
  <si>
    <t>202001:18</t>
  </si>
  <si>
    <t>202001:60</t>
  </si>
  <si>
    <t>202001:24</t>
  </si>
  <si>
    <t>203001:3</t>
  </si>
  <si>
    <t>203001:5</t>
  </si>
  <si>
    <t>203001:0</t>
  </si>
  <si>
    <t>203001:8</t>
  </si>
  <si>
    <t>203001:12</t>
  </si>
  <si>
    <t>203001:30</t>
  </si>
  <si>
    <t>203001:16</t>
  </si>
  <si>
    <t>203001:18</t>
  </si>
  <si>
    <t>203001:60</t>
  </si>
  <si>
    <t>203001:24</t>
  </si>
  <si>
    <t>204001:3</t>
  </si>
  <si>
    <t>204001:5</t>
  </si>
  <si>
    <t>204001:0</t>
  </si>
  <si>
    <t>204001:8</t>
  </si>
  <si>
    <t>204001:12</t>
  </si>
  <si>
    <t>204001:30</t>
  </si>
  <si>
    <t>204001:16</t>
  </si>
  <si>
    <t>204001:18</t>
  </si>
  <si>
    <t>204001:60</t>
  </si>
  <si>
    <t>204001:24</t>
  </si>
  <si>
    <t>205001:3</t>
  </si>
  <si>
    <t>205001:5</t>
  </si>
  <si>
    <t>205001:0</t>
  </si>
  <si>
    <t>205001:8</t>
  </si>
  <si>
    <t>205001:12</t>
  </si>
  <si>
    <t>205001:30</t>
  </si>
  <si>
    <t>205001:16</t>
  </si>
  <si>
    <t>205001:18</t>
  </si>
  <si>
    <t>205001:60</t>
  </si>
  <si>
    <t>205001:24</t>
  </si>
  <si>
    <t>206001:3</t>
  </si>
  <si>
    <t>206001:5</t>
  </si>
  <si>
    <t>206001:0</t>
  </si>
  <si>
    <t>206001:8</t>
  </si>
  <si>
    <t>206001:12</t>
  </si>
  <si>
    <t>206001:30</t>
  </si>
  <si>
    <t>206001:16</t>
  </si>
  <si>
    <t>206001:18</t>
  </si>
  <si>
    <t>206001:60</t>
  </si>
  <si>
    <t>206001:24</t>
  </si>
  <si>
    <t>208001:3</t>
  </si>
  <si>
    <t>208001:5</t>
  </si>
  <si>
    <t>208001:0</t>
  </si>
  <si>
    <t>208001:8</t>
  </si>
  <si>
    <t>208001:12</t>
  </si>
  <si>
    <t>208001:30</t>
  </si>
  <si>
    <t>208001:16</t>
  </si>
  <si>
    <t>208001:18</t>
  </si>
  <si>
    <t>208001:60</t>
  </si>
  <si>
    <t>208001:24</t>
  </si>
  <si>
    <t>301001:3</t>
  </si>
  <si>
    <t>301001:5</t>
  </si>
  <si>
    <t>301001:0</t>
  </si>
  <si>
    <t>301001:8</t>
  </si>
  <si>
    <t>301001:12</t>
  </si>
  <si>
    <t>301001:30</t>
  </si>
  <si>
    <t>301001:16</t>
  </si>
  <si>
    <t>301001:18</t>
  </si>
  <si>
    <t>301001:60</t>
  </si>
  <si>
    <t>301001:24</t>
  </si>
  <si>
    <t>301002:3</t>
  </si>
  <si>
    <t>301002:5</t>
  </si>
  <si>
    <t>301002:0</t>
  </si>
  <si>
    <t>301002:8</t>
  </si>
  <si>
    <t>301002:12</t>
  </si>
  <si>
    <t>301002:30</t>
  </si>
  <si>
    <t>301002:16</t>
  </si>
  <si>
    <t>301002:18</t>
  </si>
  <si>
    <t>301002:60</t>
  </si>
  <si>
    <t>301002:24</t>
  </si>
  <si>
    <t>302001:3</t>
  </si>
  <si>
    <t>302001:5</t>
  </si>
  <si>
    <t>302001:0</t>
  </si>
  <si>
    <t>302001:8</t>
  </si>
  <si>
    <t>302001:12</t>
  </si>
  <si>
    <t>302001:30</t>
  </si>
  <si>
    <t>302001:16</t>
  </si>
  <si>
    <t>302001:18</t>
  </si>
  <si>
    <t>302001:60</t>
  </si>
  <si>
    <t>302001:24</t>
  </si>
  <si>
    <t>303001:3</t>
  </si>
  <si>
    <t>303001:5</t>
  </si>
  <si>
    <t>303001:0</t>
  </si>
  <si>
    <t>303001:8</t>
  </si>
  <si>
    <t>303001:12</t>
  </si>
  <si>
    <t>303001:30</t>
  </si>
  <si>
    <t>303001:16</t>
  </si>
  <si>
    <t>303001:18</t>
  </si>
  <si>
    <t>303001:60</t>
  </si>
  <si>
    <t>303001:24</t>
  </si>
  <si>
    <t>304001:3</t>
  </si>
  <si>
    <t>304001:5</t>
  </si>
  <si>
    <t>304001:0</t>
  </si>
  <si>
    <t>304001:8</t>
  </si>
  <si>
    <t>304001:12</t>
  </si>
  <si>
    <t>304001:30</t>
  </si>
  <si>
    <t>304001:16</t>
  </si>
  <si>
    <t>304001:18</t>
  </si>
  <si>
    <t>304001:60</t>
  </si>
  <si>
    <t>304001:24</t>
  </si>
  <si>
    <t>305001:3</t>
  </si>
  <si>
    <t>305001:5</t>
  </si>
  <si>
    <t>305001:0</t>
  </si>
  <si>
    <t>305001:8</t>
  </si>
  <si>
    <t>305001:12</t>
  </si>
  <si>
    <t>305001:30</t>
  </si>
  <si>
    <t>305001:16</t>
  </si>
  <si>
    <t>305001:18</t>
  </si>
  <si>
    <t>305001:60</t>
  </si>
  <si>
    <t>305001:24</t>
  </si>
  <si>
    <t>306001:3</t>
  </si>
  <si>
    <t>306001:5</t>
  </si>
  <si>
    <t>306001:0</t>
  </si>
  <si>
    <t>306001:8</t>
  </si>
  <si>
    <t>306001:12</t>
  </si>
  <si>
    <t>306001:30</t>
  </si>
  <si>
    <t>306001:16</t>
  </si>
  <si>
    <t>306001:18</t>
  </si>
  <si>
    <t>306001:60</t>
  </si>
  <si>
    <t>306001:24</t>
  </si>
  <si>
    <t>307001:3</t>
  </si>
  <si>
    <t>307001:5</t>
  </si>
  <si>
    <t>307001:0</t>
  </si>
  <si>
    <t>307001:8</t>
  </si>
  <si>
    <t>307001:12</t>
  </si>
  <si>
    <t>307001:30</t>
  </si>
  <si>
    <t>307001:16</t>
  </si>
  <si>
    <t>307001:18</t>
  </si>
  <si>
    <t>307001:60</t>
  </si>
  <si>
    <t>307001:24</t>
  </si>
  <si>
    <t>307002:3</t>
  </si>
  <si>
    <t>307002:5</t>
  </si>
  <si>
    <t>307002:0</t>
  </si>
  <si>
    <t>307002:8</t>
  </si>
  <si>
    <t>307002:12</t>
  </si>
  <si>
    <t>307002:30</t>
  </si>
  <si>
    <t>307002:16</t>
  </si>
  <si>
    <t>307002:18</t>
  </si>
  <si>
    <t>307002:60</t>
  </si>
  <si>
    <t>307002:24</t>
  </si>
  <si>
    <t>308001:3</t>
  </si>
  <si>
    <t>308001:5</t>
  </si>
  <si>
    <t>308001:0</t>
  </si>
  <si>
    <t>308001:8</t>
  </si>
  <si>
    <t>308001:12</t>
  </si>
  <si>
    <t>308001:30</t>
  </si>
  <si>
    <t>308001:16</t>
  </si>
  <si>
    <t>308001:18</t>
  </si>
  <si>
    <t>308001:60</t>
  </si>
  <si>
    <t>308001:24</t>
  </si>
  <si>
    <t>308002:3</t>
  </si>
  <si>
    <t>308002:5</t>
  </si>
  <si>
    <t>308002:0</t>
  </si>
  <si>
    <t>308002:8</t>
  </si>
  <si>
    <t>308002:12</t>
  </si>
  <si>
    <t>308002:30</t>
  </si>
  <si>
    <t>308002:16</t>
  </si>
  <si>
    <t>308002:18</t>
  </si>
  <si>
    <t>308002:60</t>
  </si>
  <si>
    <t>308002:24</t>
  </si>
  <si>
    <t>-</t>
  </si>
  <si>
    <t>升星</t>
  </si>
  <si>
    <t>阶段</t>
  </si>
  <si>
    <t>消耗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</si>
  <si>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</si>
  <si>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</si>
  <si>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</si>
  <si>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</si>
  <si>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</si>
  <si>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</si>
  <si>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</si>
  <si>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</si>
  <si>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</si>
  <si>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</si>
  <si>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</si>
  <si>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</si>
  <si>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</si>
  <si>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</si>
  <si>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</si>
  <si>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</si>
  <si>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</si>
  <si>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</si>
  <si>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</si>
  <si>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</si>
  <si>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</si>
  <si>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</si>
  <si>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</si>
  <si>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</si>
  <si>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</si>
  <si>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</si>
  <si>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</si>
  <si>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</si>
  <si>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</si>
  <si>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</si>
  <si>
    <t>6-1</t>
  </si>
  <si>
    <t>6-2</t>
  </si>
  <si>
    <t>6-3</t>
  </si>
  <si>
    <t>6-4</t>
  </si>
  <si>
    <t>6-5</t>
  </si>
  <si>
    <t>6-6</t>
  </si>
  <si>
    <t>R</t>
  </si>
  <si>
    <t>加生命</t>
  </si>
  <si>
    <t>SR</t>
  </si>
  <si>
    <t>SSR</t>
  </si>
  <si>
    <t>加防御</t>
  </si>
  <si>
    <t>攻击和魔力</t>
  </si>
  <si>
    <t>步兵生命</t>
  </si>
  <si>
    <t>步兵攻击</t>
  </si>
  <si>
    <t>步兵防御</t>
  </si>
  <si>
    <t>步兵魔防</t>
  </si>
  <si>
    <t>步兵魔力</t>
  </si>
  <si>
    <t>骑兵生命</t>
  </si>
  <si>
    <t>骑兵攻击</t>
  </si>
  <si>
    <t>骑兵防御</t>
  </si>
  <si>
    <t>骑兵魔防</t>
  </si>
  <si>
    <t>骑兵魔力</t>
  </si>
  <si>
    <t>弓兵生命</t>
  </si>
  <si>
    <t>弓兵攻击</t>
  </si>
  <si>
    <t>弓兵防御</t>
  </si>
  <si>
    <t>弓兵魔防</t>
  </si>
  <si>
    <t>弓兵魔力</t>
  </si>
  <si>
    <t>飞兵生命</t>
  </si>
  <si>
    <t>飞兵攻击</t>
  </si>
  <si>
    <t>飞兵防御</t>
  </si>
  <si>
    <t>飞兵魔防</t>
  </si>
  <si>
    <t>飞兵魔力</t>
  </si>
  <si>
    <t>牧师生命</t>
  </si>
  <si>
    <t>牧师攻击</t>
  </si>
  <si>
    <t>牧师防御</t>
  </si>
  <si>
    <t>牧师魔防</t>
  </si>
  <si>
    <t>牧师魔力</t>
  </si>
  <si>
    <t>法师生命</t>
  </si>
  <si>
    <t>法师攻击</t>
  </si>
  <si>
    <t>法师防御</t>
  </si>
  <si>
    <t>法师魔防</t>
  </si>
  <si>
    <t>法师魔力</t>
  </si>
  <si>
    <t>野兽生命</t>
  </si>
  <si>
    <t>野兽攻击</t>
  </si>
  <si>
    <t>野兽防御</t>
  </si>
  <si>
    <t>野兽魔防</t>
  </si>
  <si>
    <t>野兽魔力</t>
  </si>
  <si>
    <t>魔物生命</t>
  </si>
  <si>
    <t>魔物攻击</t>
  </si>
  <si>
    <t>魔物防御</t>
  </si>
  <si>
    <t>魔物魔防</t>
  </si>
  <si>
    <t>魔物魔力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</si>
</sst>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171450</xdr:colOff>
      <xdr:row>18</xdr:row>
      <xdr:rowOff>28575</xdr:rowOff>
    </xdr:from>
    <xdr:to>
      <xdr:col>28</xdr:col>
      <xdr:colOff>419100</xdr:colOff>
      <xdr:row>27</xdr:row>
      <xdr:rowOff>200025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78175" y="3971925"/>
          <a:ext cx="4362450" cy="2143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1"/>
  <sheetViews>
    <sheetView tabSelected="1" topLeftCell="A8" workbookViewId="0">
      <selection activeCell="E4" sqref="E4:E1011"/>
    </sheetView>
  </sheetViews>
  <sheetFormatPr defaultColWidth="9" defaultRowHeight="16.5"/>
  <cols>
    <col min="1" max="1" width="9.25" style="6"/>
    <col min="2" max="4" width="9" style="6"/>
    <col min="5" max="5" width="13.375" style="6" customWidth="1"/>
    <col min="6" max="6" width="40.875" style="11" customWidth="1"/>
    <col min="7" max="7" width="19.375" style="11" customWidth="1"/>
    <col min="8" max="8" width="13.375" style="6" customWidth="1"/>
    <col min="9" max="9" width="30.625" style="11" customWidth="1"/>
    <col min="10" max="10" width="28.75" style="6" customWidth="1"/>
    <col min="11" max="11" width="31.75" style="6" customWidth="1"/>
    <col min="12" max="16384" width="9" style="6"/>
  </cols>
  <sheetData>
    <row r="1" spans="1:12">
      <c r="A1" s="9" t="s">
        <v>0</v>
      </c>
      <c r="B1" s="4" t="s">
        <v>1</v>
      </c>
      <c r="C1" s="9" t="s">
        <v>2</v>
      </c>
      <c r="D1" s="9" t="s">
        <v>3</v>
      </c>
      <c r="E1" s="9" t="s">
        <v>4</v>
      </c>
      <c r="F1" s="17" t="s">
        <v>5</v>
      </c>
      <c r="G1" s="17" t="s">
        <v>6</v>
      </c>
      <c r="H1" s="9" t="s">
        <v>7</v>
      </c>
      <c r="I1" s="17" t="s">
        <v>8</v>
      </c>
      <c r="J1" s="9" t="s">
        <v>9</v>
      </c>
      <c r="K1" s="9"/>
      <c r="L1" s="19"/>
    </row>
    <row r="2" spans="1:12">
      <c r="A2" s="9" t="s">
        <v>10</v>
      </c>
      <c r="B2" s="9" t="s">
        <v>10</v>
      </c>
      <c r="C2" s="9" t="s">
        <v>10</v>
      </c>
      <c r="D2" s="9" t="s">
        <v>10</v>
      </c>
      <c r="E2" s="9" t="s">
        <v>11</v>
      </c>
      <c r="F2" s="17" t="s">
        <v>11</v>
      </c>
      <c r="G2" s="17" t="s">
        <v>11</v>
      </c>
      <c r="H2" s="9" t="s">
        <v>10</v>
      </c>
      <c r="I2" s="17" t="s">
        <v>11</v>
      </c>
      <c r="J2" s="9" t="s">
        <v>11</v>
      </c>
      <c r="K2" s="9"/>
      <c r="L2" s="20"/>
    </row>
    <row r="3" ht="53" customHeight="1" spans="1:12">
      <c r="A3" s="9" t="s">
        <v>0</v>
      </c>
      <c r="B3" s="9" t="s">
        <v>12</v>
      </c>
      <c r="C3" s="9" t="s">
        <v>13</v>
      </c>
      <c r="D3" s="9" t="s">
        <v>14</v>
      </c>
      <c r="E3" s="9" t="s">
        <v>15</v>
      </c>
      <c r="F3" s="18" t="s">
        <v>16</v>
      </c>
      <c r="G3" s="18" t="s">
        <v>17</v>
      </c>
      <c r="H3" s="9" t="s">
        <v>18</v>
      </c>
      <c r="I3" s="17" t="s">
        <v>19</v>
      </c>
      <c r="J3" s="9" t="s">
        <v>20</v>
      </c>
      <c r="K3" s="9"/>
      <c r="L3" s="20"/>
    </row>
    <row r="4" ht="20" customHeight="1" spans="1:12">
      <c r="A4" s="6">
        <v>1010010</v>
      </c>
      <c r="B4" s="6">
        <v>11001</v>
      </c>
      <c r="C4" s="6">
        <v>1</v>
      </c>
      <c r="D4" s="6">
        <v>0</v>
      </c>
      <c r="E4" s="6" t="s">
        <v>21</v>
      </c>
      <c r="F4" s="11" t="s">
        <v>22</v>
      </c>
      <c r="G4" s="11">
        <v>0</v>
      </c>
      <c r="H4" s="6">
        <v>0</v>
      </c>
      <c r="I4" s="11">
        <v>0</v>
      </c>
      <c r="J4" s="6">
        <v>0</v>
      </c>
      <c r="K4" s="9"/>
      <c r="L4" s="21"/>
    </row>
    <row r="5" spans="1:10">
      <c r="A5" s="6">
        <v>1010011</v>
      </c>
      <c r="B5" s="6">
        <v>11001</v>
      </c>
      <c r="C5" s="6">
        <v>1</v>
      </c>
      <c r="D5" s="6">
        <v>1</v>
      </c>
      <c r="E5" s="6" t="s">
        <v>21</v>
      </c>
      <c r="F5" s="11" t="s">
        <v>23</v>
      </c>
      <c r="G5" s="11" t="s">
        <v>24</v>
      </c>
      <c r="H5" s="6">
        <v>0</v>
      </c>
      <c r="I5" s="11">
        <v>0</v>
      </c>
      <c r="J5" s="6" t="s">
        <v>25</v>
      </c>
    </row>
    <row r="6" spans="1:10">
      <c r="A6" s="6">
        <v>1010012</v>
      </c>
      <c r="B6" s="6">
        <v>11001</v>
      </c>
      <c r="C6" s="6">
        <v>1</v>
      </c>
      <c r="D6" s="6">
        <v>2</v>
      </c>
      <c r="E6" s="6" t="s">
        <v>21</v>
      </c>
      <c r="F6" s="11" t="s">
        <v>26</v>
      </c>
      <c r="G6" s="11" t="s">
        <v>27</v>
      </c>
      <c r="H6" s="6">
        <v>0</v>
      </c>
      <c r="I6" s="11">
        <v>0</v>
      </c>
      <c r="J6" s="6" t="s">
        <v>28</v>
      </c>
    </row>
    <row r="7" spans="1:10">
      <c r="A7" s="6">
        <v>1010013</v>
      </c>
      <c r="B7" s="6">
        <v>11001</v>
      </c>
      <c r="C7" s="6">
        <v>1</v>
      </c>
      <c r="D7" s="6">
        <v>3</v>
      </c>
      <c r="E7" s="6" t="s">
        <v>21</v>
      </c>
      <c r="F7" s="11" t="s">
        <v>29</v>
      </c>
      <c r="G7" s="11" t="s">
        <v>30</v>
      </c>
      <c r="H7" s="6">
        <v>0</v>
      </c>
      <c r="I7" s="11">
        <v>0</v>
      </c>
      <c r="J7" s="6" t="s">
        <v>31</v>
      </c>
    </row>
    <row r="8" spans="1:10">
      <c r="A8" s="6">
        <v>1010014</v>
      </c>
      <c r="B8" s="6">
        <v>11001</v>
      </c>
      <c r="C8" s="6">
        <v>1</v>
      </c>
      <c r="D8" s="6">
        <v>4</v>
      </c>
      <c r="E8" s="6" t="s">
        <v>21</v>
      </c>
      <c r="F8" s="11" t="s">
        <v>32</v>
      </c>
      <c r="G8" s="11" t="s">
        <v>33</v>
      </c>
      <c r="H8" s="6">
        <v>0</v>
      </c>
      <c r="I8" s="11">
        <v>0</v>
      </c>
      <c r="J8" s="6" t="s">
        <v>34</v>
      </c>
    </row>
    <row r="9" spans="1:10">
      <c r="A9" s="6">
        <v>1010015</v>
      </c>
      <c r="B9" s="6">
        <v>11001</v>
      </c>
      <c r="C9" s="6">
        <v>1</v>
      </c>
      <c r="D9" s="6">
        <v>5</v>
      </c>
      <c r="E9" s="6" t="s">
        <v>21</v>
      </c>
      <c r="F9" s="11" t="s">
        <v>35</v>
      </c>
      <c r="G9" s="11" t="s">
        <v>36</v>
      </c>
      <c r="H9" s="6">
        <v>0</v>
      </c>
      <c r="I9" s="11">
        <v>0</v>
      </c>
      <c r="J9" s="6" t="s">
        <v>37</v>
      </c>
    </row>
    <row r="10" spans="1:10">
      <c r="A10" s="6">
        <v>1010016</v>
      </c>
      <c r="B10" s="6">
        <v>11001</v>
      </c>
      <c r="C10" s="6">
        <v>1</v>
      </c>
      <c r="D10" s="6">
        <v>6</v>
      </c>
      <c r="E10" s="6" t="s">
        <v>21</v>
      </c>
      <c r="F10" s="11" t="s">
        <v>35</v>
      </c>
      <c r="G10" s="11" t="s">
        <v>38</v>
      </c>
      <c r="H10" s="6">
        <v>110012</v>
      </c>
      <c r="I10" s="11" t="s">
        <v>39</v>
      </c>
      <c r="J10" s="6" t="s">
        <v>40</v>
      </c>
    </row>
    <row r="11" spans="1:10">
      <c r="A11" s="6">
        <v>1010017</v>
      </c>
      <c r="B11" s="6">
        <v>11001</v>
      </c>
      <c r="C11" s="6">
        <v>2</v>
      </c>
      <c r="D11" s="6">
        <v>0</v>
      </c>
      <c r="E11" s="6" t="s">
        <v>41</v>
      </c>
      <c r="F11" s="11" t="s">
        <v>35</v>
      </c>
      <c r="G11" s="11">
        <v>0</v>
      </c>
      <c r="H11" s="6">
        <v>0</v>
      </c>
      <c r="I11" s="11" t="str">
        <f t="shared" ref="I11:I16" si="0">I10</f>
        <v>101|10</v>
      </c>
      <c r="J11" s="6">
        <v>0</v>
      </c>
    </row>
    <row r="12" spans="1:10">
      <c r="A12" s="6">
        <v>1010018</v>
      </c>
      <c r="B12" s="6">
        <v>11001</v>
      </c>
      <c r="C12" s="6">
        <v>2</v>
      </c>
      <c r="D12" s="6">
        <v>1</v>
      </c>
      <c r="E12" s="6" t="s">
        <v>41</v>
      </c>
      <c r="F12" s="11" t="s">
        <v>42</v>
      </c>
      <c r="G12" s="11" t="s">
        <v>24</v>
      </c>
      <c r="H12" s="6">
        <v>0</v>
      </c>
      <c r="I12" s="11" t="str">
        <f t="shared" si="0"/>
        <v>101|10</v>
      </c>
      <c r="J12" s="6" t="s">
        <v>43</v>
      </c>
    </row>
    <row r="13" spans="1:10">
      <c r="A13" s="6">
        <v>1010019</v>
      </c>
      <c r="B13" s="6">
        <v>11001</v>
      </c>
      <c r="C13" s="6">
        <v>2</v>
      </c>
      <c r="D13" s="6">
        <v>2</v>
      </c>
      <c r="E13" s="6" t="s">
        <v>41</v>
      </c>
      <c r="F13" s="11" t="s">
        <v>44</v>
      </c>
      <c r="G13" s="11" t="s">
        <v>27</v>
      </c>
      <c r="H13" s="6">
        <v>0</v>
      </c>
      <c r="I13" s="11" t="str">
        <f t="shared" si="0"/>
        <v>101|10</v>
      </c>
      <c r="J13" s="6" t="s">
        <v>45</v>
      </c>
    </row>
    <row r="14" spans="1:10">
      <c r="A14" s="6">
        <v>1010020</v>
      </c>
      <c r="B14" s="6">
        <v>11001</v>
      </c>
      <c r="C14" s="6">
        <v>2</v>
      </c>
      <c r="D14" s="6">
        <v>3</v>
      </c>
      <c r="E14" s="6" t="s">
        <v>41</v>
      </c>
      <c r="F14" s="11" t="s">
        <v>46</v>
      </c>
      <c r="G14" s="11" t="s">
        <v>30</v>
      </c>
      <c r="H14" s="6">
        <v>0</v>
      </c>
      <c r="I14" s="11" t="str">
        <f t="shared" si="0"/>
        <v>101|10</v>
      </c>
      <c r="J14" s="6" t="s">
        <v>47</v>
      </c>
    </row>
    <row r="15" spans="1:10">
      <c r="A15" s="6">
        <v>1010021</v>
      </c>
      <c r="B15" s="6">
        <v>11001</v>
      </c>
      <c r="C15" s="6">
        <v>2</v>
      </c>
      <c r="D15" s="6">
        <v>4</v>
      </c>
      <c r="E15" s="6" t="s">
        <v>41</v>
      </c>
      <c r="F15" s="11" t="s">
        <v>48</v>
      </c>
      <c r="G15" s="11" t="s">
        <v>33</v>
      </c>
      <c r="H15" s="6">
        <v>0</v>
      </c>
      <c r="I15" s="11" t="str">
        <f t="shared" si="0"/>
        <v>101|10</v>
      </c>
      <c r="J15" s="6" t="s">
        <v>49</v>
      </c>
    </row>
    <row r="16" spans="1:10">
      <c r="A16" s="6">
        <v>1010022</v>
      </c>
      <c r="B16" s="6">
        <v>11001</v>
      </c>
      <c r="C16" s="6">
        <v>2</v>
      </c>
      <c r="D16" s="6">
        <v>5</v>
      </c>
      <c r="E16" s="6" t="s">
        <v>41</v>
      </c>
      <c r="F16" s="11" t="s">
        <v>50</v>
      </c>
      <c r="G16" s="11" t="s">
        <v>36</v>
      </c>
      <c r="H16" s="6">
        <v>0</v>
      </c>
      <c r="I16" s="11" t="str">
        <f t="shared" si="0"/>
        <v>101|10</v>
      </c>
      <c r="J16" s="6" t="s">
        <v>51</v>
      </c>
    </row>
    <row r="17" spans="1:10">
      <c r="A17" s="6">
        <v>1010023</v>
      </c>
      <c r="B17" s="6">
        <v>11001</v>
      </c>
      <c r="C17" s="6">
        <v>2</v>
      </c>
      <c r="D17" s="6">
        <v>6</v>
      </c>
      <c r="E17" s="6" t="s">
        <v>41</v>
      </c>
      <c r="F17" s="11" t="s">
        <v>50</v>
      </c>
      <c r="G17" s="11" t="s">
        <v>38</v>
      </c>
      <c r="H17" s="6">
        <v>110013</v>
      </c>
      <c r="I17" s="11" t="s">
        <v>52</v>
      </c>
      <c r="J17" s="6" t="s">
        <v>40</v>
      </c>
    </row>
    <row r="18" spans="1:10">
      <c r="A18" s="6">
        <v>1010024</v>
      </c>
      <c r="B18" s="6">
        <v>11001</v>
      </c>
      <c r="C18" s="6">
        <v>3</v>
      </c>
      <c r="D18" s="6">
        <v>0</v>
      </c>
      <c r="E18" s="6" t="s">
        <v>53</v>
      </c>
      <c r="F18" s="11" t="s">
        <v>50</v>
      </c>
      <c r="G18" s="11">
        <v>0</v>
      </c>
      <c r="H18" s="6">
        <v>0</v>
      </c>
      <c r="I18" s="11" t="str">
        <f t="shared" ref="I18:I23" si="1">I17</f>
        <v>101|15</v>
      </c>
      <c r="J18" s="6">
        <v>0</v>
      </c>
    </row>
    <row r="19" spans="1:10">
      <c r="A19" s="6">
        <v>1010025</v>
      </c>
      <c r="B19" s="6">
        <v>11001</v>
      </c>
      <c r="C19" s="6">
        <v>3</v>
      </c>
      <c r="D19" s="6">
        <v>1</v>
      </c>
      <c r="E19" s="6" t="s">
        <v>53</v>
      </c>
      <c r="F19" s="11" t="s">
        <v>54</v>
      </c>
      <c r="G19" s="11" t="s">
        <v>24</v>
      </c>
      <c r="H19" s="6">
        <v>0</v>
      </c>
      <c r="I19" s="11" t="str">
        <f t="shared" si="1"/>
        <v>101|15</v>
      </c>
      <c r="J19" s="6" t="s">
        <v>55</v>
      </c>
    </row>
    <row r="20" spans="1:10">
      <c r="A20" s="6">
        <v>1010026</v>
      </c>
      <c r="B20" s="6">
        <v>11001</v>
      </c>
      <c r="C20" s="6">
        <v>3</v>
      </c>
      <c r="D20" s="6">
        <v>2</v>
      </c>
      <c r="E20" s="6" t="s">
        <v>53</v>
      </c>
      <c r="F20" s="11" t="s">
        <v>56</v>
      </c>
      <c r="G20" s="11" t="s">
        <v>27</v>
      </c>
      <c r="H20" s="6">
        <v>0</v>
      </c>
      <c r="I20" s="11" t="str">
        <f t="shared" si="1"/>
        <v>101|15</v>
      </c>
      <c r="J20" s="6" t="s">
        <v>57</v>
      </c>
    </row>
    <row r="21" spans="1:10">
      <c r="A21" s="6">
        <v>1010027</v>
      </c>
      <c r="B21" s="6">
        <v>11001</v>
      </c>
      <c r="C21" s="6">
        <v>3</v>
      </c>
      <c r="D21" s="6">
        <v>3</v>
      </c>
      <c r="E21" s="6" t="s">
        <v>53</v>
      </c>
      <c r="F21" s="11" t="s">
        <v>58</v>
      </c>
      <c r="G21" s="11" t="s">
        <v>30</v>
      </c>
      <c r="H21" s="6">
        <v>0</v>
      </c>
      <c r="I21" s="11" t="str">
        <f t="shared" si="1"/>
        <v>101|15</v>
      </c>
      <c r="J21" s="6" t="s">
        <v>59</v>
      </c>
    </row>
    <row r="22" spans="1:10">
      <c r="A22" s="6">
        <v>1010028</v>
      </c>
      <c r="B22" s="6">
        <v>11001</v>
      </c>
      <c r="C22" s="6">
        <v>3</v>
      </c>
      <c r="D22" s="6">
        <v>4</v>
      </c>
      <c r="E22" s="6" t="s">
        <v>53</v>
      </c>
      <c r="F22" s="11" t="s">
        <v>60</v>
      </c>
      <c r="G22" s="11" t="s">
        <v>33</v>
      </c>
      <c r="H22" s="6">
        <v>0</v>
      </c>
      <c r="I22" s="11" t="str">
        <f t="shared" si="1"/>
        <v>101|15</v>
      </c>
      <c r="J22" s="6" t="s">
        <v>61</v>
      </c>
    </row>
    <row r="23" spans="1:10">
      <c r="A23" s="6">
        <v>1010029</v>
      </c>
      <c r="B23" s="6">
        <v>11001</v>
      </c>
      <c r="C23" s="6">
        <v>3</v>
      </c>
      <c r="D23" s="6">
        <v>5</v>
      </c>
      <c r="E23" s="6" t="s">
        <v>53</v>
      </c>
      <c r="F23" s="11" t="s">
        <v>62</v>
      </c>
      <c r="G23" s="11" t="s">
        <v>36</v>
      </c>
      <c r="H23" s="6">
        <v>0</v>
      </c>
      <c r="I23" s="11" t="str">
        <f t="shared" si="1"/>
        <v>101|15</v>
      </c>
      <c r="J23" s="6" t="s">
        <v>63</v>
      </c>
    </row>
    <row r="24" spans="1:10">
      <c r="A24" s="6">
        <v>1010030</v>
      </c>
      <c r="B24" s="6">
        <v>11001</v>
      </c>
      <c r="C24" s="6">
        <v>3</v>
      </c>
      <c r="D24" s="6">
        <v>6</v>
      </c>
      <c r="E24" s="6" t="s">
        <v>53</v>
      </c>
      <c r="F24" s="11" t="s">
        <v>62</v>
      </c>
      <c r="G24" s="11" t="s">
        <v>38</v>
      </c>
      <c r="H24" s="6">
        <v>110014</v>
      </c>
      <c r="I24" s="11" t="s">
        <v>64</v>
      </c>
      <c r="J24" s="6" t="s">
        <v>40</v>
      </c>
    </row>
    <row r="25" spans="1:10">
      <c r="A25" s="6">
        <v>1010031</v>
      </c>
      <c r="B25" s="6">
        <v>11001</v>
      </c>
      <c r="C25" s="6">
        <v>4</v>
      </c>
      <c r="D25" s="6">
        <v>0</v>
      </c>
      <c r="E25" s="6" t="s">
        <v>65</v>
      </c>
      <c r="F25" s="11" t="s">
        <v>62</v>
      </c>
      <c r="G25" s="11">
        <v>0</v>
      </c>
      <c r="H25" s="6">
        <v>0</v>
      </c>
      <c r="I25" s="11" t="str">
        <f>I24</f>
        <v>101|20</v>
      </c>
      <c r="J25" s="6">
        <v>0</v>
      </c>
    </row>
    <row r="26" spans="1:10">
      <c r="A26" s="6">
        <v>1010032</v>
      </c>
      <c r="B26" s="6">
        <v>11001</v>
      </c>
      <c r="C26" s="6">
        <v>4</v>
      </c>
      <c r="D26" s="6">
        <v>1</v>
      </c>
      <c r="E26" s="6" t="s">
        <v>65</v>
      </c>
      <c r="F26" s="11" t="s">
        <v>66</v>
      </c>
      <c r="G26" s="11" t="s">
        <v>24</v>
      </c>
      <c r="H26" s="6">
        <v>0</v>
      </c>
      <c r="I26" s="11" t="str">
        <f>I25</f>
        <v>101|20</v>
      </c>
      <c r="J26" s="6" t="s">
        <v>67</v>
      </c>
    </row>
    <row r="27" spans="1:10">
      <c r="A27" s="6">
        <v>1010033</v>
      </c>
      <c r="B27" s="6">
        <v>11001</v>
      </c>
      <c r="C27" s="6">
        <v>4</v>
      </c>
      <c r="D27" s="6">
        <v>2</v>
      </c>
      <c r="E27" s="6" t="s">
        <v>65</v>
      </c>
      <c r="F27" s="11" t="s">
        <v>68</v>
      </c>
      <c r="G27" s="11" t="s">
        <v>27</v>
      </c>
      <c r="H27" s="6">
        <v>0</v>
      </c>
      <c r="I27" s="11" t="str">
        <f t="shared" ref="I27:I37" si="2">I26</f>
        <v>101|20</v>
      </c>
      <c r="J27" s="6" t="s">
        <v>69</v>
      </c>
    </row>
    <row r="28" spans="1:10">
      <c r="A28" s="6">
        <v>1010034</v>
      </c>
      <c r="B28" s="6">
        <v>11001</v>
      </c>
      <c r="C28" s="6">
        <v>4</v>
      </c>
      <c r="D28" s="6">
        <v>3</v>
      </c>
      <c r="E28" s="6" t="s">
        <v>65</v>
      </c>
      <c r="F28" s="11" t="s">
        <v>70</v>
      </c>
      <c r="G28" s="11" t="s">
        <v>30</v>
      </c>
      <c r="H28" s="6">
        <v>0</v>
      </c>
      <c r="I28" s="11" t="str">
        <f t="shared" si="2"/>
        <v>101|20</v>
      </c>
      <c r="J28" s="6" t="s">
        <v>71</v>
      </c>
    </row>
    <row r="29" spans="1:10">
      <c r="A29" s="6">
        <v>1010035</v>
      </c>
      <c r="B29" s="6">
        <v>11001</v>
      </c>
      <c r="C29" s="6">
        <v>4</v>
      </c>
      <c r="D29" s="6">
        <v>4</v>
      </c>
      <c r="E29" s="6" t="s">
        <v>65</v>
      </c>
      <c r="F29" s="11" t="s">
        <v>72</v>
      </c>
      <c r="G29" s="11" t="s">
        <v>33</v>
      </c>
      <c r="H29" s="6">
        <v>0</v>
      </c>
      <c r="I29" s="11" t="str">
        <f t="shared" si="2"/>
        <v>101|20</v>
      </c>
      <c r="J29" s="6" t="s">
        <v>73</v>
      </c>
    </row>
    <row r="30" spans="1:10">
      <c r="A30" s="6">
        <v>1010036</v>
      </c>
      <c r="B30" s="6">
        <v>11001</v>
      </c>
      <c r="C30" s="6">
        <v>4</v>
      </c>
      <c r="D30" s="6">
        <v>5</v>
      </c>
      <c r="E30" s="6" t="s">
        <v>65</v>
      </c>
      <c r="F30" s="11" t="s">
        <v>74</v>
      </c>
      <c r="G30" s="11" t="s">
        <v>36</v>
      </c>
      <c r="H30" s="6">
        <v>0</v>
      </c>
      <c r="I30" s="11" t="str">
        <f t="shared" si="2"/>
        <v>101|20</v>
      </c>
      <c r="J30" s="6" t="s">
        <v>75</v>
      </c>
    </row>
    <row r="31" spans="1:10">
      <c r="A31" s="6">
        <v>1010037</v>
      </c>
      <c r="B31" s="6">
        <v>11001</v>
      </c>
      <c r="C31" s="6">
        <v>4</v>
      </c>
      <c r="D31" s="6">
        <v>6</v>
      </c>
      <c r="E31" s="6" t="s">
        <v>65</v>
      </c>
      <c r="F31" s="11" t="s">
        <v>74</v>
      </c>
      <c r="G31" s="11" t="s">
        <v>38</v>
      </c>
      <c r="H31" s="6">
        <v>110015</v>
      </c>
      <c r="I31" s="11" t="s">
        <v>76</v>
      </c>
      <c r="J31" s="6" t="s">
        <v>40</v>
      </c>
    </row>
    <row r="32" spans="1:10">
      <c r="A32" s="6">
        <v>1010038</v>
      </c>
      <c r="B32" s="6">
        <v>11001</v>
      </c>
      <c r="C32" s="6">
        <v>5</v>
      </c>
      <c r="D32" s="6">
        <v>0</v>
      </c>
      <c r="E32" s="6" t="s">
        <v>77</v>
      </c>
      <c r="F32" s="11" t="s">
        <v>74</v>
      </c>
      <c r="G32" s="11">
        <v>0</v>
      </c>
      <c r="H32" s="6">
        <v>0</v>
      </c>
      <c r="I32" s="11" t="str">
        <f t="shared" si="2"/>
        <v>101|25</v>
      </c>
      <c r="J32" s="6">
        <v>0</v>
      </c>
    </row>
    <row r="33" spans="1:10">
      <c r="A33" s="6">
        <v>1010039</v>
      </c>
      <c r="B33" s="6">
        <v>11001</v>
      </c>
      <c r="C33" s="6">
        <v>5</v>
      </c>
      <c r="D33" s="6">
        <v>1</v>
      </c>
      <c r="E33" s="6" t="s">
        <v>77</v>
      </c>
      <c r="F33" s="11" t="s">
        <v>78</v>
      </c>
      <c r="G33" s="11" t="s">
        <v>24</v>
      </c>
      <c r="H33" s="6">
        <v>0</v>
      </c>
      <c r="I33" s="11" t="str">
        <f t="shared" si="2"/>
        <v>101|25</v>
      </c>
      <c r="J33" s="6" t="s">
        <v>79</v>
      </c>
    </row>
    <row r="34" spans="1:10">
      <c r="A34" s="6">
        <v>1010040</v>
      </c>
      <c r="B34" s="6">
        <v>11001</v>
      </c>
      <c r="C34" s="6">
        <v>5</v>
      </c>
      <c r="D34" s="6">
        <v>2</v>
      </c>
      <c r="E34" s="6" t="s">
        <v>77</v>
      </c>
      <c r="F34" s="11" t="s">
        <v>80</v>
      </c>
      <c r="G34" s="11" t="s">
        <v>27</v>
      </c>
      <c r="H34" s="6">
        <v>0</v>
      </c>
      <c r="I34" s="11" t="str">
        <f t="shared" si="2"/>
        <v>101|25</v>
      </c>
      <c r="J34" s="6" t="s">
        <v>81</v>
      </c>
    </row>
    <row r="35" spans="1:10">
      <c r="A35" s="6">
        <v>1010041</v>
      </c>
      <c r="B35" s="6">
        <v>11001</v>
      </c>
      <c r="C35" s="6">
        <v>5</v>
      </c>
      <c r="D35" s="6">
        <v>3</v>
      </c>
      <c r="E35" s="6" t="s">
        <v>77</v>
      </c>
      <c r="F35" s="11" t="s">
        <v>82</v>
      </c>
      <c r="G35" s="11" t="s">
        <v>30</v>
      </c>
      <c r="H35" s="6">
        <v>0</v>
      </c>
      <c r="I35" s="11" t="str">
        <f t="shared" si="2"/>
        <v>101|25</v>
      </c>
      <c r="J35" s="6" t="s">
        <v>83</v>
      </c>
    </row>
    <row r="36" spans="1:10">
      <c r="A36" s="6">
        <v>1010042</v>
      </c>
      <c r="B36" s="6">
        <v>11001</v>
      </c>
      <c r="C36" s="6">
        <v>5</v>
      </c>
      <c r="D36" s="6">
        <v>4</v>
      </c>
      <c r="E36" s="6" t="s">
        <v>77</v>
      </c>
      <c r="F36" s="11" t="s">
        <v>84</v>
      </c>
      <c r="G36" s="11" t="s">
        <v>33</v>
      </c>
      <c r="H36" s="6">
        <v>0</v>
      </c>
      <c r="I36" s="11" t="str">
        <f t="shared" si="2"/>
        <v>101|25</v>
      </c>
      <c r="J36" s="6" t="s">
        <v>85</v>
      </c>
    </row>
    <row r="37" spans="1:10">
      <c r="A37" s="6">
        <v>1010043</v>
      </c>
      <c r="B37" s="6">
        <v>11001</v>
      </c>
      <c r="C37" s="6">
        <v>5</v>
      </c>
      <c r="D37" s="6">
        <v>5</v>
      </c>
      <c r="E37" s="6" t="s">
        <v>77</v>
      </c>
      <c r="F37" s="11" t="s">
        <v>86</v>
      </c>
      <c r="G37" s="11" t="s">
        <v>36</v>
      </c>
      <c r="H37" s="6">
        <v>0</v>
      </c>
      <c r="I37" s="11" t="str">
        <f t="shared" si="2"/>
        <v>101|25</v>
      </c>
      <c r="J37" s="6" t="s">
        <v>87</v>
      </c>
    </row>
    <row r="38" spans="1:10">
      <c r="A38" s="6">
        <v>1010044</v>
      </c>
      <c r="B38" s="6">
        <v>11001</v>
      </c>
      <c r="C38" s="6">
        <v>5</v>
      </c>
      <c r="D38" s="6">
        <v>6</v>
      </c>
      <c r="E38" s="6" t="s">
        <v>77</v>
      </c>
      <c r="F38" s="11" t="s">
        <v>86</v>
      </c>
      <c r="G38" s="11" t="s">
        <v>38</v>
      </c>
      <c r="H38" s="6">
        <v>110016</v>
      </c>
      <c r="I38" s="11" t="s">
        <v>88</v>
      </c>
      <c r="J38" s="6" t="s">
        <v>40</v>
      </c>
    </row>
    <row r="39" spans="1:10">
      <c r="A39" s="6">
        <v>1010045</v>
      </c>
      <c r="B39" s="6">
        <v>11001</v>
      </c>
      <c r="C39" s="6">
        <v>6</v>
      </c>
      <c r="D39" s="6">
        <v>0</v>
      </c>
      <c r="E39" s="6" t="s">
        <v>77</v>
      </c>
      <c r="F39" s="11" t="s">
        <v>86</v>
      </c>
      <c r="G39" s="11">
        <v>0</v>
      </c>
      <c r="H39" s="6">
        <v>0</v>
      </c>
      <c r="I39" s="11" t="str">
        <f t="shared" ref="I39:I44" si="3">I38</f>
        <v>101|30</v>
      </c>
      <c r="J39" s="6">
        <v>0</v>
      </c>
    </row>
    <row r="40" spans="1:10">
      <c r="A40" s="6">
        <v>1010046</v>
      </c>
      <c r="B40" s="6">
        <v>11001</v>
      </c>
      <c r="C40" s="6">
        <v>6</v>
      </c>
      <c r="D40" s="6">
        <v>1</v>
      </c>
      <c r="E40" s="6" t="s">
        <v>77</v>
      </c>
      <c r="F40" s="11" t="s">
        <v>89</v>
      </c>
      <c r="G40" s="11" t="s">
        <v>24</v>
      </c>
      <c r="H40" s="6">
        <v>0</v>
      </c>
      <c r="I40" s="11" t="str">
        <f t="shared" si="3"/>
        <v>101|30</v>
      </c>
      <c r="J40" s="6" t="s">
        <v>90</v>
      </c>
    </row>
    <row r="41" spans="1:10">
      <c r="A41" s="6">
        <v>1010047</v>
      </c>
      <c r="B41" s="6">
        <v>11001</v>
      </c>
      <c r="C41" s="6">
        <v>6</v>
      </c>
      <c r="D41" s="6">
        <v>2</v>
      </c>
      <c r="E41" s="6" t="s">
        <v>77</v>
      </c>
      <c r="F41" s="11" t="s">
        <v>91</v>
      </c>
      <c r="G41" s="11" t="s">
        <v>27</v>
      </c>
      <c r="H41" s="6">
        <v>0</v>
      </c>
      <c r="I41" s="11" t="str">
        <f t="shared" si="3"/>
        <v>101|30</v>
      </c>
      <c r="J41" s="6" t="s">
        <v>92</v>
      </c>
    </row>
    <row r="42" spans="1:10">
      <c r="A42" s="6">
        <v>1010048</v>
      </c>
      <c r="B42" s="6">
        <v>11001</v>
      </c>
      <c r="C42" s="6">
        <v>6</v>
      </c>
      <c r="D42" s="6">
        <v>3</v>
      </c>
      <c r="E42" s="6" t="s">
        <v>77</v>
      </c>
      <c r="F42" s="11" t="s">
        <v>93</v>
      </c>
      <c r="G42" s="11" t="s">
        <v>30</v>
      </c>
      <c r="H42" s="6">
        <v>0</v>
      </c>
      <c r="I42" s="11" t="str">
        <f t="shared" si="3"/>
        <v>101|30</v>
      </c>
      <c r="J42" s="6" t="s">
        <v>94</v>
      </c>
    </row>
    <row r="43" spans="1:10">
      <c r="A43" s="6">
        <v>1010049</v>
      </c>
      <c r="B43" s="6">
        <v>11001</v>
      </c>
      <c r="C43" s="6">
        <v>6</v>
      </c>
      <c r="D43" s="6">
        <v>4</v>
      </c>
      <c r="E43" s="6" t="s">
        <v>77</v>
      </c>
      <c r="F43" s="11" t="s">
        <v>95</v>
      </c>
      <c r="G43" s="11" t="s">
        <v>33</v>
      </c>
      <c r="H43" s="6">
        <v>0</v>
      </c>
      <c r="I43" s="11" t="str">
        <f t="shared" si="3"/>
        <v>101|30</v>
      </c>
      <c r="J43" s="6" t="s">
        <v>96</v>
      </c>
    </row>
    <row r="44" spans="1:10">
      <c r="A44" s="6">
        <v>1010050</v>
      </c>
      <c r="B44" s="6">
        <v>11001</v>
      </c>
      <c r="C44" s="6">
        <v>6</v>
      </c>
      <c r="D44" s="6">
        <v>5</v>
      </c>
      <c r="E44" s="6" t="s">
        <v>77</v>
      </c>
      <c r="F44" s="11" t="s">
        <v>97</v>
      </c>
      <c r="G44" s="11" t="s">
        <v>36</v>
      </c>
      <c r="H44" s="6">
        <v>0</v>
      </c>
      <c r="I44" s="11" t="str">
        <f t="shared" si="3"/>
        <v>101|30</v>
      </c>
      <c r="J44" s="6" t="s">
        <v>98</v>
      </c>
    </row>
    <row r="45" spans="1:10">
      <c r="A45" s="6">
        <v>1010051</v>
      </c>
      <c r="B45" s="6">
        <v>11001</v>
      </c>
      <c r="C45" s="6">
        <v>6</v>
      </c>
      <c r="D45" s="6">
        <v>6</v>
      </c>
      <c r="E45" s="6">
        <v>0</v>
      </c>
      <c r="F45" s="11" t="s">
        <v>97</v>
      </c>
      <c r="G45" s="11" t="s">
        <v>38</v>
      </c>
      <c r="H45" s="6">
        <v>110017</v>
      </c>
      <c r="I45" s="11" t="s">
        <v>99</v>
      </c>
      <c r="J45" s="6" t="s">
        <v>40</v>
      </c>
    </row>
    <row r="46" spans="1:10">
      <c r="A46" s="6">
        <v>1010052</v>
      </c>
      <c r="B46" s="6">
        <v>12001</v>
      </c>
      <c r="C46" s="6">
        <v>1</v>
      </c>
      <c r="D46" s="6">
        <v>0</v>
      </c>
      <c r="E46" s="6" t="s">
        <v>100</v>
      </c>
      <c r="F46" s="11" t="s">
        <v>22</v>
      </c>
      <c r="G46" s="11">
        <v>0</v>
      </c>
      <c r="H46" s="6">
        <v>0</v>
      </c>
      <c r="I46" s="11">
        <v>0</v>
      </c>
      <c r="J46" s="6">
        <v>0</v>
      </c>
    </row>
    <row r="47" spans="1:10">
      <c r="A47" s="6">
        <v>1010053</v>
      </c>
      <c r="B47" s="6">
        <v>12001</v>
      </c>
      <c r="C47" s="6">
        <v>1</v>
      </c>
      <c r="D47" s="6">
        <v>1</v>
      </c>
      <c r="E47" s="6" t="s">
        <v>100</v>
      </c>
      <c r="F47" s="11" t="s">
        <v>23</v>
      </c>
      <c r="G47" s="11" t="s">
        <v>24</v>
      </c>
      <c r="H47" s="6">
        <v>0</v>
      </c>
      <c r="I47" s="11">
        <v>0</v>
      </c>
      <c r="J47" s="6" t="s">
        <v>25</v>
      </c>
    </row>
    <row r="48" spans="1:10">
      <c r="A48" s="6">
        <v>1010054</v>
      </c>
      <c r="B48" s="6">
        <v>12001</v>
      </c>
      <c r="C48" s="6">
        <v>1</v>
      </c>
      <c r="D48" s="6">
        <v>2</v>
      </c>
      <c r="E48" s="6" t="s">
        <v>100</v>
      </c>
      <c r="F48" s="11" t="s">
        <v>26</v>
      </c>
      <c r="G48" s="11" t="s">
        <v>27</v>
      </c>
      <c r="H48" s="6">
        <v>0</v>
      </c>
      <c r="I48" s="11">
        <v>0</v>
      </c>
      <c r="J48" s="6" t="s">
        <v>28</v>
      </c>
    </row>
    <row r="49" spans="1:10">
      <c r="A49" s="6">
        <v>1010055</v>
      </c>
      <c r="B49" s="6">
        <v>12001</v>
      </c>
      <c r="C49" s="6">
        <v>1</v>
      </c>
      <c r="D49" s="6">
        <v>3</v>
      </c>
      <c r="E49" s="6" t="s">
        <v>100</v>
      </c>
      <c r="F49" s="11" t="s">
        <v>29</v>
      </c>
      <c r="G49" s="11" t="s">
        <v>30</v>
      </c>
      <c r="H49" s="6">
        <v>0</v>
      </c>
      <c r="I49" s="11">
        <v>0</v>
      </c>
      <c r="J49" s="6" t="s">
        <v>31</v>
      </c>
    </row>
    <row r="50" spans="1:10">
      <c r="A50" s="6">
        <v>1010056</v>
      </c>
      <c r="B50" s="6">
        <v>12001</v>
      </c>
      <c r="C50" s="6">
        <v>1</v>
      </c>
      <c r="D50" s="6">
        <v>4</v>
      </c>
      <c r="E50" s="6" t="s">
        <v>100</v>
      </c>
      <c r="F50" s="11" t="s">
        <v>32</v>
      </c>
      <c r="G50" s="11" t="s">
        <v>33</v>
      </c>
      <c r="H50" s="6">
        <v>0</v>
      </c>
      <c r="I50" s="11">
        <v>0</v>
      </c>
      <c r="J50" s="6" t="s">
        <v>34</v>
      </c>
    </row>
    <row r="51" spans="1:10">
      <c r="A51" s="6">
        <v>1010057</v>
      </c>
      <c r="B51" s="6">
        <v>12001</v>
      </c>
      <c r="C51" s="6">
        <v>1</v>
      </c>
      <c r="D51" s="6">
        <v>5</v>
      </c>
      <c r="E51" s="6" t="s">
        <v>100</v>
      </c>
      <c r="F51" s="11" t="s">
        <v>35</v>
      </c>
      <c r="G51" s="11" t="s">
        <v>36</v>
      </c>
      <c r="H51" s="6">
        <v>0</v>
      </c>
      <c r="I51" s="11">
        <v>0</v>
      </c>
      <c r="J51" s="6" t="s">
        <v>37</v>
      </c>
    </row>
    <row r="52" spans="1:10">
      <c r="A52" s="6">
        <v>1010058</v>
      </c>
      <c r="B52" s="6">
        <v>12001</v>
      </c>
      <c r="C52" s="6">
        <v>1</v>
      </c>
      <c r="D52" s="6">
        <v>6</v>
      </c>
      <c r="E52" s="6" t="s">
        <v>100</v>
      </c>
      <c r="F52" s="11" t="s">
        <v>35</v>
      </c>
      <c r="G52" s="11" t="s">
        <v>38</v>
      </c>
      <c r="H52" s="6">
        <v>110022</v>
      </c>
      <c r="I52" s="11" t="s">
        <v>101</v>
      </c>
      <c r="J52" s="6" t="s">
        <v>40</v>
      </c>
    </row>
    <row r="53" spans="1:10">
      <c r="A53" s="6">
        <v>1010059</v>
      </c>
      <c r="B53" s="6">
        <v>12001</v>
      </c>
      <c r="C53" s="6">
        <v>2</v>
      </c>
      <c r="D53" s="6">
        <v>0</v>
      </c>
      <c r="E53" s="6" t="s">
        <v>102</v>
      </c>
      <c r="F53" s="11" t="s">
        <v>35</v>
      </c>
      <c r="G53" s="11">
        <v>0</v>
      </c>
      <c r="H53" s="6">
        <v>0</v>
      </c>
      <c r="I53" s="11" t="s">
        <v>101</v>
      </c>
      <c r="J53" s="6">
        <v>0</v>
      </c>
    </row>
    <row r="54" spans="1:10">
      <c r="A54" s="6">
        <v>1010060</v>
      </c>
      <c r="B54" s="6">
        <v>12001</v>
      </c>
      <c r="C54" s="6">
        <v>2</v>
      </c>
      <c r="D54" s="6">
        <v>1</v>
      </c>
      <c r="E54" s="6" t="s">
        <v>102</v>
      </c>
      <c r="F54" s="11" t="s">
        <v>42</v>
      </c>
      <c r="G54" s="11" t="s">
        <v>24</v>
      </c>
      <c r="H54" s="6">
        <v>0</v>
      </c>
      <c r="I54" s="11" t="s">
        <v>101</v>
      </c>
      <c r="J54" s="6" t="s">
        <v>43</v>
      </c>
    </row>
    <row r="55" spans="1:10">
      <c r="A55" s="6">
        <v>1010061</v>
      </c>
      <c r="B55" s="6">
        <v>12001</v>
      </c>
      <c r="C55" s="6">
        <v>2</v>
      </c>
      <c r="D55" s="6">
        <v>2</v>
      </c>
      <c r="E55" s="6" t="s">
        <v>102</v>
      </c>
      <c r="F55" s="11" t="s">
        <v>44</v>
      </c>
      <c r="G55" s="11" t="s">
        <v>27</v>
      </c>
      <c r="H55" s="6">
        <v>0</v>
      </c>
      <c r="I55" s="11" t="s">
        <v>101</v>
      </c>
      <c r="J55" s="6" t="s">
        <v>45</v>
      </c>
    </row>
    <row r="56" spans="1:10">
      <c r="A56" s="6">
        <v>1010062</v>
      </c>
      <c r="B56" s="6">
        <v>12001</v>
      </c>
      <c r="C56" s="6">
        <v>2</v>
      </c>
      <c r="D56" s="6">
        <v>3</v>
      </c>
      <c r="E56" s="6" t="s">
        <v>102</v>
      </c>
      <c r="F56" s="11" t="s">
        <v>46</v>
      </c>
      <c r="G56" s="11" t="s">
        <v>30</v>
      </c>
      <c r="H56" s="6">
        <v>0</v>
      </c>
      <c r="I56" s="11" t="s">
        <v>101</v>
      </c>
      <c r="J56" s="6" t="s">
        <v>47</v>
      </c>
    </row>
    <row r="57" spans="1:10">
      <c r="A57" s="6">
        <v>1010063</v>
      </c>
      <c r="B57" s="6">
        <v>12001</v>
      </c>
      <c r="C57" s="6">
        <v>2</v>
      </c>
      <c r="D57" s="6">
        <v>4</v>
      </c>
      <c r="E57" s="6" t="s">
        <v>102</v>
      </c>
      <c r="F57" s="11" t="s">
        <v>48</v>
      </c>
      <c r="G57" s="11" t="s">
        <v>33</v>
      </c>
      <c r="H57" s="6">
        <v>0</v>
      </c>
      <c r="I57" s="11" t="s">
        <v>101</v>
      </c>
      <c r="J57" s="6" t="s">
        <v>49</v>
      </c>
    </row>
    <row r="58" spans="1:10">
      <c r="A58" s="6">
        <v>1010064</v>
      </c>
      <c r="B58" s="6">
        <v>12001</v>
      </c>
      <c r="C58" s="6">
        <v>2</v>
      </c>
      <c r="D58" s="6">
        <v>5</v>
      </c>
      <c r="E58" s="6" t="s">
        <v>102</v>
      </c>
      <c r="F58" s="11" t="s">
        <v>50</v>
      </c>
      <c r="G58" s="11" t="s">
        <v>36</v>
      </c>
      <c r="H58" s="6">
        <v>0</v>
      </c>
      <c r="I58" s="11" t="s">
        <v>101</v>
      </c>
      <c r="J58" s="6" t="s">
        <v>51</v>
      </c>
    </row>
    <row r="59" spans="1:10">
      <c r="A59" s="6">
        <v>1010065</v>
      </c>
      <c r="B59" s="6">
        <v>12001</v>
      </c>
      <c r="C59" s="6">
        <v>2</v>
      </c>
      <c r="D59" s="6">
        <v>6</v>
      </c>
      <c r="E59" s="6" t="s">
        <v>102</v>
      </c>
      <c r="F59" s="11" t="s">
        <v>50</v>
      </c>
      <c r="G59" s="11" t="s">
        <v>38</v>
      </c>
      <c r="H59" s="6">
        <v>110023</v>
      </c>
      <c r="I59" s="11" t="s">
        <v>103</v>
      </c>
      <c r="J59" s="6" t="s">
        <v>40</v>
      </c>
    </row>
    <row r="60" spans="1:10">
      <c r="A60" s="6">
        <v>1010066</v>
      </c>
      <c r="B60" s="6">
        <v>12001</v>
      </c>
      <c r="C60" s="6">
        <v>3</v>
      </c>
      <c r="D60" s="6">
        <v>0</v>
      </c>
      <c r="E60" s="6" t="s">
        <v>104</v>
      </c>
      <c r="F60" s="11" t="s">
        <v>50</v>
      </c>
      <c r="G60" s="11">
        <v>0</v>
      </c>
      <c r="H60" s="6">
        <v>0</v>
      </c>
      <c r="I60" s="11" t="s">
        <v>103</v>
      </c>
      <c r="J60" s="6">
        <v>0</v>
      </c>
    </row>
    <row r="61" spans="1:10">
      <c r="A61" s="6">
        <v>1010067</v>
      </c>
      <c r="B61" s="6">
        <v>12001</v>
      </c>
      <c r="C61" s="6">
        <v>3</v>
      </c>
      <c r="D61" s="6">
        <v>1</v>
      </c>
      <c r="E61" s="6" t="s">
        <v>104</v>
      </c>
      <c r="F61" s="11" t="s">
        <v>54</v>
      </c>
      <c r="G61" s="11" t="s">
        <v>24</v>
      </c>
      <c r="H61" s="6">
        <v>0</v>
      </c>
      <c r="I61" s="11" t="s">
        <v>103</v>
      </c>
      <c r="J61" s="6" t="s">
        <v>55</v>
      </c>
    </row>
    <row r="62" spans="1:10">
      <c r="A62" s="6">
        <v>1010068</v>
      </c>
      <c r="B62" s="6">
        <v>12001</v>
      </c>
      <c r="C62" s="6">
        <v>3</v>
      </c>
      <c r="D62" s="6">
        <v>2</v>
      </c>
      <c r="E62" s="6" t="s">
        <v>104</v>
      </c>
      <c r="F62" s="11" t="s">
        <v>56</v>
      </c>
      <c r="G62" s="11" t="s">
        <v>27</v>
      </c>
      <c r="H62" s="6">
        <v>0</v>
      </c>
      <c r="I62" s="11" t="s">
        <v>103</v>
      </c>
      <c r="J62" s="6" t="s">
        <v>57</v>
      </c>
    </row>
    <row r="63" spans="1:10">
      <c r="A63" s="6">
        <v>1010069</v>
      </c>
      <c r="B63" s="6">
        <v>12001</v>
      </c>
      <c r="C63" s="6">
        <v>3</v>
      </c>
      <c r="D63" s="6">
        <v>3</v>
      </c>
      <c r="E63" s="6" t="s">
        <v>104</v>
      </c>
      <c r="F63" s="11" t="s">
        <v>58</v>
      </c>
      <c r="G63" s="11" t="s">
        <v>30</v>
      </c>
      <c r="H63" s="6">
        <v>0</v>
      </c>
      <c r="I63" s="11" t="s">
        <v>103</v>
      </c>
      <c r="J63" s="6" t="s">
        <v>59</v>
      </c>
    </row>
    <row r="64" spans="1:10">
      <c r="A64" s="6">
        <v>1010070</v>
      </c>
      <c r="B64" s="6">
        <v>12001</v>
      </c>
      <c r="C64" s="6">
        <v>3</v>
      </c>
      <c r="D64" s="6">
        <v>4</v>
      </c>
      <c r="E64" s="6" t="s">
        <v>104</v>
      </c>
      <c r="F64" s="11" t="s">
        <v>60</v>
      </c>
      <c r="G64" s="11" t="s">
        <v>33</v>
      </c>
      <c r="H64" s="6">
        <v>0</v>
      </c>
      <c r="I64" s="11" t="s">
        <v>103</v>
      </c>
      <c r="J64" s="6" t="s">
        <v>61</v>
      </c>
    </row>
    <row r="65" spans="1:10">
      <c r="A65" s="6">
        <v>1010071</v>
      </c>
      <c r="B65" s="6">
        <v>12001</v>
      </c>
      <c r="C65" s="6">
        <v>3</v>
      </c>
      <c r="D65" s="6">
        <v>5</v>
      </c>
      <c r="E65" s="6" t="s">
        <v>104</v>
      </c>
      <c r="F65" s="11" t="s">
        <v>62</v>
      </c>
      <c r="G65" s="11" t="s">
        <v>36</v>
      </c>
      <c r="H65" s="6">
        <v>0</v>
      </c>
      <c r="I65" s="11" t="s">
        <v>103</v>
      </c>
      <c r="J65" s="6" t="s">
        <v>63</v>
      </c>
    </row>
    <row r="66" spans="1:10">
      <c r="A66" s="6">
        <v>1010072</v>
      </c>
      <c r="B66" s="6">
        <v>12001</v>
      </c>
      <c r="C66" s="6">
        <v>3</v>
      </c>
      <c r="D66" s="6">
        <v>6</v>
      </c>
      <c r="E66" s="6" t="s">
        <v>104</v>
      </c>
      <c r="F66" s="11" t="s">
        <v>62</v>
      </c>
      <c r="G66" s="11" t="s">
        <v>38</v>
      </c>
      <c r="H66" s="6">
        <v>110024</v>
      </c>
      <c r="I66" s="11" t="s">
        <v>105</v>
      </c>
      <c r="J66" s="6" t="s">
        <v>40</v>
      </c>
    </row>
    <row r="67" spans="1:10">
      <c r="A67" s="6">
        <v>1010073</v>
      </c>
      <c r="B67" s="6">
        <v>12001</v>
      </c>
      <c r="C67" s="6">
        <v>4</v>
      </c>
      <c r="D67" s="6">
        <v>0</v>
      </c>
      <c r="E67" s="6" t="s">
        <v>106</v>
      </c>
      <c r="F67" s="11" t="s">
        <v>62</v>
      </c>
      <c r="G67" s="11">
        <v>0</v>
      </c>
      <c r="H67" s="6">
        <v>0</v>
      </c>
      <c r="I67" s="11" t="s">
        <v>105</v>
      </c>
      <c r="J67" s="6">
        <v>0</v>
      </c>
    </row>
    <row r="68" spans="1:10">
      <c r="A68" s="6">
        <v>1010074</v>
      </c>
      <c r="B68" s="6">
        <v>12001</v>
      </c>
      <c r="C68" s="6">
        <v>4</v>
      </c>
      <c r="D68" s="6">
        <v>1</v>
      </c>
      <c r="E68" s="6" t="s">
        <v>106</v>
      </c>
      <c r="F68" s="11" t="s">
        <v>66</v>
      </c>
      <c r="G68" s="11" t="s">
        <v>24</v>
      </c>
      <c r="H68" s="6">
        <v>0</v>
      </c>
      <c r="I68" s="11" t="s">
        <v>105</v>
      </c>
      <c r="J68" s="6" t="s">
        <v>67</v>
      </c>
    </row>
    <row r="69" spans="1:10">
      <c r="A69" s="6">
        <v>1010075</v>
      </c>
      <c r="B69" s="6">
        <v>12001</v>
      </c>
      <c r="C69" s="6">
        <v>4</v>
      </c>
      <c r="D69" s="6">
        <v>2</v>
      </c>
      <c r="E69" s="6" t="s">
        <v>106</v>
      </c>
      <c r="F69" s="11" t="s">
        <v>68</v>
      </c>
      <c r="G69" s="11" t="s">
        <v>27</v>
      </c>
      <c r="H69" s="6">
        <v>0</v>
      </c>
      <c r="I69" s="11" t="s">
        <v>105</v>
      </c>
      <c r="J69" s="6" t="s">
        <v>69</v>
      </c>
    </row>
    <row r="70" spans="1:10">
      <c r="A70" s="6">
        <v>1010076</v>
      </c>
      <c r="B70" s="6">
        <v>12001</v>
      </c>
      <c r="C70" s="6">
        <v>4</v>
      </c>
      <c r="D70" s="6">
        <v>3</v>
      </c>
      <c r="E70" s="6" t="s">
        <v>106</v>
      </c>
      <c r="F70" s="11" t="s">
        <v>70</v>
      </c>
      <c r="G70" s="11" t="s">
        <v>30</v>
      </c>
      <c r="H70" s="6">
        <v>0</v>
      </c>
      <c r="I70" s="11" t="s">
        <v>105</v>
      </c>
      <c r="J70" s="6" t="s">
        <v>71</v>
      </c>
    </row>
    <row r="71" spans="1:10">
      <c r="A71" s="6">
        <v>1010077</v>
      </c>
      <c r="B71" s="6">
        <v>12001</v>
      </c>
      <c r="C71" s="6">
        <v>4</v>
      </c>
      <c r="D71" s="6">
        <v>4</v>
      </c>
      <c r="E71" s="6" t="s">
        <v>106</v>
      </c>
      <c r="F71" s="11" t="s">
        <v>72</v>
      </c>
      <c r="G71" s="11" t="s">
        <v>33</v>
      </c>
      <c r="H71" s="6">
        <v>0</v>
      </c>
      <c r="I71" s="11" t="s">
        <v>105</v>
      </c>
      <c r="J71" s="6" t="s">
        <v>73</v>
      </c>
    </row>
    <row r="72" spans="1:10">
      <c r="A72" s="6">
        <v>1010078</v>
      </c>
      <c r="B72" s="6">
        <v>12001</v>
      </c>
      <c r="C72" s="6">
        <v>4</v>
      </c>
      <c r="D72" s="6">
        <v>5</v>
      </c>
      <c r="E72" s="6" t="s">
        <v>106</v>
      </c>
      <c r="F72" s="11" t="s">
        <v>74</v>
      </c>
      <c r="G72" s="11" t="s">
        <v>36</v>
      </c>
      <c r="H72" s="6">
        <v>0</v>
      </c>
      <c r="I72" s="11" t="s">
        <v>105</v>
      </c>
      <c r="J72" s="6" t="s">
        <v>75</v>
      </c>
    </row>
    <row r="73" spans="1:10">
      <c r="A73" s="6">
        <v>1010079</v>
      </c>
      <c r="B73" s="6">
        <v>12001</v>
      </c>
      <c r="C73" s="6">
        <v>4</v>
      </c>
      <c r="D73" s="6">
        <v>6</v>
      </c>
      <c r="E73" s="6" t="s">
        <v>106</v>
      </c>
      <c r="F73" s="11" t="s">
        <v>74</v>
      </c>
      <c r="G73" s="11" t="s">
        <v>38</v>
      </c>
      <c r="H73" s="6">
        <v>110025</v>
      </c>
      <c r="I73" s="11" t="s">
        <v>107</v>
      </c>
      <c r="J73" s="6" t="s">
        <v>40</v>
      </c>
    </row>
    <row r="74" spans="1:10">
      <c r="A74" s="6">
        <v>1010080</v>
      </c>
      <c r="B74" s="6">
        <v>12001</v>
      </c>
      <c r="C74" s="6">
        <v>5</v>
      </c>
      <c r="D74" s="6">
        <v>0</v>
      </c>
      <c r="E74" s="6" t="s">
        <v>108</v>
      </c>
      <c r="F74" s="11" t="s">
        <v>74</v>
      </c>
      <c r="G74" s="11">
        <v>0</v>
      </c>
      <c r="H74" s="6">
        <v>0</v>
      </c>
      <c r="I74" s="11" t="s">
        <v>107</v>
      </c>
      <c r="J74" s="6">
        <v>0</v>
      </c>
    </row>
    <row r="75" spans="1:10">
      <c r="A75" s="6">
        <v>1010081</v>
      </c>
      <c r="B75" s="6">
        <v>12001</v>
      </c>
      <c r="C75" s="6">
        <v>5</v>
      </c>
      <c r="D75" s="6">
        <v>1</v>
      </c>
      <c r="E75" s="6" t="s">
        <v>108</v>
      </c>
      <c r="F75" s="11" t="s">
        <v>78</v>
      </c>
      <c r="G75" s="11" t="s">
        <v>24</v>
      </c>
      <c r="H75" s="6">
        <v>0</v>
      </c>
      <c r="I75" s="11" t="s">
        <v>107</v>
      </c>
      <c r="J75" s="6" t="s">
        <v>79</v>
      </c>
    </row>
    <row r="76" spans="1:10">
      <c r="A76" s="6">
        <v>1010082</v>
      </c>
      <c r="B76" s="6">
        <v>12001</v>
      </c>
      <c r="C76" s="6">
        <v>5</v>
      </c>
      <c r="D76" s="6">
        <v>2</v>
      </c>
      <c r="E76" s="6" t="s">
        <v>108</v>
      </c>
      <c r="F76" s="11" t="s">
        <v>80</v>
      </c>
      <c r="G76" s="11" t="s">
        <v>27</v>
      </c>
      <c r="H76" s="6">
        <v>0</v>
      </c>
      <c r="I76" s="11" t="s">
        <v>107</v>
      </c>
      <c r="J76" s="6" t="s">
        <v>81</v>
      </c>
    </row>
    <row r="77" spans="1:10">
      <c r="A77" s="6">
        <v>1010083</v>
      </c>
      <c r="B77" s="6">
        <v>12001</v>
      </c>
      <c r="C77" s="6">
        <v>5</v>
      </c>
      <c r="D77" s="6">
        <v>3</v>
      </c>
      <c r="E77" s="6" t="s">
        <v>108</v>
      </c>
      <c r="F77" s="11" t="s">
        <v>82</v>
      </c>
      <c r="G77" s="11" t="s">
        <v>30</v>
      </c>
      <c r="H77" s="6">
        <v>0</v>
      </c>
      <c r="I77" s="11" t="s">
        <v>107</v>
      </c>
      <c r="J77" s="6" t="s">
        <v>83</v>
      </c>
    </row>
    <row r="78" spans="1:10">
      <c r="A78" s="6">
        <v>1010084</v>
      </c>
      <c r="B78" s="6">
        <v>12001</v>
      </c>
      <c r="C78" s="6">
        <v>5</v>
      </c>
      <c r="D78" s="6">
        <v>4</v>
      </c>
      <c r="E78" s="6" t="s">
        <v>108</v>
      </c>
      <c r="F78" s="11" t="s">
        <v>84</v>
      </c>
      <c r="G78" s="11" t="s">
        <v>33</v>
      </c>
      <c r="H78" s="6">
        <v>0</v>
      </c>
      <c r="I78" s="11" t="s">
        <v>107</v>
      </c>
      <c r="J78" s="6" t="s">
        <v>85</v>
      </c>
    </row>
    <row r="79" spans="1:10">
      <c r="A79" s="6">
        <v>1010085</v>
      </c>
      <c r="B79" s="6">
        <v>12001</v>
      </c>
      <c r="C79" s="6">
        <v>5</v>
      </c>
      <c r="D79" s="6">
        <v>5</v>
      </c>
      <c r="E79" s="6" t="s">
        <v>108</v>
      </c>
      <c r="F79" s="11" t="s">
        <v>86</v>
      </c>
      <c r="G79" s="11" t="s">
        <v>36</v>
      </c>
      <c r="H79" s="6">
        <v>0</v>
      </c>
      <c r="I79" s="11" t="s">
        <v>107</v>
      </c>
      <c r="J79" s="6" t="s">
        <v>87</v>
      </c>
    </row>
    <row r="80" spans="1:10">
      <c r="A80" s="6">
        <v>1010086</v>
      </c>
      <c r="B80" s="6">
        <v>12001</v>
      </c>
      <c r="C80" s="6">
        <v>5</v>
      </c>
      <c r="D80" s="6">
        <v>6</v>
      </c>
      <c r="E80" s="6" t="s">
        <v>108</v>
      </c>
      <c r="F80" s="11" t="s">
        <v>86</v>
      </c>
      <c r="G80" s="11" t="s">
        <v>38</v>
      </c>
      <c r="H80" s="6">
        <v>110026</v>
      </c>
      <c r="I80" s="11" t="s">
        <v>109</v>
      </c>
      <c r="J80" s="6" t="s">
        <v>40</v>
      </c>
    </row>
    <row r="81" spans="1:10">
      <c r="A81" s="6">
        <v>1010087</v>
      </c>
      <c r="B81" s="6">
        <v>12001</v>
      </c>
      <c r="C81" s="6">
        <v>6</v>
      </c>
      <c r="D81" s="6">
        <v>0</v>
      </c>
      <c r="E81" s="6" t="s">
        <v>108</v>
      </c>
      <c r="F81" s="11" t="s">
        <v>86</v>
      </c>
      <c r="G81" s="11">
        <v>0</v>
      </c>
      <c r="H81" s="6">
        <v>0</v>
      </c>
      <c r="I81" s="11" t="s">
        <v>109</v>
      </c>
      <c r="J81" s="6">
        <v>0</v>
      </c>
    </row>
    <row r="82" spans="1:10">
      <c r="A82" s="6">
        <v>1010088</v>
      </c>
      <c r="B82" s="6">
        <v>12001</v>
      </c>
      <c r="C82" s="6">
        <v>6</v>
      </c>
      <c r="D82" s="6">
        <v>1</v>
      </c>
      <c r="E82" s="6" t="s">
        <v>108</v>
      </c>
      <c r="F82" s="11" t="s">
        <v>89</v>
      </c>
      <c r="G82" s="11" t="s">
        <v>24</v>
      </c>
      <c r="H82" s="6">
        <v>0</v>
      </c>
      <c r="I82" s="11" t="s">
        <v>109</v>
      </c>
      <c r="J82" s="6" t="s">
        <v>90</v>
      </c>
    </row>
    <row r="83" spans="1:10">
      <c r="A83" s="6">
        <v>1010089</v>
      </c>
      <c r="B83" s="6">
        <v>12001</v>
      </c>
      <c r="C83" s="6">
        <v>6</v>
      </c>
      <c r="D83" s="6">
        <v>2</v>
      </c>
      <c r="E83" s="6" t="s">
        <v>108</v>
      </c>
      <c r="F83" s="11" t="s">
        <v>91</v>
      </c>
      <c r="G83" s="11" t="s">
        <v>27</v>
      </c>
      <c r="H83" s="6">
        <v>0</v>
      </c>
      <c r="I83" s="11" t="s">
        <v>109</v>
      </c>
      <c r="J83" s="6" t="s">
        <v>92</v>
      </c>
    </row>
    <row r="84" spans="1:10">
      <c r="A84" s="6">
        <v>1010090</v>
      </c>
      <c r="B84" s="6">
        <v>12001</v>
      </c>
      <c r="C84" s="6">
        <v>6</v>
      </c>
      <c r="D84" s="6">
        <v>3</v>
      </c>
      <c r="E84" s="6" t="s">
        <v>108</v>
      </c>
      <c r="F84" s="11" t="s">
        <v>93</v>
      </c>
      <c r="G84" s="11" t="s">
        <v>30</v>
      </c>
      <c r="H84" s="6">
        <v>0</v>
      </c>
      <c r="I84" s="11" t="s">
        <v>109</v>
      </c>
      <c r="J84" s="6" t="s">
        <v>94</v>
      </c>
    </row>
    <row r="85" spans="1:10">
      <c r="A85" s="6">
        <v>1010091</v>
      </c>
      <c r="B85" s="6">
        <v>12001</v>
      </c>
      <c r="C85" s="6">
        <v>6</v>
      </c>
      <c r="D85" s="6">
        <v>4</v>
      </c>
      <c r="E85" s="6" t="s">
        <v>108</v>
      </c>
      <c r="F85" s="11" t="s">
        <v>95</v>
      </c>
      <c r="G85" s="11" t="s">
        <v>33</v>
      </c>
      <c r="H85" s="6">
        <v>0</v>
      </c>
      <c r="I85" s="11" t="s">
        <v>109</v>
      </c>
      <c r="J85" s="6" t="s">
        <v>96</v>
      </c>
    </row>
    <row r="86" spans="1:10">
      <c r="A86" s="6">
        <v>1010092</v>
      </c>
      <c r="B86" s="6">
        <v>12001</v>
      </c>
      <c r="C86" s="6">
        <v>6</v>
      </c>
      <c r="D86" s="6">
        <v>5</v>
      </c>
      <c r="E86" s="6" t="s">
        <v>108</v>
      </c>
      <c r="F86" s="11" t="s">
        <v>97</v>
      </c>
      <c r="G86" s="11" t="s">
        <v>36</v>
      </c>
      <c r="H86" s="6">
        <v>0</v>
      </c>
      <c r="I86" s="11" t="s">
        <v>109</v>
      </c>
      <c r="J86" s="6" t="s">
        <v>98</v>
      </c>
    </row>
    <row r="87" spans="1:10">
      <c r="A87" s="6">
        <v>1010093</v>
      </c>
      <c r="B87" s="6">
        <v>12001</v>
      </c>
      <c r="C87" s="6">
        <v>6</v>
      </c>
      <c r="D87" s="6">
        <v>6</v>
      </c>
      <c r="E87" s="6">
        <v>0</v>
      </c>
      <c r="F87" s="11" t="s">
        <v>97</v>
      </c>
      <c r="G87" s="11" t="s">
        <v>38</v>
      </c>
      <c r="H87" s="6">
        <v>110027</v>
      </c>
      <c r="I87" s="11" t="s">
        <v>110</v>
      </c>
      <c r="J87" s="6" t="s">
        <v>40</v>
      </c>
    </row>
    <row r="88" spans="1:10">
      <c r="A88" s="6">
        <v>1010094</v>
      </c>
      <c r="B88" s="16">
        <v>13001</v>
      </c>
      <c r="C88" s="6">
        <v>1</v>
      </c>
      <c r="D88" s="6">
        <v>0</v>
      </c>
      <c r="E88" s="6" t="s">
        <v>111</v>
      </c>
      <c r="F88" s="11" t="s">
        <v>22</v>
      </c>
      <c r="G88" s="11">
        <v>0</v>
      </c>
      <c r="H88" s="6">
        <v>0</v>
      </c>
      <c r="I88" s="11">
        <v>0</v>
      </c>
      <c r="J88" s="6">
        <v>0</v>
      </c>
    </row>
    <row r="89" spans="1:10">
      <c r="A89" s="6">
        <v>1010095</v>
      </c>
      <c r="B89" s="16">
        <v>13001</v>
      </c>
      <c r="C89" s="6">
        <v>1</v>
      </c>
      <c r="D89" s="6">
        <v>1</v>
      </c>
      <c r="E89" s="6" t="s">
        <v>111</v>
      </c>
      <c r="F89" s="11" t="s">
        <v>23</v>
      </c>
      <c r="G89" s="11" t="s">
        <v>24</v>
      </c>
      <c r="H89" s="6">
        <v>0</v>
      </c>
      <c r="I89" s="11">
        <v>0</v>
      </c>
      <c r="J89" s="6" t="s">
        <v>25</v>
      </c>
    </row>
    <row r="90" spans="1:10">
      <c r="A90" s="6">
        <v>1010096</v>
      </c>
      <c r="B90" s="16">
        <v>13001</v>
      </c>
      <c r="C90" s="6">
        <v>1</v>
      </c>
      <c r="D90" s="6">
        <v>2</v>
      </c>
      <c r="E90" s="6" t="s">
        <v>111</v>
      </c>
      <c r="F90" s="11" t="s">
        <v>26</v>
      </c>
      <c r="G90" s="11" t="s">
        <v>27</v>
      </c>
      <c r="H90" s="6">
        <v>0</v>
      </c>
      <c r="I90" s="11">
        <v>0</v>
      </c>
      <c r="J90" s="6" t="s">
        <v>28</v>
      </c>
    </row>
    <row r="91" spans="1:10">
      <c r="A91" s="6">
        <v>1010097</v>
      </c>
      <c r="B91" s="16">
        <v>13001</v>
      </c>
      <c r="C91" s="6">
        <v>1</v>
      </c>
      <c r="D91" s="6">
        <v>3</v>
      </c>
      <c r="E91" s="6" t="s">
        <v>111</v>
      </c>
      <c r="F91" s="11" t="s">
        <v>29</v>
      </c>
      <c r="G91" s="11" t="s">
        <v>30</v>
      </c>
      <c r="H91" s="6">
        <v>0</v>
      </c>
      <c r="I91" s="11">
        <v>0</v>
      </c>
      <c r="J91" s="6" t="s">
        <v>31</v>
      </c>
    </row>
    <row r="92" spans="1:10">
      <c r="A92" s="6">
        <v>1010098</v>
      </c>
      <c r="B92" s="16">
        <v>13001</v>
      </c>
      <c r="C92" s="6">
        <v>1</v>
      </c>
      <c r="D92" s="6">
        <v>4</v>
      </c>
      <c r="E92" s="6" t="s">
        <v>111</v>
      </c>
      <c r="F92" s="11" t="s">
        <v>32</v>
      </c>
      <c r="G92" s="11" t="s">
        <v>33</v>
      </c>
      <c r="H92" s="6">
        <v>0</v>
      </c>
      <c r="I92" s="11">
        <v>0</v>
      </c>
      <c r="J92" s="6" t="s">
        <v>34</v>
      </c>
    </row>
    <row r="93" spans="1:10">
      <c r="A93" s="6">
        <v>1010099</v>
      </c>
      <c r="B93" s="16">
        <v>13001</v>
      </c>
      <c r="C93" s="6">
        <v>1</v>
      </c>
      <c r="D93" s="6">
        <v>5</v>
      </c>
      <c r="E93" s="6" t="s">
        <v>111</v>
      </c>
      <c r="F93" s="11" t="s">
        <v>35</v>
      </c>
      <c r="G93" s="11" t="s">
        <v>36</v>
      </c>
      <c r="H93" s="6">
        <v>0</v>
      </c>
      <c r="I93" s="11">
        <v>0</v>
      </c>
      <c r="J93" s="6" t="s">
        <v>37</v>
      </c>
    </row>
    <row r="94" spans="1:10">
      <c r="A94" s="6">
        <v>1010100</v>
      </c>
      <c r="B94" s="16">
        <v>13001</v>
      </c>
      <c r="C94" s="6">
        <v>1</v>
      </c>
      <c r="D94" s="6">
        <v>6</v>
      </c>
      <c r="E94" s="6" t="s">
        <v>111</v>
      </c>
      <c r="F94" s="11" t="s">
        <v>35</v>
      </c>
      <c r="G94" s="11" t="s">
        <v>38</v>
      </c>
      <c r="H94" s="6">
        <v>110032</v>
      </c>
      <c r="I94" s="11" t="s">
        <v>112</v>
      </c>
      <c r="J94" s="6" t="s">
        <v>40</v>
      </c>
    </row>
    <row r="95" spans="1:10">
      <c r="A95" s="6">
        <v>1010101</v>
      </c>
      <c r="B95" s="16">
        <v>13001</v>
      </c>
      <c r="C95" s="6">
        <v>2</v>
      </c>
      <c r="D95" s="6">
        <v>0</v>
      </c>
      <c r="E95" s="6" t="s">
        <v>113</v>
      </c>
      <c r="F95" s="11" t="s">
        <v>35</v>
      </c>
      <c r="G95" s="11">
        <v>0</v>
      </c>
      <c r="H95" s="6">
        <v>0</v>
      </c>
      <c r="I95" s="11" t="s">
        <v>112</v>
      </c>
      <c r="J95" s="6">
        <v>0</v>
      </c>
    </row>
    <row r="96" spans="1:10">
      <c r="A96" s="6">
        <v>1010102</v>
      </c>
      <c r="B96" s="16">
        <v>13001</v>
      </c>
      <c r="C96" s="6">
        <v>2</v>
      </c>
      <c r="D96" s="6">
        <v>1</v>
      </c>
      <c r="E96" s="6" t="s">
        <v>113</v>
      </c>
      <c r="F96" s="11" t="s">
        <v>42</v>
      </c>
      <c r="G96" s="11" t="s">
        <v>24</v>
      </c>
      <c r="H96" s="6">
        <v>0</v>
      </c>
      <c r="I96" s="11" t="s">
        <v>112</v>
      </c>
      <c r="J96" s="6" t="s">
        <v>43</v>
      </c>
    </row>
    <row r="97" spans="1:10">
      <c r="A97" s="6">
        <v>1010103</v>
      </c>
      <c r="B97" s="16">
        <v>13001</v>
      </c>
      <c r="C97" s="6">
        <v>2</v>
      </c>
      <c r="D97" s="6">
        <v>2</v>
      </c>
      <c r="E97" s="6" t="s">
        <v>113</v>
      </c>
      <c r="F97" s="11" t="s">
        <v>44</v>
      </c>
      <c r="G97" s="11" t="s">
        <v>27</v>
      </c>
      <c r="H97" s="6">
        <v>0</v>
      </c>
      <c r="I97" s="11" t="s">
        <v>112</v>
      </c>
      <c r="J97" s="6" t="s">
        <v>45</v>
      </c>
    </row>
    <row r="98" spans="1:10">
      <c r="A98" s="6">
        <v>1010104</v>
      </c>
      <c r="B98" s="16">
        <v>13001</v>
      </c>
      <c r="C98" s="6">
        <v>2</v>
      </c>
      <c r="D98" s="6">
        <v>3</v>
      </c>
      <c r="E98" s="6" t="s">
        <v>113</v>
      </c>
      <c r="F98" s="11" t="s">
        <v>46</v>
      </c>
      <c r="G98" s="11" t="s">
        <v>30</v>
      </c>
      <c r="H98" s="6">
        <v>0</v>
      </c>
      <c r="I98" s="11" t="s">
        <v>112</v>
      </c>
      <c r="J98" s="6" t="s">
        <v>47</v>
      </c>
    </row>
    <row r="99" spans="1:10">
      <c r="A99" s="6">
        <v>1010105</v>
      </c>
      <c r="B99" s="16">
        <v>13001</v>
      </c>
      <c r="C99" s="6">
        <v>2</v>
      </c>
      <c r="D99" s="6">
        <v>4</v>
      </c>
      <c r="E99" s="6" t="s">
        <v>113</v>
      </c>
      <c r="F99" s="11" t="s">
        <v>48</v>
      </c>
      <c r="G99" s="11" t="s">
        <v>33</v>
      </c>
      <c r="H99" s="6">
        <v>0</v>
      </c>
      <c r="I99" s="11" t="s">
        <v>112</v>
      </c>
      <c r="J99" s="6" t="s">
        <v>49</v>
      </c>
    </row>
    <row r="100" spans="1:10">
      <c r="A100" s="6">
        <v>1010106</v>
      </c>
      <c r="B100" s="16">
        <v>13001</v>
      </c>
      <c r="C100" s="6">
        <v>2</v>
      </c>
      <c r="D100" s="6">
        <v>5</v>
      </c>
      <c r="E100" s="6" t="s">
        <v>113</v>
      </c>
      <c r="F100" s="11" t="s">
        <v>50</v>
      </c>
      <c r="G100" s="11" t="s">
        <v>36</v>
      </c>
      <c r="H100" s="6">
        <v>0</v>
      </c>
      <c r="I100" s="11" t="s">
        <v>112</v>
      </c>
      <c r="J100" s="6" t="s">
        <v>51</v>
      </c>
    </row>
    <row r="101" spans="1:10">
      <c r="A101" s="6">
        <v>1010107</v>
      </c>
      <c r="B101" s="16">
        <v>13001</v>
      </c>
      <c r="C101" s="6">
        <v>2</v>
      </c>
      <c r="D101" s="6">
        <v>6</v>
      </c>
      <c r="E101" s="6" t="s">
        <v>113</v>
      </c>
      <c r="F101" s="11" t="s">
        <v>50</v>
      </c>
      <c r="G101" s="11" t="s">
        <v>38</v>
      </c>
      <c r="H101" s="6">
        <v>110033</v>
      </c>
      <c r="I101" s="11" t="s">
        <v>114</v>
      </c>
      <c r="J101" s="6" t="s">
        <v>40</v>
      </c>
    </row>
    <row r="102" spans="1:10">
      <c r="A102" s="6">
        <v>1010108</v>
      </c>
      <c r="B102" s="16">
        <v>13001</v>
      </c>
      <c r="C102" s="6">
        <v>3</v>
      </c>
      <c r="D102" s="6">
        <v>0</v>
      </c>
      <c r="E102" s="6" t="s">
        <v>115</v>
      </c>
      <c r="F102" s="11" t="s">
        <v>50</v>
      </c>
      <c r="G102" s="11">
        <v>0</v>
      </c>
      <c r="H102" s="6">
        <v>0</v>
      </c>
      <c r="I102" s="11" t="s">
        <v>114</v>
      </c>
      <c r="J102" s="6">
        <v>0</v>
      </c>
    </row>
    <row r="103" spans="1:10">
      <c r="A103" s="6">
        <v>1010109</v>
      </c>
      <c r="B103" s="16">
        <v>13001</v>
      </c>
      <c r="C103" s="6">
        <v>3</v>
      </c>
      <c r="D103" s="6">
        <v>1</v>
      </c>
      <c r="E103" s="6" t="s">
        <v>115</v>
      </c>
      <c r="F103" s="11" t="s">
        <v>54</v>
      </c>
      <c r="G103" s="11" t="s">
        <v>24</v>
      </c>
      <c r="H103" s="6">
        <v>0</v>
      </c>
      <c r="I103" s="11" t="s">
        <v>114</v>
      </c>
      <c r="J103" s="6" t="s">
        <v>55</v>
      </c>
    </row>
    <row r="104" spans="1:10">
      <c r="A104" s="6">
        <v>1010110</v>
      </c>
      <c r="B104" s="16">
        <v>13001</v>
      </c>
      <c r="C104" s="6">
        <v>3</v>
      </c>
      <c r="D104" s="6">
        <v>2</v>
      </c>
      <c r="E104" s="6" t="s">
        <v>115</v>
      </c>
      <c r="F104" s="11" t="s">
        <v>56</v>
      </c>
      <c r="G104" s="11" t="s">
        <v>27</v>
      </c>
      <c r="H104" s="6">
        <v>0</v>
      </c>
      <c r="I104" s="11" t="s">
        <v>114</v>
      </c>
      <c r="J104" s="6" t="s">
        <v>57</v>
      </c>
    </row>
    <row r="105" spans="1:10">
      <c r="A105" s="6">
        <v>1010111</v>
      </c>
      <c r="B105" s="16">
        <v>13001</v>
      </c>
      <c r="C105" s="6">
        <v>3</v>
      </c>
      <c r="D105" s="6">
        <v>3</v>
      </c>
      <c r="E105" s="6" t="s">
        <v>115</v>
      </c>
      <c r="F105" s="11" t="s">
        <v>58</v>
      </c>
      <c r="G105" s="11" t="s">
        <v>30</v>
      </c>
      <c r="H105" s="6">
        <v>0</v>
      </c>
      <c r="I105" s="11" t="s">
        <v>114</v>
      </c>
      <c r="J105" s="6" t="s">
        <v>59</v>
      </c>
    </row>
    <row r="106" spans="1:10">
      <c r="A106" s="6">
        <v>1010112</v>
      </c>
      <c r="B106" s="16">
        <v>13001</v>
      </c>
      <c r="C106" s="6">
        <v>3</v>
      </c>
      <c r="D106" s="6">
        <v>4</v>
      </c>
      <c r="E106" s="6" t="s">
        <v>115</v>
      </c>
      <c r="F106" s="11" t="s">
        <v>60</v>
      </c>
      <c r="G106" s="11" t="s">
        <v>33</v>
      </c>
      <c r="H106" s="6">
        <v>0</v>
      </c>
      <c r="I106" s="11" t="s">
        <v>114</v>
      </c>
      <c r="J106" s="6" t="s">
        <v>61</v>
      </c>
    </row>
    <row r="107" spans="1:10">
      <c r="A107" s="6">
        <v>1010113</v>
      </c>
      <c r="B107" s="16">
        <v>13001</v>
      </c>
      <c r="C107" s="6">
        <v>3</v>
      </c>
      <c r="D107" s="6">
        <v>5</v>
      </c>
      <c r="E107" s="6" t="s">
        <v>115</v>
      </c>
      <c r="F107" s="11" t="s">
        <v>62</v>
      </c>
      <c r="G107" s="11" t="s">
        <v>36</v>
      </c>
      <c r="H107" s="6">
        <v>0</v>
      </c>
      <c r="I107" s="11" t="s">
        <v>114</v>
      </c>
      <c r="J107" s="6" t="s">
        <v>63</v>
      </c>
    </row>
    <row r="108" spans="1:10">
      <c r="A108" s="6">
        <v>1010114</v>
      </c>
      <c r="B108" s="16">
        <v>13001</v>
      </c>
      <c r="C108" s="6">
        <v>3</v>
      </c>
      <c r="D108" s="6">
        <v>6</v>
      </c>
      <c r="E108" s="6" t="s">
        <v>115</v>
      </c>
      <c r="F108" s="11" t="s">
        <v>62</v>
      </c>
      <c r="G108" s="11" t="s">
        <v>38</v>
      </c>
      <c r="H108" s="6">
        <v>110034</v>
      </c>
      <c r="I108" s="11" t="s">
        <v>116</v>
      </c>
      <c r="J108" s="6" t="s">
        <v>40</v>
      </c>
    </row>
    <row r="109" spans="1:10">
      <c r="A109" s="6">
        <v>1010115</v>
      </c>
      <c r="B109" s="16">
        <v>13001</v>
      </c>
      <c r="C109" s="6">
        <v>4</v>
      </c>
      <c r="D109" s="6">
        <v>0</v>
      </c>
      <c r="E109" s="6" t="s">
        <v>117</v>
      </c>
      <c r="F109" s="11" t="s">
        <v>62</v>
      </c>
      <c r="G109" s="11">
        <v>0</v>
      </c>
      <c r="H109" s="6">
        <v>0</v>
      </c>
      <c r="I109" s="11" t="s">
        <v>116</v>
      </c>
      <c r="J109" s="6">
        <v>0</v>
      </c>
    </row>
    <row r="110" spans="1:10">
      <c r="A110" s="6">
        <v>1010116</v>
      </c>
      <c r="B110" s="16">
        <v>13001</v>
      </c>
      <c r="C110" s="6">
        <v>4</v>
      </c>
      <c r="D110" s="6">
        <v>1</v>
      </c>
      <c r="E110" s="6" t="s">
        <v>117</v>
      </c>
      <c r="F110" s="11" t="s">
        <v>66</v>
      </c>
      <c r="G110" s="11" t="s">
        <v>24</v>
      </c>
      <c r="H110" s="6">
        <v>0</v>
      </c>
      <c r="I110" s="11" t="s">
        <v>116</v>
      </c>
      <c r="J110" s="6" t="s">
        <v>67</v>
      </c>
    </row>
    <row r="111" spans="1:10">
      <c r="A111" s="6">
        <v>1010117</v>
      </c>
      <c r="B111" s="16">
        <v>13001</v>
      </c>
      <c r="C111" s="6">
        <v>4</v>
      </c>
      <c r="D111" s="6">
        <v>2</v>
      </c>
      <c r="E111" s="6" t="s">
        <v>117</v>
      </c>
      <c r="F111" s="11" t="s">
        <v>68</v>
      </c>
      <c r="G111" s="11" t="s">
        <v>27</v>
      </c>
      <c r="H111" s="6">
        <v>0</v>
      </c>
      <c r="I111" s="11" t="s">
        <v>116</v>
      </c>
      <c r="J111" s="6" t="s">
        <v>69</v>
      </c>
    </row>
    <row r="112" spans="1:10">
      <c r="A112" s="6">
        <v>1010118</v>
      </c>
      <c r="B112" s="16">
        <v>13001</v>
      </c>
      <c r="C112" s="6">
        <v>4</v>
      </c>
      <c r="D112" s="6">
        <v>3</v>
      </c>
      <c r="E112" s="6" t="s">
        <v>117</v>
      </c>
      <c r="F112" s="11" t="s">
        <v>70</v>
      </c>
      <c r="G112" s="11" t="s">
        <v>30</v>
      </c>
      <c r="H112" s="6">
        <v>0</v>
      </c>
      <c r="I112" s="11" t="s">
        <v>116</v>
      </c>
      <c r="J112" s="6" t="s">
        <v>71</v>
      </c>
    </row>
    <row r="113" spans="1:10">
      <c r="A113" s="6">
        <v>1010119</v>
      </c>
      <c r="B113" s="16">
        <v>13001</v>
      </c>
      <c r="C113" s="6">
        <v>4</v>
      </c>
      <c r="D113" s="6">
        <v>4</v>
      </c>
      <c r="E113" s="6" t="s">
        <v>117</v>
      </c>
      <c r="F113" s="11" t="s">
        <v>72</v>
      </c>
      <c r="G113" s="11" t="s">
        <v>33</v>
      </c>
      <c r="H113" s="6">
        <v>0</v>
      </c>
      <c r="I113" s="11" t="s">
        <v>116</v>
      </c>
      <c r="J113" s="6" t="s">
        <v>73</v>
      </c>
    </row>
    <row r="114" spans="1:10">
      <c r="A114" s="6">
        <v>1010120</v>
      </c>
      <c r="B114" s="16">
        <v>13001</v>
      </c>
      <c r="C114" s="6">
        <v>4</v>
      </c>
      <c r="D114" s="6">
        <v>5</v>
      </c>
      <c r="E114" s="6" t="s">
        <v>117</v>
      </c>
      <c r="F114" s="11" t="s">
        <v>74</v>
      </c>
      <c r="G114" s="11" t="s">
        <v>36</v>
      </c>
      <c r="H114" s="6">
        <v>0</v>
      </c>
      <c r="I114" s="11" t="s">
        <v>116</v>
      </c>
      <c r="J114" s="6" t="s">
        <v>75</v>
      </c>
    </row>
    <row r="115" spans="1:10">
      <c r="A115" s="6">
        <v>1010121</v>
      </c>
      <c r="B115" s="16">
        <v>13001</v>
      </c>
      <c r="C115" s="6">
        <v>4</v>
      </c>
      <c r="D115" s="6">
        <v>6</v>
      </c>
      <c r="E115" s="6" t="s">
        <v>117</v>
      </c>
      <c r="F115" s="11" t="s">
        <v>74</v>
      </c>
      <c r="G115" s="11" t="s">
        <v>38</v>
      </c>
      <c r="H115" s="6">
        <v>110035</v>
      </c>
      <c r="I115" s="11" t="s">
        <v>118</v>
      </c>
      <c r="J115" s="6" t="s">
        <v>40</v>
      </c>
    </row>
    <row r="116" spans="1:10">
      <c r="A116" s="6">
        <v>1010122</v>
      </c>
      <c r="B116" s="16">
        <v>13001</v>
      </c>
      <c r="C116" s="6">
        <v>5</v>
      </c>
      <c r="D116" s="6">
        <v>0</v>
      </c>
      <c r="E116" s="6" t="s">
        <v>119</v>
      </c>
      <c r="F116" s="11" t="s">
        <v>74</v>
      </c>
      <c r="G116" s="11">
        <v>0</v>
      </c>
      <c r="H116" s="6">
        <v>0</v>
      </c>
      <c r="I116" s="11" t="s">
        <v>118</v>
      </c>
      <c r="J116" s="6">
        <v>0</v>
      </c>
    </row>
    <row r="117" spans="1:10">
      <c r="A117" s="6">
        <v>1010123</v>
      </c>
      <c r="B117" s="16">
        <v>13001</v>
      </c>
      <c r="C117" s="6">
        <v>5</v>
      </c>
      <c r="D117" s="6">
        <v>1</v>
      </c>
      <c r="E117" s="6" t="s">
        <v>119</v>
      </c>
      <c r="F117" s="11" t="s">
        <v>78</v>
      </c>
      <c r="G117" s="11" t="s">
        <v>24</v>
      </c>
      <c r="H117" s="6">
        <v>0</v>
      </c>
      <c r="I117" s="11" t="s">
        <v>118</v>
      </c>
      <c r="J117" s="6" t="s">
        <v>79</v>
      </c>
    </row>
    <row r="118" spans="1:10">
      <c r="A118" s="6">
        <v>1010124</v>
      </c>
      <c r="B118" s="16">
        <v>13001</v>
      </c>
      <c r="C118" s="6">
        <v>5</v>
      </c>
      <c r="D118" s="6">
        <v>2</v>
      </c>
      <c r="E118" s="6" t="s">
        <v>119</v>
      </c>
      <c r="F118" s="11" t="s">
        <v>80</v>
      </c>
      <c r="G118" s="11" t="s">
        <v>27</v>
      </c>
      <c r="H118" s="6">
        <v>0</v>
      </c>
      <c r="I118" s="11" t="s">
        <v>118</v>
      </c>
      <c r="J118" s="6" t="s">
        <v>81</v>
      </c>
    </row>
    <row r="119" spans="1:10">
      <c r="A119" s="6">
        <v>1010125</v>
      </c>
      <c r="B119" s="16">
        <v>13001</v>
      </c>
      <c r="C119" s="6">
        <v>5</v>
      </c>
      <c r="D119" s="6">
        <v>3</v>
      </c>
      <c r="E119" s="6" t="s">
        <v>119</v>
      </c>
      <c r="F119" s="11" t="s">
        <v>82</v>
      </c>
      <c r="G119" s="11" t="s">
        <v>30</v>
      </c>
      <c r="H119" s="6">
        <v>0</v>
      </c>
      <c r="I119" s="11" t="s">
        <v>118</v>
      </c>
      <c r="J119" s="6" t="s">
        <v>83</v>
      </c>
    </row>
    <row r="120" spans="1:10">
      <c r="A120" s="6">
        <v>1010126</v>
      </c>
      <c r="B120" s="16">
        <v>13001</v>
      </c>
      <c r="C120" s="6">
        <v>5</v>
      </c>
      <c r="D120" s="6">
        <v>4</v>
      </c>
      <c r="E120" s="6" t="s">
        <v>119</v>
      </c>
      <c r="F120" s="11" t="s">
        <v>84</v>
      </c>
      <c r="G120" s="11" t="s">
        <v>33</v>
      </c>
      <c r="H120" s="6">
        <v>0</v>
      </c>
      <c r="I120" s="11" t="s">
        <v>118</v>
      </c>
      <c r="J120" s="6" t="s">
        <v>85</v>
      </c>
    </row>
    <row r="121" spans="1:10">
      <c r="A121" s="6">
        <v>1010127</v>
      </c>
      <c r="B121" s="16">
        <v>13001</v>
      </c>
      <c r="C121" s="6">
        <v>5</v>
      </c>
      <c r="D121" s="6">
        <v>5</v>
      </c>
      <c r="E121" s="6" t="s">
        <v>119</v>
      </c>
      <c r="F121" s="11" t="s">
        <v>86</v>
      </c>
      <c r="G121" s="11" t="s">
        <v>36</v>
      </c>
      <c r="H121" s="6">
        <v>0</v>
      </c>
      <c r="I121" s="11" t="s">
        <v>118</v>
      </c>
      <c r="J121" s="6" t="s">
        <v>87</v>
      </c>
    </row>
    <row r="122" spans="1:10">
      <c r="A122" s="6">
        <v>1010128</v>
      </c>
      <c r="B122" s="16">
        <v>13001</v>
      </c>
      <c r="C122" s="6">
        <v>5</v>
      </c>
      <c r="D122" s="6">
        <v>6</v>
      </c>
      <c r="E122" s="6" t="s">
        <v>119</v>
      </c>
      <c r="F122" s="11" t="s">
        <v>86</v>
      </c>
      <c r="G122" s="11" t="s">
        <v>38</v>
      </c>
      <c r="H122" s="6">
        <v>110036</v>
      </c>
      <c r="I122" s="11" t="s">
        <v>120</v>
      </c>
      <c r="J122" s="6" t="s">
        <v>40</v>
      </c>
    </row>
    <row r="123" spans="1:10">
      <c r="A123" s="6">
        <v>1010129</v>
      </c>
      <c r="B123" s="16">
        <v>13001</v>
      </c>
      <c r="C123" s="6">
        <v>6</v>
      </c>
      <c r="D123" s="6">
        <v>0</v>
      </c>
      <c r="E123" s="6" t="s">
        <v>119</v>
      </c>
      <c r="F123" s="11" t="s">
        <v>86</v>
      </c>
      <c r="G123" s="11">
        <v>0</v>
      </c>
      <c r="H123" s="6">
        <v>0</v>
      </c>
      <c r="I123" s="11" t="s">
        <v>120</v>
      </c>
      <c r="J123" s="6">
        <v>0</v>
      </c>
    </row>
    <row r="124" spans="1:10">
      <c r="A124" s="6">
        <v>1010130</v>
      </c>
      <c r="B124" s="16">
        <v>13001</v>
      </c>
      <c r="C124" s="6">
        <v>6</v>
      </c>
      <c r="D124" s="6">
        <v>1</v>
      </c>
      <c r="E124" s="6" t="s">
        <v>119</v>
      </c>
      <c r="F124" s="11" t="s">
        <v>89</v>
      </c>
      <c r="G124" s="11" t="s">
        <v>24</v>
      </c>
      <c r="H124" s="6">
        <v>0</v>
      </c>
      <c r="I124" s="11" t="s">
        <v>120</v>
      </c>
      <c r="J124" s="6" t="s">
        <v>90</v>
      </c>
    </row>
    <row r="125" spans="1:10">
      <c r="A125" s="6">
        <v>1010131</v>
      </c>
      <c r="B125" s="16">
        <v>13001</v>
      </c>
      <c r="C125" s="6">
        <v>6</v>
      </c>
      <c r="D125" s="6">
        <v>2</v>
      </c>
      <c r="E125" s="6" t="s">
        <v>119</v>
      </c>
      <c r="F125" s="11" t="s">
        <v>91</v>
      </c>
      <c r="G125" s="11" t="s">
        <v>27</v>
      </c>
      <c r="H125" s="6">
        <v>0</v>
      </c>
      <c r="I125" s="11" t="s">
        <v>120</v>
      </c>
      <c r="J125" s="6" t="s">
        <v>92</v>
      </c>
    </row>
    <row r="126" spans="1:10">
      <c r="A126" s="6">
        <v>1010132</v>
      </c>
      <c r="B126" s="16">
        <v>13001</v>
      </c>
      <c r="C126" s="6">
        <v>6</v>
      </c>
      <c r="D126" s="6">
        <v>3</v>
      </c>
      <c r="E126" s="6" t="s">
        <v>119</v>
      </c>
      <c r="F126" s="11" t="s">
        <v>93</v>
      </c>
      <c r="G126" s="11" t="s">
        <v>30</v>
      </c>
      <c r="H126" s="6">
        <v>0</v>
      </c>
      <c r="I126" s="11" t="s">
        <v>120</v>
      </c>
      <c r="J126" s="6" t="s">
        <v>94</v>
      </c>
    </row>
    <row r="127" spans="1:10">
      <c r="A127" s="6">
        <v>1010133</v>
      </c>
      <c r="B127" s="16">
        <v>13001</v>
      </c>
      <c r="C127" s="6">
        <v>6</v>
      </c>
      <c r="D127" s="6">
        <v>4</v>
      </c>
      <c r="E127" s="6" t="s">
        <v>119</v>
      </c>
      <c r="F127" s="11" t="s">
        <v>95</v>
      </c>
      <c r="G127" s="11" t="s">
        <v>33</v>
      </c>
      <c r="H127" s="6">
        <v>0</v>
      </c>
      <c r="I127" s="11" t="s">
        <v>120</v>
      </c>
      <c r="J127" s="6" t="s">
        <v>96</v>
      </c>
    </row>
    <row r="128" spans="1:10">
      <c r="A128" s="6">
        <v>1010134</v>
      </c>
      <c r="B128" s="16">
        <v>13001</v>
      </c>
      <c r="C128" s="6">
        <v>6</v>
      </c>
      <c r="D128" s="6">
        <v>5</v>
      </c>
      <c r="E128" s="6" t="s">
        <v>119</v>
      </c>
      <c r="F128" s="11" t="s">
        <v>97</v>
      </c>
      <c r="G128" s="11" t="s">
        <v>36</v>
      </c>
      <c r="H128" s="6">
        <v>0</v>
      </c>
      <c r="I128" s="11" t="s">
        <v>120</v>
      </c>
      <c r="J128" s="6" t="s">
        <v>98</v>
      </c>
    </row>
    <row r="129" spans="1:10">
      <c r="A129" s="6">
        <v>1010135</v>
      </c>
      <c r="B129" s="16">
        <v>13001</v>
      </c>
      <c r="C129" s="6">
        <v>6</v>
      </c>
      <c r="D129" s="6">
        <v>6</v>
      </c>
      <c r="E129" s="6">
        <v>0</v>
      </c>
      <c r="F129" s="11" t="s">
        <v>97</v>
      </c>
      <c r="G129" s="11" t="s">
        <v>38</v>
      </c>
      <c r="H129" s="6">
        <v>110037</v>
      </c>
      <c r="I129" s="11" t="s">
        <v>121</v>
      </c>
      <c r="J129" s="6" t="s">
        <v>40</v>
      </c>
    </row>
    <row r="130" spans="1:10">
      <c r="A130" s="6">
        <v>1010136</v>
      </c>
      <c r="B130" s="6">
        <v>14001</v>
      </c>
      <c r="C130" s="6">
        <v>1</v>
      </c>
      <c r="D130" s="6">
        <v>0</v>
      </c>
      <c r="E130" s="6" t="s">
        <v>122</v>
      </c>
      <c r="F130" s="11" t="s">
        <v>22</v>
      </c>
      <c r="G130" s="11">
        <v>0</v>
      </c>
      <c r="H130" s="6">
        <v>0</v>
      </c>
      <c r="I130" s="11">
        <v>0</v>
      </c>
      <c r="J130" s="6">
        <v>0</v>
      </c>
    </row>
    <row r="131" spans="1:10">
      <c r="A131" s="6">
        <v>1010137</v>
      </c>
      <c r="B131" s="6">
        <v>14001</v>
      </c>
      <c r="C131" s="6">
        <v>1</v>
      </c>
      <c r="D131" s="6">
        <v>1</v>
      </c>
      <c r="E131" s="6" t="s">
        <v>122</v>
      </c>
      <c r="F131" s="11" t="s">
        <v>23</v>
      </c>
      <c r="G131" s="11" t="s">
        <v>24</v>
      </c>
      <c r="H131" s="6">
        <v>0</v>
      </c>
      <c r="I131" s="11">
        <v>0</v>
      </c>
      <c r="J131" s="6" t="s">
        <v>25</v>
      </c>
    </row>
    <row r="132" spans="1:10">
      <c r="A132" s="6">
        <v>1010138</v>
      </c>
      <c r="B132" s="6">
        <v>14001</v>
      </c>
      <c r="C132" s="6">
        <v>1</v>
      </c>
      <c r="D132" s="6">
        <v>2</v>
      </c>
      <c r="E132" s="6" t="s">
        <v>122</v>
      </c>
      <c r="F132" s="11" t="s">
        <v>26</v>
      </c>
      <c r="G132" s="11" t="s">
        <v>27</v>
      </c>
      <c r="H132" s="6">
        <v>0</v>
      </c>
      <c r="I132" s="11">
        <v>0</v>
      </c>
      <c r="J132" s="6" t="s">
        <v>28</v>
      </c>
    </row>
    <row r="133" spans="1:10">
      <c r="A133" s="6">
        <v>1010139</v>
      </c>
      <c r="B133" s="6">
        <v>14001</v>
      </c>
      <c r="C133" s="6">
        <v>1</v>
      </c>
      <c r="D133" s="6">
        <v>3</v>
      </c>
      <c r="E133" s="6" t="s">
        <v>122</v>
      </c>
      <c r="F133" s="11" t="s">
        <v>29</v>
      </c>
      <c r="G133" s="11" t="s">
        <v>30</v>
      </c>
      <c r="H133" s="6">
        <v>0</v>
      </c>
      <c r="I133" s="11">
        <v>0</v>
      </c>
      <c r="J133" s="6" t="s">
        <v>31</v>
      </c>
    </row>
    <row r="134" spans="1:10">
      <c r="A134" s="6">
        <v>1010140</v>
      </c>
      <c r="B134" s="6">
        <v>14001</v>
      </c>
      <c r="C134" s="6">
        <v>1</v>
      </c>
      <c r="D134" s="6">
        <v>4</v>
      </c>
      <c r="E134" s="6" t="s">
        <v>122</v>
      </c>
      <c r="F134" s="11" t="s">
        <v>32</v>
      </c>
      <c r="G134" s="11" t="s">
        <v>33</v>
      </c>
      <c r="H134" s="6">
        <v>0</v>
      </c>
      <c r="I134" s="11">
        <v>0</v>
      </c>
      <c r="J134" s="6" t="s">
        <v>34</v>
      </c>
    </row>
    <row r="135" spans="1:10">
      <c r="A135" s="6">
        <v>1010141</v>
      </c>
      <c r="B135" s="6">
        <v>14001</v>
      </c>
      <c r="C135" s="6">
        <v>1</v>
      </c>
      <c r="D135" s="6">
        <v>5</v>
      </c>
      <c r="E135" s="6" t="s">
        <v>122</v>
      </c>
      <c r="F135" s="11" t="s">
        <v>35</v>
      </c>
      <c r="G135" s="11" t="s">
        <v>36</v>
      </c>
      <c r="H135" s="6">
        <v>0</v>
      </c>
      <c r="I135" s="11">
        <v>0</v>
      </c>
      <c r="J135" s="6" t="s">
        <v>37</v>
      </c>
    </row>
    <row r="136" spans="1:10">
      <c r="A136" s="6">
        <v>1010142</v>
      </c>
      <c r="B136" s="6">
        <v>14001</v>
      </c>
      <c r="C136" s="6">
        <v>1</v>
      </c>
      <c r="D136" s="6">
        <v>6</v>
      </c>
      <c r="E136" s="6" t="s">
        <v>122</v>
      </c>
      <c r="F136" s="11" t="s">
        <v>35</v>
      </c>
      <c r="G136" s="11" t="s">
        <v>38</v>
      </c>
      <c r="H136" s="6">
        <v>110042</v>
      </c>
      <c r="I136" s="11" t="s">
        <v>123</v>
      </c>
      <c r="J136" s="6" t="s">
        <v>40</v>
      </c>
    </row>
    <row r="137" spans="1:10">
      <c r="A137" s="6">
        <v>1010143</v>
      </c>
      <c r="B137" s="6">
        <v>14001</v>
      </c>
      <c r="C137" s="6">
        <v>2</v>
      </c>
      <c r="D137" s="6">
        <v>0</v>
      </c>
      <c r="E137" s="6" t="s">
        <v>124</v>
      </c>
      <c r="F137" s="11" t="s">
        <v>35</v>
      </c>
      <c r="G137" s="11">
        <v>0</v>
      </c>
      <c r="H137" s="6">
        <v>0</v>
      </c>
      <c r="I137" s="11" t="s">
        <v>123</v>
      </c>
      <c r="J137" s="6">
        <v>0</v>
      </c>
    </row>
    <row r="138" spans="1:10">
      <c r="A138" s="6">
        <v>1010144</v>
      </c>
      <c r="B138" s="6">
        <v>14001</v>
      </c>
      <c r="C138" s="6">
        <v>2</v>
      </c>
      <c r="D138" s="6">
        <v>1</v>
      </c>
      <c r="E138" s="6" t="s">
        <v>124</v>
      </c>
      <c r="F138" s="11" t="s">
        <v>42</v>
      </c>
      <c r="G138" s="11" t="s">
        <v>24</v>
      </c>
      <c r="H138" s="6">
        <v>0</v>
      </c>
      <c r="I138" s="11" t="s">
        <v>123</v>
      </c>
      <c r="J138" s="6" t="s">
        <v>43</v>
      </c>
    </row>
    <row r="139" spans="1:10">
      <c r="A139" s="6">
        <v>1010145</v>
      </c>
      <c r="B139" s="6">
        <v>14001</v>
      </c>
      <c r="C139" s="6">
        <v>2</v>
      </c>
      <c r="D139" s="6">
        <v>2</v>
      </c>
      <c r="E139" s="6" t="s">
        <v>124</v>
      </c>
      <c r="F139" s="11" t="s">
        <v>44</v>
      </c>
      <c r="G139" s="11" t="s">
        <v>27</v>
      </c>
      <c r="H139" s="6">
        <v>0</v>
      </c>
      <c r="I139" s="11" t="s">
        <v>123</v>
      </c>
      <c r="J139" s="6" t="s">
        <v>45</v>
      </c>
    </row>
    <row r="140" spans="1:10">
      <c r="A140" s="6">
        <v>1010146</v>
      </c>
      <c r="B140" s="6">
        <v>14001</v>
      </c>
      <c r="C140" s="6">
        <v>2</v>
      </c>
      <c r="D140" s="6">
        <v>3</v>
      </c>
      <c r="E140" s="6" t="s">
        <v>124</v>
      </c>
      <c r="F140" s="11" t="s">
        <v>46</v>
      </c>
      <c r="G140" s="11" t="s">
        <v>30</v>
      </c>
      <c r="H140" s="6">
        <v>0</v>
      </c>
      <c r="I140" s="11" t="s">
        <v>123</v>
      </c>
      <c r="J140" s="6" t="s">
        <v>47</v>
      </c>
    </row>
    <row r="141" spans="1:10">
      <c r="A141" s="6">
        <v>1010147</v>
      </c>
      <c r="B141" s="6">
        <v>14001</v>
      </c>
      <c r="C141" s="6">
        <v>2</v>
      </c>
      <c r="D141" s="6">
        <v>4</v>
      </c>
      <c r="E141" s="6" t="s">
        <v>124</v>
      </c>
      <c r="F141" s="11" t="s">
        <v>48</v>
      </c>
      <c r="G141" s="11" t="s">
        <v>33</v>
      </c>
      <c r="H141" s="6">
        <v>0</v>
      </c>
      <c r="I141" s="11" t="s">
        <v>123</v>
      </c>
      <c r="J141" s="6" t="s">
        <v>49</v>
      </c>
    </row>
    <row r="142" spans="1:10">
      <c r="A142" s="6">
        <v>1010148</v>
      </c>
      <c r="B142" s="6">
        <v>14001</v>
      </c>
      <c r="C142" s="6">
        <v>2</v>
      </c>
      <c r="D142" s="6">
        <v>5</v>
      </c>
      <c r="E142" s="6" t="s">
        <v>124</v>
      </c>
      <c r="F142" s="11" t="s">
        <v>50</v>
      </c>
      <c r="G142" s="11" t="s">
        <v>36</v>
      </c>
      <c r="H142" s="6">
        <v>0</v>
      </c>
      <c r="I142" s="11" t="s">
        <v>123</v>
      </c>
      <c r="J142" s="6" t="s">
        <v>51</v>
      </c>
    </row>
    <row r="143" spans="1:10">
      <c r="A143" s="6">
        <v>1010149</v>
      </c>
      <c r="B143" s="6">
        <v>14001</v>
      </c>
      <c r="C143" s="6">
        <v>2</v>
      </c>
      <c r="D143" s="6">
        <v>6</v>
      </c>
      <c r="E143" s="6" t="s">
        <v>124</v>
      </c>
      <c r="F143" s="11" t="s">
        <v>50</v>
      </c>
      <c r="G143" s="11" t="s">
        <v>38</v>
      </c>
      <c r="H143" s="6">
        <v>110043</v>
      </c>
      <c r="I143" s="11" t="s">
        <v>125</v>
      </c>
      <c r="J143" s="6" t="s">
        <v>40</v>
      </c>
    </row>
    <row r="144" spans="1:10">
      <c r="A144" s="6">
        <v>1010150</v>
      </c>
      <c r="B144" s="6">
        <v>14001</v>
      </c>
      <c r="C144" s="6">
        <v>3</v>
      </c>
      <c r="D144" s="6">
        <v>0</v>
      </c>
      <c r="E144" s="6" t="s">
        <v>126</v>
      </c>
      <c r="F144" s="11" t="s">
        <v>50</v>
      </c>
      <c r="G144" s="11">
        <v>0</v>
      </c>
      <c r="H144" s="6">
        <v>0</v>
      </c>
      <c r="I144" s="11" t="s">
        <v>125</v>
      </c>
      <c r="J144" s="6">
        <v>0</v>
      </c>
    </row>
    <row r="145" spans="1:10">
      <c r="A145" s="6">
        <v>1010151</v>
      </c>
      <c r="B145" s="6">
        <v>14001</v>
      </c>
      <c r="C145" s="6">
        <v>3</v>
      </c>
      <c r="D145" s="6">
        <v>1</v>
      </c>
      <c r="E145" s="6" t="s">
        <v>126</v>
      </c>
      <c r="F145" s="11" t="s">
        <v>54</v>
      </c>
      <c r="G145" s="11" t="s">
        <v>24</v>
      </c>
      <c r="H145" s="6">
        <v>0</v>
      </c>
      <c r="I145" s="11" t="s">
        <v>125</v>
      </c>
      <c r="J145" s="6" t="s">
        <v>55</v>
      </c>
    </row>
    <row r="146" spans="1:10">
      <c r="A146" s="6">
        <v>1010152</v>
      </c>
      <c r="B146" s="6">
        <v>14001</v>
      </c>
      <c r="C146" s="6">
        <v>3</v>
      </c>
      <c r="D146" s="6">
        <v>2</v>
      </c>
      <c r="E146" s="6" t="s">
        <v>126</v>
      </c>
      <c r="F146" s="11" t="s">
        <v>56</v>
      </c>
      <c r="G146" s="11" t="s">
        <v>27</v>
      </c>
      <c r="H146" s="6">
        <v>0</v>
      </c>
      <c r="I146" s="11" t="s">
        <v>125</v>
      </c>
      <c r="J146" s="6" t="s">
        <v>57</v>
      </c>
    </row>
    <row r="147" spans="1:10">
      <c r="A147" s="6">
        <v>1010153</v>
      </c>
      <c r="B147" s="6">
        <v>14001</v>
      </c>
      <c r="C147" s="6">
        <v>3</v>
      </c>
      <c r="D147" s="6">
        <v>3</v>
      </c>
      <c r="E147" s="6" t="s">
        <v>126</v>
      </c>
      <c r="F147" s="11" t="s">
        <v>58</v>
      </c>
      <c r="G147" s="11" t="s">
        <v>30</v>
      </c>
      <c r="H147" s="6">
        <v>0</v>
      </c>
      <c r="I147" s="11" t="s">
        <v>125</v>
      </c>
      <c r="J147" s="6" t="s">
        <v>59</v>
      </c>
    </row>
    <row r="148" spans="1:10">
      <c r="A148" s="6">
        <v>1010154</v>
      </c>
      <c r="B148" s="6">
        <v>14001</v>
      </c>
      <c r="C148" s="6">
        <v>3</v>
      </c>
      <c r="D148" s="6">
        <v>4</v>
      </c>
      <c r="E148" s="6" t="s">
        <v>126</v>
      </c>
      <c r="F148" s="11" t="s">
        <v>60</v>
      </c>
      <c r="G148" s="11" t="s">
        <v>33</v>
      </c>
      <c r="H148" s="6">
        <v>0</v>
      </c>
      <c r="I148" s="11" t="s">
        <v>125</v>
      </c>
      <c r="J148" s="6" t="s">
        <v>61</v>
      </c>
    </row>
    <row r="149" spans="1:10">
      <c r="A149" s="6">
        <v>1010155</v>
      </c>
      <c r="B149" s="6">
        <v>14001</v>
      </c>
      <c r="C149" s="6">
        <v>3</v>
      </c>
      <c r="D149" s="6">
        <v>5</v>
      </c>
      <c r="E149" s="6" t="s">
        <v>126</v>
      </c>
      <c r="F149" s="11" t="s">
        <v>62</v>
      </c>
      <c r="G149" s="11" t="s">
        <v>36</v>
      </c>
      <c r="H149" s="6">
        <v>0</v>
      </c>
      <c r="I149" s="11" t="s">
        <v>125</v>
      </c>
      <c r="J149" s="6" t="s">
        <v>63</v>
      </c>
    </row>
    <row r="150" spans="1:10">
      <c r="A150" s="6">
        <v>1010156</v>
      </c>
      <c r="B150" s="6">
        <v>14001</v>
      </c>
      <c r="C150" s="6">
        <v>3</v>
      </c>
      <c r="D150" s="6">
        <v>6</v>
      </c>
      <c r="E150" s="6" t="s">
        <v>126</v>
      </c>
      <c r="F150" s="11" t="s">
        <v>62</v>
      </c>
      <c r="G150" s="11" t="s">
        <v>38</v>
      </c>
      <c r="H150" s="6">
        <v>110044</v>
      </c>
      <c r="I150" s="11" t="s">
        <v>127</v>
      </c>
      <c r="J150" s="6" t="s">
        <v>40</v>
      </c>
    </row>
    <row r="151" spans="1:10">
      <c r="A151" s="6">
        <v>1010157</v>
      </c>
      <c r="B151" s="6">
        <v>14001</v>
      </c>
      <c r="C151" s="6">
        <v>4</v>
      </c>
      <c r="D151" s="6">
        <v>0</v>
      </c>
      <c r="E151" s="6" t="s">
        <v>128</v>
      </c>
      <c r="F151" s="11" t="s">
        <v>62</v>
      </c>
      <c r="G151" s="11">
        <v>0</v>
      </c>
      <c r="H151" s="6">
        <v>0</v>
      </c>
      <c r="I151" s="11" t="s">
        <v>127</v>
      </c>
      <c r="J151" s="6">
        <v>0</v>
      </c>
    </row>
    <row r="152" spans="1:10">
      <c r="A152" s="6">
        <v>1010158</v>
      </c>
      <c r="B152" s="6">
        <v>14001</v>
      </c>
      <c r="C152" s="6">
        <v>4</v>
      </c>
      <c r="D152" s="6">
        <v>1</v>
      </c>
      <c r="E152" s="6" t="s">
        <v>128</v>
      </c>
      <c r="F152" s="11" t="s">
        <v>66</v>
      </c>
      <c r="G152" s="11" t="s">
        <v>24</v>
      </c>
      <c r="H152" s="6">
        <v>0</v>
      </c>
      <c r="I152" s="11" t="s">
        <v>127</v>
      </c>
      <c r="J152" s="6" t="s">
        <v>67</v>
      </c>
    </row>
    <row r="153" spans="1:10">
      <c r="A153" s="6">
        <v>1010159</v>
      </c>
      <c r="B153" s="6">
        <v>14001</v>
      </c>
      <c r="C153" s="6">
        <v>4</v>
      </c>
      <c r="D153" s="6">
        <v>2</v>
      </c>
      <c r="E153" s="6" t="s">
        <v>128</v>
      </c>
      <c r="F153" s="11" t="s">
        <v>68</v>
      </c>
      <c r="G153" s="11" t="s">
        <v>27</v>
      </c>
      <c r="H153" s="6">
        <v>0</v>
      </c>
      <c r="I153" s="11" t="s">
        <v>127</v>
      </c>
      <c r="J153" s="6" t="s">
        <v>69</v>
      </c>
    </row>
    <row r="154" spans="1:10">
      <c r="A154" s="6">
        <v>1010160</v>
      </c>
      <c r="B154" s="6">
        <v>14001</v>
      </c>
      <c r="C154" s="6">
        <v>4</v>
      </c>
      <c r="D154" s="6">
        <v>3</v>
      </c>
      <c r="E154" s="6" t="s">
        <v>128</v>
      </c>
      <c r="F154" s="11" t="s">
        <v>70</v>
      </c>
      <c r="G154" s="11" t="s">
        <v>30</v>
      </c>
      <c r="H154" s="6">
        <v>0</v>
      </c>
      <c r="I154" s="11" t="s">
        <v>127</v>
      </c>
      <c r="J154" s="6" t="s">
        <v>71</v>
      </c>
    </row>
    <row r="155" spans="1:10">
      <c r="A155" s="6">
        <v>1010161</v>
      </c>
      <c r="B155" s="6">
        <v>14001</v>
      </c>
      <c r="C155" s="6">
        <v>4</v>
      </c>
      <c r="D155" s="6">
        <v>4</v>
      </c>
      <c r="E155" s="6" t="s">
        <v>128</v>
      </c>
      <c r="F155" s="11" t="s">
        <v>72</v>
      </c>
      <c r="G155" s="11" t="s">
        <v>33</v>
      </c>
      <c r="H155" s="6">
        <v>0</v>
      </c>
      <c r="I155" s="11" t="s">
        <v>127</v>
      </c>
      <c r="J155" s="6" t="s">
        <v>73</v>
      </c>
    </row>
    <row r="156" spans="1:10">
      <c r="A156" s="6">
        <v>1010162</v>
      </c>
      <c r="B156" s="6">
        <v>14001</v>
      </c>
      <c r="C156" s="6">
        <v>4</v>
      </c>
      <c r="D156" s="6">
        <v>5</v>
      </c>
      <c r="E156" s="6" t="s">
        <v>128</v>
      </c>
      <c r="F156" s="11" t="s">
        <v>74</v>
      </c>
      <c r="G156" s="11" t="s">
        <v>36</v>
      </c>
      <c r="H156" s="6">
        <v>0</v>
      </c>
      <c r="I156" s="11" t="s">
        <v>127</v>
      </c>
      <c r="J156" s="6" t="s">
        <v>75</v>
      </c>
    </row>
    <row r="157" spans="1:10">
      <c r="A157" s="6">
        <v>1010163</v>
      </c>
      <c r="B157" s="6">
        <v>14001</v>
      </c>
      <c r="C157" s="6">
        <v>4</v>
      </c>
      <c r="D157" s="6">
        <v>6</v>
      </c>
      <c r="E157" s="6" t="s">
        <v>128</v>
      </c>
      <c r="F157" s="11" t="s">
        <v>74</v>
      </c>
      <c r="G157" s="11" t="s">
        <v>38</v>
      </c>
      <c r="H157" s="6">
        <v>110045</v>
      </c>
      <c r="I157" s="11" t="s">
        <v>129</v>
      </c>
      <c r="J157" s="6" t="s">
        <v>40</v>
      </c>
    </row>
    <row r="158" spans="1:10">
      <c r="A158" s="6">
        <v>1010164</v>
      </c>
      <c r="B158" s="6">
        <v>14001</v>
      </c>
      <c r="C158" s="6">
        <v>5</v>
      </c>
      <c r="D158" s="6">
        <v>0</v>
      </c>
      <c r="E158" s="6" t="s">
        <v>130</v>
      </c>
      <c r="F158" s="11" t="s">
        <v>74</v>
      </c>
      <c r="G158" s="11">
        <v>0</v>
      </c>
      <c r="H158" s="6">
        <v>0</v>
      </c>
      <c r="I158" s="11" t="s">
        <v>129</v>
      </c>
      <c r="J158" s="6">
        <v>0</v>
      </c>
    </row>
    <row r="159" spans="1:10">
      <c r="A159" s="6">
        <v>1010165</v>
      </c>
      <c r="B159" s="6">
        <v>14001</v>
      </c>
      <c r="C159" s="6">
        <v>5</v>
      </c>
      <c r="D159" s="6">
        <v>1</v>
      </c>
      <c r="E159" s="6" t="s">
        <v>130</v>
      </c>
      <c r="F159" s="11" t="s">
        <v>78</v>
      </c>
      <c r="G159" s="11" t="s">
        <v>24</v>
      </c>
      <c r="H159" s="6">
        <v>0</v>
      </c>
      <c r="I159" s="11" t="s">
        <v>129</v>
      </c>
      <c r="J159" s="6" t="s">
        <v>79</v>
      </c>
    </row>
    <row r="160" spans="1:10">
      <c r="A160" s="6">
        <v>1010166</v>
      </c>
      <c r="B160" s="6">
        <v>14001</v>
      </c>
      <c r="C160" s="6">
        <v>5</v>
      </c>
      <c r="D160" s="6">
        <v>2</v>
      </c>
      <c r="E160" s="6" t="s">
        <v>130</v>
      </c>
      <c r="F160" s="11" t="s">
        <v>80</v>
      </c>
      <c r="G160" s="11" t="s">
        <v>27</v>
      </c>
      <c r="H160" s="6">
        <v>0</v>
      </c>
      <c r="I160" s="11" t="s">
        <v>129</v>
      </c>
      <c r="J160" s="6" t="s">
        <v>81</v>
      </c>
    </row>
    <row r="161" spans="1:10">
      <c r="A161" s="6">
        <v>1010167</v>
      </c>
      <c r="B161" s="6">
        <v>14001</v>
      </c>
      <c r="C161" s="6">
        <v>5</v>
      </c>
      <c r="D161" s="6">
        <v>3</v>
      </c>
      <c r="E161" s="6" t="s">
        <v>130</v>
      </c>
      <c r="F161" s="11" t="s">
        <v>82</v>
      </c>
      <c r="G161" s="11" t="s">
        <v>30</v>
      </c>
      <c r="H161" s="6">
        <v>0</v>
      </c>
      <c r="I161" s="11" t="s">
        <v>129</v>
      </c>
      <c r="J161" s="6" t="s">
        <v>83</v>
      </c>
    </row>
    <row r="162" spans="1:10">
      <c r="A162" s="6">
        <v>1010168</v>
      </c>
      <c r="B162" s="6">
        <v>14001</v>
      </c>
      <c r="C162" s="6">
        <v>5</v>
      </c>
      <c r="D162" s="6">
        <v>4</v>
      </c>
      <c r="E162" s="6" t="s">
        <v>130</v>
      </c>
      <c r="F162" s="11" t="s">
        <v>84</v>
      </c>
      <c r="G162" s="11" t="s">
        <v>33</v>
      </c>
      <c r="H162" s="6">
        <v>0</v>
      </c>
      <c r="I162" s="11" t="s">
        <v>129</v>
      </c>
      <c r="J162" s="6" t="s">
        <v>85</v>
      </c>
    </row>
    <row r="163" spans="1:10">
      <c r="A163" s="6">
        <v>1010169</v>
      </c>
      <c r="B163" s="6">
        <v>14001</v>
      </c>
      <c r="C163" s="6">
        <v>5</v>
      </c>
      <c r="D163" s="6">
        <v>5</v>
      </c>
      <c r="E163" s="6" t="s">
        <v>130</v>
      </c>
      <c r="F163" s="11" t="s">
        <v>86</v>
      </c>
      <c r="G163" s="11" t="s">
        <v>36</v>
      </c>
      <c r="H163" s="6">
        <v>0</v>
      </c>
      <c r="I163" s="11" t="s">
        <v>129</v>
      </c>
      <c r="J163" s="6" t="s">
        <v>87</v>
      </c>
    </row>
    <row r="164" spans="1:10">
      <c r="A164" s="6">
        <v>1010170</v>
      </c>
      <c r="B164" s="6">
        <v>14001</v>
      </c>
      <c r="C164" s="6">
        <v>5</v>
      </c>
      <c r="D164" s="6">
        <v>6</v>
      </c>
      <c r="E164" s="6" t="s">
        <v>130</v>
      </c>
      <c r="F164" s="11" t="s">
        <v>86</v>
      </c>
      <c r="G164" s="11" t="s">
        <v>38</v>
      </c>
      <c r="H164" s="6">
        <v>110046</v>
      </c>
      <c r="I164" s="11" t="s">
        <v>131</v>
      </c>
      <c r="J164" s="6" t="s">
        <v>40</v>
      </c>
    </row>
    <row r="165" spans="1:10">
      <c r="A165" s="6">
        <v>1010171</v>
      </c>
      <c r="B165" s="6">
        <v>14001</v>
      </c>
      <c r="C165" s="6">
        <v>6</v>
      </c>
      <c r="D165" s="6">
        <v>0</v>
      </c>
      <c r="E165" s="6" t="s">
        <v>130</v>
      </c>
      <c r="F165" s="11" t="s">
        <v>86</v>
      </c>
      <c r="G165" s="11">
        <v>0</v>
      </c>
      <c r="H165" s="6">
        <v>0</v>
      </c>
      <c r="I165" s="11" t="s">
        <v>131</v>
      </c>
      <c r="J165" s="6">
        <v>0</v>
      </c>
    </row>
    <row r="166" spans="1:10">
      <c r="A166" s="6">
        <v>1010172</v>
      </c>
      <c r="B166" s="6">
        <v>14001</v>
      </c>
      <c r="C166" s="6">
        <v>6</v>
      </c>
      <c r="D166" s="6">
        <v>1</v>
      </c>
      <c r="E166" s="6" t="s">
        <v>130</v>
      </c>
      <c r="F166" s="11" t="s">
        <v>89</v>
      </c>
      <c r="G166" s="11" t="s">
        <v>24</v>
      </c>
      <c r="H166" s="6">
        <v>0</v>
      </c>
      <c r="I166" s="11" t="s">
        <v>131</v>
      </c>
      <c r="J166" s="6" t="s">
        <v>90</v>
      </c>
    </row>
    <row r="167" spans="1:10">
      <c r="A167" s="6">
        <v>1010173</v>
      </c>
      <c r="B167" s="6">
        <v>14001</v>
      </c>
      <c r="C167" s="6">
        <v>6</v>
      </c>
      <c r="D167" s="6">
        <v>2</v>
      </c>
      <c r="E167" s="6" t="s">
        <v>130</v>
      </c>
      <c r="F167" s="11" t="s">
        <v>91</v>
      </c>
      <c r="G167" s="11" t="s">
        <v>27</v>
      </c>
      <c r="H167" s="6">
        <v>0</v>
      </c>
      <c r="I167" s="11" t="s">
        <v>131</v>
      </c>
      <c r="J167" s="6" t="s">
        <v>92</v>
      </c>
    </row>
    <row r="168" spans="1:10">
      <c r="A168" s="6">
        <v>1010174</v>
      </c>
      <c r="B168" s="6">
        <v>14001</v>
      </c>
      <c r="C168" s="6">
        <v>6</v>
      </c>
      <c r="D168" s="6">
        <v>3</v>
      </c>
      <c r="E168" s="6" t="s">
        <v>130</v>
      </c>
      <c r="F168" s="11" t="s">
        <v>93</v>
      </c>
      <c r="G168" s="11" t="s">
        <v>30</v>
      </c>
      <c r="H168" s="6">
        <v>0</v>
      </c>
      <c r="I168" s="11" t="s">
        <v>131</v>
      </c>
      <c r="J168" s="6" t="s">
        <v>94</v>
      </c>
    </row>
    <row r="169" spans="1:10">
      <c r="A169" s="6">
        <v>1010175</v>
      </c>
      <c r="B169" s="6">
        <v>14001</v>
      </c>
      <c r="C169" s="6">
        <v>6</v>
      </c>
      <c r="D169" s="6">
        <v>4</v>
      </c>
      <c r="E169" s="6" t="s">
        <v>130</v>
      </c>
      <c r="F169" s="11" t="s">
        <v>95</v>
      </c>
      <c r="G169" s="11" t="s">
        <v>33</v>
      </c>
      <c r="H169" s="6">
        <v>0</v>
      </c>
      <c r="I169" s="11" t="s">
        <v>131</v>
      </c>
      <c r="J169" s="6" t="s">
        <v>96</v>
      </c>
    </row>
    <row r="170" spans="1:10">
      <c r="A170" s="6">
        <v>1010176</v>
      </c>
      <c r="B170" s="6">
        <v>14001</v>
      </c>
      <c r="C170" s="6">
        <v>6</v>
      </c>
      <c r="D170" s="6">
        <v>5</v>
      </c>
      <c r="E170" s="6" t="s">
        <v>130</v>
      </c>
      <c r="F170" s="11" t="s">
        <v>97</v>
      </c>
      <c r="G170" s="11" t="s">
        <v>36</v>
      </c>
      <c r="H170" s="6">
        <v>0</v>
      </c>
      <c r="I170" s="11" t="s">
        <v>131</v>
      </c>
      <c r="J170" s="6" t="s">
        <v>98</v>
      </c>
    </row>
    <row r="171" spans="1:10">
      <c r="A171" s="6">
        <v>1010177</v>
      </c>
      <c r="B171" s="6">
        <v>14001</v>
      </c>
      <c r="C171" s="6">
        <v>6</v>
      </c>
      <c r="D171" s="6">
        <v>6</v>
      </c>
      <c r="E171" s="6">
        <v>0</v>
      </c>
      <c r="F171" s="11" t="s">
        <v>97</v>
      </c>
      <c r="G171" s="11" t="s">
        <v>38</v>
      </c>
      <c r="H171" s="6">
        <v>110047</v>
      </c>
      <c r="I171" s="11" t="s">
        <v>132</v>
      </c>
      <c r="J171" s="6" t="s">
        <v>40</v>
      </c>
    </row>
    <row r="172" spans="1:10">
      <c r="A172" s="6">
        <v>1010178</v>
      </c>
      <c r="B172" s="6">
        <v>15001</v>
      </c>
      <c r="C172" s="6">
        <v>1</v>
      </c>
      <c r="D172" s="6">
        <v>0</v>
      </c>
      <c r="E172" s="6" t="s">
        <v>133</v>
      </c>
      <c r="F172" s="11" t="s">
        <v>22</v>
      </c>
      <c r="G172" s="11">
        <v>0</v>
      </c>
      <c r="H172" s="6">
        <v>0</v>
      </c>
      <c r="I172" s="11">
        <v>0</v>
      </c>
      <c r="J172" s="6">
        <v>0</v>
      </c>
    </row>
    <row r="173" spans="1:10">
      <c r="A173" s="6">
        <v>1010179</v>
      </c>
      <c r="B173" s="6">
        <v>15001</v>
      </c>
      <c r="C173" s="6">
        <v>1</v>
      </c>
      <c r="D173" s="6">
        <v>1</v>
      </c>
      <c r="E173" s="6" t="s">
        <v>133</v>
      </c>
      <c r="F173" s="11" t="s">
        <v>23</v>
      </c>
      <c r="G173" s="11" t="s">
        <v>24</v>
      </c>
      <c r="H173" s="6">
        <v>0</v>
      </c>
      <c r="I173" s="11">
        <v>0</v>
      </c>
      <c r="J173" s="6" t="s">
        <v>25</v>
      </c>
    </row>
    <row r="174" spans="1:10">
      <c r="A174" s="6">
        <v>1010180</v>
      </c>
      <c r="B174" s="6">
        <v>15001</v>
      </c>
      <c r="C174" s="6">
        <v>1</v>
      </c>
      <c r="D174" s="6">
        <v>2</v>
      </c>
      <c r="E174" s="6" t="s">
        <v>133</v>
      </c>
      <c r="F174" s="11" t="s">
        <v>26</v>
      </c>
      <c r="G174" s="11" t="s">
        <v>27</v>
      </c>
      <c r="H174" s="6">
        <v>0</v>
      </c>
      <c r="I174" s="11">
        <v>0</v>
      </c>
      <c r="J174" s="6" t="s">
        <v>28</v>
      </c>
    </row>
    <row r="175" spans="1:10">
      <c r="A175" s="6">
        <v>1010181</v>
      </c>
      <c r="B175" s="6">
        <v>15001</v>
      </c>
      <c r="C175" s="6">
        <v>1</v>
      </c>
      <c r="D175" s="6">
        <v>3</v>
      </c>
      <c r="E175" s="6" t="s">
        <v>133</v>
      </c>
      <c r="F175" s="11" t="s">
        <v>29</v>
      </c>
      <c r="G175" s="11" t="s">
        <v>30</v>
      </c>
      <c r="H175" s="6">
        <v>0</v>
      </c>
      <c r="I175" s="11">
        <v>0</v>
      </c>
      <c r="J175" s="6" t="s">
        <v>31</v>
      </c>
    </row>
    <row r="176" spans="1:10">
      <c r="A176" s="6">
        <v>1010182</v>
      </c>
      <c r="B176" s="6">
        <v>15001</v>
      </c>
      <c r="C176" s="6">
        <v>1</v>
      </c>
      <c r="D176" s="6">
        <v>4</v>
      </c>
      <c r="E176" s="6" t="s">
        <v>133</v>
      </c>
      <c r="F176" s="11" t="s">
        <v>32</v>
      </c>
      <c r="G176" s="11" t="s">
        <v>33</v>
      </c>
      <c r="H176" s="6">
        <v>0</v>
      </c>
      <c r="I176" s="11">
        <v>0</v>
      </c>
      <c r="J176" s="6" t="s">
        <v>34</v>
      </c>
    </row>
    <row r="177" spans="1:10">
      <c r="A177" s="6">
        <v>1010183</v>
      </c>
      <c r="B177" s="6">
        <v>15001</v>
      </c>
      <c r="C177" s="6">
        <v>1</v>
      </c>
      <c r="D177" s="6">
        <v>5</v>
      </c>
      <c r="E177" s="6" t="s">
        <v>133</v>
      </c>
      <c r="F177" s="11" t="s">
        <v>35</v>
      </c>
      <c r="G177" s="11" t="s">
        <v>36</v>
      </c>
      <c r="H177" s="6">
        <v>0</v>
      </c>
      <c r="I177" s="11">
        <v>0</v>
      </c>
      <c r="J177" s="6" t="s">
        <v>37</v>
      </c>
    </row>
    <row r="178" spans="1:10">
      <c r="A178" s="6">
        <v>1010184</v>
      </c>
      <c r="B178" s="6">
        <v>15001</v>
      </c>
      <c r="C178" s="6">
        <v>1</v>
      </c>
      <c r="D178" s="6">
        <v>6</v>
      </c>
      <c r="E178" s="6" t="s">
        <v>133</v>
      </c>
      <c r="F178" s="11" t="s">
        <v>35</v>
      </c>
      <c r="G178" s="11" t="s">
        <v>38</v>
      </c>
      <c r="H178" s="6">
        <v>110052</v>
      </c>
      <c r="I178" s="11" t="s">
        <v>134</v>
      </c>
      <c r="J178" s="6" t="s">
        <v>40</v>
      </c>
    </row>
    <row r="179" spans="1:10">
      <c r="A179" s="6">
        <v>1010185</v>
      </c>
      <c r="B179" s="6">
        <v>15001</v>
      </c>
      <c r="C179" s="6">
        <v>2</v>
      </c>
      <c r="D179" s="6">
        <v>0</v>
      </c>
      <c r="E179" s="6" t="s">
        <v>135</v>
      </c>
      <c r="F179" s="11" t="s">
        <v>35</v>
      </c>
      <c r="G179" s="11">
        <v>0</v>
      </c>
      <c r="H179" s="6">
        <v>0</v>
      </c>
      <c r="I179" s="11" t="s">
        <v>134</v>
      </c>
      <c r="J179" s="6">
        <v>0</v>
      </c>
    </row>
    <row r="180" spans="1:10">
      <c r="A180" s="6">
        <v>1010186</v>
      </c>
      <c r="B180" s="6">
        <v>15001</v>
      </c>
      <c r="C180" s="6">
        <v>2</v>
      </c>
      <c r="D180" s="6">
        <v>1</v>
      </c>
      <c r="E180" s="6" t="s">
        <v>135</v>
      </c>
      <c r="F180" s="11" t="s">
        <v>42</v>
      </c>
      <c r="G180" s="11" t="s">
        <v>24</v>
      </c>
      <c r="H180" s="6">
        <v>0</v>
      </c>
      <c r="I180" s="11" t="s">
        <v>134</v>
      </c>
      <c r="J180" s="6" t="s">
        <v>43</v>
      </c>
    </row>
    <row r="181" spans="1:10">
      <c r="A181" s="6">
        <v>1010187</v>
      </c>
      <c r="B181" s="6">
        <v>15001</v>
      </c>
      <c r="C181" s="6">
        <v>2</v>
      </c>
      <c r="D181" s="6">
        <v>2</v>
      </c>
      <c r="E181" s="6" t="s">
        <v>135</v>
      </c>
      <c r="F181" s="11" t="s">
        <v>44</v>
      </c>
      <c r="G181" s="11" t="s">
        <v>27</v>
      </c>
      <c r="H181" s="6">
        <v>0</v>
      </c>
      <c r="I181" s="11" t="s">
        <v>134</v>
      </c>
      <c r="J181" s="6" t="s">
        <v>45</v>
      </c>
    </row>
    <row r="182" spans="1:10">
      <c r="A182" s="6">
        <v>1010188</v>
      </c>
      <c r="B182" s="6">
        <v>15001</v>
      </c>
      <c r="C182" s="6">
        <v>2</v>
      </c>
      <c r="D182" s="6">
        <v>3</v>
      </c>
      <c r="E182" s="6" t="s">
        <v>135</v>
      </c>
      <c r="F182" s="11" t="s">
        <v>46</v>
      </c>
      <c r="G182" s="11" t="s">
        <v>30</v>
      </c>
      <c r="H182" s="6">
        <v>0</v>
      </c>
      <c r="I182" s="11" t="s">
        <v>134</v>
      </c>
      <c r="J182" s="6" t="s">
        <v>47</v>
      </c>
    </row>
    <row r="183" spans="1:10">
      <c r="A183" s="6">
        <v>1010189</v>
      </c>
      <c r="B183" s="6">
        <v>15001</v>
      </c>
      <c r="C183" s="6">
        <v>2</v>
      </c>
      <c r="D183" s="6">
        <v>4</v>
      </c>
      <c r="E183" s="6" t="s">
        <v>135</v>
      </c>
      <c r="F183" s="11" t="s">
        <v>48</v>
      </c>
      <c r="G183" s="11" t="s">
        <v>33</v>
      </c>
      <c r="H183" s="6">
        <v>0</v>
      </c>
      <c r="I183" s="11" t="s">
        <v>134</v>
      </c>
      <c r="J183" s="6" t="s">
        <v>49</v>
      </c>
    </row>
    <row r="184" spans="1:10">
      <c r="A184" s="6">
        <v>1010190</v>
      </c>
      <c r="B184" s="6">
        <v>15001</v>
      </c>
      <c r="C184" s="6">
        <v>2</v>
      </c>
      <c r="D184" s="6">
        <v>5</v>
      </c>
      <c r="E184" s="6" t="s">
        <v>135</v>
      </c>
      <c r="F184" s="11" t="s">
        <v>50</v>
      </c>
      <c r="G184" s="11" t="s">
        <v>36</v>
      </c>
      <c r="H184" s="6">
        <v>0</v>
      </c>
      <c r="I184" s="11" t="s">
        <v>134</v>
      </c>
      <c r="J184" s="6" t="s">
        <v>51</v>
      </c>
    </row>
    <row r="185" spans="1:10">
      <c r="A185" s="6">
        <v>1010191</v>
      </c>
      <c r="B185" s="6">
        <v>15001</v>
      </c>
      <c r="C185" s="6">
        <v>2</v>
      </c>
      <c r="D185" s="6">
        <v>6</v>
      </c>
      <c r="E185" s="6" t="s">
        <v>135</v>
      </c>
      <c r="F185" s="11" t="s">
        <v>50</v>
      </c>
      <c r="G185" s="11" t="s">
        <v>38</v>
      </c>
      <c r="H185" s="6">
        <v>110053</v>
      </c>
      <c r="I185" s="11" t="s">
        <v>136</v>
      </c>
      <c r="J185" s="6" t="s">
        <v>40</v>
      </c>
    </row>
    <row r="186" spans="1:10">
      <c r="A186" s="6">
        <v>1010192</v>
      </c>
      <c r="B186" s="6">
        <v>15001</v>
      </c>
      <c r="C186" s="6">
        <v>3</v>
      </c>
      <c r="D186" s="6">
        <v>0</v>
      </c>
      <c r="E186" s="6" t="s">
        <v>137</v>
      </c>
      <c r="F186" s="11" t="s">
        <v>50</v>
      </c>
      <c r="G186" s="11">
        <v>0</v>
      </c>
      <c r="H186" s="6">
        <v>0</v>
      </c>
      <c r="I186" s="11" t="s">
        <v>136</v>
      </c>
      <c r="J186" s="6">
        <v>0</v>
      </c>
    </row>
    <row r="187" spans="1:10">
      <c r="A187" s="6">
        <v>1010193</v>
      </c>
      <c r="B187" s="6">
        <v>15001</v>
      </c>
      <c r="C187" s="6">
        <v>3</v>
      </c>
      <c r="D187" s="6">
        <v>1</v>
      </c>
      <c r="E187" s="6" t="s">
        <v>137</v>
      </c>
      <c r="F187" s="11" t="s">
        <v>54</v>
      </c>
      <c r="G187" s="11" t="s">
        <v>24</v>
      </c>
      <c r="H187" s="6">
        <v>0</v>
      </c>
      <c r="I187" s="11" t="s">
        <v>136</v>
      </c>
      <c r="J187" s="6" t="s">
        <v>55</v>
      </c>
    </row>
    <row r="188" spans="1:10">
      <c r="A188" s="6">
        <v>1010194</v>
      </c>
      <c r="B188" s="6">
        <v>15001</v>
      </c>
      <c r="C188" s="6">
        <v>3</v>
      </c>
      <c r="D188" s="6">
        <v>2</v>
      </c>
      <c r="E188" s="6" t="s">
        <v>137</v>
      </c>
      <c r="F188" s="11" t="s">
        <v>56</v>
      </c>
      <c r="G188" s="11" t="s">
        <v>27</v>
      </c>
      <c r="H188" s="6">
        <v>0</v>
      </c>
      <c r="I188" s="11" t="s">
        <v>136</v>
      </c>
      <c r="J188" s="6" t="s">
        <v>57</v>
      </c>
    </row>
    <row r="189" spans="1:10">
      <c r="A189" s="6">
        <v>1010195</v>
      </c>
      <c r="B189" s="6">
        <v>15001</v>
      </c>
      <c r="C189" s="6">
        <v>3</v>
      </c>
      <c r="D189" s="6">
        <v>3</v>
      </c>
      <c r="E189" s="6" t="s">
        <v>137</v>
      </c>
      <c r="F189" s="11" t="s">
        <v>58</v>
      </c>
      <c r="G189" s="11" t="s">
        <v>30</v>
      </c>
      <c r="H189" s="6">
        <v>0</v>
      </c>
      <c r="I189" s="11" t="s">
        <v>136</v>
      </c>
      <c r="J189" s="6" t="s">
        <v>59</v>
      </c>
    </row>
    <row r="190" spans="1:10">
      <c r="A190" s="6">
        <v>1010196</v>
      </c>
      <c r="B190" s="6">
        <v>15001</v>
      </c>
      <c r="C190" s="6">
        <v>3</v>
      </c>
      <c r="D190" s="6">
        <v>4</v>
      </c>
      <c r="E190" s="6" t="s">
        <v>137</v>
      </c>
      <c r="F190" s="11" t="s">
        <v>60</v>
      </c>
      <c r="G190" s="11" t="s">
        <v>33</v>
      </c>
      <c r="H190" s="6">
        <v>0</v>
      </c>
      <c r="I190" s="11" t="s">
        <v>136</v>
      </c>
      <c r="J190" s="6" t="s">
        <v>61</v>
      </c>
    </row>
    <row r="191" spans="1:10">
      <c r="A191" s="6">
        <v>1010197</v>
      </c>
      <c r="B191" s="6">
        <v>15001</v>
      </c>
      <c r="C191" s="6">
        <v>3</v>
      </c>
      <c r="D191" s="6">
        <v>5</v>
      </c>
      <c r="E191" s="6" t="s">
        <v>137</v>
      </c>
      <c r="F191" s="11" t="s">
        <v>62</v>
      </c>
      <c r="G191" s="11" t="s">
        <v>36</v>
      </c>
      <c r="H191" s="6">
        <v>0</v>
      </c>
      <c r="I191" s="11" t="s">
        <v>136</v>
      </c>
      <c r="J191" s="6" t="s">
        <v>63</v>
      </c>
    </row>
    <row r="192" spans="1:10">
      <c r="A192" s="6">
        <v>1010198</v>
      </c>
      <c r="B192" s="6">
        <v>15001</v>
      </c>
      <c r="C192" s="6">
        <v>3</v>
      </c>
      <c r="D192" s="6">
        <v>6</v>
      </c>
      <c r="E192" s="6" t="s">
        <v>137</v>
      </c>
      <c r="F192" s="11" t="s">
        <v>62</v>
      </c>
      <c r="G192" s="11" t="s">
        <v>38</v>
      </c>
      <c r="H192" s="6">
        <v>110054</v>
      </c>
      <c r="I192" s="11" t="s">
        <v>138</v>
      </c>
      <c r="J192" s="6" t="s">
        <v>40</v>
      </c>
    </row>
    <row r="193" spans="1:10">
      <c r="A193" s="6">
        <v>1010199</v>
      </c>
      <c r="B193" s="6">
        <v>15001</v>
      </c>
      <c r="C193" s="6">
        <v>4</v>
      </c>
      <c r="D193" s="6">
        <v>0</v>
      </c>
      <c r="E193" s="6" t="s">
        <v>139</v>
      </c>
      <c r="F193" s="11" t="s">
        <v>62</v>
      </c>
      <c r="G193" s="11">
        <v>0</v>
      </c>
      <c r="H193" s="6">
        <v>0</v>
      </c>
      <c r="I193" s="11" t="s">
        <v>138</v>
      </c>
      <c r="J193" s="6">
        <v>0</v>
      </c>
    </row>
    <row r="194" spans="1:10">
      <c r="A194" s="6">
        <v>1010200</v>
      </c>
      <c r="B194" s="6">
        <v>15001</v>
      </c>
      <c r="C194" s="6">
        <v>4</v>
      </c>
      <c r="D194" s="6">
        <v>1</v>
      </c>
      <c r="E194" s="6" t="s">
        <v>139</v>
      </c>
      <c r="F194" s="11" t="s">
        <v>66</v>
      </c>
      <c r="G194" s="11" t="s">
        <v>24</v>
      </c>
      <c r="H194" s="6">
        <v>0</v>
      </c>
      <c r="I194" s="11" t="s">
        <v>138</v>
      </c>
      <c r="J194" s="6" t="s">
        <v>67</v>
      </c>
    </row>
    <row r="195" spans="1:10">
      <c r="A195" s="6">
        <v>1010201</v>
      </c>
      <c r="B195" s="6">
        <v>15001</v>
      </c>
      <c r="C195" s="6">
        <v>4</v>
      </c>
      <c r="D195" s="6">
        <v>2</v>
      </c>
      <c r="E195" s="6" t="s">
        <v>139</v>
      </c>
      <c r="F195" s="11" t="s">
        <v>68</v>
      </c>
      <c r="G195" s="11" t="s">
        <v>27</v>
      </c>
      <c r="H195" s="6">
        <v>0</v>
      </c>
      <c r="I195" s="11" t="s">
        <v>138</v>
      </c>
      <c r="J195" s="6" t="s">
        <v>69</v>
      </c>
    </row>
    <row r="196" spans="1:10">
      <c r="A196" s="6">
        <v>1010202</v>
      </c>
      <c r="B196" s="6">
        <v>15001</v>
      </c>
      <c r="C196" s="6">
        <v>4</v>
      </c>
      <c r="D196" s="6">
        <v>3</v>
      </c>
      <c r="E196" s="6" t="s">
        <v>139</v>
      </c>
      <c r="F196" s="11" t="s">
        <v>70</v>
      </c>
      <c r="G196" s="11" t="s">
        <v>30</v>
      </c>
      <c r="H196" s="6">
        <v>0</v>
      </c>
      <c r="I196" s="11" t="s">
        <v>138</v>
      </c>
      <c r="J196" s="6" t="s">
        <v>71</v>
      </c>
    </row>
    <row r="197" spans="1:10">
      <c r="A197" s="6">
        <v>1010203</v>
      </c>
      <c r="B197" s="6">
        <v>15001</v>
      </c>
      <c r="C197" s="6">
        <v>4</v>
      </c>
      <c r="D197" s="6">
        <v>4</v>
      </c>
      <c r="E197" s="6" t="s">
        <v>139</v>
      </c>
      <c r="F197" s="11" t="s">
        <v>72</v>
      </c>
      <c r="G197" s="11" t="s">
        <v>33</v>
      </c>
      <c r="H197" s="6">
        <v>0</v>
      </c>
      <c r="I197" s="11" t="s">
        <v>138</v>
      </c>
      <c r="J197" s="6" t="s">
        <v>73</v>
      </c>
    </row>
    <row r="198" spans="1:10">
      <c r="A198" s="6">
        <v>1010204</v>
      </c>
      <c r="B198" s="6">
        <v>15001</v>
      </c>
      <c r="C198" s="6">
        <v>4</v>
      </c>
      <c r="D198" s="6">
        <v>5</v>
      </c>
      <c r="E198" s="6" t="s">
        <v>139</v>
      </c>
      <c r="F198" s="11" t="s">
        <v>74</v>
      </c>
      <c r="G198" s="11" t="s">
        <v>36</v>
      </c>
      <c r="H198" s="6">
        <v>0</v>
      </c>
      <c r="I198" s="11" t="s">
        <v>138</v>
      </c>
      <c r="J198" s="6" t="s">
        <v>75</v>
      </c>
    </row>
    <row r="199" spans="1:10">
      <c r="A199" s="6">
        <v>1010205</v>
      </c>
      <c r="B199" s="6">
        <v>15001</v>
      </c>
      <c r="C199" s="6">
        <v>4</v>
      </c>
      <c r="D199" s="6">
        <v>6</v>
      </c>
      <c r="E199" s="6" t="s">
        <v>139</v>
      </c>
      <c r="F199" s="11" t="s">
        <v>74</v>
      </c>
      <c r="G199" s="11" t="s">
        <v>38</v>
      </c>
      <c r="H199" s="6">
        <v>110055</v>
      </c>
      <c r="I199" s="11" t="s">
        <v>140</v>
      </c>
      <c r="J199" s="6" t="s">
        <v>40</v>
      </c>
    </row>
    <row r="200" spans="1:10">
      <c r="A200" s="6">
        <v>1010206</v>
      </c>
      <c r="B200" s="6">
        <v>15001</v>
      </c>
      <c r="C200" s="6">
        <v>5</v>
      </c>
      <c r="D200" s="6">
        <v>0</v>
      </c>
      <c r="E200" s="6" t="s">
        <v>141</v>
      </c>
      <c r="F200" s="11" t="s">
        <v>74</v>
      </c>
      <c r="G200" s="11">
        <v>0</v>
      </c>
      <c r="H200" s="6">
        <v>0</v>
      </c>
      <c r="I200" s="11" t="s">
        <v>140</v>
      </c>
      <c r="J200" s="6">
        <v>0</v>
      </c>
    </row>
    <row r="201" spans="1:10">
      <c r="A201" s="6">
        <v>1010207</v>
      </c>
      <c r="B201" s="6">
        <v>15001</v>
      </c>
      <c r="C201" s="6">
        <v>5</v>
      </c>
      <c r="D201" s="6">
        <v>1</v>
      </c>
      <c r="E201" s="6" t="s">
        <v>141</v>
      </c>
      <c r="F201" s="11" t="s">
        <v>78</v>
      </c>
      <c r="G201" s="11" t="s">
        <v>24</v>
      </c>
      <c r="H201" s="6">
        <v>0</v>
      </c>
      <c r="I201" s="11" t="s">
        <v>140</v>
      </c>
      <c r="J201" s="6" t="s">
        <v>79</v>
      </c>
    </row>
    <row r="202" spans="1:10">
      <c r="A202" s="6">
        <v>1010208</v>
      </c>
      <c r="B202" s="6">
        <v>15001</v>
      </c>
      <c r="C202" s="6">
        <v>5</v>
      </c>
      <c r="D202" s="6">
        <v>2</v>
      </c>
      <c r="E202" s="6" t="s">
        <v>141</v>
      </c>
      <c r="F202" s="11" t="s">
        <v>80</v>
      </c>
      <c r="G202" s="11" t="s">
        <v>27</v>
      </c>
      <c r="H202" s="6">
        <v>0</v>
      </c>
      <c r="I202" s="11" t="s">
        <v>140</v>
      </c>
      <c r="J202" s="6" t="s">
        <v>81</v>
      </c>
    </row>
    <row r="203" spans="1:10">
      <c r="A203" s="6">
        <v>1010209</v>
      </c>
      <c r="B203" s="6">
        <v>15001</v>
      </c>
      <c r="C203" s="6">
        <v>5</v>
      </c>
      <c r="D203" s="6">
        <v>3</v>
      </c>
      <c r="E203" s="6" t="s">
        <v>141</v>
      </c>
      <c r="F203" s="11" t="s">
        <v>82</v>
      </c>
      <c r="G203" s="11" t="s">
        <v>30</v>
      </c>
      <c r="H203" s="6">
        <v>0</v>
      </c>
      <c r="I203" s="11" t="s">
        <v>140</v>
      </c>
      <c r="J203" s="6" t="s">
        <v>83</v>
      </c>
    </row>
    <row r="204" spans="1:10">
      <c r="A204" s="6">
        <v>1010210</v>
      </c>
      <c r="B204" s="6">
        <v>15001</v>
      </c>
      <c r="C204" s="6">
        <v>5</v>
      </c>
      <c r="D204" s="6">
        <v>4</v>
      </c>
      <c r="E204" s="6" t="s">
        <v>141</v>
      </c>
      <c r="F204" s="11" t="s">
        <v>84</v>
      </c>
      <c r="G204" s="11" t="s">
        <v>33</v>
      </c>
      <c r="H204" s="6">
        <v>0</v>
      </c>
      <c r="I204" s="11" t="s">
        <v>140</v>
      </c>
      <c r="J204" s="6" t="s">
        <v>85</v>
      </c>
    </row>
    <row r="205" spans="1:10">
      <c r="A205" s="6">
        <v>1010211</v>
      </c>
      <c r="B205" s="6">
        <v>15001</v>
      </c>
      <c r="C205" s="6">
        <v>5</v>
      </c>
      <c r="D205" s="6">
        <v>5</v>
      </c>
      <c r="E205" s="6" t="s">
        <v>141</v>
      </c>
      <c r="F205" s="11" t="s">
        <v>86</v>
      </c>
      <c r="G205" s="11" t="s">
        <v>36</v>
      </c>
      <c r="H205" s="6">
        <v>0</v>
      </c>
      <c r="I205" s="11" t="s">
        <v>140</v>
      </c>
      <c r="J205" s="6" t="s">
        <v>87</v>
      </c>
    </row>
    <row r="206" spans="1:10">
      <c r="A206" s="6">
        <v>1010212</v>
      </c>
      <c r="B206" s="6">
        <v>15001</v>
      </c>
      <c r="C206" s="6">
        <v>5</v>
      </c>
      <c r="D206" s="6">
        <v>6</v>
      </c>
      <c r="E206" s="6" t="s">
        <v>141</v>
      </c>
      <c r="F206" s="11" t="s">
        <v>86</v>
      </c>
      <c r="G206" s="11" t="s">
        <v>38</v>
      </c>
      <c r="H206" s="6">
        <v>110056</v>
      </c>
      <c r="I206" s="11" t="s">
        <v>142</v>
      </c>
      <c r="J206" s="6" t="s">
        <v>40</v>
      </c>
    </row>
    <row r="207" spans="1:10">
      <c r="A207" s="6">
        <v>1010213</v>
      </c>
      <c r="B207" s="6">
        <v>15001</v>
      </c>
      <c r="C207" s="6">
        <v>6</v>
      </c>
      <c r="D207" s="6">
        <v>0</v>
      </c>
      <c r="E207" s="6" t="s">
        <v>141</v>
      </c>
      <c r="F207" s="11" t="s">
        <v>86</v>
      </c>
      <c r="G207" s="11">
        <v>0</v>
      </c>
      <c r="H207" s="6">
        <v>0</v>
      </c>
      <c r="I207" s="11" t="s">
        <v>142</v>
      </c>
      <c r="J207" s="6">
        <v>0</v>
      </c>
    </row>
    <row r="208" spans="1:10">
      <c r="A208" s="6">
        <v>1010214</v>
      </c>
      <c r="B208" s="6">
        <v>15001</v>
      </c>
      <c r="C208" s="6">
        <v>6</v>
      </c>
      <c r="D208" s="6">
        <v>1</v>
      </c>
      <c r="E208" s="6" t="s">
        <v>141</v>
      </c>
      <c r="F208" s="11" t="s">
        <v>89</v>
      </c>
      <c r="G208" s="11" t="s">
        <v>24</v>
      </c>
      <c r="H208" s="6">
        <v>0</v>
      </c>
      <c r="I208" s="11" t="s">
        <v>142</v>
      </c>
      <c r="J208" s="6" t="s">
        <v>90</v>
      </c>
    </row>
    <row r="209" spans="1:10">
      <c r="A209" s="6">
        <v>1010215</v>
      </c>
      <c r="B209" s="6">
        <v>15001</v>
      </c>
      <c r="C209" s="6">
        <v>6</v>
      </c>
      <c r="D209" s="6">
        <v>2</v>
      </c>
      <c r="E209" s="6" t="s">
        <v>141</v>
      </c>
      <c r="F209" s="11" t="s">
        <v>91</v>
      </c>
      <c r="G209" s="11" t="s">
        <v>27</v>
      </c>
      <c r="H209" s="6">
        <v>0</v>
      </c>
      <c r="I209" s="11" t="s">
        <v>142</v>
      </c>
      <c r="J209" s="6" t="s">
        <v>92</v>
      </c>
    </row>
    <row r="210" spans="1:10">
      <c r="A210" s="6">
        <v>1010216</v>
      </c>
      <c r="B210" s="6">
        <v>15001</v>
      </c>
      <c r="C210" s="6">
        <v>6</v>
      </c>
      <c r="D210" s="6">
        <v>3</v>
      </c>
      <c r="E210" s="6" t="s">
        <v>141</v>
      </c>
      <c r="F210" s="11" t="s">
        <v>93</v>
      </c>
      <c r="G210" s="11" t="s">
        <v>30</v>
      </c>
      <c r="H210" s="6">
        <v>0</v>
      </c>
      <c r="I210" s="11" t="s">
        <v>142</v>
      </c>
      <c r="J210" s="6" t="s">
        <v>94</v>
      </c>
    </row>
    <row r="211" spans="1:10">
      <c r="A211" s="6">
        <v>1010217</v>
      </c>
      <c r="B211" s="6">
        <v>15001</v>
      </c>
      <c r="C211" s="6">
        <v>6</v>
      </c>
      <c r="D211" s="6">
        <v>4</v>
      </c>
      <c r="E211" s="6" t="s">
        <v>141</v>
      </c>
      <c r="F211" s="11" t="s">
        <v>95</v>
      </c>
      <c r="G211" s="11" t="s">
        <v>33</v>
      </c>
      <c r="H211" s="6">
        <v>0</v>
      </c>
      <c r="I211" s="11" t="s">
        <v>142</v>
      </c>
      <c r="J211" s="6" t="s">
        <v>96</v>
      </c>
    </row>
    <row r="212" spans="1:10">
      <c r="A212" s="6">
        <v>1010218</v>
      </c>
      <c r="B212" s="6">
        <v>15001</v>
      </c>
      <c r="C212" s="6">
        <v>6</v>
      </c>
      <c r="D212" s="6">
        <v>5</v>
      </c>
      <c r="E212" s="6" t="s">
        <v>141</v>
      </c>
      <c r="F212" s="11" t="s">
        <v>97</v>
      </c>
      <c r="G212" s="11" t="s">
        <v>36</v>
      </c>
      <c r="H212" s="6">
        <v>0</v>
      </c>
      <c r="I212" s="11" t="s">
        <v>142</v>
      </c>
      <c r="J212" s="6" t="s">
        <v>98</v>
      </c>
    </row>
    <row r="213" spans="1:10">
      <c r="A213" s="6">
        <v>1010219</v>
      </c>
      <c r="B213" s="6">
        <v>15001</v>
      </c>
      <c r="C213" s="6">
        <v>6</v>
      </c>
      <c r="D213" s="6">
        <v>6</v>
      </c>
      <c r="E213" s="6">
        <v>0</v>
      </c>
      <c r="F213" s="11" t="s">
        <v>97</v>
      </c>
      <c r="G213" s="11" t="s">
        <v>38</v>
      </c>
      <c r="H213" s="6">
        <v>110057</v>
      </c>
      <c r="I213" s="11" t="s">
        <v>143</v>
      </c>
      <c r="J213" s="6" t="s">
        <v>40</v>
      </c>
    </row>
    <row r="214" spans="1:10">
      <c r="A214" s="6">
        <v>1010220</v>
      </c>
      <c r="B214" s="6">
        <v>16001</v>
      </c>
      <c r="C214" s="6">
        <v>1</v>
      </c>
      <c r="D214" s="6">
        <v>0</v>
      </c>
      <c r="E214" s="6" t="s">
        <v>144</v>
      </c>
      <c r="F214" s="11" t="s">
        <v>22</v>
      </c>
      <c r="G214" s="11">
        <v>0</v>
      </c>
      <c r="H214" s="6">
        <v>0</v>
      </c>
      <c r="I214" s="11">
        <v>0</v>
      </c>
      <c r="J214" s="6">
        <v>0</v>
      </c>
    </row>
    <row r="215" spans="1:10">
      <c r="A215" s="6">
        <v>1010221</v>
      </c>
      <c r="B215" s="6">
        <v>16001</v>
      </c>
      <c r="C215" s="6">
        <v>1</v>
      </c>
      <c r="D215" s="6">
        <v>1</v>
      </c>
      <c r="E215" s="6" t="s">
        <v>144</v>
      </c>
      <c r="F215" s="11" t="s">
        <v>23</v>
      </c>
      <c r="G215" s="11" t="s">
        <v>24</v>
      </c>
      <c r="H215" s="6">
        <v>0</v>
      </c>
      <c r="I215" s="11">
        <v>0</v>
      </c>
      <c r="J215" s="6" t="s">
        <v>25</v>
      </c>
    </row>
    <row r="216" spans="1:10">
      <c r="A216" s="6">
        <v>1010222</v>
      </c>
      <c r="B216" s="6">
        <v>16001</v>
      </c>
      <c r="C216" s="6">
        <v>1</v>
      </c>
      <c r="D216" s="6">
        <v>2</v>
      </c>
      <c r="E216" s="6" t="s">
        <v>144</v>
      </c>
      <c r="F216" s="11" t="s">
        <v>26</v>
      </c>
      <c r="G216" s="11" t="s">
        <v>27</v>
      </c>
      <c r="H216" s="6">
        <v>0</v>
      </c>
      <c r="I216" s="11">
        <v>0</v>
      </c>
      <c r="J216" s="6" t="s">
        <v>28</v>
      </c>
    </row>
    <row r="217" spans="1:10">
      <c r="A217" s="6">
        <v>1010223</v>
      </c>
      <c r="B217" s="6">
        <v>16001</v>
      </c>
      <c r="C217" s="6">
        <v>1</v>
      </c>
      <c r="D217" s="6">
        <v>3</v>
      </c>
      <c r="E217" s="6" t="s">
        <v>144</v>
      </c>
      <c r="F217" s="11" t="s">
        <v>29</v>
      </c>
      <c r="G217" s="11" t="s">
        <v>30</v>
      </c>
      <c r="H217" s="6">
        <v>0</v>
      </c>
      <c r="I217" s="11">
        <v>0</v>
      </c>
      <c r="J217" s="6" t="s">
        <v>31</v>
      </c>
    </row>
    <row r="218" spans="1:10">
      <c r="A218" s="6">
        <v>1010224</v>
      </c>
      <c r="B218" s="6">
        <v>16001</v>
      </c>
      <c r="C218" s="6">
        <v>1</v>
      </c>
      <c r="D218" s="6">
        <v>4</v>
      </c>
      <c r="E218" s="6" t="s">
        <v>144</v>
      </c>
      <c r="F218" s="11" t="s">
        <v>32</v>
      </c>
      <c r="G218" s="11" t="s">
        <v>33</v>
      </c>
      <c r="H218" s="6">
        <v>0</v>
      </c>
      <c r="I218" s="11">
        <v>0</v>
      </c>
      <c r="J218" s="6" t="s">
        <v>34</v>
      </c>
    </row>
    <row r="219" spans="1:10">
      <c r="A219" s="6">
        <v>1010225</v>
      </c>
      <c r="B219" s="6">
        <v>16001</v>
      </c>
      <c r="C219" s="6">
        <v>1</v>
      </c>
      <c r="D219" s="6">
        <v>5</v>
      </c>
      <c r="E219" s="6" t="s">
        <v>144</v>
      </c>
      <c r="F219" s="11" t="s">
        <v>35</v>
      </c>
      <c r="G219" s="11" t="s">
        <v>36</v>
      </c>
      <c r="H219" s="6">
        <v>0</v>
      </c>
      <c r="I219" s="11">
        <v>0</v>
      </c>
      <c r="J219" s="6" t="s">
        <v>37</v>
      </c>
    </row>
    <row r="220" spans="1:10">
      <c r="A220" s="6">
        <v>1010226</v>
      </c>
      <c r="B220" s="6">
        <v>16001</v>
      </c>
      <c r="C220" s="6">
        <v>1</v>
      </c>
      <c r="D220" s="6">
        <v>6</v>
      </c>
      <c r="E220" s="6" t="s">
        <v>144</v>
      </c>
      <c r="F220" s="11" t="s">
        <v>35</v>
      </c>
      <c r="G220" s="11" t="s">
        <v>38</v>
      </c>
      <c r="H220" s="6">
        <v>110062</v>
      </c>
      <c r="I220" s="11" t="s">
        <v>145</v>
      </c>
      <c r="J220" s="6" t="s">
        <v>40</v>
      </c>
    </row>
    <row r="221" spans="1:10">
      <c r="A221" s="6">
        <v>1010227</v>
      </c>
      <c r="B221" s="6">
        <v>16001</v>
      </c>
      <c r="C221" s="6">
        <v>2</v>
      </c>
      <c r="D221" s="6">
        <v>0</v>
      </c>
      <c r="E221" s="6" t="s">
        <v>146</v>
      </c>
      <c r="F221" s="11" t="s">
        <v>35</v>
      </c>
      <c r="G221" s="11">
        <v>0</v>
      </c>
      <c r="H221" s="6">
        <v>0</v>
      </c>
      <c r="I221" s="11" t="s">
        <v>145</v>
      </c>
      <c r="J221" s="6">
        <v>0</v>
      </c>
    </row>
    <row r="222" spans="1:10">
      <c r="A222" s="6">
        <v>1010228</v>
      </c>
      <c r="B222" s="6">
        <v>16001</v>
      </c>
      <c r="C222" s="6">
        <v>2</v>
      </c>
      <c r="D222" s="6">
        <v>1</v>
      </c>
      <c r="E222" s="6" t="s">
        <v>146</v>
      </c>
      <c r="F222" s="11" t="s">
        <v>42</v>
      </c>
      <c r="G222" s="11" t="s">
        <v>24</v>
      </c>
      <c r="H222" s="6">
        <v>0</v>
      </c>
      <c r="I222" s="11" t="s">
        <v>145</v>
      </c>
      <c r="J222" s="6" t="s">
        <v>43</v>
      </c>
    </row>
    <row r="223" spans="1:10">
      <c r="A223" s="6">
        <v>1010229</v>
      </c>
      <c r="B223" s="6">
        <v>16001</v>
      </c>
      <c r="C223" s="6">
        <v>2</v>
      </c>
      <c r="D223" s="6">
        <v>2</v>
      </c>
      <c r="E223" s="6" t="s">
        <v>146</v>
      </c>
      <c r="F223" s="11" t="s">
        <v>44</v>
      </c>
      <c r="G223" s="11" t="s">
        <v>27</v>
      </c>
      <c r="H223" s="6">
        <v>0</v>
      </c>
      <c r="I223" s="11" t="s">
        <v>145</v>
      </c>
      <c r="J223" s="6" t="s">
        <v>45</v>
      </c>
    </row>
    <row r="224" spans="1:10">
      <c r="A224" s="6">
        <v>1010230</v>
      </c>
      <c r="B224" s="6">
        <v>16001</v>
      </c>
      <c r="C224" s="6">
        <v>2</v>
      </c>
      <c r="D224" s="6">
        <v>3</v>
      </c>
      <c r="E224" s="6" t="s">
        <v>146</v>
      </c>
      <c r="F224" s="11" t="s">
        <v>46</v>
      </c>
      <c r="G224" s="11" t="s">
        <v>30</v>
      </c>
      <c r="H224" s="6">
        <v>0</v>
      </c>
      <c r="I224" s="11" t="s">
        <v>145</v>
      </c>
      <c r="J224" s="6" t="s">
        <v>47</v>
      </c>
    </row>
    <row r="225" spans="1:10">
      <c r="A225" s="6">
        <v>1010231</v>
      </c>
      <c r="B225" s="6">
        <v>16001</v>
      </c>
      <c r="C225" s="6">
        <v>2</v>
      </c>
      <c r="D225" s="6">
        <v>4</v>
      </c>
      <c r="E225" s="6" t="s">
        <v>146</v>
      </c>
      <c r="F225" s="11" t="s">
        <v>48</v>
      </c>
      <c r="G225" s="11" t="s">
        <v>33</v>
      </c>
      <c r="H225" s="6">
        <v>0</v>
      </c>
      <c r="I225" s="11" t="s">
        <v>145</v>
      </c>
      <c r="J225" s="6" t="s">
        <v>49</v>
      </c>
    </row>
    <row r="226" spans="1:10">
      <c r="A226" s="6">
        <v>1010232</v>
      </c>
      <c r="B226" s="6">
        <v>16001</v>
      </c>
      <c r="C226" s="6">
        <v>2</v>
      </c>
      <c r="D226" s="6">
        <v>5</v>
      </c>
      <c r="E226" s="6" t="s">
        <v>146</v>
      </c>
      <c r="F226" s="11" t="s">
        <v>50</v>
      </c>
      <c r="G226" s="11" t="s">
        <v>36</v>
      </c>
      <c r="H226" s="6">
        <v>0</v>
      </c>
      <c r="I226" s="11" t="s">
        <v>145</v>
      </c>
      <c r="J226" s="6" t="s">
        <v>51</v>
      </c>
    </row>
    <row r="227" spans="1:10">
      <c r="A227" s="6">
        <v>1010233</v>
      </c>
      <c r="B227" s="6">
        <v>16001</v>
      </c>
      <c r="C227" s="6">
        <v>2</v>
      </c>
      <c r="D227" s="6">
        <v>6</v>
      </c>
      <c r="E227" s="6" t="s">
        <v>146</v>
      </c>
      <c r="F227" s="11" t="s">
        <v>50</v>
      </c>
      <c r="G227" s="11" t="s">
        <v>38</v>
      </c>
      <c r="H227" s="6">
        <v>110063</v>
      </c>
      <c r="I227" s="11" t="s">
        <v>147</v>
      </c>
      <c r="J227" s="6" t="s">
        <v>40</v>
      </c>
    </row>
    <row r="228" spans="1:10">
      <c r="A228" s="6">
        <v>1010234</v>
      </c>
      <c r="B228" s="6">
        <v>16001</v>
      </c>
      <c r="C228" s="6">
        <v>3</v>
      </c>
      <c r="D228" s="6">
        <v>0</v>
      </c>
      <c r="E228" s="6" t="s">
        <v>148</v>
      </c>
      <c r="F228" s="11" t="s">
        <v>50</v>
      </c>
      <c r="G228" s="11">
        <v>0</v>
      </c>
      <c r="H228" s="6">
        <v>0</v>
      </c>
      <c r="I228" s="11" t="s">
        <v>147</v>
      </c>
      <c r="J228" s="6">
        <v>0</v>
      </c>
    </row>
    <row r="229" spans="1:10">
      <c r="A229" s="6">
        <v>1010235</v>
      </c>
      <c r="B229" s="6">
        <v>16001</v>
      </c>
      <c r="C229" s="6">
        <v>3</v>
      </c>
      <c r="D229" s="6">
        <v>1</v>
      </c>
      <c r="E229" s="6" t="s">
        <v>148</v>
      </c>
      <c r="F229" s="11" t="s">
        <v>54</v>
      </c>
      <c r="G229" s="11" t="s">
        <v>24</v>
      </c>
      <c r="H229" s="6">
        <v>0</v>
      </c>
      <c r="I229" s="11" t="s">
        <v>147</v>
      </c>
      <c r="J229" s="6" t="s">
        <v>55</v>
      </c>
    </row>
    <row r="230" spans="1:10">
      <c r="A230" s="6">
        <v>1010236</v>
      </c>
      <c r="B230" s="6">
        <v>16001</v>
      </c>
      <c r="C230" s="6">
        <v>3</v>
      </c>
      <c r="D230" s="6">
        <v>2</v>
      </c>
      <c r="E230" s="6" t="s">
        <v>148</v>
      </c>
      <c r="F230" s="11" t="s">
        <v>56</v>
      </c>
      <c r="G230" s="11" t="s">
        <v>27</v>
      </c>
      <c r="H230" s="6">
        <v>0</v>
      </c>
      <c r="I230" s="11" t="s">
        <v>147</v>
      </c>
      <c r="J230" s="6" t="s">
        <v>57</v>
      </c>
    </row>
    <row r="231" spans="1:10">
      <c r="A231" s="6">
        <v>1010237</v>
      </c>
      <c r="B231" s="6">
        <v>16001</v>
      </c>
      <c r="C231" s="6">
        <v>3</v>
      </c>
      <c r="D231" s="6">
        <v>3</v>
      </c>
      <c r="E231" s="6" t="s">
        <v>148</v>
      </c>
      <c r="F231" s="11" t="s">
        <v>58</v>
      </c>
      <c r="G231" s="11" t="s">
        <v>30</v>
      </c>
      <c r="H231" s="6">
        <v>0</v>
      </c>
      <c r="I231" s="11" t="s">
        <v>147</v>
      </c>
      <c r="J231" s="6" t="s">
        <v>59</v>
      </c>
    </row>
    <row r="232" spans="1:10">
      <c r="A232" s="6">
        <v>1010238</v>
      </c>
      <c r="B232" s="6">
        <v>16001</v>
      </c>
      <c r="C232" s="6">
        <v>3</v>
      </c>
      <c r="D232" s="6">
        <v>4</v>
      </c>
      <c r="E232" s="6" t="s">
        <v>148</v>
      </c>
      <c r="F232" s="11" t="s">
        <v>60</v>
      </c>
      <c r="G232" s="11" t="s">
        <v>33</v>
      </c>
      <c r="H232" s="6">
        <v>0</v>
      </c>
      <c r="I232" s="11" t="s">
        <v>147</v>
      </c>
      <c r="J232" s="6" t="s">
        <v>61</v>
      </c>
    </row>
    <row r="233" spans="1:10">
      <c r="A233" s="6">
        <v>1010239</v>
      </c>
      <c r="B233" s="6">
        <v>16001</v>
      </c>
      <c r="C233" s="6">
        <v>3</v>
      </c>
      <c r="D233" s="6">
        <v>5</v>
      </c>
      <c r="E233" s="6" t="s">
        <v>148</v>
      </c>
      <c r="F233" s="11" t="s">
        <v>62</v>
      </c>
      <c r="G233" s="11" t="s">
        <v>36</v>
      </c>
      <c r="H233" s="6">
        <v>0</v>
      </c>
      <c r="I233" s="11" t="s">
        <v>147</v>
      </c>
      <c r="J233" s="6" t="s">
        <v>63</v>
      </c>
    </row>
    <row r="234" spans="1:10">
      <c r="A234" s="6">
        <v>1010240</v>
      </c>
      <c r="B234" s="6">
        <v>16001</v>
      </c>
      <c r="C234" s="6">
        <v>3</v>
      </c>
      <c r="D234" s="6">
        <v>6</v>
      </c>
      <c r="E234" s="6" t="s">
        <v>148</v>
      </c>
      <c r="F234" s="11" t="s">
        <v>62</v>
      </c>
      <c r="G234" s="11" t="s">
        <v>38</v>
      </c>
      <c r="H234" s="6">
        <v>110064</v>
      </c>
      <c r="I234" s="11" t="s">
        <v>149</v>
      </c>
      <c r="J234" s="6" t="s">
        <v>40</v>
      </c>
    </row>
    <row r="235" spans="1:10">
      <c r="A235" s="6">
        <v>1010241</v>
      </c>
      <c r="B235" s="6">
        <v>16001</v>
      </c>
      <c r="C235" s="6">
        <v>4</v>
      </c>
      <c r="D235" s="6">
        <v>0</v>
      </c>
      <c r="E235" s="6" t="s">
        <v>150</v>
      </c>
      <c r="F235" s="11" t="s">
        <v>62</v>
      </c>
      <c r="G235" s="11">
        <v>0</v>
      </c>
      <c r="H235" s="6">
        <v>0</v>
      </c>
      <c r="I235" s="11" t="s">
        <v>149</v>
      </c>
      <c r="J235" s="6">
        <v>0</v>
      </c>
    </row>
    <row r="236" spans="1:10">
      <c r="A236" s="6">
        <v>1010242</v>
      </c>
      <c r="B236" s="6">
        <v>16001</v>
      </c>
      <c r="C236" s="6">
        <v>4</v>
      </c>
      <c r="D236" s="6">
        <v>1</v>
      </c>
      <c r="E236" s="6" t="s">
        <v>150</v>
      </c>
      <c r="F236" s="11" t="s">
        <v>66</v>
      </c>
      <c r="G236" s="11" t="s">
        <v>24</v>
      </c>
      <c r="H236" s="6">
        <v>0</v>
      </c>
      <c r="I236" s="11" t="s">
        <v>149</v>
      </c>
      <c r="J236" s="6" t="s">
        <v>67</v>
      </c>
    </row>
    <row r="237" spans="1:10">
      <c r="A237" s="6">
        <v>1010243</v>
      </c>
      <c r="B237" s="6">
        <v>16001</v>
      </c>
      <c r="C237" s="6">
        <v>4</v>
      </c>
      <c r="D237" s="6">
        <v>2</v>
      </c>
      <c r="E237" s="6" t="s">
        <v>150</v>
      </c>
      <c r="F237" s="11" t="s">
        <v>68</v>
      </c>
      <c r="G237" s="11" t="s">
        <v>27</v>
      </c>
      <c r="H237" s="6">
        <v>0</v>
      </c>
      <c r="I237" s="11" t="s">
        <v>149</v>
      </c>
      <c r="J237" s="6" t="s">
        <v>69</v>
      </c>
    </row>
    <row r="238" spans="1:10">
      <c r="A238" s="6">
        <v>1010244</v>
      </c>
      <c r="B238" s="6">
        <v>16001</v>
      </c>
      <c r="C238" s="6">
        <v>4</v>
      </c>
      <c r="D238" s="6">
        <v>3</v>
      </c>
      <c r="E238" s="6" t="s">
        <v>150</v>
      </c>
      <c r="F238" s="11" t="s">
        <v>70</v>
      </c>
      <c r="G238" s="11" t="s">
        <v>30</v>
      </c>
      <c r="H238" s="6">
        <v>0</v>
      </c>
      <c r="I238" s="11" t="s">
        <v>149</v>
      </c>
      <c r="J238" s="6" t="s">
        <v>71</v>
      </c>
    </row>
    <row r="239" spans="1:10">
      <c r="A239" s="6">
        <v>1010245</v>
      </c>
      <c r="B239" s="6">
        <v>16001</v>
      </c>
      <c r="C239" s="6">
        <v>4</v>
      </c>
      <c r="D239" s="6">
        <v>4</v>
      </c>
      <c r="E239" s="6" t="s">
        <v>150</v>
      </c>
      <c r="F239" s="11" t="s">
        <v>72</v>
      </c>
      <c r="G239" s="11" t="s">
        <v>33</v>
      </c>
      <c r="H239" s="6">
        <v>0</v>
      </c>
      <c r="I239" s="11" t="s">
        <v>149</v>
      </c>
      <c r="J239" s="6" t="s">
        <v>73</v>
      </c>
    </row>
    <row r="240" spans="1:10">
      <c r="A240" s="6">
        <v>1010246</v>
      </c>
      <c r="B240" s="6">
        <v>16001</v>
      </c>
      <c r="C240" s="6">
        <v>4</v>
      </c>
      <c r="D240" s="6">
        <v>5</v>
      </c>
      <c r="E240" s="6" t="s">
        <v>150</v>
      </c>
      <c r="F240" s="11" t="s">
        <v>74</v>
      </c>
      <c r="G240" s="11" t="s">
        <v>36</v>
      </c>
      <c r="H240" s="6">
        <v>0</v>
      </c>
      <c r="I240" s="11" t="s">
        <v>149</v>
      </c>
      <c r="J240" s="6" t="s">
        <v>75</v>
      </c>
    </row>
    <row r="241" spans="1:10">
      <c r="A241" s="6">
        <v>1010247</v>
      </c>
      <c r="B241" s="6">
        <v>16001</v>
      </c>
      <c r="C241" s="6">
        <v>4</v>
      </c>
      <c r="D241" s="6">
        <v>6</v>
      </c>
      <c r="E241" s="6" t="s">
        <v>150</v>
      </c>
      <c r="F241" s="11" t="s">
        <v>74</v>
      </c>
      <c r="G241" s="11" t="s">
        <v>38</v>
      </c>
      <c r="H241" s="6">
        <v>110065</v>
      </c>
      <c r="I241" s="11" t="s">
        <v>151</v>
      </c>
      <c r="J241" s="6" t="s">
        <v>40</v>
      </c>
    </row>
    <row r="242" spans="1:10">
      <c r="A242" s="6">
        <v>1010248</v>
      </c>
      <c r="B242" s="6">
        <v>16001</v>
      </c>
      <c r="C242" s="6">
        <v>5</v>
      </c>
      <c r="D242" s="6">
        <v>0</v>
      </c>
      <c r="E242" s="6" t="s">
        <v>152</v>
      </c>
      <c r="F242" s="11" t="s">
        <v>74</v>
      </c>
      <c r="G242" s="11">
        <v>0</v>
      </c>
      <c r="H242" s="6">
        <v>0</v>
      </c>
      <c r="I242" s="11" t="s">
        <v>151</v>
      </c>
      <c r="J242" s="6">
        <v>0</v>
      </c>
    </row>
    <row r="243" spans="1:10">
      <c r="A243" s="6">
        <v>1010249</v>
      </c>
      <c r="B243" s="6">
        <v>16001</v>
      </c>
      <c r="C243" s="6">
        <v>5</v>
      </c>
      <c r="D243" s="6">
        <v>1</v>
      </c>
      <c r="E243" s="6" t="s">
        <v>152</v>
      </c>
      <c r="F243" s="11" t="s">
        <v>78</v>
      </c>
      <c r="G243" s="11" t="s">
        <v>24</v>
      </c>
      <c r="H243" s="6">
        <v>0</v>
      </c>
      <c r="I243" s="11" t="s">
        <v>151</v>
      </c>
      <c r="J243" s="6" t="s">
        <v>79</v>
      </c>
    </row>
    <row r="244" spans="1:10">
      <c r="A244" s="6">
        <v>1010250</v>
      </c>
      <c r="B244" s="6">
        <v>16001</v>
      </c>
      <c r="C244" s="6">
        <v>5</v>
      </c>
      <c r="D244" s="6">
        <v>2</v>
      </c>
      <c r="E244" s="6" t="s">
        <v>152</v>
      </c>
      <c r="F244" s="11" t="s">
        <v>80</v>
      </c>
      <c r="G244" s="11" t="s">
        <v>27</v>
      </c>
      <c r="H244" s="6">
        <v>0</v>
      </c>
      <c r="I244" s="11" t="s">
        <v>151</v>
      </c>
      <c r="J244" s="6" t="s">
        <v>81</v>
      </c>
    </row>
    <row r="245" spans="1:10">
      <c r="A245" s="6">
        <v>1010251</v>
      </c>
      <c r="B245" s="6">
        <v>16001</v>
      </c>
      <c r="C245" s="6">
        <v>5</v>
      </c>
      <c r="D245" s="6">
        <v>3</v>
      </c>
      <c r="E245" s="6" t="s">
        <v>152</v>
      </c>
      <c r="F245" s="11" t="s">
        <v>82</v>
      </c>
      <c r="G245" s="11" t="s">
        <v>30</v>
      </c>
      <c r="H245" s="6">
        <v>0</v>
      </c>
      <c r="I245" s="11" t="s">
        <v>151</v>
      </c>
      <c r="J245" s="6" t="s">
        <v>83</v>
      </c>
    </row>
    <row r="246" spans="1:10">
      <c r="A246" s="6">
        <v>1010252</v>
      </c>
      <c r="B246" s="6">
        <v>16001</v>
      </c>
      <c r="C246" s="6">
        <v>5</v>
      </c>
      <c r="D246" s="6">
        <v>4</v>
      </c>
      <c r="E246" s="6" t="s">
        <v>152</v>
      </c>
      <c r="F246" s="11" t="s">
        <v>84</v>
      </c>
      <c r="G246" s="11" t="s">
        <v>33</v>
      </c>
      <c r="H246" s="6">
        <v>0</v>
      </c>
      <c r="I246" s="11" t="s">
        <v>151</v>
      </c>
      <c r="J246" s="6" t="s">
        <v>85</v>
      </c>
    </row>
    <row r="247" spans="1:10">
      <c r="A247" s="6">
        <v>1010253</v>
      </c>
      <c r="B247" s="6">
        <v>16001</v>
      </c>
      <c r="C247" s="6">
        <v>5</v>
      </c>
      <c r="D247" s="6">
        <v>5</v>
      </c>
      <c r="E247" s="6" t="s">
        <v>152</v>
      </c>
      <c r="F247" s="11" t="s">
        <v>86</v>
      </c>
      <c r="G247" s="11" t="s">
        <v>36</v>
      </c>
      <c r="H247" s="6">
        <v>0</v>
      </c>
      <c r="I247" s="11" t="s">
        <v>151</v>
      </c>
      <c r="J247" s="6" t="s">
        <v>87</v>
      </c>
    </row>
    <row r="248" spans="1:10">
      <c r="A248" s="6">
        <v>1010254</v>
      </c>
      <c r="B248" s="6">
        <v>16001</v>
      </c>
      <c r="C248" s="6">
        <v>5</v>
      </c>
      <c r="D248" s="6">
        <v>6</v>
      </c>
      <c r="E248" s="6" t="s">
        <v>152</v>
      </c>
      <c r="F248" s="11" t="s">
        <v>86</v>
      </c>
      <c r="G248" s="11" t="s">
        <v>38</v>
      </c>
      <c r="H248" s="6">
        <v>110066</v>
      </c>
      <c r="I248" s="11" t="s">
        <v>153</v>
      </c>
      <c r="J248" s="6" t="s">
        <v>40</v>
      </c>
    </row>
    <row r="249" spans="1:10">
      <c r="A249" s="6">
        <v>1010255</v>
      </c>
      <c r="B249" s="6">
        <v>16001</v>
      </c>
      <c r="C249" s="6">
        <v>6</v>
      </c>
      <c r="D249" s="6">
        <v>0</v>
      </c>
      <c r="E249" s="6" t="s">
        <v>152</v>
      </c>
      <c r="F249" s="11" t="s">
        <v>86</v>
      </c>
      <c r="G249" s="11">
        <v>0</v>
      </c>
      <c r="H249" s="6">
        <v>0</v>
      </c>
      <c r="I249" s="11" t="s">
        <v>153</v>
      </c>
      <c r="J249" s="6">
        <v>0</v>
      </c>
    </row>
    <row r="250" spans="1:10">
      <c r="A250" s="6">
        <v>1010256</v>
      </c>
      <c r="B250" s="6">
        <v>16001</v>
      </c>
      <c r="C250" s="6">
        <v>6</v>
      </c>
      <c r="D250" s="6">
        <v>1</v>
      </c>
      <c r="E250" s="6" t="s">
        <v>152</v>
      </c>
      <c r="F250" s="11" t="s">
        <v>89</v>
      </c>
      <c r="G250" s="11" t="s">
        <v>24</v>
      </c>
      <c r="H250" s="6">
        <v>0</v>
      </c>
      <c r="I250" s="11" t="s">
        <v>153</v>
      </c>
      <c r="J250" s="6" t="s">
        <v>90</v>
      </c>
    </row>
    <row r="251" spans="1:10">
      <c r="A251" s="6">
        <v>1010257</v>
      </c>
      <c r="B251" s="6">
        <v>16001</v>
      </c>
      <c r="C251" s="6">
        <v>6</v>
      </c>
      <c r="D251" s="6">
        <v>2</v>
      </c>
      <c r="E251" s="6" t="s">
        <v>152</v>
      </c>
      <c r="F251" s="11" t="s">
        <v>91</v>
      </c>
      <c r="G251" s="11" t="s">
        <v>27</v>
      </c>
      <c r="H251" s="6">
        <v>0</v>
      </c>
      <c r="I251" s="11" t="s">
        <v>153</v>
      </c>
      <c r="J251" s="6" t="s">
        <v>92</v>
      </c>
    </row>
    <row r="252" spans="1:10">
      <c r="A252" s="6">
        <v>1010258</v>
      </c>
      <c r="B252" s="6">
        <v>16001</v>
      </c>
      <c r="C252" s="6">
        <v>6</v>
      </c>
      <c r="D252" s="6">
        <v>3</v>
      </c>
      <c r="E252" s="6" t="s">
        <v>152</v>
      </c>
      <c r="F252" s="11" t="s">
        <v>93</v>
      </c>
      <c r="G252" s="11" t="s">
        <v>30</v>
      </c>
      <c r="H252" s="6">
        <v>0</v>
      </c>
      <c r="I252" s="11" t="s">
        <v>153</v>
      </c>
      <c r="J252" s="6" t="s">
        <v>94</v>
      </c>
    </row>
    <row r="253" spans="1:10">
      <c r="A253" s="6">
        <v>1010259</v>
      </c>
      <c r="B253" s="6">
        <v>16001</v>
      </c>
      <c r="C253" s="6">
        <v>6</v>
      </c>
      <c r="D253" s="6">
        <v>4</v>
      </c>
      <c r="E253" s="6" t="s">
        <v>152</v>
      </c>
      <c r="F253" s="11" t="s">
        <v>95</v>
      </c>
      <c r="G253" s="11" t="s">
        <v>33</v>
      </c>
      <c r="H253" s="6">
        <v>0</v>
      </c>
      <c r="I253" s="11" t="s">
        <v>153</v>
      </c>
      <c r="J253" s="6" t="s">
        <v>96</v>
      </c>
    </row>
    <row r="254" spans="1:10">
      <c r="A254" s="6">
        <v>1010260</v>
      </c>
      <c r="B254" s="6">
        <v>16001</v>
      </c>
      <c r="C254" s="6">
        <v>6</v>
      </c>
      <c r="D254" s="6">
        <v>5</v>
      </c>
      <c r="E254" s="6" t="s">
        <v>152</v>
      </c>
      <c r="F254" s="11" t="s">
        <v>97</v>
      </c>
      <c r="G254" s="11" t="s">
        <v>36</v>
      </c>
      <c r="H254" s="6">
        <v>0</v>
      </c>
      <c r="I254" s="11" t="s">
        <v>153</v>
      </c>
      <c r="J254" s="6" t="s">
        <v>98</v>
      </c>
    </row>
    <row r="255" spans="1:10">
      <c r="A255" s="6">
        <v>1010261</v>
      </c>
      <c r="B255" s="6">
        <v>16001</v>
      </c>
      <c r="C255" s="6">
        <v>6</v>
      </c>
      <c r="D255" s="6">
        <v>6</v>
      </c>
      <c r="E255" s="6">
        <v>0</v>
      </c>
      <c r="F255" s="11" t="s">
        <v>97</v>
      </c>
      <c r="G255" s="11" t="s">
        <v>38</v>
      </c>
      <c r="H255" s="6">
        <v>110067</v>
      </c>
      <c r="I255" s="11" t="s">
        <v>154</v>
      </c>
      <c r="J255" s="6" t="s">
        <v>40</v>
      </c>
    </row>
    <row r="256" spans="1:10">
      <c r="A256" s="6">
        <v>1010262</v>
      </c>
      <c r="B256" s="6">
        <v>21001</v>
      </c>
      <c r="C256" s="6">
        <v>1</v>
      </c>
      <c r="D256" s="6">
        <v>0</v>
      </c>
      <c r="E256" s="6" t="s">
        <v>155</v>
      </c>
      <c r="F256" s="11" t="s">
        <v>22</v>
      </c>
      <c r="G256" s="11">
        <v>0</v>
      </c>
      <c r="H256" s="6">
        <v>0</v>
      </c>
      <c r="I256" s="11">
        <v>0</v>
      </c>
      <c r="J256" s="6">
        <v>0</v>
      </c>
    </row>
    <row r="257" spans="1:10">
      <c r="A257" s="6">
        <v>1010263</v>
      </c>
      <c r="B257" s="6">
        <v>21001</v>
      </c>
      <c r="C257" s="6">
        <v>1</v>
      </c>
      <c r="D257" s="6">
        <v>1</v>
      </c>
      <c r="E257" s="6" t="s">
        <v>155</v>
      </c>
      <c r="F257" s="11" t="s">
        <v>23</v>
      </c>
      <c r="G257" s="11" t="s">
        <v>24</v>
      </c>
      <c r="H257" s="6">
        <v>0</v>
      </c>
      <c r="I257" s="11">
        <v>0</v>
      </c>
      <c r="J257" s="6" t="s">
        <v>25</v>
      </c>
    </row>
    <row r="258" spans="1:10">
      <c r="A258" s="6">
        <v>1010264</v>
      </c>
      <c r="B258" s="6">
        <v>21001</v>
      </c>
      <c r="C258" s="6">
        <v>1</v>
      </c>
      <c r="D258" s="6">
        <v>2</v>
      </c>
      <c r="E258" s="6" t="s">
        <v>155</v>
      </c>
      <c r="F258" s="11" t="s">
        <v>26</v>
      </c>
      <c r="G258" s="11" t="s">
        <v>27</v>
      </c>
      <c r="H258" s="6">
        <v>0</v>
      </c>
      <c r="I258" s="11">
        <v>0</v>
      </c>
      <c r="J258" s="6" t="s">
        <v>28</v>
      </c>
    </row>
    <row r="259" spans="1:10">
      <c r="A259" s="6">
        <v>1010265</v>
      </c>
      <c r="B259" s="6">
        <v>21001</v>
      </c>
      <c r="C259" s="6">
        <v>1</v>
      </c>
      <c r="D259" s="6">
        <v>3</v>
      </c>
      <c r="E259" s="6" t="s">
        <v>155</v>
      </c>
      <c r="F259" s="11" t="s">
        <v>29</v>
      </c>
      <c r="G259" s="11" t="s">
        <v>30</v>
      </c>
      <c r="H259" s="6">
        <v>0</v>
      </c>
      <c r="I259" s="11">
        <v>0</v>
      </c>
      <c r="J259" s="6" t="s">
        <v>31</v>
      </c>
    </row>
    <row r="260" spans="1:10">
      <c r="A260" s="6">
        <v>1010266</v>
      </c>
      <c r="B260" s="6">
        <v>21001</v>
      </c>
      <c r="C260" s="6">
        <v>1</v>
      </c>
      <c r="D260" s="6">
        <v>4</v>
      </c>
      <c r="E260" s="6" t="s">
        <v>155</v>
      </c>
      <c r="F260" s="11" t="s">
        <v>32</v>
      </c>
      <c r="G260" s="11" t="s">
        <v>33</v>
      </c>
      <c r="H260" s="6">
        <v>0</v>
      </c>
      <c r="I260" s="11">
        <v>0</v>
      </c>
      <c r="J260" s="6" t="s">
        <v>34</v>
      </c>
    </row>
    <row r="261" spans="1:10">
      <c r="A261" s="6">
        <v>1010267</v>
      </c>
      <c r="B261" s="6">
        <v>21001</v>
      </c>
      <c r="C261" s="6">
        <v>1</v>
      </c>
      <c r="D261" s="6">
        <v>5</v>
      </c>
      <c r="E261" s="6" t="s">
        <v>155</v>
      </c>
      <c r="F261" s="11" t="s">
        <v>35</v>
      </c>
      <c r="G261" s="11" t="s">
        <v>36</v>
      </c>
      <c r="H261" s="6">
        <v>0</v>
      </c>
      <c r="I261" s="11">
        <v>0</v>
      </c>
      <c r="J261" s="6" t="s">
        <v>37</v>
      </c>
    </row>
    <row r="262" spans="1:10">
      <c r="A262" s="6">
        <v>1010268</v>
      </c>
      <c r="B262" s="6">
        <v>21001</v>
      </c>
      <c r="C262" s="6">
        <v>1</v>
      </c>
      <c r="D262" s="6">
        <v>6</v>
      </c>
      <c r="E262" s="6" t="s">
        <v>155</v>
      </c>
      <c r="F262" s="11" t="s">
        <v>35</v>
      </c>
      <c r="G262" s="11" t="s">
        <v>38</v>
      </c>
      <c r="H262" s="6">
        <v>120012</v>
      </c>
      <c r="I262" s="11" t="s">
        <v>156</v>
      </c>
      <c r="J262" s="6" t="s">
        <v>40</v>
      </c>
    </row>
    <row r="263" spans="1:10">
      <c r="A263" s="6">
        <v>1010269</v>
      </c>
      <c r="B263" s="6">
        <v>21001</v>
      </c>
      <c r="C263" s="6">
        <v>2</v>
      </c>
      <c r="D263" s="6">
        <v>0</v>
      </c>
      <c r="E263" s="6" t="s">
        <v>157</v>
      </c>
      <c r="F263" s="11" t="s">
        <v>35</v>
      </c>
      <c r="G263" s="11">
        <v>0</v>
      </c>
      <c r="H263" s="6">
        <v>0</v>
      </c>
      <c r="I263" s="11" t="str">
        <f t="shared" ref="I263:I268" si="4">I262</f>
        <v>103|5</v>
      </c>
      <c r="J263" s="6">
        <v>0</v>
      </c>
    </row>
    <row r="264" spans="1:10">
      <c r="A264" s="6">
        <v>1010270</v>
      </c>
      <c r="B264" s="6">
        <v>21001</v>
      </c>
      <c r="C264" s="6">
        <v>2</v>
      </c>
      <c r="D264" s="6">
        <v>1</v>
      </c>
      <c r="E264" s="6" t="s">
        <v>157</v>
      </c>
      <c r="F264" s="11" t="s">
        <v>42</v>
      </c>
      <c r="G264" s="11" t="s">
        <v>24</v>
      </c>
      <c r="H264" s="6">
        <v>0</v>
      </c>
      <c r="I264" s="11" t="str">
        <f t="shared" si="4"/>
        <v>103|5</v>
      </c>
      <c r="J264" s="6" t="s">
        <v>43</v>
      </c>
    </row>
    <row r="265" spans="1:10">
      <c r="A265" s="6">
        <v>1010271</v>
      </c>
      <c r="B265" s="6">
        <v>21001</v>
      </c>
      <c r="C265" s="6">
        <v>2</v>
      </c>
      <c r="D265" s="6">
        <v>2</v>
      </c>
      <c r="E265" s="6" t="s">
        <v>157</v>
      </c>
      <c r="F265" s="11" t="s">
        <v>44</v>
      </c>
      <c r="G265" s="11" t="s">
        <v>27</v>
      </c>
      <c r="H265" s="6">
        <v>0</v>
      </c>
      <c r="I265" s="11" t="str">
        <f t="shared" si="4"/>
        <v>103|5</v>
      </c>
      <c r="J265" s="6" t="s">
        <v>45</v>
      </c>
    </row>
    <row r="266" spans="1:10">
      <c r="A266" s="6">
        <v>1010272</v>
      </c>
      <c r="B266" s="6">
        <v>21001</v>
      </c>
      <c r="C266" s="6">
        <v>2</v>
      </c>
      <c r="D266" s="6">
        <v>3</v>
      </c>
      <c r="E266" s="6" t="s">
        <v>157</v>
      </c>
      <c r="F266" s="11" t="s">
        <v>46</v>
      </c>
      <c r="G266" s="11" t="s">
        <v>30</v>
      </c>
      <c r="H266" s="6">
        <v>0</v>
      </c>
      <c r="I266" s="11" t="str">
        <f t="shared" si="4"/>
        <v>103|5</v>
      </c>
      <c r="J266" s="6" t="s">
        <v>47</v>
      </c>
    </row>
    <row r="267" spans="1:10">
      <c r="A267" s="6">
        <v>1010273</v>
      </c>
      <c r="B267" s="6">
        <v>21001</v>
      </c>
      <c r="C267" s="6">
        <v>2</v>
      </c>
      <c r="D267" s="6">
        <v>4</v>
      </c>
      <c r="E267" s="6" t="s">
        <v>157</v>
      </c>
      <c r="F267" s="11" t="s">
        <v>48</v>
      </c>
      <c r="G267" s="11" t="s">
        <v>33</v>
      </c>
      <c r="H267" s="6">
        <v>0</v>
      </c>
      <c r="I267" s="11" t="str">
        <f t="shared" si="4"/>
        <v>103|5</v>
      </c>
      <c r="J267" s="6" t="s">
        <v>49</v>
      </c>
    </row>
    <row r="268" spans="1:10">
      <c r="A268" s="6">
        <v>1010274</v>
      </c>
      <c r="B268" s="6">
        <v>21001</v>
      </c>
      <c r="C268" s="6">
        <v>2</v>
      </c>
      <c r="D268" s="6">
        <v>5</v>
      </c>
      <c r="E268" s="6" t="s">
        <v>157</v>
      </c>
      <c r="F268" s="11" t="s">
        <v>50</v>
      </c>
      <c r="G268" s="11" t="s">
        <v>36</v>
      </c>
      <c r="H268" s="6">
        <v>0</v>
      </c>
      <c r="I268" s="11" t="str">
        <f t="shared" si="4"/>
        <v>103|5</v>
      </c>
      <c r="J268" s="6" t="s">
        <v>51</v>
      </c>
    </row>
    <row r="269" spans="1:10">
      <c r="A269" s="6">
        <v>1010275</v>
      </c>
      <c r="B269" s="6">
        <v>21001</v>
      </c>
      <c r="C269" s="6">
        <v>2</v>
      </c>
      <c r="D269" s="6">
        <v>6</v>
      </c>
      <c r="E269" s="6" t="s">
        <v>157</v>
      </c>
      <c r="F269" s="11" t="s">
        <v>50</v>
      </c>
      <c r="G269" s="11" t="s">
        <v>38</v>
      </c>
      <c r="H269" s="6">
        <v>120013</v>
      </c>
      <c r="I269" s="11" t="s">
        <v>158</v>
      </c>
      <c r="J269" s="6" t="s">
        <v>40</v>
      </c>
    </row>
    <row r="270" spans="1:10">
      <c r="A270" s="6">
        <v>1010276</v>
      </c>
      <c r="B270" s="6">
        <v>21001</v>
      </c>
      <c r="C270" s="6">
        <v>3</v>
      </c>
      <c r="D270" s="6">
        <v>0</v>
      </c>
      <c r="E270" s="6" t="s">
        <v>159</v>
      </c>
      <c r="F270" s="11" t="s">
        <v>50</v>
      </c>
      <c r="G270" s="11">
        <v>0</v>
      </c>
      <c r="H270" s="6">
        <v>0</v>
      </c>
      <c r="I270" s="11" t="str">
        <f t="shared" ref="I270:I275" si="5">I269</f>
        <v>103|6</v>
      </c>
      <c r="J270" s="6">
        <v>0</v>
      </c>
    </row>
    <row r="271" spans="1:10">
      <c r="A271" s="6">
        <v>1010277</v>
      </c>
      <c r="B271" s="6">
        <v>21001</v>
      </c>
      <c r="C271" s="6">
        <v>3</v>
      </c>
      <c r="D271" s="6">
        <v>1</v>
      </c>
      <c r="E271" s="6" t="s">
        <v>159</v>
      </c>
      <c r="F271" s="11" t="s">
        <v>54</v>
      </c>
      <c r="G271" s="11" t="s">
        <v>24</v>
      </c>
      <c r="H271" s="6">
        <v>0</v>
      </c>
      <c r="I271" s="11" t="str">
        <f t="shared" si="5"/>
        <v>103|6</v>
      </c>
      <c r="J271" s="6" t="s">
        <v>55</v>
      </c>
    </row>
    <row r="272" spans="1:10">
      <c r="A272" s="6">
        <v>1010278</v>
      </c>
      <c r="B272" s="6">
        <v>21001</v>
      </c>
      <c r="C272" s="6">
        <v>3</v>
      </c>
      <c r="D272" s="6">
        <v>2</v>
      </c>
      <c r="E272" s="6" t="s">
        <v>159</v>
      </c>
      <c r="F272" s="11" t="s">
        <v>56</v>
      </c>
      <c r="G272" s="11" t="s">
        <v>27</v>
      </c>
      <c r="H272" s="6">
        <v>0</v>
      </c>
      <c r="I272" s="11" t="str">
        <f t="shared" si="5"/>
        <v>103|6</v>
      </c>
      <c r="J272" s="6" t="s">
        <v>57</v>
      </c>
    </row>
    <row r="273" spans="1:10">
      <c r="A273" s="6">
        <v>1010279</v>
      </c>
      <c r="B273" s="6">
        <v>21001</v>
      </c>
      <c r="C273" s="6">
        <v>3</v>
      </c>
      <c r="D273" s="6">
        <v>3</v>
      </c>
      <c r="E273" s="6" t="s">
        <v>159</v>
      </c>
      <c r="F273" s="11" t="s">
        <v>58</v>
      </c>
      <c r="G273" s="11" t="s">
        <v>30</v>
      </c>
      <c r="H273" s="6">
        <v>0</v>
      </c>
      <c r="I273" s="11" t="str">
        <f t="shared" si="5"/>
        <v>103|6</v>
      </c>
      <c r="J273" s="6" t="s">
        <v>59</v>
      </c>
    </row>
    <row r="274" spans="1:10">
      <c r="A274" s="6">
        <v>1010280</v>
      </c>
      <c r="B274" s="6">
        <v>21001</v>
      </c>
      <c r="C274" s="6">
        <v>3</v>
      </c>
      <c r="D274" s="6">
        <v>4</v>
      </c>
      <c r="E274" s="6" t="s">
        <v>159</v>
      </c>
      <c r="F274" s="11" t="s">
        <v>60</v>
      </c>
      <c r="G274" s="11" t="s">
        <v>33</v>
      </c>
      <c r="H274" s="6">
        <v>0</v>
      </c>
      <c r="I274" s="11" t="str">
        <f t="shared" si="5"/>
        <v>103|6</v>
      </c>
      <c r="J274" s="6" t="s">
        <v>61</v>
      </c>
    </row>
    <row r="275" spans="1:10">
      <c r="A275" s="6">
        <v>1010281</v>
      </c>
      <c r="B275" s="6">
        <v>21001</v>
      </c>
      <c r="C275" s="6">
        <v>3</v>
      </c>
      <c r="D275" s="6">
        <v>5</v>
      </c>
      <c r="E275" s="6" t="s">
        <v>159</v>
      </c>
      <c r="F275" s="11" t="s">
        <v>62</v>
      </c>
      <c r="G275" s="11" t="s">
        <v>36</v>
      </c>
      <c r="H275" s="6">
        <v>0</v>
      </c>
      <c r="I275" s="11" t="str">
        <f t="shared" si="5"/>
        <v>103|6</v>
      </c>
      <c r="J275" s="6" t="s">
        <v>63</v>
      </c>
    </row>
    <row r="276" spans="1:10">
      <c r="A276" s="6">
        <v>1010282</v>
      </c>
      <c r="B276" s="6">
        <v>21001</v>
      </c>
      <c r="C276" s="6">
        <v>3</v>
      </c>
      <c r="D276" s="6">
        <v>6</v>
      </c>
      <c r="E276" s="6" t="s">
        <v>159</v>
      </c>
      <c r="F276" s="11" t="s">
        <v>62</v>
      </c>
      <c r="G276" s="11" t="s">
        <v>38</v>
      </c>
      <c r="H276" s="6">
        <v>120014</v>
      </c>
      <c r="I276" s="11" t="s">
        <v>160</v>
      </c>
      <c r="J276" s="6" t="s">
        <v>40</v>
      </c>
    </row>
    <row r="277" spans="1:10">
      <c r="A277" s="6">
        <v>1010283</v>
      </c>
      <c r="B277" s="6">
        <v>21001</v>
      </c>
      <c r="C277" s="6">
        <v>4</v>
      </c>
      <c r="D277" s="6">
        <v>0</v>
      </c>
      <c r="E277" s="6" t="s">
        <v>161</v>
      </c>
      <c r="F277" s="11" t="s">
        <v>62</v>
      </c>
      <c r="G277" s="11">
        <v>0</v>
      </c>
      <c r="H277" s="6">
        <v>0</v>
      </c>
      <c r="I277" s="11" t="str">
        <f t="shared" ref="I277:I282" si="6">I276</f>
        <v>103|7</v>
      </c>
      <c r="J277" s="6">
        <v>0</v>
      </c>
    </row>
    <row r="278" spans="1:10">
      <c r="A278" s="6">
        <v>1010284</v>
      </c>
      <c r="B278" s="6">
        <v>21001</v>
      </c>
      <c r="C278" s="6">
        <v>4</v>
      </c>
      <c r="D278" s="6">
        <v>1</v>
      </c>
      <c r="E278" s="6" t="s">
        <v>161</v>
      </c>
      <c r="F278" s="11" t="s">
        <v>66</v>
      </c>
      <c r="G278" s="11" t="s">
        <v>24</v>
      </c>
      <c r="H278" s="6">
        <v>0</v>
      </c>
      <c r="I278" s="11" t="str">
        <f t="shared" si="6"/>
        <v>103|7</v>
      </c>
      <c r="J278" s="6" t="s">
        <v>67</v>
      </c>
    </row>
    <row r="279" spans="1:10">
      <c r="A279" s="6">
        <v>1010285</v>
      </c>
      <c r="B279" s="6">
        <v>21001</v>
      </c>
      <c r="C279" s="6">
        <v>4</v>
      </c>
      <c r="D279" s="6">
        <v>2</v>
      </c>
      <c r="E279" s="6" t="s">
        <v>161</v>
      </c>
      <c r="F279" s="11" t="s">
        <v>68</v>
      </c>
      <c r="G279" s="11" t="s">
        <v>27</v>
      </c>
      <c r="H279" s="6">
        <v>0</v>
      </c>
      <c r="I279" s="11" t="str">
        <f t="shared" si="6"/>
        <v>103|7</v>
      </c>
      <c r="J279" s="6" t="s">
        <v>69</v>
      </c>
    </row>
    <row r="280" spans="1:10">
      <c r="A280" s="6">
        <v>1010286</v>
      </c>
      <c r="B280" s="6">
        <v>21001</v>
      </c>
      <c r="C280" s="6">
        <v>4</v>
      </c>
      <c r="D280" s="6">
        <v>3</v>
      </c>
      <c r="E280" s="6" t="s">
        <v>161</v>
      </c>
      <c r="F280" s="11" t="s">
        <v>70</v>
      </c>
      <c r="G280" s="11" t="s">
        <v>30</v>
      </c>
      <c r="H280" s="6">
        <v>0</v>
      </c>
      <c r="I280" s="11" t="str">
        <f t="shared" si="6"/>
        <v>103|7</v>
      </c>
      <c r="J280" s="6" t="s">
        <v>71</v>
      </c>
    </row>
    <row r="281" spans="1:10">
      <c r="A281" s="6">
        <v>1010287</v>
      </c>
      <c r="B281" s="6">
        <v>21001</v>
      </c>
      <c r="C281" s="6">
        <v>4</v>
      </c>
      <c r="D281" s="6">
        <v>4</v>
      </c>
      <c r="E281" s="6" t="s">
        <v>161</v>
      </c>
      <c r="F281" s="11" t="s">
        <v>72</v>
      </c>
      <c r="G281" s="11" t="s">
        <v>33</v>
      </c>
      <c r="H281" s="6">
        <v>0</v>
      </c>
      <c r="I281" s="11" t="str">
        <f t="shared" si="6"/>
        <v>103|7</v>
      </c>
      <c r="J281" s="6" t="s">
        <v>73</v>
      </c>
    </row>
    <row r="282" spans="1:10">
      <c r="A282" s="6">
        <v>1010288</v>
      </c>
      <c r="B282" s="6">
        <v>21001</v>
      </c>
      <c r="C282" s="6">
        <v>4</v>
      </c>
      <c r="D282" s="6">
        <v>5</v>
      </c>
      <c r="E282" s="6" t="s">
        <v>161</v>
      </c>
      <c r="F282" s="11" t="s">
        <v>74</v>
      </c>
      <c r="G282" s="11" t="s">
        <v>36</v>
      </c>
      <c r="H282" s="6">
        <v>0</v>
      </c>
      <c r="I282" s="11" t="str">
        <f t="shared" si="6"/>
        <v>103|7</v>
      </c>
      <c r="J282" s="6" t="s">
        <v>75</v>
      </c>
    </row>
    <row r="283" spans="1:10">
      <c r="A283" s="6">
        <v>1010289</v>
      </c>
      <c r="B283" s="6">
        <v>21001</v>
      </c>
      <c r="C283" s="6">
        <v>4</v>
      </c>
      <c r="D283" s="6">
        <v>6</v>
      </c>
      <c r="E283" s="6" t="s">
        <v>161</v>
      </c>
      <c r="F283" s="11" t="s">
        <v>74</v>
      </c>
      <c r="G283" s="11" t="s">
        <v>38</v>
      </c>
      <c r="H283" s="6">
        <v>120015</v>
      </c>
      <c r="I283" s="11" t="s">
        <v>162</v>
      </c>
      <c r="J283" s="6" t="s">
        <v>40</v>
      </c>
    </row>
    <row r="284" spans="1:10">
      <c r="A284" s="6">
        <v>1010290</v>
      </c>
      <c r="B284" s="6">
        <v>21001</v>
      </c>
      <c r="C284" s="6">
        <v>5</v>
      </c>
      <c r="D284" s="6">
        <v>0</v>
      </c>
      <c r="E284" s="6" t="s">
        <v>163</v>
      </c>
      <c r="F284" s="11" t="s">
        <v>74</v>
      </c>
      <c r="G284" s="11">
        <v>0</v>
      </c>
      <c r="H284" s="6">
        <v>0</v>
      </c>
      <c r="I284" s="11" t="str">
        <f t="shared" ref="I284:I289" si="7">I283</f>
        <v>103|8</v>
      </c>
      <c r="J284" s="6">
        <v>0</v>
      </c>
    </row>
    <row r="285" spans="1:10">
      <c r="A285" s="6">
        <v>1010291</v>
      </c>
      <c r="B285" s="6">
        <v>21001</v>
      </c>
      <c r="C285" s="6">
        <v>5</v>
      </c>
      <c r="D285" s="6">
        <v>1</v>
      </c>
      <c r="E285" s="6" t="s">
        <v>163</v>
      </c>
      <c r="F285" s="11" t="s">
        <v>78</v>
      </c>
      <c r="G285" s="11" t="s">
        <v>24</v>
      </c>
      <c r="H285" s="6">
        <v>0</v>
      </c>
      <c r="I285" s="11" t="str">
        <f t="shared" si="7"/>
        <v>103|8</v>
      </c>
      <c r="J285" s="6" t="s">
        <v>79</v>
      </c>
    </row>
    <row r="286" spans="1:10">
      <c r="A286" s="6">
        <v>1010292</v>
      </c>
      <c r="B286" s="6">
        <v>21001</v>
      </c>
      <c r="C286" s="6">
        <v>5</v>
      </c>
      <c r="D286" s="6">
        <v>2</v>
      </c>
      <c r="E286" s="6" t="s">
        <v>163</v>
      </c>
      <c r="F286" s="11" t="s">
        <v>80</v>
      </c>
      <c r="G286" s="11" t="s">
        <v>27</v>
      </c>
      <c r="H286" s="6">
        <v>0</v>
      </c>
      <c r="I286" s="11" t="str">
        <f t="shared" si="7"/>
        <v>103|8</v>
      </c>
      <c r="J286" s="6" t="s">
        <v>81</v>
      </c>
    </row>
    <row r="287" spans="1:10">
      <c r="A287" s="6">
        <v>1010293</v>
      </c>
      <c r="B287" s="6">
        <v>21001</v>
      </c>
      <c r="C287" s="6">
        <v>5</v>
      </c>
      <c r="D287" s="6">
        <v>3</v>
      </c>
      <c r="E287" s="6" t="s">
        <v>163</v>
      </c>
      <c r="F287" s="11" t="s">
        <v>82</v>
      </c>
      <c r="G287" s="11" t="s">
        <v>30</v>
      </c>
      <c r="H287" s="6">
        <v>0</v>
      </c>
      <c r="I287" s="11" t="str">
        <f t="shared" si="7"/>
        <v>103|8</v>
      </c>
      <c r="J287" s="6" t="s">
        <v>83</v>
      </c>
    </row>
    <row r="288" spans="1:10">
      <c r="A288" s="6">
        <v>1010294</v>
      </c>
      <c r="B288" s="6">
        <v>21001</v>
      </c>
      <c r="C288" s="6">
        <v>5</v>
      </c>
      <c r="D288" s="6">
        <v>4</v>
      </c>
      <c r="E288" s="6" t="s">
        <v>163</v>
      </c>
      <c r="F288" s="11" t="s">
        <v>84</v>
      </c>
      <c r="G288" s="11" t="s">
        <v>33</v>
      </c>
      <c r="H288" s="6">
        <v>0</v>
      </c>
      <c r="I288" s="11" t="str">
        <f t="shared" si="7"/>
        <v>103|8</v>
      </c>
      <c r="J288" s="6" t="s">
        <v>85</v>
      </c>
    </row>
    <row r="289" spans="1:10">
      <c r="A289" s="6">
        <v>1010295</v>
      </c>
      <c r="B289" s="6">
        <v>21001</v>
      </c>
      <c r="C289" s="6">
        <v>5</v>
      </c>
      <c r="D289" s="6">
        <v>5</v>
      </c>
      <c r="E289" s="6" t="s">
        <v>163</v>
      </c>
      <c r="F289" s="11" t="s">
        <v>86</v>
      </c>
      <c r="G289" s="11" t="s">
        <v>36</v>
      </c>
      <c r="H289" s="6">
        <v>0</v>
      </c>
      <c r="I289" s="11" t="str">
        <f t="shared" si="7"/>
        <v>103|8</v>
      </c>
      <c r="J289" s="6" t="s">
        <v>87</v>
      </c>
    </row>
    <row r="290" spans="1:10">
      <c r="A290" s="6">
        <v>1010296</v>
      </c>
      <c r="B290" s="6">
        <v>21001</v>
      </c>
      <c r="C290" s="6">
        <v>5</v>
      </c>
      <c r="D290" s="6">
        <v>6</v>
      </c>
      <c r="E290" s="6" t="s">
        <v>163</v>
      </c>
      <c r="F290" s="11" t="s">
        <v>86</v>
      </c>
      <c r="G290" s="11" t="s">
        <v>38</v>
      </c>
      <c r="H290" s="6">
        <v>120016</v>
      </c>
      <c r="I290" s="11" t="s">
        <v>164</v>
      </c>
      <c r="J290" s="6" t="s">
        <v>40</v>
      </c>
    </row>
    <row r="291" spans="1:10">
      <c r="A291" s="6">
        <v>1010297</v>
      </c>
      <c r="B291" s="6">
        <v>21001</v>
      </c>
      <c r="C291" s="6">
        <v>6</v>
      </c>
      <c r="D291" s="6">
        <v>0</v>
      </c>
      <c r="E291" s="6" t="s">
        <v>163</v>
      </c>
      <c r="F291" s="11" t="s">
        <v>86</v>
      </c>
      <c r="G291" s="11">
        <v>0</v>
      </c>
      <c r="H291" s="6">
        <v>0</v>
      </c>
      <c r="I291" s="11" t="str">
        <f t="shared" ref="I291:I296" si="8">I290</f>
        <v>103|9</v>
      </c>
      <c r="J291" s="6">
        <v>0</v>
      </c>
    </row>
    <row r="292" spans="1:10">
      <c r="A292" s="6">
        <v>1010298</v>
      </c>
      <c r="B292" s="6">
        <v>21001</v>
      </c>
      <c r="C292" s="6">
        <v>6</v>
      </c>
      <c r="D292" s="6">
        <v>1</v>
      </c>
      <c r="E292" s="6" t="s">
        <v>163</v>
      </c>
      <c r="F292" s="11" t="s">
        <v>89</v>
      </c>
      <c r="G292" s="11" t="s">
        <v>24</v>
      </c>
      <c r="H292" s="6">
        <v>0</v>
      </c>
      <c r="I292" s="11" t="str">
        <f t="shared" si="8"/>
        <v>103|9</v>
      </c>
      <c r="J292" s="6" t="s">
        <v>90</v>
      </c>
    </row>
    <row r="293" spans="1:10">
      <c r="A293" s="6">
        <v>1010299</v>
      </c>
      <c r="B293" s="6">
        <v>21001</v>
      </c>
      <c r="C293" s="6">
        <v>6</v>
      </c>
      <c r="D293" s="6">
        <v>2</v>
      </c>
      <c r="E293" s="6" t="s">
        <v>163</v>
      </c>
      <c r="F293" s="11" t="s">
        <v>91</v>
      </c>
      <c r="G293" s="11" t="s">
        <v>27</v>
      </c>
      <c r="H293" s="6">
        <v>0</v>
      </c>
      <c r="I293" s="11" t="str">
        <f t="shared" si="8"/>
        <v>103|9</v>
      </c>
      <c r="J293" s="6" t="s">
        <v>92</v>
      </c>
    </row>
    <row r="294" spans="1:10">
      <c r="A294" s="6">
        <v>1010300</v>
      </c>
      <c r="B294" s="6">
        <v>21001</v>
      </c>
      <c r="C294" s="6">
        <v>6</v>
      </c>
      <c r="D294" s="6">
        <v>3</v>
      </c>
      <c r="E294" s="6" t="s">
        <v>163</v>
      </c>
      <c r="F294" s="11" t="s">
        <v>93</v>
      </c>
      <c r="G294" s="11" t="s">
        <v>30</v>
      </c>
      <c r="H294" s="6">
        <v>0</v>
      </c>
      <c r="I294" s="11" t="str">
        <f t="shared" si="8"/>
        <v>103|9</v>
      </c>
      <c r="J294" s="6" t="s">
        <v>94</v>
      </c>
    </row>
    <row r="295" spans="1:10">
      <c r="A295" s="6">
        <v>1010301</v>
      </c>
      <c r="B295" s="6">
        <v>21001</v>
      </c>
      <c r="C295" s="6">
        <v>6</v>
      </c>
      <c r="D295" s="6">
        <v>4</v>
      </c>
      <c r="E295" s="6" t="s">
        <v>163</v>
      </c>
      <c r="F295" s="11" t="s">
        <v>95</v>
      </c>
      <c r="G295" s="11" t="s">
        <v>33</v>
      </c>
      <c r="H295" s="6">
        <v>0</v>
      </c>
      <c r="I295" s="11" t="str">
        <f t="shared" si="8"/>
        <v>103|9</v>
      </c>
      <c r="J295" s="6" t="s">
        <v>96</v>
      </c>
    </row>
    <row r="296" spans="1:10">
      <c r="A296" s="6">
        <v>1010302</v>
      </c>
      <c r="B296" s="6">
        <v>21001</v>
      </c>
      <c r="C296" s="6">
        <v>6</v>
      </c>
      <c r="D296" s="6">
        <v>5</v>
      </c>
      <c r="E296" s="6" t="s">
        <v>163</v>
      </c>
      <c r="F296" s="11" t="s">
        <v>97</v>
      </c>
      <c r="G296" s="11" t="s">
        <v>36</v>
      </c>
      <c r="H296" s="6">
        <v>0</v>
      </c>
      <c r="I296" s="11" t="str">
        <f t="shared" si="8"/>
        <v>103|9</v>
      </c>
      <c r="J296" s="6" t="s">
        <v>98</v>
      </c>
    </row>
    <row r="297" spans="1:10">
      <c r="A297" s="6">
        <v>1010303</v>
      </c>
      <c r="B297" s="6">
        <v>21001</v>
      </c>
      <c r="C297" s="6">
        <v>6</v>
      </c>
      <c r="D297" s="6">
        <v>6</v>
      </c>
      <c r="E297" s="6">
        <v>0</v>
      </c>
      <c r="F297" s="11" t="s">
        <v>97</v>
      </c>
      <c r="G297" s="11" t="s">
        <v>38</v>
      </c>
      <c r="H297" s="6">
        <v>120017</v>
      </c>
      <c r="I297" s="11" t="s">
        <v>165</v>
      </c>
      <c r="J297" s="6" t="s">
        <v>40</v>
      </c>
    </row>
    <row r="298" spans="1:10">
      <c r="A298" s="6">
        <v>1010304</v>
      </c>
      <c r="B298" s="6">
        <v>22001</v>
      </c>
      <c r="C298" s="6">
        <v>1</v>
      </c>
      <c r="D298" s="6">
        <v>0</v>
      </c>
      <c r="E298" s="6" t="s">
        <v>166</v>
      </c>
      <c r="F298" s="11" t="s">
        <v>22</v>
      </c>
      <c r="G298" s="11">
        <v>0</v>
      </c>
      <c r="H298" s="6">
        <v>0</v>
      </c>
      <c r="I298" s="11">
        <v>0</v>
      </c>
      <c r="J298" s="6">
        <v>0</v>
      </c>
    </row>
    <row r="299" spans="1:10">
      <c r="A299" s="6">
        <v>1010305</v>
      </c>
      <c r="B299" s="6">
        <v>22001</v>
      </c>
      <c r="C299" s="6">
        <v>1</v>
      </c>
      <c r="D299" s="6">
        <v>1</v>
      </c>
      <c r="E299" s="6" t="s">
        <v>166</v>
      </c>
      <c r="F299" s="11" t="s">
        <v>23</v>
      </c>
      <c r="G299" s="11" t="s">
        <v>24</v>
      </c>
      <c r="H299" s="6">
        <v>0</v>
      </c>
      <c r="I299" s="11">
        <v>0</v>
      </c>
      <c r="J299" s="6" t="s">
        <v>25</v>
      </c>
    </row>
    <row r="300" spans="1:10">
      <c r="A300" s="6">
        <v>1010306</v>
      </c>
      <c r="B300" s="6">
        <v>22001</v>
      </c>
      <c r="C300" s="6">
        <v>1</v>
      </c>
      <c r="D300" s="6">
        <v>2</v>
      </c>
      <c r="E300" s="6" t="s">
        <v>166</v>
      </c>
      <c r="F300" s="11" t="s">
        <v>26</v>
      </c>
      <c r="G300" s="11" t="s">
        <v>27</v>
      </c>
      <c r="H300" s="6">
        <v>0</v>
      </c>
      <c r="I300" s="11">
        <v>0</v>
      </c>
      <c r="J300" s="6" t="s">
        <v>28</v>
      </c>
    </row>
    <row r="301" spans="1:10">
      <c r="A301" s="6">
        <v>1010307</v>
      </c>
      <c r="B301" s="6">
        <v>22001</v>
      </c>
      <c r="C301" s="6">
        <v>1</v>
      </c>
      <c r="D301" s="6">
        <v>3</v>
      </c>
      <c r="E301" s="6" t="s">
        <v>166</v>
      </c>
      <c r="F301" s="11" t="s">
        <v>29</v>
      </c>
      <c r="G301" s="11" t="s">
        <v>30</v>
      </c>
      <c r="H301" s="6">
        <v>0</v>
      </c>
      <c r="I301" s="11">
        <v>0</v>
      </c>
      <c r="J301" s="6" t="s">
        <v>31</v>
      </c>
    </row>
    <row r="302" spans="1:10">
      <c r="A302" s="6">
        <v>1010308</v>
      </c>
      <c r="B302" s="6">
        <v>22001</v>
      </c>
      <c r="C302" s="6">
        <v>1</v>
      </c>
      <c r="D302" s="6">
        <v>4</v>
      </c>
      <c r="E302" s="6" t="s">
        <v>166</v>
      </c>
      <c r="F302" s="11" t="s">
        <v>32</v>
      </c>
      <c r="G302" s="11" t="s">
        <v>33</v>
      </c>
      <c r="H302" s="6">
        <v>0</v>
      </c>
      <c r="I302" s="11">
        <v>0</v>
      </c>
      <c r="J302" s="6" t="s">
        <v>34</v>
      </c>
    </row>
    <row r="303" spans="1:10">
      <c r="A303" s="6">
        <v>1010309</v>
      </c>
      <c r="B303" s="6">
        <v>22001</v>
      </c>
      <c r="C303" s="6">
        <v>1</v>
      </c>
      <c r="D303" s="6">
        <v>5</v>
      </c>
      <c r="E303" s="6" t="s">
        <v>166</v>
      </c>
      <c r="F303" s="11" t="s">
        <v>35</v>
      </c>
      <c r="G303" s="11" t="s">
        <v>36</v>
      </c>
      <c r="H303" s="6">
        <v>0</v>
      </c>
      <c r="I303" s="11">
        <v>0</v>
      </c>
      <c r="J303" s="6" t="s">
        <v>37</v>
      </c>
    </row>
    <row r="304" spans="1:10">
      <c r="A304" s="6">
        <v>1010310</v>
      </c>
      <c r="B304" s="6">
        <v>22001</v>
      </c>
      <c r="C304" s="6">
        <v>1</v>
      </c>
      <c r="D304" s="6">
        <v>6</v>
      </c>
      <c r="E304" s="6" t="s">
        <v>166</v>
      </c>
      <c r="F304" s="11" t="s">
        <v>35</v>
      </c>
      <c r="G304" s="11" t="s">
        <v>38</v>
      </c>
      <c r="H304" s="6">
        <v>120022</v>
      </c>
      <c r="I304" s="11" t="s">
        <v>167</v>
      </c>
      <c r="J304" s="6" t="s">
        <v>40</v>
      </c>
    </row>
    <row r="305" spans="1:10">
      <c r="A305" s="6">
        <v>1010311</v>
      </c>
      <c r="B305" s="6">
        <v>22001</v>
      </c>
      <c r="C305" s="6">
        <v>2</v>
      </c>
      <c r="D305" s="6">
        <v>0</v>
      </c>
      <c r="E305" s="6" t="s">
        <v>168</v>
      </c>
      <c r="F305" s="11" t="s">
        <v>35</v>
      </c>
      <c r="G305" s="11">
        <v>0</v>
      </c>
      <c r="H305" s="6">
        <v>0</v>
      </c>
      <c r="I305" s="11" t="str">
        <f t="shared" ref="I305:I310" si="9">I304</f>
        <v>113|5</v>
      </c>
      <c r="J305" s="6">
        <v>0</v>
      </c>
    </row>
    <row r="306" spans="1:10">
      <c r="A306" s="6">
        <v>1010312</v>
      </c>
      <c r="B306" s="6">
        <v>22001</v>
      </c>
      <c r="C306" s="6">
        <v>2</v>
      </c>
      <c r="D306" s="6">
        <v>1</v>
      </c>
      <c r="E306" s="6" t="s">
        <v>168</v>
      </c>
      <c r="F306" s="11" t="s">
        <v>42</v>
      </c>
      <c r="G306" s="11" t="s">
        <v>24</v>
      </c>
      <c r="H306" s="6">
        <v>0</v>
      </c>
      <c r="I306" s="11" t="str">
        <f t="shared" si="9"/>
        <v>113|5</v>
      </c>
      <c r="J306" s="6" t="s">
        <v>43</v>
      </c>
    </row>
    <row r="307" spans="1:10">
      <c r="A307" s="6">
        <v>1010313</v>
      </c>
      <c r="B307" s="6">
        <v>22001</v>
      </c>
      <c r="C307" s="6">
        <v>2</v>
      </c>
      <c r="D307" s="6">
        <v>2</v>
      </c>
      <c r="E307" s="6" t="s">
        <v>168</v>
      </c>
      <c r="F307" s="11" t="s">
        <v>44</v>
      </c>
      <c r="G307" s="11" t="s">
        <v>27</v>
      </c>
      <c r="H307" s="6">
        <v>0</v>
      </c>
      <c r="I307" s="11" t="str">
        <f t="shared" si="9"/>
        <v>113|5</v>
      </c>
      <c r="J307" s="6" t="s">
        <v>45</v>
      </c>
    </row>
    <row r="308" spans="1:10">
      <c r="A308" s="6">
        <v>1010314</v>
      </c>
      <c r="B308" s="6">
        <v>22001</v>
      </c>
      <c r="C308" s="6">
        <v>2</v>
      </c>
      <c r="D308" s="6">
        <v>3</v>
      </c>
      <c r="E308" s="6" t="s">
        <v>168</v>
      </c>
      <c r="F308" s="11" t="s">
        <v>46</v>
      </c>
      <c r="G308" s="11" t="s">
        <v>30</v>
      </c>
      <c r="H308" s="6">
        <v>0</v>
      </c>
      <c r="I308" s="11" t="str">
        <f t="shared" si="9"/>
        <v>113|5</v>
      </c>
      <c r="J308" s="6" t="s">
        <v>47</v>
      </c>
    </row>
    <row r="309" spans="1:10">
      <c r="A309" s="6">
        <v>1010315</v>
      </c>
      <c r="B309" s="6">
        <v>22001</v>
      </c>
      <c r="C309" s="6">
        <v>2</v>
      </c>
      <c r="D309" s="6">
        <v>4</v>
      </c>
      <c r="E309" s="6" t="s">
        <v>168</v>
      </c>
      <c r="F309" s="11" t="s">
        <v>48</v>
      </c>
      <c r="G309" s="11" t="s">
        <v>33</v>
      </c>
      <c r="H309" s="6">
        <v>0</v>
      </c>
      <c r="I309" s="11" t="str">
        <f t="shared" si="9"/>
        <v>113|5</v>
      </c>
      <c r="J309" s="6" t="s">
        <v>49</v>
      </c>
    </row>
    <row r="310" spans="1:10">
      <c r="A310" s="6">
        <v>1010316</v>
      </c>
      <c r="B310" s="6">
        <v>22001</v>
      </c>
      <c r="C310" s="6">
        <v>2</v>
      </c>
      <c r="D310" s="6">
        <v>5</v>
      </c>
      <c r="E310" s="6" t="s">
        <v>168</v>
      </c>
      <c r="F310" s="11" t="s">
        <v>50</v>
      </c>
      <c r="G310" s="11" t="s">
        <v>36</v>
      </c>
      <c r="H310" s="6">
        <v>0</v>
      </c>
      <c r="I310" s="11" t="str">
        <f t="shared" si="9"/>
        <v>113|5</v>
      </c>
      <c r="J310" s="6" t="s">
        <v>51</v>
      </c>
    </row>
    <row r="311" spans="1:10">
      <c r="A311" s="6">
        <v>1010317</v>
      </c>
      <c r="B311" s="6">
        <v>22001</v>
      </c>
      <c r="C311" s="6">
        <v>2</v>
      </c>
      <c r="D311" s="6">
        <v>6</v>
      </c>
      <c r="E311" s="6" t="s">
        <v>168</v>
      </c>
      <c r="F311" s="11" t="s">
        <v>50</v>
      </c>
      <c r="G311" s="11" t="s">
        <v>38</v>
      </c>
      <c r="H311" s="6">
        <v>120023</v>
      </c>
      <c r="I311" s="11" t="s">
        <v>169</v>
      </c>
      <c r="J311" s="6" t="s">
        <v>40</v>
      </c>
    </row>
    <row r="312" spans="1:10">
      <c r="A312" s="6">
        <v>1010318</v>
      </c>
      <c r="B312" s="6">
        <v>22001</v>
      </c>
      <c r="C312" s="6">
        <v>3</v>
      </c>
      <c r="D312" s="6">
        <v>0</v>
      </c>
      <c r="E312" s="6" t="s">
        <v>170</v>
      </c>
      <c r="F312" s="11" t="s">
        <v>50</v>
      </c>
      <c r="G312" s="11">
        <v>0</v>
      </c>
      <c r="H312" s="6">
        <v>0</v>
      </c>
      <c r="I312" s="11" t="str">
        <f t="shared" ref="I312:I317" si="10">I311</f>
        <v>113|6</v>
      </c>
      <c r="J312" s="6">
        <v>0</v>
      </c>
    </row>
    <row r="313" spans="1:10">
      <c r="A313" s="6">
        <v>1010319</v>
      </c>
      <c r="B313" s="6">
        <v>22001</v>
      </c>
      <c r="C313" s="6">
        <v>3</v>
      </c>
      <c r="D313" s="6">
        <v>1</v>
      </c>
      <c r="E313" s="6" t="s">
        <v>170</v>
      </c>
      <c r="F313" s="11" t="s">
        <v>54</v>
      </c>
      <c r="G313" s="11" t="s">
        <v>24</v>
      </c>
      <c r="H313" s="6">
        <v>0</v>
      </c>
      <c r="I313" s="11" t="str">
        <f t="shared" si="10"/>
        <v>113|6</v>
      </c>
      <c r="J313" s="6" t="s">
        <v>55</v>
      </c>
    </row>
    <row r="314" spans="1:10">
      <c r="A314" s="6">
        <v>1010320</v>
      </c>
      <c r="B314" s="6">
        <v>22001</v>
      </c>
      <c r="C314" s="6">
        <v>3</v>
      </c>
      <c r="D314" s="6">
        <v>2</v>
      </c>
      <c r="E314" s="6" t="s">
        <v>170</v>
      </c>
      <c r="F314" s="11" t="s">
        <v>56</v>
      </c>
      <c r="G314" s="11" t="s">
        <v>27</v>
      </c>
      <c r="H314" s="6">
        <v>0</v>
      </c>
      <c r="I314" s="11" t="str">
        <f t="shared" si="10"/>
        <v>113|6</v>
      </c>
      <c r="J314" s="6" t="s">
        <v>57</v>
      </c>
    </row>
    <row r="315" spans="1:10">
      <c r="A315" s="6">
        <v>1010321</v>
      </c>
      <c r="B315" s="6">
        <v>22001</v>
      </c>
      <c r="C315" s="6">
        <v>3</v>
      </c>
      <c r="D315" s="6">
        <v>3</v>
      </c>
      <c r="E315" s="6" t="s">
        <v>170</v>
      </c>
      <c r="F315" s="11" t="s">
        <v>58</v>
      </c>
      <c r="G315" s="11" t="s">
        <v>30</v>
      </c>
      <c r="H315" s="6">
        <v>0</v>
      </c>
      <c r="I315" s="11" t="str">
        <f t="shared" si="10"/>
        <v>113|6</v>
      </c>
      <c r="J315" s="6" t="s">
        <v>59</v>
      </c>
    </row>
    <row r="316" spans="1:10">
      <c r="A316" s="6">
        <v>1010322</v>
      </c>
      <c r="B316" s="6">
        <v>22001</v>
      </c>
      <c r="C316" s="6">
        <v>3</v>
      </c>
      <c r="D316" s="6">
        <v>4</v>
      </c>
      <c r="E316" s="6" t="s">
        <v>170</v>
      </c>
      <c r="F316" s="11" t="s">
        <v>60</v>
      </c>
      <c r="G316" s="11" t="s">
        <v>33</v>
      </c>
      <c r="H316" s="6">
        <v>0</v>
      </c>
      <c r="I316" s="11" t="str">
        <f t="shared" si="10"/>
        <v>113|6</v>
      </c>
      <c r="J316" s="6" t="s">
        <v>61</v>
      </c>
    </row>
    <row r="317" spans="1:10">
      <c r="A317" s="6">
        <v>1010323</v>
      </c>
      <c r="B317" s="6">
        <v>22001</v>
      </c>
      <c r="C317" s="6">
        <v>3</v>
      </c>
      <c r="D317" s="6">
        <v>5</v>
      </c>
      <c r="E317" s="6" t="s">
        <v>170</v>
      </c>
      <c r="F317" s="11" t="s">
        <v>62</v>
      </c>
      <c r="G317" s="11" t="s">
        <v>36</v>
      </c>
      <c r="H317" s="6">
        <v>0</v>
      </c>
      <c r="I317" s="11" t="str">
        <f t="shared" si="10"/>
        <v>113|6</v>
      </c>
      <c r="J317" s="6" t="s">
        <v>63</v>
      </c>
    </row>
    <row r="318" spans="1:10">
      <c r="A318" s="6">
        <v>1010324</v>
      </c>
      <c r="B318" s="6">
        <v>22001</v>
      </c>
      <c r="C318" s="6">
        <v>3</v>
      </c>
      <c r="D318" s="6">
        <v>6</v>
      </c>
      <c r="E318" s="6" t="s">
        <v>170</v>
      </c>
      <c r="F318" s="11" t="s">
        <v>62</v>
      </c>
      <c r="G318" s="11" t="s">
        <v>38</v>
      </c>
      <c r="H318" s="6">
        <v>120024</v>
      </c>
      <c r="I318" s="11" t="s">
        <v>171</v>
      </c>
      <c r="J318" s="6" t="s">
        <v>40</v>
      </c>
    </row>
    <row r="319" spans="1:10">
      <c r="A319" s="6">
        <v>1010325</v>
      </c>
      <c r="B319" s="6">
        <v>22001</v>
      </c>
      <c r="C319" s="6">
        <v>4</v>
      </c>
      <c r="D319" s="6">
        <v>0</v>
      </c>
      <c r="E319" s="6" t="s">
        <v>172</v>
      </c>
      <c r="F319" s="11" t="s">
        <v>62</v>
      </c>
      <c r="G319" s="11">
        <v>0</v>
      </c>
      <c r="H319" s="6">
        <v>0</v>
      </c>
      <c r="I319" s="11" t="str">
        <f t="shared" ref="I319:I324" si="11">I318</f>
        <v>113|7</v>
      </c>
      <c r="J319" s="6">
        <v>0</v>
      </c>
    </row>
    <row r="320" spans="1:10">
      <c r="A320" s="6">
        <v>1010326</v>
      </c>
      <c r="B320" s="6">
        <v>22001</v>
      </c>
      <c r="C320" s="6">
        <v>4</v>
      </c>
      <c r="D320" s="6">
        <v>1</v>
      </c>
      <c r="E320" s="6" t="s">
        <v>172</v>
      </c>
      <c r="F320" s="11" t="s">
        <v>66</v>
      </c>
      <c r="G320" s="11" t="s">
        <v>24</v>
      </c>
      <c r="H320" s="6">
        <v>0</v>
      </c>
      <c r="I320" s="11" t="str">
        <f t="shared" si="11"/>
        <v>113|7</v>
      </c>
      <c r="J320" s="6" t="s">
        <v>67</v>
      </c>
    </row>
    <row r="321" spans="1:10">
      <c r="A321" s="6">
        <v>1010327</v>
      </c>
      <c r="B321" s="6">
        <v>22001</v>
      </c>
      <c r="C321" s="6">
        <v>4</v>
      </c>
      <c r="D321" s="6">
        <v>2</v>
      </c>
      <c r="E321" s="6" t="s">
        <v>172</v>
      </c>
      <c r="F321" s="11" t="s">
        <v>68</v>
      </c>
      <c r="G321" s="11" t="s">
        <v>27</v>
      </c>
      <c r="H321" s="6">
        <v>0</v>
      </c>
      <c r="I321" s="11" t="str">
        <f t="shared" si="11"/>
        <v>113|7</v>
      </c>
      <c r="J321" s="6" t="s">
        <v>69</v>
      </c>
    </row>
    <row r="322" spans="1:10">
      <c r="A322" s="6">
        <v>1010328</v>
      </c>
      <c r="B322" s="6">
        <v>22001</v>
      </c>
      <c r="C322" s="6">
        <v>4</v>
      </c>
      <c r="D322" s="6">
        <v>3</v>
      </c>
      <c r="E322" s="6" t="s">
        <v>172</v>
      </c>
      <c r="F322" s="11" t="s">
        <v>70</v>
      </c>
      <c r="G322" s="11" t="s">
        <v>30</v>
      </c>
      <c r="H322" s="6">
        <v>0</v>
      </c>
      <c r="I322" s="11" t="str">
        <f t="shared" si="11"/>
        <v>113|7</v>
      </c>
      <c r="J322" s="6" t="s">
        <v>71</v>
      </c>
    </row>
    <row r="323" spans="1:10">
      <c r="A323" s="6">
        <v>1010329</v>
      </c>
      <c r="B323" s="6">
        <v>22001</v>
      </c>
      <c r="C323" s="6">
        <v>4</v>
      </c>
      <c r="D323" s="6">
        <v>4</v>
      </c>
      <c r="E323" s="6" t="s">
        <v>172</v>
      </c>
      <c r="F323" s="11" t="s">
        <v>72</v>
      </c>
      <c r="G323" s="11" t="s">
        <v>33</v>
      </c>
      <c r="H323" s="6">
        <v>0</v>
      </c>
      <c r="I323" s="11" t="str">
        <f t="shared" si="11"/>
        <v>113|7</v>
      </c>
      <c r="J323" s="6" t="s">
        <v>73</v>
      </c>
    </row>
    <row r="324" spans="1:10">
      <c r="A324" s="6">
        <v>1010330</v>
      </c>
      <c r="B324" s="6">
        <v>22001</v>
      </c>
      <c r="C324" s="6">
        <v>4</v>
      </c>
      <c r="D324" s="6">
        <v>5</v>
      </c>
      <c r="E324" s="6" t="s">
        <v>172</v>
      </c>
      <c r="F324" s="11" t="s">
        <v>74</v>
      </c>
      <c r="G324" s="11" t="s">
        <v>36</v>
      </c>
      <c r="H324" s="6">
        <v>0</v>
      </c>
      <c r="I324" s="11" t="str">
        <f t="shared" si="11"/>
        <v>113|7</v>
      </c>
      <c r="J324" s="6" t="s">
        <v>75</v>
      </c>
    </row>
    <row r="325" spans="1:10">
      <c r="A325" s="6">
        <v>1010331</v>
      </c>
      <c r="B325" s="6">
        <v>22001</v>
      </c>
      <c r="C325" s="6">
        <v>4</v>
      </c>
      <c r="D325" s="6">
        <v>6</v>
      </c>
      <c r="E325" s="6" t="s">
        <v>172</v>
      </c>
      <c r="F325" s="11" t="s">
        <v>74</v>
      </c>
      <c r="G325" s="11" t="s">
        <v>38</v>
      </c>
      <c r="H325" s="6">
        <v>120025</v>
      </c>
      <c r="I325" s="11" t="s">
        <v>173</v>
      </c>
      <c r="J325" s="6" t="s">
        <v>40</v>
      </c>
    </row>
    <row r="326" spans="1:10">
      <c r="A326" s="6">
        <v>1010332</v>
      </c>
      <c r="B326" s="6">
        <v>22001</v>
      </c>
      <c r="C326" s="6">
        <v>5</v>
      </c>
      <c r="D326" s="6">
        <v>0</v>
      </c>
      <c r="E326" s="6" t="s">
        <v>174</v>
      </c>
      <c r="F326" s="11" t="s">
        <v>74</v>
      </c>
      <c r="G326" s="11">
        <v>0</v>
      </c>
      <c r="H326" s="6">
        <v>0</v>
      </c>
      <c r="I326" s="11" t="str">
        <f t="shared" ref="I326:I331" si="12">I325</f>
        <v>113|8</v>
      </c>
      <c r="J326" s="6">
        <v>0</v>
      </c>
    </row>
    <row r="327" spans="1:10">
      <c r="A327" s="6">
        <v>1010333</v>
      </c>
      <c r="B327" s="6">
        <v>22001</v>
      </c>
      <c r="C327" s="6">
        <v>5</v>
      </c>
      <c r="D327" s="6">
        <v>1</v>
      </c>
      <c r="E327" s="6" t="s">
        <v>174</v>
      </c>
      <c r="F327" s="11" t="s">
        <v>78</v>
      </c>
      <c r="G327" s="11" t="s">
        <v>24</v>
      </c>
      <c r="H327" s="6">
        <v>0</v>
      </c>
      <c r="I327" s="11" t="str">
        <f t="shared" si="12"/>
        <v>113|8</v>
      </c>
      <c r="J327" s="6" t="s">
        <v>79</v>
      </c>
    </row>
    <row r="328" spans="1:10">
      <c r="A328" s="6">
        <v>1010334</v>
      </c>
      <c r="B328" s="6">
        <v>22001</v>
      </c>
      <c r="C328" s="6">
        <v>5</v>
      </c>
      <c r="D328" s="6">
        <v>2</v>
      </c>
      <c r="E328" s="6" t="s">
        <v>174</v>
      </c>
      <c r="F328" s="11" t="s">
        <v>80</v>
      </c>
      <c r="G328" s="11" t="s">
        <v>27</v>
      </c>
      <c r="H328" s="6">
        <v>0</v>
      </c>
      <c r="I328" s="11" t="str">
        <f t="shared" si="12"/>
        <v>113|8</v>
      </c>
      <c r="J328" s="6" t="s">
        <v>81</v>
      </c>
    </row>
    <row r="329" spans="1:10">
      <c r="A329" s="6">
        <v>1010335</v>
      </c>
      <c r="B329" s="6">
        <v>22001</v>
      </c>
      <c r="C329" s="6">
        <v>5</v>
      </c>
      <c r="D329" s="6">
        <v>3</v>
      </c>
      <c r="E329" s="6" t="s">
        <v>174</v>
      </c>
      <c r="F329" s="11" t="s">
        <v>82</v>
      </c>
      <c r="G329" s="11" t="s">
        <v>30</v>
      </c>
      <c r="H329" s="6">
        <v>0</v>
      </c>
      <c r="I329" s="11" t="str">
        <f t="shared" si="12"/>
        <v>113|8</v>
      </c>
      <c r="J329" s="6" t="s">
        <v>83</v>
      </c>
    </row>
    <row r="330" spans="1:10">
      <c r="A330" s="6">
        <v>1010336</v>
      </c>
      <c r="B330" s="6">
        <v>22001</v>
      </c>
      <c r="C330" s="6">
        <v>5</v>
      </c>
      <c r="D330" s="6">
        <v>4</v>
      </c>
      <c r="E330" s="6" t="s">
        <v>174</v>
      </c>
      <c r="F330" s="11" t="s">
        <v>84</v>
      </c>
      <c r="G330" s="11" t="s">
        <v>33</v>
      </c>
      <c r="H330" s="6">
        <v>0</v>
      </c>
      <c r="I330" s="11" t="str">
        <f t="shared" si="12"/>
        <v>113|8</v>
      </c>
      <c r="J330" s="6" t="s">
        <v>85</v>
      </c>
    </row>
    <row r="331" spans="1:10">
      <c r="A331" s="6">
        <v>1010337</v>
      </c>
      <c r="B331" s="6">
        <v>22001</v>
      </c>
      <c r="C331" s="6">
        <v>5</v>
      </c>
      <c r="D331" s="6">
        <v>5</v>
      </c>
      <c r="E331" s="6" t="s">
        <v>174</v>
      </c>
      <c r="F331" s="11" t="s">
        <v>86</v>
      </c>
      <c r="G331" s="11" t="s">
        <v>36</v>
      </c>
      <c r="H331" s="6">
        <v>0</v>
      </c>
      <c r="I331" s="11" t="str">
        <f t="shared" si="12"/>
        <v>113|8</v>
      </c>
      <c r="J331" s="6" t="s">
        <v>87</v>
      </c>
    </row>
    <row r="332" spans="1:10">
      <c r="A332" s="6">
        <v>1010338</v>
      </c>
      <c r="B332" s="6">
        <v>22001</v>
      </c>
      <c r="C332" s="6">
        <v>5</v>
      </c>
      <c r="D332" s="6">
        <v>6</v>
      </c>
      <c r="E332" s="6" t="s">
        <v>174</v>
      </c>
      <c r="F332" s="11" t="s">
        <v>86</v>
      </c>
      <c r="G332" s="11" t="s">
        <v>38</v>
      </c>
      <c r="H332" s="6">
        <v>120026</v>
      </c>
      <c r="I332" s="11" t="s">
        <v>175</v>
      </c>
      <c r="J332" s="6" t="s">
        <v>40</v>
      </c>
    </row>
    <row r="333" spans="1:10">
      <c r="A333" s="6">
        <v>1010339</v>
      </c>
      <c r="B333" s="6">
        <v>22001</v>
      </c>
      <c r="C333" s="6">
        <v>6</v>
      </c>
      <c r="D333" s="6">
        <v>0</v>
      </c>
      <c r="E333" s="6" t="s">
        <v>174</v>
      </c>
      <c r="F333" s="11" t="s">
        <v>86</v>
      </c>
      <c r="G333" s="11">
        <v>0</v>
      </c>
      <c r="H333" s="6">
        <v>0</v>
      </c>
      <c r="I333" s="11" t="str">
        <f t="shared" ref="I333:I338" si="13">I332</f>
        <v>113|9</v>
      </c>
      <c r="J333" s="6">
        <v>0</v>
      </c>
    </row>
    <row r="334" spans="1:10">
      <c r="A334" s="6">
        <v>1010340</v>
      </c>
      <c r="B334" s="6">
        <v>22001</v>
      </c>
      <c r="C334" s="6">
        <v>6</v>
      </c>
      <c r="D334" s="6">
        <v>1</v>
      </c>
      <c r="E334" s="6" t="s">
        <v>174</v>
      </c>
      <c r="F334" s="11" t="s">
        <v>89</v>
      </c>
      <c r="G334" s="11" t="s">
        <v>24</v>
      </c>
      <c r="H334" s="6">
        <v>0</v>
      </c>
      <c r="I334" s="11" t="str">
        <f t="shared" si="13"/>
        <v>113|9</v>
      </c>
      <c r="J334" s="6" t="s">
        <v>90</v>
      </c>
    </row>
    <row r="335" spans="1:10">
      <c r="A335" s="6">
        <v>1010341</v>
      </c>
      <c r="B335" s="6">
        <v>22001</v>
      </c>
      <c r="C335" s="6">
        <v>6</v>
      </c>
      <c r="D335" s="6">
        <v>2</v>
      </c>
      <c r="E335" s="6" t="s">
        <v>174</v>
      </c>
      <c r="F335" s="11" t="s">
        <v>91</v>
      </c>
      <c r="G335" s="11" t="s">
        <v>27</v>
      </c>
      <c r="H335" s="6">
        <v>0</v>
      </c>
      <c r="I335" s="11" t="str">
        <f t="shared" si="13"/>
        <v>113|9</v>
      </c>
      <c r="J335" s="6" t="s">
        <v>92</v>
      </c>
    </row>
    <row r="336" spans="1:10">
      <c r="A336" s="6">
        <v>1010342</v>
      </c>
      <c r="B336" s="6">
        <v>22001</v>
      </c>
      <c r="C336" s="6">
        <v>6</v>
      </c>
      <c r="D336" s="6">
        <v>3</v>
      </c>
      <c r="E336" s="6" t="s">
        <v>174</v>
      </c>
      <c r="F336" s="11" t="s">
        <v>93</v>
      </c>
      <c r="G336" s="11" t="s">
        <v>30</v>
      </c>
      <c r="H336" s="6">
        <v>0</v>
      </c>
      <c r="I336" s="11" t="str">
        <f t="shared" si="13"/>
        <v>113|9</v>
      </c>
      <c r="J336" s="6" t="s">
        <v>94</v>
      </c>
    </row>
    <row r="337" spans="1:10">
      <c r="A337" s="6">
        <v>1010343</v>
      </c>
      <c r="B337" s="6">
        <v>22001</v>
      </c>
      <c r="C337" s="6">
        <v>6</v>
      </c>
      <c r="D337" s="6">
        <v>4</v>
      </c>
      <c r="E337" s="6" t="s">
        <v>174</v>
      </c>
      <c r="F337" s="11" t="s">
        <v>95</v>
      </c>
      <c r="G337" s="11" t="s">
        <v>33</v>
      </c>
      <c r="H337" s="6">
        <v>0</v>
      </c>
      <c r="I337" s="11" t="str">
        <f t="shared" si="13"/>
        <v>113|9</v>
      </c>
      <c r="J337" s="6" t="s">
        <v>96</v>
      </c>
    </row>
    <row r="338" spans="1:10">
      <c r="A338" s="6">
        <v>1010344</v>
      </c>
      <c r="B338" s="6">
        <v>22001</v>
      </c>
      <c r="C338" s="6">
        <v>6</v>
      </c>
      <c r="D338" s="6">
        <v>5</v>
      </c>
      <c r="E338" s="6" t="s">
        <v>174</v>
      </c>
      <c r="F338" s="11" t="s">
        <v>97</v>
      </c>
      <c r="G338" s="11" t="s">
        <v>36</v>
      </c>
      <c r="H338" s="6">
        <v>0</v>
      </c>
      <c r="I338" s="11" t="str">
        <f t="shared" si="13"/>
        <v>113|9</v>
      </c>
      <c r="J338" s="6" t="s">
        <v>98</v>
      </c>
    </row>
    <row r="339" spans="1:10">
      <c r="A339" s="6">
        <v>1010345</v>
      </c>
      <c r="B339" s="6">
        <v>22001</v>
      </c>
      <c r="C339" s="6">
        <v>6</v>
      </c>
      <c r="D339" s="6">
        <v>6</v>
      </c>
      <c r="E339" s="6">
        <v>0</v>
      </c>
      <c r="F339" s="11" t="s">
        <v>97</v>
      </c>
      <c r="G339" s="11" t="s">
        <v>38</v>
      </c>
      <c r="H339" s="6">
        <v>120027</v>
      </c>
      <c r="I339" s="11" t="s">
        <v>176</v>
      </c>
      <c r="J339" s="6" t="s">
        <v>40</v>
      </c>
    </row>
    <row r="340" spans="1:10">
      <c r="A340" s="6">
        <v>1010346</v>
      </c>
      <c r="B340" s="6">
        <v>23001</v>
      </c>
      <c r="C340" s="6">
        <v>1</v>
      </c>
      <c r="D340" s="6">
        <v>0</v>
      </c>
      <c r="E340" s="6" t="s">
        <v>177</v>
      </c>
      <c r="F340" s="11" t="s">
        <v>22</v>
      </c>
      <c r="G340" s="11">
        <v>0</v>
      </c>
      <c r="H340" s="6">
        <v>0</v>
      </c>
      <c r="I340" s="11">
        <v>0</v>
      </c>
      <c r="J340" s="6">
        <v>0</v>
      </c>
    </row>
    <row r="341" spans="1:10">
      <c r="A341" s="6">
        <v>1010347</v>
      </c>
      <c r="B341" s="6">
        <v>23001</v>
      </c>
      <c r="C341" s="6">
        <v>1</v>
      </c>
      <c r="D341" s="6">
        <v>1</v>
      </c>
      <c r="E341" s="6" t="s">
        <v>177</v>
      </c>
      <c r="F341" s="11" t="s">
        <v>23</v>
      </c>
      <c r="G341" s="11" t="s">
        <v>24</v>
      </c>
      <c r="H341" s="6">
        <v>0</v>
      </c>
      <c r="I341" s="11">
        <v>0</v>
      </c>
      <c r="J341" s="6" t="s">
        <v>25</v>
      </c>
    </row>
    <row r="342" spans="1:10">
      <c r="A342" s="6">
        <v>1010348</v>
      </c>
      <c r="B342" s="6">
        <v>23001</v>
      </c>
      <c r="C342" s="6">
        <v>1</v>
      </c>
      <c r="D342" s="6">
        <v>2</v>
      </c>
      <c r="E342" s="6" t="s">
        <v>177</v>
      </c>
      <c r="F342" s="11" t="s">
        <v>26</v>
      </c>
      <c r="G342" s="11" t="s">
        <v>27</v>
      </c>
      <c r="H342" s="6">
        <v>0</v>
      </c>
      <c r="I342" s="11">
        <v>0</v>
      </c>
      <c r="J342" s="6" t="s">
        <v>28</v>
      </c>
    </row>
    <row r="343" spans="1:10">
      <c r="A343" s="6">
        <v>1010349</v>
      </c>
      <c r="B343" s="6">
        <v>23001</v>
      </c>
      <c r="C343" s="6">
        <v>1</v>
      </c>
      <c r="D343" s="6">
        <v>3</v>
      </c>
      <c r="E343" s="6" t="s">
        <v>177</v>
      </c>
      <c r="F343" s="11" t="s">
        <v>29</v>
      </c>
      <c r="G343" s="11" t="s">
        <v>30</v>
      </c>
      <c r="H343" s="6">
        <v>0</v>
      </c>
      <c r="I343" s="11">
        <v>0</v>
      </c>
      <c r="J343" s="6" t="s">
        <v>31</v>
      </c>
    </row>
    <row r="344" spans="1:10">
      <c r="A344" s="6">
        <v>1010350</v>
      </c>
      <c r="B344" s="6">
        <v>23001</v>
      </c>
      <c r="C344" s="6">
        <v>1</v>
      </c>
      <c r="D344" s="6">
        <v>4</v>
      </c>
      <c r="E344" s="6" t="s">
        <v>177</v>
      </c>
      <c r="F344" s="11" t="s">
        <v>32</v>
      </c>
      <c r="G344" s="11" t="s">
        <v>33</v>
      </c>
      <c r="H344" s="6">
        <v>0</v>
      </c>
      <c r="I344" s="11">
        <v>0</v>
      </c>
      <c r="J344" s="6" t="s">
        <v>34</v>
      </c>
    </row>
    <row r="345" spans="1:10">
      <c r="A345" s="6">
        <v>1010351</v>
      </c>
      <c r="B345" s="6">
        <v>23001</v>
      </c>
      <c r="C345" s="6">
        <v>1</v>
      </c>
      <c r="D345" s="6">
        <v>5</v>
      </c>
      <c r="E345" s="6" t="s">
        <v>177</v>
      </c>
      <c r="F345" s="11" t="s">
        <v>35</v>
      </c>
      <c r="G345" s="11" t="s">
        <v>36</v>
      </c>
      <c r="H345" s="6">
        <v>0</v>
      </c>
      <c r="I345" s="11">
        <v>0</v>
      </c>
      <c r="J345" s="6" t="s">
        <v>37</v>
      </c>
    </row>
    <row r="346" spans="1:10">
      <c r="A346" s="6">
        <v>1010352</v>
      </c>
      <c r="B346" s="6">
        <v>23001</v>
      </c>
      <c r="C346" s="6">
        <v>1</v>
      </c>
      <c r="D346" s="6">
        <v>6</v>
      </c>
      <c r="E346" s="6" t="s">
        <v>177</v>
      </c>
      <c r="F346" s="11" t="s">
        <v>35</v>
      </c>
      <c r="G346" s="11" t="s">
        <v>38</v>
      </c>
      <c r="H346" s="6">
        <v>120032</v>
      </c>
      <c r="I346" s="11" t="s">
        <v>178</v>
      </c>
      <c r="J346" s="6" t="s">
        <v>40</v>
      </c>
    </row>
    <row r="347" spans="1:10">
      <c r="A347" s="6">
        <v>1010353</v>
      </c>
      <c r="B347" s="6">
        <v>23001</v>
      </c>
      <c r="C347" s="6">
        <v>2</v>
      </c>
      <c r="D347" s="6">
        <v>0</v>
      </c>
      <c r="E347" s="6" t="s">
        <v>179</v>
      </c>
      <c r="F347" s="11" t="s">
        <v>35</v>
      </c>
      <c r="G347" s="11">
        <v>0</v>
      </c>
      <c r="H347" s="6">
        <v>0</v>
      </c>
      <c r="I347" s="11" t="str">
        <f t="shared" ref="I347:I352" si="14">I346</f>
        <v>123|5</v>
      </c>
      <c r="J347" s="6">
        <v>0</v>
      </c>
    </row>
    <row r="348" spans="1:10">
      <c r="A348" s="6">
        <v>1010354</v>
      </c>
      <c r="B348" s="6">
        <v>23001</v>
      </c>
      <c r="C348" s="6">
        <v>2</v>
      </c>
      <c r="D348" s="6">
        <v>1</v>
      </c>
      <c r="E348" s="6" t="s">
        <v>179</v>
      </c>
      <c r="F348" s="11" t="s">
        <v>42</v>
      </c>
      <c r="G348" s="11" t="s">
        <v>24</v>
      </c>
      <c r="H348" s="6">
        <v>0</v>
      </c>
      <c r="I348" s="11" t="str">
        <f t="shared" si="14"/>
        <v>123|5</v>
      </c>
      <c r="J348" s="6" t="s">
        <v>43</v>
      </c>
    </row>
    <row r="349" spans="1:10">
      <c r="A349" s="6">
        <v>1010355</v>
      </c>
      <c r="B349" s="6">
        <v>23001</v>
      </c>
      <c r="C349" s="6">
        <v>2</v>
      </c>
      <c r="D349" s="6">
        <v>2</v>
      </c>
      <c r="E349" s="6" t="s">
        <v>179</v>
      </c>
      <c r="F349" s="11" t="s">
        <v>44</v>
      </c>
      <c r="G349" s="11" t="s">
        <v>27</v>
      </c>
      <c r="H349" s="6">
        <v>0</v>
      </c>
      <c r="I349" s="11" t="str">
        <f t="shared" si="14"/>
        <v>123|5</v>
      </c>
      <c r="J349" s="6" t="s">
        <v>45</v>
      </c>
    </row>
    <row r="350" spans="1:10">
      <c r="A350" s="6">
        <v>1010356</v>
      </c>
      <c r="B350" s="6">
        <v>23001</v>
      </c>
      <c r="C350" s="6">
        <v>2</v>
      </c>
      <c r="D350" s="6">
        <v>3</v>
      </c>
      <c r="E350" s="6" t="s">
        <v>179</v>
      </c>
      <c r="F350" s="11" t="s">
        <v>46</v>
      </c>
      <c r="G350" s="11" t="s">
        <v>30</v>
      </c>
      <c r="H350" s="6">
        <v>0</v>
      </c>
      <c r="I350" s="11" t="str">
        <f t="shared" si="14"/>
        <v>123|5</v>
      </c>
      <c r="J350" s="6" t="s">
        <v>47</v>
      </c>
    </row>
    <row r="351" spans="1:10">
      <c r="A351" s="6">
        <v>1010357</v>
      </c>
      <c r="B351" s="6">
        <v>23001</v>
      </c>
      <c r="C351" s="6">
        <v>2</v>
      </c>
      <c r="D351" s="6">
        <v>4</v>
      </c>
      <c r="E351" s="6" t="s">
        <v>179</v>
      </c>
      <c r="F351" s="11" t="s">
        <v>48</v>
      </c>
      <c r="G351" s="11" t="s">
        <v>33</v>
      </c>
      <c r="H351" s="6">
        <v>0</v>
      </c>
      <c r="I351" s="11" t="str">
        <f t="shared" si="14"/>
        <v>123|5</v>
      </c>
      <c r="J351" s="6" t="s">
        <v>49</v>
      </c>
    </row>
    <row r="352" spans="1:10">
      <c r="A352" s="6">
        <v>1010358</v>
      </c>
      <c r="B352" s="6">
        <v>23001</v>
      </c>
      <c r="C352" s="6">
        <v>2</v>
      </c>
      <c r="D352" s="6">
        <v>5</v>
      </c>
      <c r="E352" s="6" t="s">
        <v>179</v>
      </c>
      <c r="F352" s="11" t="s">
        <v>50</v>
      </c>
      <c r="G352" s="11" t="s">
        <v>36</v>
      </c>
      <c r="H352" s="6">
        <v>0</v>
      </c>
      <c r="I352" s="11" t="str">
        <f t="shared" si="14"/>
        <v>123|5</v>
      </c>
      <c r="J352" s="6" t="s">
        <v>51</v>
      </c>
    </row>
    <row r="353" spans="1:10">
      <c r="A353" s="6">
        <v>1010359</v>
      </c>
      <c r="B353" s="6">
        <v>23001</v>
      </c>
      <c r="C353" s="6">
        <v>2</v>
      </c>
      <c r="D353" s="6">
        <v>6</v>
      </c>
      <c r="E353" s="6" t="s">
        <v>179</v>
      </c>
      <c r="F353" s="11" t="s">
        <v>50</v>
      </c>
      <c r="G353" s="11" t="s">
        <v>38</v>
      </c>
      <c r="H353" s="6">
        <v>120033</v>
      </c>
      <c r="I353" s="11" t="s">
        <v>180</v>
      </c>
      <c r="J353" s="6" t="s">
        <v>40</v>
      </c>
    </row>
    <row r="354" spans="1:10">
      <c r="A354" s="6">
        <v>1010360</v>
      </c>
      <c r="B354" s="6">
        <v>23001</v>
      </c>
      <c r="C354" s="6">
        <v>3</v>
      </c>
      <c r="D354" s="6">
        <v>0</v>
      </c>
      <c r="E354" s="6" t="s">
        <v>181</v>
      </c>
      <c r="F354" s="11" t="s">
        <v>50</v>
      </c>
      <c r="G354" s="11">
        <v>0</v>
      </c>
      <c r="H354" s="6">
        <v>0</v>
      </c>
      <c r="I354" s="11" t="str">
        <f t="shared" ref="I354:I359" si="15">I353</f>
        <v>123|6</v>
      </c>
      <c r="J354" s="6">
        <v>0</v>
      </c>
    </row>
    <row r="355" spans="1:10">
      <c r="A355" s="6">
        <v>1010361</v>
      </c>
      <c r="B355" s="6">
        <v>23001</v>
      </c>
      <c r="C355" s="6">
        <v>3</v>
      </c>
      <c r="D355" s="6">
        <v>1</v>
      </c>
      <c r="E355" s="6" t="s">
        <v>181</v>
      </c>
      <c r="F355" s="11" t="s">
        <v>54</v>
      </c>
      <c r="G355" s="11" t="s">
        <v>24</v>
      </c>
      <c r="H355" s="6">
        <v>0</v>
      </c>
      <c r="I355" s="11" t="str">
        <f t="shared" si="15"/>
        <v>123|6</v>
      </c>
      <c r="J355" s="6" t="s">
        <v>55</v>
      </c>
    </row>
    <row r="356" spans="1:10">
      <c r="A356" s="6">
        <v>1010362</v>
      </c>
      <c r="B356" s="6">
        <v>23001</v>
      </c>
      <c r="C356" s="6">
        <v>3</v>
      </c>
      <c r="D356" s="6">
        <v>2</v>
      </c>
      <c r="E356" s="6" t="s">
        <v>181</v>
      </c>
      <c r="F356" s="11" t="s">
        <v>56</v>
      </c>
      <c r="G356" s="11" t="s">
        <v>27</v>
      </c>
      <c r="H356" s="6">
        <v>0</v>
      </c>
      <c r="I356" s="11" t="str">
        <f t="shared" si="15"/>
        <v>123|6</v>
      </c>
      <c r="J356" s="6" t="s">
        <v>57</v>
      </c>
    </row>
    <row r="357" spans="1:10">
      <c r="A357" s="6">
        <v>1010363</v>
      </c>
      <c r="B357" s="6">
        <v>23001</v>
      </c>
      <c r="C357" s="6">
        <v>3</v>
      </c>
      <c r="D357" s="6">
        <v>3</v>
      </c>
      <c r="E357" s="6" t="s">
        <v>181</v>
      </c>
      <c r="F357" s="11" t="s">
        <v>58</v>
      </c>
      <c r="G357" s="11" t="s">
        <v>30</v>
      </c>
      <c r="H357" s="6">
        <v>0</v>
      </c>
      <c r="I357" s="11" t="str">
        <f t="shared" si="15"/>
        <v>123|6</v>
      </c>
      <c r="J357" s="6" t="s">
        <v>59</v>
      </c>
    </row>
    <row r="358" spans="1:10">
      <c r="A358" s="6">
        <v>1010364</v>
      </c>
      <c r="B358" s="6">
        <v>23001</v>
      </c>
      <c r="C358" s="6">
        <v>3</v>
      </c>
      <c r="D358" s="6">
        <v>4</v>
      </c>
      <c r="E358" s="6" t="s">
        <v>181</v>
      </c>
      <c r="F358" s="11" t="s">
        <v>60</v>
      </c>
      <c r="G358" s="11" t="s">
        <v>33</v>
      </c>
      <c r="H358" s="6">
        <v>0</v>
      </c>
      <c r="I358" s="11" t="str">
        <f t="shared" si="15"/>
        <v>123|6</v>
      </c>
      <c r="J358" s="6" t="s">
        <v>61</v>
      </c>
    </row>
    <row r="359" spans="1:10">
      <c r="A359" s="6">
        <v>1010365</v>
      </c>
      <c r="B359" s="6">
        <v>23001</v>
      </c>
      <c r="C359" s="6">
        <v>3</v>
      </c>
      <c r="D359" s="6">
        <v>5</v>
      </c>
      <c r="E359" s="6" t="s">
        <v>181</v>
      </c>
      <c r="F359" s="11" t="s">
        <v>62</v>
      </c>
      <c r="G359" s="11" t="s">
        <v>36</v>
      </c>
      <c r="H359" s="6">
        <v>0</v>
      </c>
      <c r="I359" s="11" t="str">
        <f t="shared" si="15"/>
        <v>123|6</v>
      </c>
      <c r="J359" s="6" t="s">
        <v>63</v>
      </c>
    </row>
    <row r="360" spans="1:10">
      <c r="A360" s="6">
        <v>1010366</v>
      </c>
      <c r="B360" s="6">
        <v>23001</v>
      </c>
      <c r="C360" s="6">
        <v>3</v>
      </c>
      <c r="D360" s="6">
        <v>6</v>
      </c>
      <c r="E360" s="6" t="s">
        <v>181</v>
      </c>
      <c r="F360" s="11" t="s">
        <v>62</v>
      </c>
      <c r="G360" s="11" t="s">
        <v>38</v>
      </c>
      <c r="H360" s="6">
        <v>120034</v>
      </c>
      <c r="I360" s="11" t="s">
        <v>182</v>
      </c>
      <c r="J360" s="6" t="s">
        <v>40</v>
      </c>
    </row>
    <row r="361" spans="1:10">
      <c r="A361" s="6">
        <v>1010367</v>
      </c>
      <c r="B361" s="6">
        <v>23001</v>
      </c>
      <c r="C361" s="6">
        <v>4</v>
      </c>
      <c r="D361" s="6">
        <v>0</v>
      </c>
      <c r="E361" s="6" t="s">
        <v>183</v>
      </c>
      <c r="F361" s="11" t="s">
        <v>62</v>
      </c>
      <c r="G361" s="11">
        <v>0</v>
      </c>
      <c r="H361" s="6">
        <v>0</v>
      </c>
      <c r="I361" s="11" t="str">
        <f t="shared" ref="I361:I366" si="16">I360</f>
        <v>123|7</v>
      </c>
      <c r="J361" s="6">
        <v>0</v>
      </c>
    </row>
    <row r="362" spans="1:10">
      <c r="A362" s="6">
        <v>1010368</v>
      </c>
      <c r="B362" s="6">
        <v>23001</v>
      </c>
      <c r="C362" s="6">
        <v>4</v>
      </c>
      <c r="D362" s="6">
        <v>1</v>
      </c>
      <c r="E362" s="6" t="s">
        <v>183</v>
      </c>
      <c r="F362" s="11" t="s">
        <v>66</v>
      </c>
      <c r="G362" s="11" t="s">
        <v>24</v>
      </c>
      <c r="H362" s="6">
        <v>0</v>
      </c>
      <c r="I362" s="11" t="str">
        <f t="shared" si="16"/>
        <v>123|7</v>
      </c>
      <c r="J362" s="6" t="s">
        <v>67</v>
      </c>
    </row>
    <row r="363" spans="1:10">
      <c r="A363" s="6">
        <v>1010369</v>
      </c>
      <c r="B363" s="6">
        <v>23001</v>
      </c>
      <c r="C363" s="6">
        <v>4</v>
      </c>
      <c r="D363" s="6">
        <v>2</v>
      </c>
      <c r="E363" s="6" t="s">
        <v>183</v>
      </c>
      <c r="F363" s="11" t="s">
        <v>68</v>
      </c>
      <c r="G363" s="11" t="s">
        <v>27</v>
      </c>
      <c r="H363" s="6">
        <v>0</v>
      </c>
      <c r="I363" s="11" t="str">
        <f t="shared" si="16"/>
        <v>123|7</v>
      </c>
      <c r="J363" s="6" t="s">
        <v>69</v>
      </c>
    </row>
    <row r="364" spans="1:10">
      <c r="A364" s="6">
        <v>1010370</v>
      </c>
      <c r="B364" s="6">
        <v>23001</v>
      </c>
      <c r="C364" s="6">
        <v>4</v>
      </c>
      <c r="D364" s="6">
        <v>3</v>
      </c>
      <c r="E364" s="6" t="s">
        <v>183</v>
      </c>
      <c r="F364" s="11" t="s">
        <v>70</v>
      </c>
      <c r="G364" s="11" t="s">
        <v>30</v>
      </c>
      <c r="H364" s="6">
        <v>0</v>
      </c>
      <c r="I364" s="11" t="str">
        <f t="shared" si="16"/>
        <v>123|7</v>
      </c>
      <c r="J364" s="6" t="s">
        <v>71</v>
      </c>
    </row>
    <row r="365" spans="1:10">
      <c r="A365" s="6">
        <v>1010371</v>
      </c>
      <c r="B365" s="6">
        <v>23001</v>
      </c>
      <c r="C365" s="6">
        <v>4</v>
      </c>
      <c r="D365" s="6">
        <v>4</v>
      </c>
      <c r="E365" s="6" t="s">
        <v>183</v>
      </c>
      <c r="F365" s="11" t="s">
        <v>72</v>
      </c>
      <c r="G365" s="11" t="s">
        <v>33</v>
      </c>
      <c r="H365" s="6">
        <v>0</v>
      </c>
      <c r="I365" s="11" t="str">
        <f t="shared" si="16"/>
        <v>123|7</v>
      </c>
      <c r="J365" s="6" t="s">
        <v>73</v>
      </c>
    </row>
    <row r="366" spans="1:10">
      <c r="A366" s="6">
        <v>1010372</v>
      </c>
      <c r="B366" s="6">
        <v>23001</v>
      </c>
      <c r="C366" s="6">
        <v>4</v>
      </c>
      <c r="D366" s="6">
        <v>5</v>
      </c>
      <c r="E366" s="6" t="s">
        <v>183</v>
      </c>
      <c r="F366" s="11" t="s">
        <v>74</v>
      </c>
      <c r="G366" s="11" t="s">
        <v>36</v>
      </c>
      <c r="H366" s="6">
        <v>0</v>
      </c>
      <c r="I366" s="11" t="str">
        <f t="shared" si="16"/>
        <v>123|7</v>
      </c>
      <c r="J366" s="6" t="s">
        <v>75</v>
      </c>
    </row>
    <row r="367" spans="1:10">
      <c r="A367" s="6">
        <v>1010373</v>
      </c>
      <c r="B367" s="6">
        <v>23001</v>
      </c>
      <c r="C367" s="6">
        <v>4</v>
      </c>
      <c r="D367" s="6">
        <v>6</v>
      </c>
      <c r="E367" s="6" t="s">
        <v>183</v>
      </c>
      <c r="F367" s="11" t="s">
        <v>74</v>
      </c>
      <c r="G367" s="11" t="s">
        <v>38</v>
      </c>
      <c r="H367" s="6">
        <v>120035</v>
      </c>
      <c r="I367" s="11" t="s">
        <v>184</v>
      </c>
      <c r="J367" s="6" t="s">
        <v>40</v>
      </c>
    </row>
    <row r="368" spans="1:10">
      <c r="A368" s="6">
        <v>1010374</v>
      </c>
      <c r="B368" s="6">
        <v>23001</v>
      </c>
      <c r="C368" s="6">
        <v>5</v>
      </c>
      <c r="D368" s="6">
        <v>0</v>
      </c>
      <c r="E368" s="6" t="s">
        <v>185</v>
      </c>
      <c r="F368" s="11" t="s">
        <v>74</v>
      </c>
      <c r="G368" s="11">
        <v>0</v>
      </c>
      <c r="H368" s="6">
        <v>0</v>
      </c>
      <c r="I368" s="11" t="str">
        <f t="shared" ref="I368:I373" si="17">I367</f>
        <v>123|8</v>
      </c>
      <c r="J368" s="6">
        <v>0</v>
      </c>
    </row>
    <row r="369" spans="1:10">
      <c r="A369" s="6">
        <v>1010375</v>
      </c>
      <c r="B369" s="6">
        <v>23001</v>
      </c>
      <c r="C369" s="6">
        <v>5</v>
      </c>
      <c r="D369" s="6">
        <v>1</v>
      </c>
      <c r="E369" s="6" t="s">
        <v>185</v>
      </c>
      <c r="F369" s="11" t="s">
        <v>78</v>
      </c>
      <c r="G369" s="11" t="s">
        <v>24</v>
      </c>
      <c r="H369" s="6">
        <v>0</v>
      </c>
      <c r="I369" s="11" t="str">
        <f t="shared" si="17"/>
        <v>123|8</v>
      </c>
      <c r="J369" s="6" t="s">
        <v>79</v>
      </c>
    </row>
    <row r="370" spans="1:10">
      <c r="A370" s="6">
        <v>1010376</v>
      </c>
      <c r="B370" s="6">
        <v>23001</v>
      </c>
      <c r="C370" s="6">
        <v>5</v>
      </c>
      <c r="D370" s="6">
        <v>2</v>
      </c>
      <c r="E370" s="6" t="s">
        <v>185</v>
      </c>
      <c r="F370" s="11" t="s">
        <v>80</v>
      </c>
      <c r="G370" s="11" t="s">
        <v>27</v>
      </c>
      <c r="H370" s="6">
        <v>0</v>
      </c>
      <c r="I370" s="11" t="str">
        <f t="shared" si="17"/>
        <v>123|8</v>
      </c>
      <c r="J370" s="6" t="s">
        <v>81</v>
      </c>
    </row>
    <row r="371" spans="1:10">
      <c r="A371" s="6">
        <v>1010377</v>
      </c>
      <c r="B371" s="6">
        <v>23001</v>
      </c>
      <c r="C371" s="6">
        <v>5</v>
      </c>
      <c r="D371" s="6">
        <v>3</v>
      </c>
      <c r="E371" s="6" t="s">
        <v>185</v>
      </c>
      <c r="F371" s="11" t="s">
        <v>82</v>
      </c>
      <c r="G371" s="11" t="s">
        <v>30</v>
      </c>
      <c r="H371" s="6">
        <v>0</v>
      </c>
      <c r="I371" s="11" t="str">
        <f t="shared" si="17"/>
        <v>123|8</v>
      </c>
      <c r="J371" s="6" t="s">
        <v>83</v>
      </c>
    </row>
    <row r="372" spans="1:10">
      <c r="A372" s="6">
        <v>1010378</v>
      </c>
      <c r="B372" s="6">
        <v>23001</v>
      </c>
      <c r="C372" s="6">
        <v>5</v>
      </c>
      <c r="D372" s="6">
        <v>4</v>
      </c>
      <c r="E372" s="6" t="s">
        <v>185</v>
      </c>
      <c r="F372" s="11" t="s">
        <v>84</v>
      </c>
      <c r="G372" s="11" t="s">
        <v>33</v>
      </c>
      <c r="H372" s="6">
        <v>0</v>
      </c>
      <c r="I372" s="11" t="str">
        <f t="shared" si="17"/>
        <v>123|8</v>
      </c>
      <c r="J372" s="6" t="s">
        <v>85</v>
      </c>
    </row>
    <row r="373" spans="1:10">
      <c r="A373" s="6">
        <v>1010379</v>
      </c>
      <c r="B373" s="6">
        <v>23001</v>
      </c>
      <c r="C373" s="6">
        <v>5</v>
      </c>
      <c r="D373" s="6">
        <v>5</v>
      </c>
      <c r="E373" s="6" t="s">
        <v>185</v>
      </c>
      <c r="F373" s="11" t="s">
        <v>86</v>
      </c>
      <c r="G373" s="11" t="s">
        <v>36</v>
      </c>
      <c r="H373" s="6">
        <v>0</v>
      </c>
      <c r="I373" s="11" t="str">
        <f t="shared" si="17"/>
        <v>123|8</v>
      </c>
      <c r="J373" s="6" t="s">
        <v>87</v>
      </c>
    </row>
    <row r="374" spans="1:10">
      <c r="A374" s="6">
        <v>1010380</v>
      </c>
      <c r="B374" s="6">
        <v>23001</v>
      </c>
      <c r="C374" s="6">
        <v>5</v>
      </c>
      <c r="D374" s="6">
        <v>6</v>
      </c>
      <c r="E374" s="6" t="s">
        <v>185</v>
      </c>
      <c r="F374" s="11" t="s">
        <v>86</v>
      </c>
      <c r="G374" s="11" t="s">
        <v>38</v>
      </c>
      <c r="H374" s="6">
        <v>120036</v>
      </c>
      <c r="I374" s="11" t="s">
        <v>186</v>
      </c>
      <c r="J374" s="6" t="s">
        <v>40</v>
      </c>
    </row>
    <row r="375" spans="1:10">
      <c r="A375" s="6">
        <v>1010381</v>
      </c>
      <c r="B375" s="6">
        <v>23001</v>
      </c>
      <c r="C375" s="6">
        <v>6</v>
      </c>
      <c r="D375" s="6">
        <v>0</v>
      </c>
      <c r="E375" s="6" t="s">
        <v>185</v>
      </c>
      <c r="F375" s="11" t="s">
        <v>86</v>
      </c>
      <c r="G375" s="11">
        <v>0</v>
      </c>
      <c r="H375" s="6">
        <v>0</v>
      </c>
      <c r="I375" s="11" t="str">
        <f t="shared" ref="I375:I380" si="18">I374</f>
        <v>123|9</v>
      </c>
      <c r="J375" s="6">
        <v>0</v>
      </c>
    </row>
    <row r="376" spans="1:10">
      <c r="A376" s="6">
        <v>1010382</v>
      </c>
      <c r="B376" s="6">
        <v>23001</v>
      </c>
      <c r="C376" s="6">
        <v>6</v>
      </c>
      <c r="D376" s="6">
        <v>1</v>
      </c>
      <c r="E376" s="6" t="s">
        <v>185</v>
      </c>
      <c r="F376" s="11" t="s">
        <v>89</v>
      </c>
      <c r="G376" s="11" t="s">
        <v>24</v>
      </c>
      <c r="H376" s="6">
        <v>0</v>
      </c>
      <c r="I376" s="11" t="str">
        <f t="shared" si="18"/>
        <v>123|9</v>
      </c>
      <c r="J376" s="6" t="s">
        <v>90</v>
      </c>
    </row>
    <row r="377" spans="1:10">
      <c r="A377" s="6">
        <v>1010383</v>
      </c>
      <c r="B377" s="6">
        <v>23001</v>
      </c>
      <c r="C377" s="6">
        <v>6</v>
      </c>
      <c r="D377" s="6">
        <v>2</v>
      </c>
      <c r="E377" s="6" t="s">
        <v>185</v>
      </c>
      <c r="F377" s="11" t="s">
        <v>91</v>
      </c>
      <c r="G377" s="11" t="s">
        <v>27</v>
      </c>
      <c r="H377" s="6">
        <v>0</v>
      </c>
      <c r="I377" s="11" t="str">
        <f t="shared" si="18"/>
        <v>123|9</v>
      </c>
      <c r="J377" s="6" t="s">
        <v>92</v>
      </c>
    </row>
    <row r="378" spans="1:10">
      <c r="A378" s="6">
        <v>1010384</v>
      </c>
      <c r="B378" s="6">
        <v>23001</v>
      </c>
      <c r="C378" s="6">
        <v>6</v>
      </c>
      <c r="D378" s="6">
        <v>3</v>
      </c>
      <c r="E378" s="6" t="s">
        <v>185</v>
      </c>
      <c r="F378" s="11" t="s">
        <v>93</v>
      </c>
      <c r="G378" s="11" t="s">
        <v>30</v>
      </c>
      <c r="H378" s="6">
        <v>0</v>
      </c>
      <c r="I378" s="11" t="str">
        <f t="shared" si="18"/>
        <v>123|9</v>
      </c>
      <c r="J378" s="6" t="s">
        <v>94</v>
      </c>
    </row>
    <row r="379" spans="1:10">
      <c r="A379" s="6">
        <v>1010385</v>
      </c>
      <c r="B379" s="6">
        <v>23001</v>
      </c>
      <c r="C379" s="6">
        <v>6</v>
      </c>
      <c r="D379" s="6">
        <v>4</v>
      </c>
      <c r="E379" s="6" t="s">
        <v>185</v>
      </c>
      <c r="F379" s="11" t="s">
        <v>95</v>
      </c>
      <c r="G379" s="11" t="s">
        <v>33</v>
      </c>
      <c r="H379" s="6">
        <v>0</v>
      </c>
      <c r="I379" s="11" t="str">
        <f t="shared" si="18"/>
        <v>123|9</v>
      </c>
      <c r="J379" s="6" t="s">
        <v>96</v>
      </c>
    </row>
    <row r="380" spans="1:10">
      <c r="A380" s="6">
        <v>1010386</v>
      </c>
      <c r="B380" s="6">
        <v>23001</v>
      </c>
      <c r="C380" s="6">
        <v>6</v>
      </c>
      <c r="D380" s="6">
        <v>5</v>
      </c>
      <c r="E380" s="6" t="s">
        <v>185</v>
      </c>
      <c r="F380" s="11" t="s">
        <v>97</v>
      </c>
      <c r="G380" s="11" t="s">
        <v>36</v>
      </c>
      <c r="H380" s="6">
        <v>0</v>
      </c>
      <c r="I380" s="11" t="str">
        <f t="shared" si="18"/>
        <v>123|9</v>
      </c>
      <c r="J380" s="6" t="s">
        <v>98</v>
      </c>
    </row>
    <row r="381" spans="1:10">
      <c r="A381" s="6">
        <v>1010387</v>
      </c>
      <c r="B381" s="6">
        <v>23001</v>
      </c>
      <c r="C381" s="6">
        <v>6</v>
      </c>
      <c r="D381" s="6">
        <v>6</v>
      </c>
      <c r="E381" s="6">
        <v>0</v>
      </c>
      <c r="F381" s="11" t="s">
        <v>97</v>
      </c>
      <c r="G381" s="11" t="s">
        <v>38</v>
      </c>
      <c r="H381" s="6">
        <v>120037</v>
      </c>
      <c r="I381" s="11" t="s">
        <v>187</v>
      </c>
      <c r="J381" s="6" t="s">
        <v>40</v>
      </c>
    </row>
    <row r="382" spans="1:10">
      <c r="A382" s="6">
        <v>1010388</v>
      </c>
      <c r="B382" s="6">
        <v>24001</v>
      </c>
      <c r="C382" s="6">
        <v>1</v>
      </c>
      <c r="D382" s="6">
        <v>0</v>
      </c>
      <c r="E382" s="6" t="s">
        <v>188</v>
      </c>
      <c r="F382" s="11" t="s">
        <v>22</v>
      </c>
      <c r="G382" s="11">
        <v>0</v>
      </c>
      <c r="H382" s="6">
        <v>0</v>
      </c>
      <c r="I382" s="11">
        <v>0</v>
      </c>
      <c r="J382" s="6">
        <v>0</v>
      </c>
    </row>
    <row r="383" spans="1:10">
      <c r="A383" s="6">
        <v>1010389</v>
      </c>
      <c r="B383" s="6">
        <v>24001</v>
      </c>
      <c r="C383" s="6">
        <v>1</v>
      </c>
      <c r="D383" s="6">
        <v>1</v>
      </c>
      <c r="E383" s="6" t="s">
        <v>188</v>
      </c>
      <c r="F383" s="11" t="s">
        <v>23</v>
      </c>
      <c r="G383" s="11" t="s">
        <v>24</v>
      </c>
      <c r="H383" s="6">
        <v>0</v>
      </c>
      <c r="I383" s="11">
        <v>0</v>
      </c>
      <c r="J383" s="6" t="s">
        <v>25</v>
      </c>
    </row>
    <row r="384" spans="1:10">
      <c r="A384" s="6">
        <v>1010390</v>
      </c>
      <c r="B384" s="6">
        <v>24001</v>
      </c>
      <c r="C384" s="6">
        <v>1</v>
      </c>
      <c r="D384" s="6">
        <v>2</v>
      </c>
      <c r="E384" s="6" t="s">
        <v>188</v>
      </c>
      <c r="F384" s="11" t="s">
        <v>26</v>
      </c>
      <c r="G384" s="11" t="s">
        <v>27</v>
      </c>
      <c r="H384" s="6">
        <v>0</v>
      </c>
      <c r="I384" s="11">
        <v>0</v>
      </c>
      <c r="J384" s="6" t="s">
        <v>28</v>
      </c>
    </row>
    <row r="385" spans="1:10">
      <c r="A385" s="6">
        <v>1010391</v>
      </c>
      <c r="B385" s="6">
        <v>24001</v>
      </c>
      <c r="C385" s="6">
        <v>1</v>
      </c>
      <c r="D385" s="6">
        <v>3</v>
      </c>
      <c r="E385" s="6" t="s">
        <v>188</v>
      </c>
      <c r="F385" s="11" t="s">
        <v>29</v>
      </c>
      <c r="G385" s="11" t="s">
        <v>30</v>
      </c>
      <c r="H385" s="6">
        <v>0</v>
      </c>
      <c r="I385" s="11">
        <v>0</v>
      </c>
      <c r="J385" s="6" t="s">
        <v>31</v>
      </c>
    </row>
    <row r="386" spans="1:10">
      <c r="A386" s="6">
        <v>1010392</v>
      </c>
      <c r="B386" s="6">
        <v>24001</v>
      </c>
      <c r="C386" s="6">
        <v>1</v>
      </c>
      <c r="D386" s="6">
        <v>4</v>
      </c>
      <c r="E386" s="6" t="s">
        <v>188</v>
      </c>
      <c r="F386" s="11" t="s">
        <v>32</v>
      </c>
      <c r="G386" s="11" t="s">
        <v>33</v>
      </c>
      <c r="H386" s="6">
        <v>0</v>
      </c>
      <c r="I386" s="11">
        <v>0</v>
      </c>
      <c r="J386" s="6" t="s">
        <v>34</v>
      </c>
    </row>
    <row r="387" spans="1:10">
      <c r="A387" s="6">
        <v>1010393</v>
      </c>
      <c r="B387" s="6">
        <v>24001</v>
      </c>
      <c r="C387" s="6">
        <v>1</v>
      </c>
      <c r="D387" s="6">
        <v>5</v>
      </c>
      <c r="E387" s="6" t="s">
        <v>188</v>
      </c>
      <c r="F387" s="11" t="s">
        <v>35</v>
      </c>
      <c r="G387" s="11" t="s">
        <v>36</v>
      </c>
      <c r="H387" s="6">
        <v>0</v>
      </c>
      <c r="I387" s="11">
        <v>0</v>
      </c>
      <c r="J387" s="6" t="s">
        <v>37</v>
      </c>
    </row>
    <row r="388" spans="1:10">
      <c r="A388" s="6">
        <v>1010394</v>
      </c>
      <c r="B388" s="6">
        <v>24001</v>
      </c>
      <c r="C388" s="6">
        <v>1</v>
      </c>
      <c r="D388" s="6">
        <v>6</v>
      </c>
      <c r="E388" s="6" t="s">
        <v>188</v>
      </c>
      <c r="F388" s="11" t="s">
        <v>35</v>
      </c>
      <c r="G388" s="11" t="s">
        <v>38</v>
      </c>
      <c r="H388" s="6">
        <v>120042</v>
      </c>
      <c r="I388" s="11" t="s">
        <v>189</v>
      </c>
      <c r="J388" s="6" t="s">
        <v>40</v>
      </c>
    </row>
    <row r="389" spans="1:10">
      <c r="A389" s="6">
        <v>1010395</v>
      </c>
      <c r="B389" s="6">
        <v>24001</v>
      </c>
      <c r="C389" s="6">
        <v>2</v>
      </c>
      <c r="D389" s="6">
        <v>0</v>
      </c>
      <c r="E389" s="6" t="s">
        <v>190</v>
      </c>
      <c r="F389" s="11" t="s">
        <v>35</v>
      </c>
      <c r="G389" s="11">
        <v>0</v>
      </c>
      <c r="H389" s="6">
        <v>0</v>
      </c>
      <c r="I389" s="11" t="str">
        <f t="shared" ref="I389:I394" si="19">I388</f>
        <v>133|5</v>
      </c>
      <c r="J389" s="6">
        <v>0</v>
      </c>
    </row>
    <row r="390" spans="1:10">
      <c r="A390" s="6">
        <v>1010396</v>
      </c>
      <c r="B390" s="6">
        <v>24001</v>
      </c>
      <c r="C390" s="6">
        <v>2</v>
      </c>
      <c r="D390" s="6">
        <v>1</v>
      </c>
      <c r="E390" s="6" t="s">
        <v>190</v>
      </c>
      <c r="F390" s="11" t="s">
        <v>42</v>
      </c>
      <c r="G390" s="11" t="s">
        <v>24</v>
      </c>
      <c r="H390" s="6">
        <v>0</v>
      </c>
      <c r="I390" s="11" t="str">
        <f t="shared" si="19"/>
        <v>133|5</v>
      </c>
      <c r="J390" s="6" t="s">
        <v>43</v>
      </c>
    </row>
    <row r="391" spans="1:10">
      <c r="A391" s="6">
        <v>1010397</v>
      </c>
      <c r="B391" s="6">
        <v>24001</v>
      </c>
      <c r="C391" s="6">
        <v>2</v>
      </c>
      <c r="D391" s="6">
        <v>2</v>
      </c>
      <c r="E391" s="6" t="s">
        <v>190</v>
      </c>
      <c r="F391" s="11" t="s">
        <v>44</v>
      </c>
      <c r="G391" s="11" t="s">
        <v>27</v>
      </c>
      <c r="H391" s="6">
        <v>0</v>
      </c>
      <c r="I391" s="11" t="str">
        <f t="shared" si="19"/>
        <v>133|5</v>
      </c>
      <c r="J391" s="6" t="s">
        <v>45</v>
      </c>
    </row>
    <row r="392" spans="1:10">
      <c r="A392" s="6">
        <v>1010398</v>
      </c>
      <c r="B392" s="6">
        <v>24001</v>
      </c>
      <c r="C392" s="6">
        <v>2</v>
      </c>
      <c r="D392" s="6">
        <v>3</v>
      </c>
      <c r="E392" s="6" t="s">
        <v>190</v>
      </c>
      <c r="F392" s="11" t="s">
        <v>46</v>
      </c>
      <c r="G392" s="11" t="s">
        <v>30</v>
      </c>
      <c r="H392" s="6">
        <v>0</v>
      </c>
      <c r="I392" s="11" t="str">
        <f t="shared" si="19"/>
        <v>133|5</v>
      </c>
      <c r="J392" s="6" t="s">
        <v>47</v>
      </c>
    </row>
    <row r="393" spans="1:10">
      <c r="A393" s="6">
        <v>1010399</v>
      </c>
      <c r="B393" s="6">
        <v>24001</v>
      </c>
      <c r="C393" s="6">
        <v>2</v>
      </c>
      <c r="D393" s="6">
        <v>4</v>
      </c>
      <c r="E393" s="6" t="s">
        <v>190</v>
      </c>
      <c r="F393" s="11" t="s">
        <v>48</v>
      </c>
      <c r="G393" s="11" t="s">
        <v>33</v>
      </c>
      <c r="H393" s="6">
        <v>0</v>
      </c>
      <c r="I393" s="11" t="str">
        <f t="shared" si="19"/>
        <v>133|5</v>
      </c>
      <c r="J393" s="6" t="s">
        <v>49</v>
      </c>
    </row>
    <row r="394" spans="1:10">
      <c r="A394" s="6">
        <v>1010400</v>
      </c>
      <c r="B394" s="6">
        <v>24001</v>
      </c>
      <c r="C394" s="6">
        <v>2</v>
      </c>
      <c r="D394" s="6">
        <v>5</v>
      </c>
      <c r="E394" s="6" t="s">
        <v>190</v>
      </c>
      <c r="F394" s="11" t="s">
        <v>50</v>
      </c>
      <c r="G394" s="11" t="s">
        <v>36</v>
      </c>
      <c r="H394" s="6">
        <v>0</v>
      </c>
      <c r="I394" s="11" t="str">
        <f t="shared" si="19"/>
        <v>133|5</v>
      </c>
      <c r="J394" s="6" t="s">
        <v>51</v>
      </c>
    </row>
    <row r="395" spans="1:10">
      <c r="A395" s="6">
        <v>1010401</v>
      </c>
      <c r="B395" s="6">
        <v>24001</v>
      </c>
      <c r="C395" s="6">
        <v>2</v>
      </c>
      <c r="D395" s="6">
        <v>6</v>
      </c>
      <c r="E395" s="6" t="s">
        <v>190</v>
      </c>
      <c r="F395" s="11" t="s">
        <v>50</v>
      </c>
      <c r="G395" s="11" t="s">
        <v>38</v>
      </c>
      <c r="H395" s="6">
        <v>120043</v>
      </c>
      <c r="I395" s="11" t="s">
        <v>191</v>
      </c>
      <c r="J395" s="6" t="s">
        <v>40</v>
      </c>
    </row>
    <row r="396" spans="1:10">
      <c r="A396" s="6">
        <v>1010402</v>
      </c>
      <c r="B396" s="6">
        <v>24001</v>
      </c>
      <c r="C396" s="6">
        <v>3</v>
      </c>
      <c r="D396" s="6">
        <v>0</v>
      </c>
      <c r="E396" s="6" t="s">
        <v>192</v>
      </c>
      <c r="F396" s="11" t="s">
        <v>50</v>
      </c>
      <c r="G396" s="11">
        <v>0</v>
      </c>
      <c r="H396" s="6">
        <v>0</v>
      </c>
      <c r="I396" s="11" t="str">
        <f t="shared" ref="I396:I401" si="20">I395</f>
        <v>133|6</v>
      </c>
      <c r="J396" s="6">
        <v>0</v>
      </c>
    </row>
    <row r="397" spans="1:10">
      <c r="A397" s="6">
        <v>1010403</v>
      </c>
      <c r="B397" s="6">
        <v>24001</v>
      </c>
      <c r="C397" s="6">
        <v>3</v>
      </c>
      <c r="D397" s="6">
        <v>1</v>
      </c>
      <c r="E397" s="6" t="s">
        <v>192</v>
      </c>
      <c r="F397" s="11" t="s">
        <v>54</v>
      </c>
      <c r="G397" s="11" t="s">
        <v>24</v>
      </c>
      <c r="H397" s="6">
        <v>0</v>
      </c>
      <c r="I397" s="11" t="str">
        <f t="shared" si="20"/>
        <v>133|6</v>
      </c>
      <c r="J397" s="6" t="s">
        <v>55</v>
      </c>
    </row>
    <row r="398" spans="1:10">
      <c r="A398" s="6">
        <v>1010404</v>
      </c>
      <c r="B398" s="6">
        <v>24001</v>
      </c>
      <c r="C398" s="6">
        <v>3</v>
      </c>
      <c r="D398" s="6">
        <v>2</v>
      </c>
      <c r="E398" s="6" t="s">
        <v>192</v>
      </c>
      <c r="F398" s="11" t="s">
        <v>56</v>
      </c>
      <c r="G398" s="11" t="s">
        <v>27</v>
      </c>
      <c r="H398" s="6">
        <v>0</v>
      </c>
      <c r="I398" s="11" t="str">
        <f t="shared" si="20"/>
        <v>133|6</v>
      </c>
      <c r="J398" s="6" t="s">
        <v>57</v>
      </c>
    </row>
    <row r="399" spans="1:10">
      <c r="A399" s="6">
        <v>1010405</v>
      </c>
      <c r="B399" s="6">
        <v>24001</v>
      </c>
      <c r="C399" s="6">
        <v>3</v>
      </c>
      <c r="D399" s="6">
        <v>3</v>
      </c>
      <c r="E399" s="6" t="s">
        <v>192</v>
      </c>
      <c r="F399" s="11" t="s">
        <v>58</v>
      </c>
      <c r="G399" s="11" t="s">
        <v>30</v>
      </c>
      <c r="H399" s="6">
        <v>0</v>
      </c>
      <c r="I399" s="11" t="str">
        <f t="shared" si="20"/>
        <v>133|6</v>
      </c>
      <c r="J399" s="6" t="s">
        <v>59</v>
      </c>
    </row>
    <row r="400" spans="1:10">
      <c r="A400" s="6">
        <v>1010406</v>
      </c>
      <c r="B400" s="6">
        <v>24001</v>
      </c>
      <c r="C400" s="6">
        <v>3</v>
      </c>
      <c r="D400" s="6">
        <v>4</v>
      </c>
      <c r="E400" s="6" t="s">
        <v>192</v>
      </c>
      <c r="F400" s="11" t="s">
        <v>60</v>
      </c>
      <c r="G400" s="11" t="s">
        <v>33</v>
      </c>
      <c r="H400" s="6">
        <v>0</v>
      </c>
      <c r="I400" s="11" t="str">
        <f t="shared" si="20"/>
        <v>133|6</v>
      </c>
      <c r="J400" s="6" t="s">
        <v>61</v>
      </c>
    </row>
    <row r="401" spans="1:10">
      <c r="A401" s="6">
        <v>1010407</v>
      </c>
      <c r="B401" s="6">
        <v>24001</v>
      </c>
      <c r="C401" s="6">
        <v>3</v>
      </c>
      <c r="D401" s="6">
        <v>5</v>
      </c>
      <c r="E401" s="6" t="s">
        <v>192</v>
      </c>
      <c r="F401" s="11" t="s">
        <v>62</v>
      </c>
      <c r="G401" s="11" t="s">
        <v>36</v>
      </c>
      <c r="H401" s="6">
        <v>0</v>
      </c>
      <c r="I401" s="11" t="str">
        <f t="shared" si="20"/>
        <v>133|6</v>
      </c>
      <c r="J401" s="6" t="s">
        <v>63</v>
      </c>
    </row>
    <row r="402" spans="1:10">
      <c r="A402" s="6">
        <v>1010408</v>
      </c>
      <c r="B402" s="6">
        <v>24001</v>
      </c>
      <c r="C402" s="6">
        <v>3</v>
      </c>
      <c r="D402" s="6">
        <v>6</v>
      </c>
      <c r="E402" s="6" t="s">
        <v>192</v>
      </c>
      <c r="F402" s="11" t="s">
        <v>62</v>
      </c>
      <c r="G402" s="11" t="s">
        <v>38</v>
      </c>
      <c r="H402" s="6">
        <v>120044</v>
      </c>
      <c r="I402" s="11" t="s">
        <v>193</v>
      </c>
      <c r="J402" s="6" t="s">
        <v>40</v>
      </c>
    </row>
    <row r="403" spans="1:10">
      <c r="A403" s="6">
        <v>1010409</v>
      </c>
      <c r="B403" s="6">
        <v>24001</v>
      </c>
      <c r="C403" s="6">
        <v>4</v>
      </c>
      <c r="D403" s="6">
        <v>0</v>
      </c>
      <c r="E403" s="6" t="s">
        <v>194</v>
      </c>
      <c r="F403" s="11" t="s">
        <v>62</v>
      </c>
      <c r="G403" s="11">
        <v>0</v>
      </c>
      <c r="H403" s="6">
        <v>0</v>
      </c>
      <c r="I403" s="11" t="str">
        <f t="shared" ref="I403:I408" si="21">I402</f>
        <v>133|7</v>
      </c>
      <c r="J403" s="6">
        <v>0</v>
      </c>
    </row>
    <row r="404" spans="1:10">
      <c r="A404" s="6">
        <v>1010410</v>
      </c>
      <c r="B404" s="6">
        <v>24001</v>
      </c>
      <c r="C404" s="6">
        <v>4</v>
      </c>
      <c r="D404" s="6">
        <v>1</v>
      </c>
      <c r="E404" s="6" t="s">
        <v>194</v>
      </c>
      <c r="F404" s="11" t="s">
        <v>66</v>
      </c>
      <c r="G404" s="11" t="s">
        <v>24</v>
      </c>
      <c r="H404" s="6">
        <v>0</v>
      </c>
      <c r="I404" s="11" t="str">
        <f t="shared" si="21"/>
        <v>133|7</v>
      </c>
      <c r="J404" s="6" t="s">
        <v>67</v>
      </c>
    </row>
    <row r="405" spans="1:10">
      <c r="A405" s="6">
        <v>1010411</v>
      </c>
      <c r="B405" s="6">
        <v>24001</v>
      </c>
      <c r="C405" s="6">
        <v>4</v>
      </c>
      <c r="D405" s="6">
        <v>2</v>
      </c>
      <c r="E405" s="6" t="s">
        <v>194</v>
      </c>
      <c r="F405" s="11" t="s">
        <v>68</v>
      </c>
      <c r="G405" s="11" t="s">
        <v>27</v>
      </c>
      <c r="H405" s="6">
        <v>0</v>
      </c>
      <c r="I405" s="11" t="str">
        <f t="shared" si="21"/>
        <v>133|7</v>
      </c>
      <c r="J405" s="6" t="s">
        <v>69</v>
      </c>
    </row>
    <row r="406" spans="1:10">
      <c r="A406" s="6">
        <v>1010412</v>
      </c>
      <c r="B406" s="6">
        <v>24001</v>
      </c>
      <c r="C406" s="6">
        <v>4</v>
      </c>
      <c r="D406" s="6">
        <v>3</v>
      </c>
      <c r="E406" s="6" t="s">
        <v>194</v>
      </c>
      <c r="F406" s="11" t="s">
        <v>70</v>
      </c>
      <c r="G406" s="11" t="s">
        <v>30</v>
      </c>
      <c r="H406" s="6">
        <v>0</v>
      </c>
      <c r="I406" s="11" t="str">
        <f t="shared" si="21"/>
        <v>133|7</v>
      </c>
      <c r="J406" s="6" t="s">
        <v>71</v>
      </c>
    </row>
    <row r="407" spans="1:10">
      <c r="A407" s="6">
        <v>1010413</v>
      </c>
      <c r="B407" s="6">
        <v>24001</v>
      </c>
      <c r="C407" s="6">
        <v>4</v>
      </c>
      <c r="D407" s="6">
        <v>4</v>
      </c>
      <c r="E407" s="6" t="s">
        <v>194</v>
      </c>
      <c r="F407" s="11" t="s">
        <v>72</v>
      </c>
      <c r="G407" s="11" t="s">
        <v>33</v>
      </c>
      <c r="H407" s="6">
        <v>0</v>
      </c>
      <c r="I407" s="11" t="str">
        <f t="shared" si="21"/>
        <v>133|7</v>
      </c>
      <c r="J407" s="6" t="s">
        <v>73</v>
      </c>
    </row>
    <row r="408" spans="1:10">
      <c r="A408" s="6">
        <v>1010414</v>
      </c>
      <c r="B408" s="6">
        <v>24001</v>
      </c>
      <c r="C408" s="6">
        <v>4</v>
      </c>
      <c r="D408" s="6">
        <v>5</v>
      </c>
      <c r="E408" s="6" t="s">
        <v>194</v>
      </c>
      <c r="F408" s="11" t="s">
        <v>74</v>
      </c>
      <c r="G408" s="11" t="s">
        <v>36</v>
      </c>
      <c r="H408" s="6">
        <v>0</v>
      </c>
      <c r="I408" s="11" t="str">
        <f t="shared" si="21"/>
        <v>133|7</v>
      </c>
      <c r="J408" s="6" t="s">
        <v>75</v>
      </c>
    </row>
    <row r="409" spans="1:10">
      <c r="A409" s="6">
        <v>1010415</v>
      </c>
      <c r="B409" s="6">
        <v>24001</v>
      </c>
      <c r="C409" s="6">
        <v>4</v>
      </c>
      <c r="D409" s="6">
        <v>6</v>
      </c>
      <c r="E409" s="6" t="s">
        <v>194</v>
      </c>
      <c r="F409" s="11" t="s">
        <v>74</v>
      </c>
      <c r="G409" s="11" t="s">
        <v>38</v>
      </c>
      <c r="H409" s="6">
        <v>120045</v>
      </c>
      <c r="I409" s="11" t="s">
        <v>195</v>
      </c>
      <c r="J409" s="6" t="s">
        <v>40</v>
      </c>
    </row>
    <row r="410" spans="1:10">
      <c r="A410" s="6">
        <v>1010416</v>
      </c>
      <c r="B410" s="6">
        <v>24001</v>
      </c>
      <c r="C410" s="6">
        <v>5</v>
      </c>
      <c r="D410" s="6">
        <v>0</v>
      </c>
      <c r="E410" s="6" t="s">
        <v>196</v>
      </c>
      <c r="F410" s="11" t="s">
        <v>74</v>
      </c>
      <c r="G410" s="11">
        <v>0</v>
      </c>
      <c r="H410" s="6">
        <v>0</v>
      </c>
      <c r="I410" s="11" t="str">
        <f t="shared" ref="I410:I415" si="22">I409</f>
        <v>133|8</v>
      </c>
      <c r="J410" s="6">
        <v>0</v>
      </c>
    </row>
    <row r="411" spans="1:10">
      <c r="A411" s="6">
        <v>1010417</v>
      </c>
      <c r="B411" s="6">
        <v>24001</v>
      </c>
      <c r="C411" s="6">
        <v>5</v>
      </c>
      <c r="D411" s="6">
        <v>1</v>
      </c>
      <c r="E411" s="6" t="s">
        <v>196</v>
      </c>
      <c r="F411" s="11" t="s">
        <v>78</v>
      </c>
      <c r="G411" s="11" t="s">
        <v>24</v>
      </c>
      <c r="H411" s="6">
        <v>0</v>
      </c>
      <c r="I411" s="11" t="str">
        <f t="shared" si="22"/>
        <v>133|8</v>
      </c>
      <c r="J411" s="6" t="s">
        <v>79</v>
      </c>
    </row>
    <row r="412" spans="1:10">
      <c r="A412" s="6">
        <v>1010418</v>
      </c>
      <c r="B412" s="6">
        <v>24001</v>
      </c>
      <c r="C412" s="6">
        <v>5</v>
      </c>
      <c r="D412" s="6">
        <v>2</v>
      </c>
      <c r="E412" s="6" t="s">
        <v>196</v>
      </c>
      <c r="F412" s="11" t="s">
        <v>80</v>
      </c>
      <c r="G412" s="11" t="s">
        <v>27</v>
      </c>
      <c r="H412" s="6">
        <v>0</v>
      </c>
      <c r="I412" s="11" t="str">
        <f t="shared" si="22"/>
        <v>133|8</v>
      </c>
      <c r="J412" s="6" t="s">
        <v>81</v>
      </c>
    </row>
    <row r="413" spans="1:10">
      <c r="A413" s="6">
        <v>1010419</v>
      </c>
      <c r="B413" s="6">
        <v>24001</v>
      </c>
      <c r="C413" s="6">
        <v>5</v>
      </c>
      <c r="D413" s="6">
        <v>3</v>
      </c>
      <c r="E413" s="6" t="s">
        <v>196</v>
      </c>
      <c r="F413" s="11" t="s">
        <v>82</v>
      </c>
      <c r="G413" s="11" t="s">
        <v>30</v>
      </c>
      <c r="H413" s="6">
        <v>0</v>
      </c>
      <c r="I413" s="11" t="str">
        <f t="shared" si="22"/>
        <v>133|8</v>
      </c>
      <c r="J413" s="6" t="s">
        <v>83</v>
      </c>
    </row>
    <row r="414" spans="1:10">
      <c r="A414" s="6">
        <v>1010420</v>
      </c>
      <c r="B414" s="6">
        <v>24001</v>
      </c>
      <c r="C414" s="6">
        <v>5</v>
      </c>
      <c r="D414" s="6">
        <v>4</v>
      </c>
      <c r="E414" s="6" t="s">
        <v>196</v>
      </c>
      <c r="F414" s="11" t="s">
        <v>84</v>
      </c>
      <c r="G414" s="11" t="s">
        <v>33</v>
      </c>
      <c r="H414" s="6">
        <v>0</v>
      </c>
      <c r="I414" s="11" t="str">
        <f t="shared" si="22"/>
        <v>133|8</v>
      </c>
      <c r="J414" s="6" t="s">
        <v>85</v>
      </c>
    </row>
    <row r="415" spans="1:10">
      <c r="A415" s="6">
        <v>1010421</v>
      </c>
      <c r="B415" s="6">
        <v>24001</v>
      </c>
      <c r="C415" s="6">
        <v>5</v>
      </c>
      <c r="D415" s="6">
        <v>5</v>
      </c>
      <c r="E415" s="6" t="s">
        <v>196</v>
      </c>
      <c r="F415" s="11" t="s">
        <v>86</v>
      </c>
      <c r="G415" s="11" t="s">
        <v>36</v>
      </c>
      <c r="H415" s="6">
        <v>0</v>
      </c>
      <c r="I415" s="11" t="str">
        <f t="shared" si="22"/>
        <v>133|8</v>
      </c>
      <c r="J415" s="6" t="s">
        <v>87</v>
      </c>
    </row>
    <row r="416" spans="1:10">
      <c r="A416" s="6">
        <v>1010422</v>
      </c>
      <c r="B416" s="6">
        <v>24001</v>
      </c>
      <c r="C416" s="6">
        <v>5</v>
      </c>
      <c r="D416" s="6">
        <v>6</v>
      </c>
      <c r="E416" s="6" t="s">
        <v>196</v>
      </c>
      <c r="F416" s="11" t="s">
        <v>86</v>
      </c>
      <c r="G416" s="11" t="s">
        <v>38</v>
      </c>
      <c r="H416" s="6">
        <v>120046</v>
      </c>
      <c r="I416" s="11" t="s">
        <v>197</v>
      </c>
      <c r="J416" s="6" t="s">
        <v>40</v>
      </c>
    </row>
    <row r="417" spans="1:10">
      <c r="A417" s="6">
        <v>1010423</v>
      </c>
      <c r="B417" s="6">
        <v>24001</v>
      </c>
      <c r="C417" s="6">
        <v>6</v>
      </c>
      <c r="D417" s="6">
        <v>0</v>
      </c>
      <c r="E417" s="6" t="s">
        <v>196</v>
      </c>
      <c r="F417" s="11" t="s">
        <v>86</v>
      </c>
      <c r="G417" s="11">
        <v>0</v>
      </c>
      <c r="H417" s="6">
        <v>0</v>
      </c>
      <c r="I417" s="11" t="str">
        <f t="shared" ref="I417:I422" si="23">I416</f>
        <v>133|9</v>
      </c>
      <c r="J417" s="6">
        <v>0</v>
      </c>
    </row>
    <row r="418" spans="1:10">
      <c r="A418" s="6">
        <v>1010424</v>
      </c>
      <c r="B418" s="6">
        <v>24001</v>
      </c>
      <c r="C418" s="6">
        <v>6</v>
      </c>
      <c r="D418" s="6">
        <v>1</v>
      </c>
      <c r="E418" s="6" t="s">
        <v>196</v>
      </c>
      <c r="F418" s="11" t="s">
        <v>89</v>
      </c>
      <c r="G418" s="11" t="s">
        <v>24</v>
      </c>
      <c r="H418" s="6">
        <v>0</v>
      </c>
      <c r="I418" s="11" t="str">
        <f t="shared" si="23"/>
        <v>133|9</v>
      </c>
      <c r="J418" s="6" t="s">
        <v>90</v>
      </c>
    </row>
    <row r="419" spans="1:10">
      <c r="A419" s="6">
        <v>1010425</v>
      </c>
      <c r="B419" s="6">
        <v>24001</v>
      </c>
      <c r="C419" s="6">
        <v>6</v>
      </c>
      <c r="D419" s="6">
        <v>2</v>
      </c>
      <c r="E419" s="6" t="s">
        <v>196</v>
      </c>
      <c r="F419" s="11" t="s">
        <v>91</v>
      </c>
      <c r="G419" s="11" t="s">
        <v>27</v>
      </c>
      <c r="H419" s="6">
        <v>0</v>
      </c>
      <c r="I419" s="11" t="str">
        <f t="shared" si="23"/>
        <v>133|9</v>
      </c>
      <c r="J419" s="6" t="s">
        <v>92</v>
      </c>
    </row>
    <row r="420" spans="1:10">
      <c r="A420" s="6">
        <v>1010426</v>
      </c>
      <c r="B420" s="6">
        <v>24001</v>
      </c>
      <c r="C420" s="6">
        <v>6</v>
      </c>
      <c r="D420" s="6">
        <v>3</v>
      </c>
      <c r="E420" s="6" t="s">
        <v>196</v>
      </c>
      <c r="F420" s="11" t="s">
        <v>93</v>
      </c>
      <c r="G420" s="11" t="s">
        <v>30</v>
      </c>
      <c r="H420" s="6">
        <v>0</v>
      </c>
      <c r="I420" s="11" t="str">
        <f t="shared" si="23"/>
        <v>133|9</v>
      </c>
      <c r="J420" s="6" t="s">
        <v>94</v>
      </c>
    </row>
    <row r="421" spans="1:10">
      <c r="A421" s="6">
        <v>1010427</v>
      </c>
      <c r="B421" s="6">
        <v>24001</v>
      </c>
      <c r="C421" s="6">
        <v>6</v>
      </c>
      <c r="D421" s="6">
        <v>4</v>
      </c>
      <c r="E421" s="6" t="s">
        <v>196</v>
      </c>
      <c r="F421" s="11" t="s">
        <v>95</v>
      </c>
      <c r="G421" s="11" t="s">
        <v>33</v>
      </c>
      <c r="H421" s="6">
        <v>0</v>
      </c>
      <c r="I421" s="11" t="str">
        <f t="shared" si="23"/>
        <v>133|9</v>
      </c>
      <c r="J421" s="6" t="s">
        <v>96</v>
      </c>
    </row>
    <row r="422" spans="1:10">
      <c r="A422" s="6">
        <v>1010428</v>
      </c>
      <c r="B422" s="6">
        <v>24001</v>
      </c>
      <c r="C422" s="6">
        <v>6</v>
      </c>
      <c r="D422" s="6">
        <v>5</v>
      </c>
      <c r="E422" s="6" t="s">
        <v>196</v>
      </c>
      <c r="F422" s="11" t="s">
        <v>97</v>
      </c>
      <c r="G422" s="11" t="s">
        <v>36</v>
      </c>
      <c r="H422" s="6">
        <v>0</v>
      </c>
      <c r="I422" s="11" t="str">
        <f t="shared" si="23"/>
        <v>133|9</v>
      </c>
      <c r="J422" s="6" t="s">
        <v>98</v>
      </c>
    </row>
    <row r="423" spans="1:10">
      <c r="A423" s="6">
        <v>1010429</v>
      </c>
      <c r="B423" s="6">
        <v>24001</v>
      </c>
      <c r="C423" s="6">
        <v>6</v>
      </c>
      <c r="D423" s="6">
        <v>6</v>
      </c>
      <c r="E423" s="6">
        <v>0</v>
      </c>
      <c r="F423" s="11" t="s">
        <v>97</v>
      </c>
      <c r="G423" s="11" t="s">
        <v>38</v>
      </c>
      <c r="H423" s="6">
        <v>120047</v>
      </c>
      <c r="I423" s="11" t="s">
        <v>198</v>
      </c>
      <c r="J423" s="6" t="s">
        <v>40</v>
      </c>
    </row>
    <row r="424" spans="1:10">
      <c r="A424" s="6">
        <v>1010430</v>
      </c>
      <c r="B424" s="6">
        <v>25001</v>
      </c>
      <c r="C424" s="6">
        <v>1</v>
      </c>
      <c r="D424" s="6">
        <v>0</v>
      </c>
      <c r="E424" s="6" t="s">
        <v>199</v>
      </c>
      <c r="F424" s="11" t="s">
        <v>22</v>
      </c>
      <c r="G424" s="11">
        <v>0</v>
      </c>
      <c r="H424" s="6">
        <v>0</v>
      </c>
      <c r="I424" s="11">
        <v>0</v>
      </c>
      <c r="J424" s="6">
        <v>0</v>
      </c>
    </row>
    <row r="425" spans="1:10">
      <c r="A425" s="6">
        <v>1010431</v>
      </c>
      <c r="B425" s="6">
        <v>25001</v>
      </c>
      <c r="C425" s="6">
        <v>1</v>
      </c>
      <c r="D425" s="6">
        <v>1</v>
      </c>
      <c r="E425" s="6" t="s">
        <v>199</v>
      </c>
      <c r="F425" s="11" t="s">
        <v>23</v>
      </c>
      <c r="G425" s="11" t="s">
        <v>24</v>
      </c>
      <c r="H425" s="6">
        <v>0</v>
      </c>
      <c r="I425" s="11">
        <v>0</v>
      </c>
      <c r="J425" s="6" t="s">
        <v>25</v>
      </c>
    </row>
    <row r="426" spans="1:10">
      <c r="A426" s="6">
        <v>1010432</v>
      </c>
      <c r="B426" s="6">
        <v>25001</v>
      </c>
      <c r="C426" s="6">
        <v>1</v>
      </c>
      <c r="D426" s="6">
        <v>2</v>
      </c>
      <c r="E426" s="6" t="s">
        <v>199</v>
      </c>
      <c r="F426" s="11" t="s">
        <v>26</v>
      </c>
      <c r="G426" s="11" t="s">
        <v>27</v>
      </c>
      <c r="H426" s="6">
        <v>0</v>
      </c>
      <c r="I426" s="11">
        <v>0</v>
      </c>
      <c r="J426" s="6" t="s">
        <v>28</v>
      </c>
    </row>
    <row r="427" spans="1:10">
      <c r="A427" s="6">
        <v>1010433</v>
      </c>
      <c r="B427" s="6">
        <v>25001</v>
      </c>
      <c r="C427" s="6">
        <v>1</v>
      </c>
      <c r="D427" s="6">
        <v>3</v>
      </c>
      <c r="E427" s="6" t="s">
        <v>199</v>
      </c>
      <c r="F427" s="11" t="s">
        <v>29</v>
      </c>
      <c r="G427" s="11" t="s">
        <v>30</v>
      </c>
      <c r="H427" s="6">
        <v>0</v>
      </c>
      <c r="I427" s="11">
        <v>0</v>
      </c>
      <c r="J427" s="6" t="s">
        <v>31</v>
      </c>
    </row>
    <row r="428" spans="1:10">
      <c r="A428" s="6">
        <v>1010434</v>
      </c>
      <c r="B428" s="6">
        <v>25001</v>
      </c>
      <c r="C428" s="6">
        <v>1</v>
      </c>
      <c r="D428" s="6">
        <v>4</v>
      </c>
      <c r="E428" s="6" t="s">
        <v>199</v>
      </c>
      <c r="F428" s="11" t="s">
        <v>32</v>
      </c>
      <c r="G428" s="11" t="s">
        <v>33</v>
      </c>
      <c r="H428" s="6">
        <v>0</v>
      </c>
      <c r="I428" s="11">
        <v>0</v>
      </c>
      <c r="J428" s="6" t="s">
        <v>34</v>
      </c>
    </row>
    <row r="429" spans="1:10">
      <c r="A429" s="6">
        <v>1010435</v>
      </c>
      <c r="B429" s="6">
        <v>25001</v>
      </c>
      <c r="C429" s="6">
        <v>1</v>
      </c>
      <c r="D429" s="6">
        <v>5</v>
      </c>
      <c r="E429" s="6" t="s">
        <v>199</v>
      </c>
      <c r="F429" s="11" t="s">
        <v>35</v>
      </c>
      <c r="G429" s="11" t="s">
        <v>36</v>
      </c>
      <c r="H429" s="6">
        <v>0</v>
      </c>
      <c r="I429" s="11">
        <v>0</v>
      </c>
      <c r="J429" s="6" t="s">
        <v>37</v>
      </c>
    </row>
    <row r="430" spans="1:10">
      <c r="A430" s="6">
        <v>1010436</v>
      </c>
      <c r="B430" s="6">
        <v>25001</v>
      </c>
      <c r="C430" s="6">
        <v>1</v>
      </c>
      <c r="D430" s="6">
        <v>6</v>
      </c>
      <c r="E430" s="6" t="s">
        <v>199</v>
      </c>
      <c r="F430" s="11" t="s">
        <v>35</v>
      </c>
      <c r="G430" s="11" t="s">
        <v>38</v>
      </c>
      <c r="H430" s="6">
        <v>120052</v>
      </c>
      <c r="I430" s="11" t="s">
        <v>200</v>
      </c>
      <c r="J430" s="6" t="s">
        <v>40</v>
      </c>
    </row>
    <row r="431" spans="1:10">
      <c r="A431" s="6">
        <v>1010437</v>
      </c>
      <c r="B431" s="6">
        <v>25001</v>
      </c>
      <c r="C431" s="6">
        <v>2</v>
      </c>
      <c r="D431" s="6">
        <v>0</v>
      </c>
      <c r="E431" s="6" t="s">
        <v>201</v>
      </c>
      <c r="F431" s="11" t="s">
        <v>35</v>
      </c>
      <c r="G431" s="11">
        <v>0</v>
      </c>
      <c r="H431" s="6">
        <v>0</v>
      </c>
      <c r="I431" s="11" t="str">
        <f t="shared" ref="I431:I436" si="24">I430</f>
        <v>143|5</v>
      </c>
      <c r="J431" s="6">
        <v>0</v>
      </c>
    </row>
    <row r="432" spans="1:10">
      <c r="A432" s="6">
        <v>1010438</v>
      </c>
      <c r="B432" s="6">
        <v>25001</v>
      </c>
      <c r="C432" s="6">
        <v>2</v>
      </c>
      <c r="D432" s="6">
        <v>1</v>
      </c>
      <c r="E432" s="6" t="s">
        <v>201</v>
      </c>
      <c r="F432" s="11" t="s">
        <v>42</v>
      </c>
      <c r="G432" s="11" t="s">
        <v>24</v>
      </c>
      <c r="H432" s="6">
        <v>0</v>
      </c>
      <c r="I432" s="11" t="str">
        <f t="shared" si="24"/>
        <v>143|5</v>
      </c>
      <c r="J432" s="6" t="s">
        <v>43</v>
      </c>
    </row>
    <row r="433" spans="1:10">
      <c r="A433" s="6">
        <v>1010439</v>
      </c>
      <c r="B433" s="6">
        <v>25001</v>
      </c>
      <c r="C433" s="6">
        <v>2</v>
      </c>
      <c r="D433" s="6">
        <v>2</v>
      </c>
      <c r="E433" s="6" t="s">
        <v>201</v>
      </c>
      <c r="F433" s="11" t="s">
        <v>44</v>
      </c>
      <c r="G433" s="11" t="s">
        <v>27</v>
      </c>
      <c r="H433" s="6">
        <v>0</v>
      </c>
      <c r="I433" s="11" t="str">
        <f t="shared" si="24"/>
        <v>143|5</v>
      </c>
      <c r="J433" s="6" t="s">
        <v>45</v>
      </c>
    </row>
    <row r="434" spans="1:10">
      <c r="A434" s="6">
        <v>1010440</v>
      </c>
      <c r="B434" s="6">
        <v>25001</v>
      </c>
      <c r="C434" s="6">
        <v>2</v>
      </c>
      <c r="D434" s="6">
        <v>3</v>
      </c>
      <c r="E434" s="6" t="s">
        <v>201</v>
      </c>
      <c r="F434" s="11" t="s">
        <v>46</v>
      </c>
      <c r="G434" s="11" t="s">
        <v>30</v>
      </c>
      <c r="H434" s="6">
        <v>0</v>
      </c>
      <c r="I434" s="11" t="str">
        <f t="shared" si="24"/>
        <v>143|5</v>
      </c>
      <c r="J434" s="6" t="s">
        <v>47</v>
      </c>
    </row>
    <row r="435" spans="1:10">
      <c r="A435" s="6">
        <v>1010441</v>
      </c>
      <c r="B435" s="6">
        <v>25001</v>
      </c>
      <c r="C435" s="6">
        <v>2</v>
      </c>
      <c r="D435" s="6">
        <v>4</v>
      </c>
      <c r="E435" s="6" t="s">
        <v>201</v>
      </c>
      <c r="F435" s="11" t="s">
        <v>48</v>
      </c>
      <c r="G435" s="11" t="s">
        <v>33</v>
      </c>
      <c r="H435" s="6">
        <v>0</v>
      </c>
      <c r="I435" s="11" t="str">
        <f t="shared" si="24"/>
        <v>143|5</v>
      </c>
      <c r="J435" s="6" t="s">
        <v>49</v>
      </c>
    </row>
    <row r="436" spans="1:10">
      <c r="A436" s="6">
        <v>1010442</v>
      </c>
      <c r="B436" s="6">
        <v>25001</v>
      </c>
      <c r="C436" s="6">
        <v>2</v>
      </c>
      <c r="D436" s="6">
        <v>5</v>
      </c>
      <c r="E436" s="6" t="s">
        <v>201</v>
      </c>
      <c r="F436" s="11" t="s">
        <v>50</v>
      </c>
      <c r="G436" s="11" t="s">
        <v>36</v>
      </c>
      <c r="H436" s="6">
        <v>0</v>
      </c>
      <c r="I436" s="11" t="str">
        <f t="shared" si="24"/>
        <v>143|5</v>
      </c>
      <c r="J436" s="6" t="s">
        <v>51</v>
      </c>
    </row>
    <row r="437" spans="1:10">
      <c r="A437" s="6">
        <v>1010443</v>
      </c>
      <c r="B437" s="6">
        <v>25001</v>
      </c>
      <c r="C437" s="6">
        <v>2</v>
      </c>
      <c r="D437" s="6">
        <v>6</v>
      </c>
      <c r="E437" s="6" t="s">
        <v>201</v>
      </c>
      <c r="F437" s="11" t="s">
        <v>50</v>
      </c>
      <c r="G437" s="11" t="s">
        <v>38</v>
      </c>
      <c r="H437" s="6">
        <v>120053</v>
      </c>
      <c r="I437" s="11" t="s">
        <v>202</v>
      </c>
      <c r="J437" s="6" t="s">
        <v>40</v>
      </c>
    </row>
    <row r="438" spans="1:10">
      <c r="A438" s="6">
        <v>1010444</v>
      </c>
      <c r="B438" s="6">
        <v>25001</v>
      </c>
      <c r="C438" s="6">
        <v>3</v>
      </c>
      <c r="D438" s="6">
        <v>0</v>
      </c>
      <c r="E438" s="6" t="s">
        <v>203</v>
      </c>
      <c r="F438" s="11" t="s">
        <v>50</v>
      </c>
      <c r="G438" s="11">
        <v>0</v>
      </c>
      <c r="H438" s="6">
        <v>0</v>
      </c>
      <c r="I438" s="11" t="str">
        <f t="shared" ref="I438:I443" si="25">I437</f>
        <v>143|6</v>
      </c>
      <c r="J438" s="6">
        <v>0</v>
      </c>
    </row>
    <row r="439" spans="1:10">
      <c r="A439" s="6">
        <v>1010445</v>
      </c>
      <c r="B439" s="6">
        <v>25001</v>
      </c>
      <c r="C439" s="6">
        <v>3</v>
      </c>
      <c r="D439" s="6">
        <v>1</v>
      </c>
      <c r="E439" s="6" t="s">
        <v>203</v>
      </c>
      <c r="F439" s="11" t="s">
        <v>54</v>
      </c>
      <c r="G439" s="11" t="s">
        <v>24</v>
      </c>
      <c r="H439" s="6">
        <v>0</v>
      </c>
      <c r="I439" s="11" t="str">
        <f t="shared" si="25"/>
        <v>143|6</v>
      </c>
      <c r="J439" s="6" t="s">
        <v>55</v>
      </c>
    </row>
    <row r="440" spans="1:10">
      <c r="A440" s="6">
        <v>1010446</v>
      </c>
      <c r="B440" s="6">
        <v>25001</v>
      </c>
      <c r="C440" s="6">
        <v>3</v>
      </c>
      <c r="D440" s="6">
        <v>2</v>
      </c>
      <c r="E440" s="6" t="s">
        <v>203</v>
      </c>
      <c r="F440" s="11" t="s">
        <v>56</v>
      </c>
      <c r="G440" s="11" t="s">
        <v>27</v>
      </c>
      <c r="H440" s="6">
        <v>0</v>
      </c>
      <c r="I440" s="11" t="str">
        <f t="shared" si="25"/>
        <v>143|6</v>
      </c>
      <c r="J440" s="6" t="s">
        <v>57</v>
      </c>
    </row>
    <row r="441" spans="1:10">
      <c r="A441" s="6">
        <v>1010447</v>
      </c>
      <c r="B441" s="6">
        <v>25001</v>
      </c>
      <c r="C441" s="6">
        <v>3</v>
      </c>
      <c r="D441" s="6">
        <v>3</v>
      </c>
      <c r="E441" s="6" t="s">
        <v>203</v>
      </c>
      <c r="F441" s="11" t="s">
        <v>58</v>
      </c>
      <c r="G441" s="11" t="s">
        <v>30</v>
      </c>
      <c r="H441" s="6">
        <v>0</v>
      </c>
      <c r="I441" s="11" t="str">
        <f t="shared" si="25"/>
        <v>143|6</v>
      </c>
      <c r="J441" s="6" t="s">
        <v>59</v>
      </c>
    </row>
    <row r="442" spans="1:10">
      <c r="A442" s="6">
        <v>1010448</v>
      </c>
      <c r="B442" s="6">
        <v>25001</v>
      </c>
      <c r="C442" s="6">
        <v>3</v>
      </c>
      <c r="D442" s="6">
        <v>4</v>
      </c>
      <c r="E442" s="6" t="s">
        <v>203</v>
      </c>
      <c r="F442" s="11" t="s">
        <v>60</v>
      </c>
      <c r="G442" s="11" t="s">
        <v>33</v>
      </c>
      <c r="H442" s="6">
        <v>0</v>
      </c>
      <c r="I442" s="11" t="str">
        <f t="shared" si="25"/>
        <v>143|6</v>
      </c>
      <c r="J442" s="6" t="s">
        <v>61</v>
      </c>
    </row>
    <row r="443" spans="1:10">
      <c r="A443" s="6">
        <v>1010449</v>
      </c>
      <c r="B443" s="6">
        <v>25001</v>
      </c>
      <c r="C443" s="6">
        <v>3</v>
      </c>
      <c r="D443" s="6">
        <v>5</v>
      </c>
      <c r="E443" s="6" t="s">
        <v>203</v>
      </c>
      <c r="F443" s="11" t="s">
        <v>62</v>
      </c>
      <c r="G443" s="11" t="s">
        <v>36</v>
      </c>
      <c r="H443" s="6">
        <v>0</v>
      </c>
      <c r="I443" s="11" t="str">
        <f t="shared" si="25"/>
        <v>143|6</v>
      </c>
      <c r="J443" s="6" t="s">
        <v>63</v>
      </c>
    </row>
    <row r="444" spans="1:10">
      <c r="A444" s="6">
        <v>1010450</v>
      </c>
      <c r="B444" s="6">
        <v>25001</v>
      </c>
      <c r="C444" s="6">
        <v>3</v>
      </c>
      <c r="D444" s="6">
        <v>6</v>
      </c>
      <c r="E444" s="6" t="s">
        <v>203</v>
      </c>
      <c r="F444" s="11" t="s">
        <v>62</v>
      </c>
      <c r="G444" s="11" t="s">
        <v>38</v>
      </c>
      <c r="H444" s="6">
        <v>120054</v>
      </c>
      <c r="I444" s="11" t="s">
        <v>204</v>
      </c>
      <c r="J444" s="6" t="s">
        <v>40</v>
      </c>
    </row>
    <row r="445" spans="1:10">
      <c r="A445" s="6">
        <v>1010451</v>
      </c>
      <c r="B445" s="6">
        <v>25001</v>
      </c>
      <c r="C445" s="6">
        <v>4</v>
      </c>
      <c r="D445" s="6">
        <v>0</v>
      </c>
      <c r="E445" s="6" t="s">
        <v>205</v>
      </c>
      <c r="F445" s="11" t="s">
        <v>62</v>
      </c>
      <c r="G445" s="11">
        <v>0</v>
      </c>
      <c r="H445" s="6">
        <v>0</v>
      </c>
      <c r="I445" s="11" t="str">
        <f t="shared" ref="I445:I450" si="26">I444</f>
        <v>143|7</v>
      </c>
      <c r="J445" s="6">
        <v>0</v>
      </c>
    </row>
    <row r="446" spans="1:10">
      <c r="A446" s="6">
        <v>1010452</v>
      </c>
      <c r="B446" s="6">
        <v>25001</v>
      </c>
      <c r="C446" s="6">
        <v>4</v>
      </c>
      <c r="D446" s="6">
        <v>1</v>
      </c>
      <c r="E446" s="6" t="s">
        <v>205</v>
      </c>
      <c r="F446" s="11" t="s">
        <v>66</v>
      </c>
      <c r="G446" s="11" t="s">
        <v>24</v>
      </c>
      <c r="H446" s="6">
        <v>0</v>
      </c>
      <c r="I446" s="11" t="str">
        <f t="shared" si="26"/>
        <v>143|7</v>
      </c>
      <c r="J446" s="6" t="s">
        <v>67</v>
      </c>
    </row>
    <row r="447" spans="1:10">
      <c r="A447" s="6">
        <v>1010453</v>
      </c>
      <c r="B447" s="6">
        <v>25001</v>
      </c>
      <c r="C447" s="6">
        <v>4</v>
      </c>
      <c r="D447" s="6">
        <v>2</v>
      </c>
      <c r="E447" s="6" t="s">
        <v>205</v>
      </c>
      <c r="F447" s="11" t="s">
        <v>68</v>
      </c>
      <c r="G447" s="11" t="s">
        <v>27</v>
      </c>
      <c r="H447" s="6">
        <v>0</v>
      </c>
      <c r="I447" s="11" t="str">
        <f t="shared" si="26"/>
        <v>143|7</v>
      </c>
      <c r="J447" s="6" t="s">
        <v>69</v>
      </c>
    </row>
    <row r="448" spans="1:10">
      <c r="A448" s="6">
        <v>1010454</v>
      </c>
      <c r="B448" s="6">
        <v>25001</v>
      </c>
      <c r="C448" s="6">
        <v>4</v>
      </c>
      <c r="D448" s="6">
        <v>3</v>
      </c>
      <c r="E448" s="6" t="s">
        <v>205</v>
      </c>
      <c r="F448" s="11" t="s">
        <v>70</v>
      </c>
      <c r="G448" s="11" t="s">
        <v>30</v>
      </c>
      <c r="H448" s="6">
        <v>0</v>
      </c>
      <c r="I448" s="11" t="str">
        <f t="shared" si="26"/>
        <v>143|7</v>
      </c>
      <c r="J448" s="6" t="s">
        <v>71</v>
      </c>
    </row>
    <row r="449" spans="1:10">
      <c r="A449" s="6">
        <v>1010455</v>
      </c>
      <c r="B449" s="6">
        <v>25001</v>
      </c>
      <c r="C449" s="6">
        <v>4</v>
      </c>
      <c r="D449" s="6">
        <v>4</v>
      </c>
      <c r="E449" s="6" t="s">
        <v>205</v>
      </c>
      <c r="F449" s="11" t="s">
        <v>72</v>
      </c>
      <c r="G449" s="11" t="s">
        <v>33</v>
      </c>
      <c r="H449" s="6">
        <v>0</v>
      </c>
      <c r="I449" s="11" t="str">
        <f t="shared" si="26"/>
        <v>143|7</v>
      </c>
      <c r="J449" s="6" t="s">
        <v>73</v>
      </c>
    </row>
    <row r="450" spans="1:10">
      <c r="A450" s="6">
        <v>1010456</v>
      </c>
      <c r="B450" s="6">
        <v>25001</v>
      </c>
      <c r="C450" s="6">
        <v>4</v>
      </c>
      <c r="D450" s="6">
        <v>5</v>
      </c>
      <c r="E450" s="6" t="s">
        <v>205</v>
      </c>
      <c r="F450" s="11" t="s">
        <v>74</v>
      </c>
      <c r="G450" s="11" t="s">
        <v>36</v>
      </c>
      <c r="H450" s="6">
        <v>0</v>
      </c>
      <c r="I450" s="11" t="str">
        <f t="shared" si="26"/>
        <v>143|7</v>
      </c>
      <c r="J450" s="6" t="s">
        <v>75</v>
      </c>
    </row>
    <row r="451" spans="1:10">
      <c r="A451" s="6">
        <v>1010457</v>
      </c>
      <c r="B451" s="6">
        <v>25001</v>
      </c>
      <c r="C451" s="6">
        <v>4</v>
      </c>
      <c r="D451" s="6">
        <v>6</v>
      </c>
      <c r="E451" s="6" t="s">
        <v>205</v>
      </c>
      <c r="F451" s="11" t="s">
        <v>74</v>
      </c>
      <c r="G451" s="11" t="s">
        <v>38</v>
      </c>
      <c r="H451" s="6">
        <v>120055</v>
      </c>
      <c r="I451" s="11" t="s">
        <v>206</v>
      </c>
      <c r="J451" s="6" t="s">
        <v>40</v>
      </c>
    </row>
    <row r="452" spans="1:10">
      <c r="A452" s="6">
        <v>1010458</v>
      </c>
      <c r="B452" s="6">
        <v>25001</v>
      </c>
      <c r="C452" s="6">
        <v>5</v>
      </c>
      <c r="D452" s="6">
        <v>0</v>
      </c>
      <c r="E452" s="6" t="s">
        <v>207</v>
      </c>
      <c r="F452" s="11" t="s">
        <v>74</v>
      </c>
      <c r="G452" s="11">
        <v>0</v>
      </c>
      <c r="H452" s="6">
        <v>0</v>
      </c>
      <c r="I452" s="11" t="str">
        <f t="shared" ref="I452:I457" si="27">I451</f>
        <v>143|8</v>
      </c>
      <c r="J452" s="6">
        <v>0</v>
      </c>
    </row>
    <row r="453" spans="1:10">
      <c r="A453" s="6">
        <v>1010459</v>
      </c>
      <c r="B453" s="6">
        <v>25001</v>
      </c>
      <c r="C453" s="6">
        <v>5</v>
      </c>
      <c r="D453" s="6">
        <v>1</v>
      </c>
      <c r="E453" s="6" t="s">
        <v>207</v>
      </c>
      <c r="F453" s="11" t="s">
        <v>78</v>
      </c>
      <c r="G453" s="11" t="s">
        <v>24</v>
      </c>
      <c r="H453" s="6">
        <v>0</v>
      </c>
      <c r="I453" s="11" t="str">
        <f t="shared" si="27"/>
        <v>143|8</v>
      </c>
      <c r="J453" s="6" t="s">
        <v>79</v>
      </c>
    </row>
    <row r="454" spans="1:10">
      <c r="A454" s="6">
        <v>1010460</v>
      </c>
      <c r="B454" s="6">
        <v>25001</v>
      </c>
      <c r="C454" s="6">
        <v>5</v>
      </c>
      <c r="D454" s="6">
        <v>2</v>
      </c>
      <c r="E454" s="6" t="s">
        <v>207</v>
      </c>
      <c r="F454" s="11" t="s">
        <v>80</v>
      </c>
      <c r="G454" s="11" t="s">
        <v>27</v>
      </c>
      <c r="H454" s="6">
        <v>0</v>
      </c>
      <c r="I454" s="11" t="str">
        <f t="shared" si="27"/>
        <v>143|8</v>
      </c>
      <c r="J454" s="6" t="s">
        <v>81</v>
      </c>
    </row>
    <row r="455" spans="1:10">
      <c r="A455" s="6">
        <v>1010461</v>
      </c>
      <c r="B455" s="6">
        <v>25001</v>
      </c>
      <c r="C455" s="6">
        <v>5</v>
      </c>
      <c r="D455" s="6">
        <v>3</v>
      </c>
      <c r="E455" s="6" t="s">
        <v>207</v>
      </c>
      <c r="F455" s="11" t="s">
        <v>82</v>
      </c>
      <c r="G455" s="11" t="s">
        <v>30</v>
      </c>
      <c r="H455" s="6">
        <v>0</v>
      </c>
      <c r="I455" s="11" t="str">
        <f t="shared" si="27"/>
        <v>143|8</v>
      </c>
      <c r="J455" s="6" t="s">
        <v>83</v>
      </c>
    </row>
    <row r="456" spans="1:10">
      <c r="A456" s="6">
        <v>1010462</v>
      </c>
      <c r="B456" s="6">
        <v>25001</v>
      </c>
      <c r="C456" s="6">
        <v>5</v>
      </c>
      <c r="D456" s="6">
        <v>4</v>
      </c>
      <c r="E456" s="6" t="s">
        <v>207</v>
      </c>
      <c r="F456" s="11" t="s">
        <v>84</v>
      </c>
      <c r="G456" s="11" t="s">
        <v>33</v>
      </c>
      <c r="H456" s="6">
        <v>0</v>
      </c>
      <c r="I456" s="11" t="str">
        <f t="shared" si="27"/>
        <v>143|8</v>
      </c>
      <c r="J456" s="6" t="s">
        <v>85</v>
      </c>
    </row>
    <row r="457" spans="1:10">
      <c r="A457" s="6">
        <v>1010463</v>
      </c>
      <c r="B457" s="6">
        <v>25001</v>
      </c>
      <c r="C457" s="6">
        <v>5</v>
      </c>
      <c r="D457" s="6">
        <v>5</v>
      </c>
      <c r="E457" s="6" t="s">
        <v>207</v>
      </c>
      <c r="F457" s="11" t="s">
        <v>86</v>
      </c>
      <c r="G457" s="11" t="s">
        <v>36</v>
      </c>
      <c r="H457" s="6">
        <v>0</v>
      </c>
      <c r="I457" s="11" t="str">
        <f t="shared" si="27"/>
        <v>143|8</v>
      </c>
      <c r="J457" s="6" t="s">
        <v>87</v>
      </c>
    </row>
    <row r="458" spans="1:10">
      <c r="A458" s="6">
        <v>1010464</v>
      </c>
      <c r="B458" s="6">
        <v>25001</v>
      </c>
      <c r="C458" s="6">
        <v>5</v>
      </c>
      <c r="D458" s="6">
        <v>6</v>
      </c>
      <c r="E458" s="6" t="s">
        <v>207</v>
      </c>
      <c r="F458" s="11" t="s">
        <v>86</v>
      </c>
      <c r="G458" s="11" t="s">
        <v>38</v>
      </c>
      <c r="H458" s="6">
        <v>120056</v>
      </c>
      <c r="I458" s="11" t="s">
        <v>208</v>
      </c>
      <c r="J458" s="6" t="s">
        <v>40</v>
      </c>
    </row>
    <row r="459" spans="1:10">
      <c r="A459" s="6">
        <v>1010465</v>
      </c>
      <c r="B459" s="6">
        <v>25001</v>
      </c>
      <c r="C459" s="6">
        <v>6</v>
      </c>
      <c r="D459" s="6">
        <v>0</v>
      </c>
      <c r="E459" s="6" t="s">
        <v>207</v>
      </c>
      <c r="F459" s="11" t="s">
        <v>86</v>
      </c>
      <c r="G459" s="11">
        <v>0</v>
      </c>
      <c r="H459" s="6">
        <v>0</v>
      </c>
      <c r="I459" s="11" t="str">
        <f t="shared" ref="I459:I464" si="28">I458</f>
        <v>143|9</v>
      </c>
      <c r="J459" s="6">
        <v>0</v>
      </c>
    </row>
    <row r="460" spans="1:10">
      <c r="A460" s="6">
        <v>1010466</v>
      </c>
      <c r="B460" s="6">
        <v>25001</v>
      </c>
      <c r="C460" s="6">
        <v>6</v>
      </c>
      <c r="D460" s="6">
        <v>1</v>
      </c>
      <c r="E460" s="6" t="s">
        <v>207</v>
      </c>
      <c r="F460" s="11" t="s">
        <v>89</v>
      </c>
      <c r="G460" s="11" t="s">
        <v>24</v>
      </c>
      <c r="H460" s="6">
        <v>0</v>
      </c>
      <c r="I460" s="11" t="str">
        <f t="shared" si="28"/>
        <v>143|9</v>
      </c>
      <c r="J460" s="6" t="s">
        <v>90</v>
      </c>
    </row>
    <row r="461" spans="1:10">
      <c r="A461" s="6">
        <v>1010467</v>
      </c>
      <c r="B461" s="6">
        <v>25001</v>
      </c>
      <c r="C461" s="6">
        <v>6</v>
      </c>
      <c r="D461" s="6">
        <v>2</v>
      </c>
      <c r="E461" s="6" t="s">
        <v>207</v>
      </c>
      <c r="F461" s="11" t="s">
        <v>91</v>
      </c>
      <c r="G461" s="11" t="s">
        <v>27</v>
      </c>
      <c r="H461" s="6">
        <v>0</v>
      </c>
      <c r="I461" s="11" t="str">
        <f t="shared" si="28"/>
        <v>143|9</v>
      </c>
      <c r="J461" s="6" t="s">
        <v>92</v>
      </c>
    </row>
    <row r="462" spans="1:10">
      <c r="A462" s="6">
        <v>1010468</v>
      </c>
      <c r="B462" s="6">
        <v>25001</v>
      </c>
      <c r="C462" s="6">
        <v>6</v>
      </c>
      <c r="D462" s="6">
        <v>3</v>
      </c>
      <c r="E462" s="6" t="s">
        <v>207</v>
      </c>
      <c r="F462" s="11" t="s">
        <v>93</v>
      </c>
      <c r="G462" s="11" t="s">
        <v>30</v>
      </c>
      <c r="H462" s="6">
        <v>0</v>
      </c>
      <c r="I462" s="11" t="str">
        <f t="shared" si="28"/>
        <v>143|9</v>
      </c>
      <c r="J462" s="6" t="s">
        <v>94</v>
      </c>
    </row>
    <row r="463" spans="1:10">
      <c r="A463" s="6">
        <v>1010469</v>
      </c>
      <c r="B463" s="6">
        <v>25001</v>
      </c>
      <c r="C463" s="6">
        <v>6</v>
      </c>
      <c r="D463" s="6">
        <v>4</v>
      </c>
      <c r="E463" s="6" t="s">
        <v>207</v>
      </c>
      <c r="F463" s="11" t="s">
        <v>95</v>
      </c>
      <c r="G463" s="11" t="s">
        <v>33</v>
      </c>
      <c r="H463" s="6">
        <v>0</v>
      </c>
      <c r="I463" s="11" t="str">
        <f t="shared" si="28"/>
        <v>143|9</v>
      </c>
      <c r="J463" s="6" t="s">
        <v>96</v>
      </c>
    </row>
    <row r="464" spans="1:10">
      <c r="A464" s="6">
        <v>1010470</v>
      </c>
      <c r="B464" s="6">
        <v>25001</v>
      </c>
      <c r="C464" s="6">
        <v>6</v>
      </c>
      <c r="D464" s="6">
        <v>5</v>
      </c>
      <c r="E464" s="6" t="s">
        <v>207</v>
      </c>
      <c r="F464" s="11" t="s">
        <v>97</v>
      </c>
      <c r="G464" s="11" t="s">
        <v>36</v>
      </c>
      <c r="H464" s="6">
        <v>0</v>
      </c>
      <c r="I464" s="11" t="str">
        <f t="shared" si="28"/>
        <v>143|9</v>
      </c>
      <c r="J464" s="6" t="s">
        <v>98</v>
      </c>
    </row>
    <row r="465" spans="1:10">
      <c r="A465" s="6">
        <v>1010471</v>
      </c>
      <c r="B465" s="6">
        <v>25001</v>
      </c>
      <c r="C465" s="6">
        <v>6</v>
      </c>
      <c r="D465" s="6">
        <v>6</v>
      </c>
      <c r="E465" s="6">
        <v>0</v>
      </c>
      <c r="F465" s="11" t="s">
        <v>97</v>
      </c>
      <c r="G465" s="11" t="s">
        <v>38</v>
      </c>
      <c r="H465" s="6">
        <v>120057</v>
      </c>
      <c r="I465" s="11" t="s">
        <v>209</v>
      </c>
      <c r="J465" s="6" t="s">
        <v>40</v>
      </c>
    </row>
    <row r="466" spans="1:10">
      <c r="A466" s="6">
        <v>1010472</v>
      </c>
      <c r="B466" s="6">
        <v>26001</v>
      </c>
      <c r="C466" s="6">
        <v>1</v>
      </c>
      <c r="D466" s="6">
        <v>0</v>
      </c>
      <c r="E466" s="6" t="s">
        <v>210</v>
      </c>
      <c r="F466" s="11" t="s">
        <v>22</v>
      </c>
      <c r="G466" s="11">
        <v>0</v>
      </c>
      <c r="H466" s="6">
        <v>0</v>
      </c>
      <c r="I466" s="11">
        <v>0</v>
      </c>
      <c r="J466" s="6">
        <v>0</v>
      </c>
    </row>
    <row r="467" spans="1:10">
      <c r="A467" s="6">
        <v>1010473</v>
      </c>
      <c r="B467" s="6">
        <v>26001</v>
      </c>
      <c r="C467" s="6">
        <v>1</v>
      </c>
      <c r="D467" s="6">
        <v>1</v>
      </c>
      <c r="E467" s="6" t="s">
        <v>210</v>
      </c>
      <c r="F467" s="11" t="s">
        <v>23</v>
      </c>
      <c r="G467" s="11" t="s">
        <v>24</v>
      </c>
      <c r="H467" s="6">
        <v>0</v>
      </c>
      <c r="I467" s="11">
        <v>0</v>
      </c>
      <c r="J467" s="6" t="s">
        <v>25</v>
      </c>
    </row>
    <row r="468" spans="1:10">
      <c r="A468" s="6">
        <v>1010474</v>
      </c>
      <c r="B468" s="6">
        <v>26001</v>
      </c>
      <c r="C468" s="6">
        <v>1</v>
      </c>
      <c r="D468" s="6">
        <v>2</v>
      </c>
      <c r="E468" s="6" t="s">
        <v>210</v>
      </c>
      <c r="F468" s="11" t="s">
        <v>26</v>
      </c>
      <c r="G468" s="11" t="s">
        <v>27</v>
      </c>
      <c r="H468" s="6">
        <v>0</v>
      </c>
      <c r="I468" s="11">
        <v>0</v>
      </c>
      <c r="J468" s="6" t="s">
        <v>28</v>
      </c>
    </row>
    <row r="469" spans="1:10">
      <c r="A469" s="6">
        <v>1010475</v>
      </c>
      <c r="B469" s="6">
        <v>26001</v>
      </c>
      <c r="C469" s="6">
        <v>1</v>
      </c>
      <c r="D469" s="6">
        <v>3</v>
      </c>
      <c r="E469" s="6" t="s">
        <v>210</v>
      </c>
      <c r="F469" s="11" t="s">
        <v>29</v>
      </c>
      <c r="G469" s="11" t="s">
        <v>30</v>
      </c>
      <c r="H469" s="6">
        <v>0</v>
      </c>
      <c r="I469" s="11">
        <v>0</v>
      </c>
      <c r="J469" s="6" t="s">
        <v>31</v>
      </c>
    </row>
    <row r="470" spans="1:10">
      <c r="A470" s="6">
        <v>1010476</v>
      </c>
      <c r="B470" s="6">
        <v>26001</v>
      </c>
      <c r="C470" s="6">
        <v>1</v>
      </c>
      <c r="D470" s="6">
        <v>4</v>
      </c>
      <c r="E470" s="6" t="s">
        <v>210</v>
      </c>
      <c r="F470" s="11" t="s">
        <v>32</v>
      </c>
      <c r="G470" s="11" t="s">
        <v>33</v>
      </c>
      <c r="H470" s="6">
        <v>0</v>
      </c>
      <c r="I470" s="11">
        <v>0</v>
      </c>
      <c r="J470" s="6" t="s">
        <v>34</v>
      </c>
    </row>
    <row r="471" spans="1:10">
      <c r="A471" s="6">
        <v>1010477</v>
      </c>
      <c r="B471" s="6">
        <v>26001</v>
      </c>
      <c r="C471" s="6">
        <v>1</v>
      </c>
      <c r="D471" s="6">
        <v>5</v>
      </c>
      <c r="E471" s="6" t="s">
        <v>210</v>
      </c>
      <c r="F471" s="11" t="s">
        <v>35</v>
      </c>
      <c r="G471" s="11" t="s">
        <v>36</v>
      </c>
      <c r="H471" s="6">
        <v>0</v>
      </c>
      <c r="I471" s="11">
        <v>0</v>
      </c>
      <c r="J471" s="6" t="s">
        <v>37</v>
      </c>
    </row>
    <row r="472" spans="1:10">
      <c r="A472" s="6">
        <v>1010478</v>
      </c>
      <c r="B472" s="6">
        <v>26001</v>
      </c>
      <c r="C472" s="6">
        <v>1</v>
      </c>
      <c r="D472" s="6">
        <v>6</v>
      </c>
      <c r="E472" s="6" t="s">
        <v>210</v>
      </c>
      <c r="F472" s="11" t="s">
        <v>35</v>
      </c>
      <c r="G472" s="11" t="s">
        <v>38</v>
      </c>
      <c r="H472" s="6">
        <v>120062</v>
      </c>
      <c r="I472" s="11" t="s">
        <v>211</v>
      </c>
      <c r="J472" s="6" t="s">
        <v>40</v>
      </c>
    </row>
    <row r="473" spans="1:10">
      <c r="A473" s="6">
        <v>1010479</v>
      </c>
      <c r="B473" s="6">
        <v>26001</v>
      </c>
      <c r="C473" s="6">
        <v>2</v>
      </c>
      <c r="D473" s="6">
        <v>0</v>
      </c>
      <c r="E473" s="6" t="s">
        <v>212</v>
      </c>
      <c r="F473" s="11" t="s">
        <v>35</v>
      </c>
      <c r="G473" s="11">
        <v>0</v>
      </c>
      <c r="H473" s="6">
        <v>0</v>
      </c>
      <c r="I473" s="11" t="str">
        <f t="shared" ref="I473:I478" si="29">I472</f>
        <v>153|5</v>
      </c>
      <c r="J473" s="6">
        <v>0</v>
      </c>
    </row>
    <row r="474" spans="1:10">
      <c r="A474" s="6">
        <v>1010480</v>
      </c>
      <c r="B474" s="6">
        <v>26001</v>
      </c>
      <c r="C474" s="6">
        <v>2</v>
      </c>
      <c r="D474" s="6">
        <v>1</v>
      </c>
      <c r="E474" s="6" t="s">
        <v>212</v>
      </c>
      <c r="F474" s="11" t="s">
        <v>42</v>
      </c>
      <c r="G474" s="11" t="s">
        <v>24</v>
      </c>
      <c r="H474" s="6">
        <v>0</v>
      </c>
      <c r="I474" s="11" t="str">
        <f t="shared" si="29"/>
        <v>153|5</v>
      </c>
      <c r="J474" s="6" t="s">
        <v>43</v>
      </c>
    </row>
    <row r="475" spans="1:10">
      <c r="A475" s="6">
        <v>1010481</v>
      </c>
      <c r="B475" s="6">
        <v>26001</v>
      </c>
      <c r="C475" s="6">
        <v>2</v>
      </c>
      <c r="D475" s="6">
        <v>2</v>
      </c>
      <c r="E475" s="6" t="s">
        <v>212</v>
      </c>
      <c r="F475" s="11" t="s">
        <v>44</v>
      </c>
      <c r="G475" s="11" t="s">
        <v>27</v>
      </c>
      <c r="H475" s="6">
        <v>0</v>
      </c>
      <c r="I475" s="11" t="str">
        <f t="shared" si="29"/>
        <v>153|5</v>
      </c>
      <c r="J475" s="6" t="s">
        <v>45</v>
      </c>
    </row>
    <row r="476" spans="1:10">
      <c r="A476" s="6">
        <v>1010482</v>
      </c>
      <c r="B476" s="6">
        <v>26001</v>
      </c>
      <c r="C476" s="6">
        <v>2</v>
      </c>
      <c r="D476" s="6">
        <v>3</v>
      </c>
      <c r="E476" s="6" t="s">
        <v>212</v>
      </c>
      <c r="F476" s="11" t="s">
        <v>46</v>
      </c>
      <c r="G476" s="11" t="s">
        <v>30</v>
      </c>
      <c r="H476" s="6">
        <v>0</v>
      </c>
      <c r="I476" s="11" t="str">
        <f t="shared" si="29"/>
        <v>153|5</v>
      </c>
      <c r="J476" s="6" t="s">
        <v>47</v>
      </c>
    </row>
    <row r="477" spans="1:10">
      <c r="A477" s="6">
        <v>1010483</v>
      </c>
      <c r="B477" s="6">
        <v>26001</v>
      </c>
      <c r="C477" s="6">
        <v>2</v>
      </c>
      <c r="D477" s="6">
        <v>4</v>
      </c>
      <c r="E477" s="6" t="s">
        <v>212</v>
      </c>
      <c r="F477" s="11" t="s">
        <v>48</v>
      </c>
      <c r="G477" s="11" t="s">
        <v>33</v>
      </c>
      <c r="H477" s="6">
        <v>0</v>
      </c>
      <c r="I477" s="11" t="str">
        <f t="shared" si="29"/>
        <v>153|5</v>
      </c>
      <c r="J477" s="6" t="s">
        <v>49</v>
      </c>
    </row>
    <row r="478" spans="1:10">
      <c r="A478" s="6">
        <v>1010484</v>
      </c>
      <c r="B478" s="6">
        <v>26001</v>
      </c>
      <c r="C478" s="6">
        <v>2</v>
      </c>
      <c r="D478" s="6">
        <v>5</v>
      </c>
      <c r="E478" s="6" t="s">
        <v>212</v>
      </c>
      <c r="F478" s="11" t="s">
        <v>50</v>
      </c>
      <c r="G478" s="11" t="s">
        <v>36</v>
      </c>
      <c r="H478" s="6">
        <v>0</v>
      </c>
      <c r="I478" s="11" t="str">
        <f t="shared" si="29"/>
        <v>153|5</v>
      </c>
      <c r="J478" s="6" t="s">
        <v>51</v>
      </c>
    </row>
    <row r="479" spans="1:10">
      <c r="A479" s="6">
        <v>1010485</v>
      </c>
      <c r="B479" s="6">
        <v>26001</v>
      </c>
      <c r="C479" s="6">
        <v>2</v>
      </c>
      <c r="D479" s="6">
        <v>6</v>
      </c>
      <c r="E479" s="6" t="s">
        <v>212</v>
      </c>
      <c r="F479" s="11" t="s">
        <v>50</v>
      </c>
      <c r="G479" s="11" t="s">
        <v>38</v>
      </c>
      <c r="H479" s="6">
        <v>120063</v>
      </c>
      <c r="I479" s="11" t="s">
        <v>213</v>
      </c>
      <c r="J479" s="6" t="s">
        <v>40</v>
      </c>
    </row>
    <row r="480" spans="1:10">
      <c r="A480" s="6">
        <v>1010486</v>
      </c>
      <c r="B480" s="6">
        <v>26001</v>
      </c>
      <c r="C480" s="6">
        <v>3</v>
      </c>
      <c r="D480" s="6">
        <v>0</v>
      </c>
      <c r="E480" s="6" t="s">
        <v>214</v>
      </c>
      <c r="F480" s="11" t="s">
        <v>50</v>
      </c>
      <c r="G480" s="11">
        <v>0</v>
      </c>
      <c r="H480" s="6">
        <v>0</v>
      </c>
      <c r="I480" s="11" t="str">
        <f t="shared" ref="I480:I485" si="30">I479</f>
        <v>153|6</v>
      </c>
      <c r="J480" s="6">
        <v>0</v>
      </c>
    </row>
    <row r="481" spans="1:10">
      <c r="A481" s="6">
        <v>1010487</v>
      </c>
      <c r="B481" s="6">
        <v>26001</v>
      </c>
      <c r="C481" s="6">
        <v>3</v>
      </c>
      <c r="D481" s="6">
        <v>1</v>
      </c>
      <c r="E481" s="6" t="s">
        <v>214</v>
      </c>
      <c r="F481" s="11" t="s">
        <v>54</v>
      </c>
      <c r="G481" s="11" t="s">
        <v>24</v>
      </c>
      <c r="H481" s="6">
        <v>0</v>
      </c>
      <c r="I481" s="11" t="str">
        <f t="shared" si="30"/>
        <v>153|6</v>
      </c>
      <c r="J481" s="6" t="s">
        <v>55</v>
      </c>
    </row>
    <row r="482" spans="1:10">
      <c r="A482" s="6">
        <v>1010488</v>
      </c>
      <c r="B482" s="6">
        <v>26001</v>
      </c>
      <c r="C482" s="6">
        <v>3</v>
      </c>
      <c r="D482" s="6">
        <v>2</v>
      </c>
      <c r="E482" s="6" t="s">
        <v>214</v>
      </c>
      <c r="F482" s="11" t="s">
        <v>56</v>
      </c>
      <c r="G482" s="11" t="s">
        <v>27</v>
      </c>
      <c r="H482" s="6">
        <v>0</v>
      </c>
      <c r="I482" s="11" t="str">
        <f t="shared" si="30"/>
        <v>153|6</v>
      </c>
      <c r="J482" s="6" t="s">
        <v>57</v>
      </c>
    </row>
    <row r="483" spans="1:10">
      <c r="A483" s="6">
        <v>1010489</v>
      </c>
      <c r="B483" s="6">
        <v>26001</v>
      </c>
      <c r="C483" s="6">
        <v>3</v>
      </c>
      <c r="D483" s="6">
        <v>3</v>
      </c>
      <c r="E483" s="6" t="s">
        <v>214</v>
      </c>
      <c r="F483" s="11" t="s">
        <v>58</v>
      </c>
      <c r="G483" s="11" t="s">
        <v>30</v>
      </c>
      <c r="H483" s="6">
        <v>0</v>
      </c>
      <c r="I483" s="11" t="str">
        <f t="shared" si="30"/>
        <v>153|6</v>
      </c>
      <c r="J483" s="6" t="s">
        <v>59</v>
      </c>
    </row>
    <row r="484" spans="1:10">
      <c r="A484" s="6">
        <v>1010490</v>
      </c>
      <c r="B484" s="6">
        <v>26001</v>
      </c>
      <c r="C484" s="6">
        <v>3</v>
      </c>
      <c r="D484" s="6">
        <v>4</v>
      </c>
      <c r="E484" s="6" t="s">
        <v>214</v>
      </c>
      <c r="F484" s="11" t="s">
        <v>60</v>
      </c>
      <c r="G484" s="11" t="s">
        <v>33</v>
      </c>
      <c r="H484" s="6">
        <v>0</v>
      </c>
      <c r="I484" s="11" t="str">
        <f t="shared" si="30"/>
        <v>153|6</v>
      </c>
      <c r="J484" s="6" t="s">
        <v>61</v>
      </c>
    </row>
    <row r="485" spans="1:10">
      <c r="A485" s="6">
        <v>1010491</v>
      </c>
      <c r="B485" s="6">
        <v>26001</v>
      </c>
      <c r="C485" s="6">
        <v>3</v>
      </c>
      <c r="D485" s="6">
        <v>5</v>
      </c>
      <c r="E485" s="6" t="s">
        <v>214</v>
      </c>
      <c r="F485" s="11" t="s">
        <v>62</v>
      </c>
      <c r="G485" s="11" t="s">
        <v>36</v>
      </c>
      <c r="H485" s="6">
        <v>0</v>
      </c>
      <c r="I485" s="11" t="str">
        <f t="shared" si="30"/>
        <v>153|6</v>
      </c>
      <c r="J485" s="6" t="s">
        <v>63</v>
      </c>
    </row>
    <row r="486" spans="1:10">
      <c r="A486" s="6">
        <v>1010492</v>
      </c>
      <c r="B486" s="6">
        <v>26001</v>
      </c>
      <c r="C486" s="6">
        <v>3</v>
      </c>
      <c r="D486" s="6">
        <v>6</v>
      </c>
      <c r="E486" s="6" t="s">
        <v>214</v>
      </c>
      <c r="F486" s="11" t="s">
        <v>62</v>
      </c>
      <c r="G486" s="11" t="s">
        <v>38</v>
      </c>
      <c r="H486" s="6">
        <v>120064</v>
      </c>
      <c r="I486" s="11" t="s">
        <v>215</v>
      </c>
      <c r="J486" s="6" t="s">
        <v>40</v>
      </c>
    </row>
    <row r="487" spans="1:10">
      <c r="A487" s="6">
        <v>1010493</v>
      </c>
      <c r="B487" s="6">
        <v>26001</v>
      </c>
      <c r="C487" s="6">
        <v>4</v>
      </c>
      <c r="D487" s="6">
        <v>0</v>
      </c>
      <c r="E487" s="6" t="s">
        <v>216</v>
      </c>
      <c r="F487" s="11" t="s">
        <v>62</v>
      </c>
      <c r="G487" s="11">
        <v>0</v>
      </c>
      <c r="H487" s="6">
        <v>0</v>
      </c>
      <c r="I487" s="11" t="str">
        <f t="shared" ref="I487:I492" si="31">I486</f>
        <v>153|7</v>
      </c>
      <c r="J487" s="6">
        <v>0</v>
      </c>
    </row>
    <row r="488" spans="1:10">
      <c r="A488" s="6">
        <v>1010494</v>
      </c>
      <c r="B488" s="6">
        <v>26001</v>
      </c>
      <c r="C488" s="6">
        <v>4</v>
      </c>
      <c r="D488" s="6">
        <v>1</v>
      </c>
      <c r="E488" s="6" t="s">
        <v>216</v>
      </c>
      <c r="F488" s="11" t="s">
        <v>66</v>
      </c>
      <c r="G488" s="11" t="s">
        <v>24</v>
      </c>
      <c r="H488" s="6">
        <v>0</v>
      </c>
      <c r="I488" s="11" t="str">
        <f t="shared" si="31"/>
        <v>153|7</v>
      </c>
      <c r="J488" s="6" t="s">
        <v>67</v>
      </c>
    </row>
    <row r="489" spans="1:10">
      <c r="A489" s="6">
        <v>1010495</v>
      </c>
      <c r="B489" s="6">
        <v>26001</v>
      </c>
      <c r="C489" s="6">
        <v>4</v>
      </c>
      <c r="D489" s="6">
        <v>2</v>
      </c>
      <c r="E489" s="6" t="s">
        <v>216</v>
      </c>
      <c r="F489" s="11" t="s">
        <v>68</v>
      </c>
      <c r="G489" s="11" t="s">
        <v>27</v>
      </c>
      <c r="H489" s="6">
        <v>0</v>
      </c>
      <c r="I489" s="11" t="str">
        <f t="shared" si="31"/>
        <v>153|7</v>
      </c>
      <c r="J489" s="6" t="s">
        <v>69</v>
      </c>
    </row>
    <row r="490" spans="1:10">
      <c r="A490" s="6">
        <v>1010496</v>
      </c>
      <c r="B490" s="6">
        <v>26001</v>
      </c>
      <c r="C490" s="6">
        <v>4</v>
      </c>
      <c r="D490" s="6">
        <v>3</v>
      </c>
      <c r="E490" s="6" t="s">
        <v>216</v>
      </c>
      <c r="F490" s="11" t="s">
        <v>70</v>
      </c>
      <c r="G490" s="11" t="s">
        <v>30</v>
      </c>
      <c r="H490" s="6">
        <v>0</v>
      </c>
      <c r="I490" s="11" t="str">
        <f t="shared" si="31"/>
        <v>153|7</v>
      </c>
      <c r="J490" s="6" t="s">
        <v>71</v>
      </c>
    </row>
    <row r="491" spans="1:10">
      <c r="A491" s="6">
        <v>1010497</v>
      </c>
      <c r="B491" s="6">
        <v>26001</v>
      </c>
      <c r="C491" s="6">
        <v>4</v>
      </c>
      <c r="D491" s="6">
        <v>4</v>
      </c>
      <c r="E491" s="6" t="s">
        <v>216</v>
      </c>
      <c r="F491" s="11" t="s">
        <v>72</v>
      </c>
      <c r="G491" s="11" t="s">
        <v>33</v>
      </c>
      <c r="H491" s="6">
        <v>0</v>
      </c>
      <c r="I491" s="11" t="str">
        <f t="shared" si="31"/>
        <v>153|7</v>
      </c>
      <c r="J491" s="6" t="s">
        <v>73</v>
      </c>
    </row>
    <row r="492" spans="1:10">
      <c r="A492" s="6">
        <v>1010498</v>
      </c>
      <c r="B492" s="6">
        <v>26001</v>
      </c>
      <c r="C492" s="6">
        <v>4</v>
      </c>
      <c r="D492" s="6">
        <v>5</v>
      </c>
      <c r="E492" s="6" t="s">
        <v>216</v>
      </c>
      <c r="F492" s="11" t="s">
        <v>74</v>
      </c>
      <c r="G492" s="11" t="s">
        <v>36</v>
      </c>
      <c r="H492" s="6">
        <v>0</v>
      </c>
      <c r="I492" s="11" t="str">
        <f t="shared" si="31"/>
        <v>153|7</v>
      </c>
      <c r="J492" s="6" t="s">
        <v>75</v>
      </c>
    </row>
    <row r="493" spans="1:10">
      <c r="A493" s="6">
        <v>1010499</v>
      </c>
      <c r="B493" s="6">
        <v>26001</v>
      </c>
      <c r="C493" s="6">
        <v>4</v>
      </c>
      <c r="D493" s="6">
        <v>6</v>
      </c>
      <c r="E493" s="6" t="s">
        <v>216</v>
      </c>
      <c r="F493" s="11" t="s">
        <v>74</v>
      </c>
      <c r="G493" s="11" t="s">
        <v>38</v>
      </c>
      <c r="H493" s="6">
        <v>120065</v>
      </c>
      <c r="I493" s="11" t="s">
        <v>217</v>
      </c>
      <c r="J493" s="6" t="s">
        <v>40</v>
      </c>
    </row>
    <row r="494" spans="1:10">
      <c r="A494" s="6">
        <v>1010500</v>
      </c>
      <c r="B494" s="6">
        <v>26001</v>
      </c>
      <c r="C494" s="6">
        <v>5</v>
      </c>
      <c r="D494" s="6">
        <v>0</v>
      </c>
      <c r="E494" s="6" t="s">
        <v>218</v>
      </c>
      <c r="F494" s="11" t="s">
        <v>74</v>
      </c>
      <c r="G494" s="11">
        <v>0</v>
      </c>
      <c r="H494" s="6">
        <v>0</v>
      </c>
      <c r="I494" s="11" t="str">
        <f t="shared" ref="I494:I499" si="32">I493</f>
        <v>153|8</v>
      </c>
      <c r="J494" s="6">
        <v>0</v>
      </c>
    </row>
    <row r="495" spans="1:10">
      <c r="A495" s="6">
        <v>1010501</v>
      </c>
      <c r="B495" s="6">
        <v>26001</v>
      </c>
      <c r="C495" s="6">
        <v>5</v>
      </c>
      <c r="D495" s="6">
        <v>1</v>
      </c>
      <c r="E495" s="6" t="s">
        <v>218</v>
      </c>
      <c r="F495" s="11" t="s">
        <v>78</v>
      </c>
      <c r="G495" s="11" t="s">
        <v>24</v>
      </c>
      <c r="H495" s="6">
        <v>0</v>
      </c>
      <c r="I495" s="11" t="str">
        <f t="shared" si="32"/>
        <v>153|8</v>
      </c>
      <c r="J495" s="6" t="s">
        <v>79</v>
      </c>
    </row>
    <row r="496" spans="1:10">
      <c r="A496" s="6">
        <v>1010502</v>
      </c>
      <c r="B496" s="6">
        <v>26001</v>
      </c>
      <c r="C496" s="6">
        <v>5</v>
      </c>
      <c r="D496" s="6">
        <v>2</v>
      </c>
      <c r="E496" s="6" t="s">
        <v>218</v>
      </c>
      <c r="F496" s="11" t="s">
        <v>80</v>
      </c>
      <c r="G496" s="11" t="s">
        <v>27</v>
      </c>
      <c r="H496" s="6">
        <v>0</v>
      </c>
      <c r="I496" s="11" t="str">
        <f t="shared" si="32"/>
        <v>153|8</v>
      </c>
      <c r="J496" s="6" t="s">
        <v>81</v>
      </c>
    </row>
    <row r="497" spans="1:10">
      <c r="A497" s="6">
        <v>1010503</v>
      </c>
      <c r="B497" s="6">
        <v>26001</v>
      </c>
      <c r="C497" s="6">
        <v>5</v>
      </c>
      <c r="D497" s="6">
        <v>3</v>
      </c>
      <c r="E497" s="6" t="s">
        <v>218</v>
      </c>
      <c r="F497" s="11" t="s">
        <v>82</v>
      </c>
      <c r="G497" s="11" t="s">
        <v>30</v>
      </c>
      <c r="H497" s="6">
        <v>0</v>
      </c>
      <c r="I497" s="11" t="str">
        <f t="shared" si="32"/>
        <v>153|8</v>
      </c>
      <c r="J497" s="6" t="s">
        <v>83</v>
      </c>
    </row>
    <row r="498" spans="1:10">
      <c r="A498" s="6">
        <v>1010504</v>
      </c>
      <c r="B498" s="6">
        <v>26001</v>
      </c>
      <c r="C498" s="6">
        <v>5</v>
      </c>
      <c r="D498" s="6">
        <v>4</v>
      </c>
      <c r="E498" s="6" t="s">
        <v>218</v>
      </c>
      <c r="F498" s="11" t="s">
        <v>84</v>
      </c>
      <c r="G498" s="11" t="s">
        <v>33</v>
      </c>
      <c r="H498" s="6">
        <v>0</v>
      </c>
      <c r="I498" s="11" t="str">
        <f t="shared" si="32"/>
        <v>153|8</v>
      </c>
      <c r="J498" s="6" t="s">
        <v>85</v>
      </c>
    </row>
    <row r="499" spans="1:10">
      <c r="A499" s="6">
        <v>1010505</v>
      </c>
      <c r="B499" s="6">
        <v>26001</v>
      </c>
      <c r="C499" s="6">
        <v>5</v>
      </c>
      <c r="D499" s="6">
        <v>5</v>
      </c>
      <c r="E499" s="6" t="s">
        <v>218</v>
      </c>
      <c r="F499" s="11" t="s">
        <v>86</v>
      </c>
      <c r="G499" s="11" t="s">
        <v>36</v>
      </c>
      <c r="H499" s="6">
        <v>0</v>
      </c>
      <c r="I499" s="11" t="str">
        <f t="shared" si="32"/>
        <v>153|8</v>
      </c>
      <c r="J499" s="6" t="s">
        <v>87</v>
      </c>
    </row>
    <row r="500" spans="1:10">
      <c r="A500" s="6">
        <v>1010506</v>
      </c>
      <c r="B500" s="6">
        <v>26001</v>
      </c>
      <c r="C500" s="6">
        <v>5</v>
      </c>
      <c r="D500" s="6">
        <v>6</v>
      </c>
      <c r="E500" s="6" t="s">
        <v>218</v>
      </c>
      <c r="F500" s="11" t="s">
        <v>86</v>
      </c>
      <c r="G500" s="11" t="s">
        <v>38</v>
      </c>
      <c r="H500" s="6">
        <v>120066</v>
      </c>
      <c r="I500" s="11" t="s">
        <v>219</v>
      </c>
      <c r="J500" s="6" t="s">
        <v>40</v>
      </c>
    </row>
    <row r="501" spans="1:10">
      <c r="A501" s="6">
        <v>1010507</v>
      </c>
      <c r="B501" s="6">
        <v>26001</v>
      </c>
      <c r="C501" s="6">
        <v>6</v>
      </c>
      <c r="D501" s="6">
        <v>0</v>
      </c>
      <c r="E501" s="6" t="s">
        <v>218</v>
      </c>
      <c r="F501" s="11" t="s">
        <v>86</v>
      </c>
      <c r="G501" s="11">
        <v>0</v>
      </c>
      <c r="H501" s="6">
        <v>0</v>
      </c>
      <c r="I501" s="11" t="str">
        <f t="shared" ref="I501:I506" si="33">I500</f>
        <v>153|9</v>
      </c>
      <c r="J501" s="6">
        <v>0</v>
      </c>
    </row>
    <row r="502" spans="1:10">
      <c r="A502" s="6">
        <v>1010508</v>
      </c>
      <c r="B502" s="6">
        <v>26001</v>
      </c>
      <c r="C502" s="6">
        <v>6</v>
      </c>
      <c r="D502" s="6">
        <v>1</v>
      </c>
      <c r="E502" s="6" t="s">
        <v>218</v>
      </c>
      <c r="F502" s="11" t="s">
        <v>89</v>
      </c>
      <c r="G502" s="11" t="s">
        <v>24</v>
      </c>
      <c r="H502" s="6">
        <v>0</v>
      </c>
      <c r="I502" s="11" t="str">
        <f t="shared" si="33"/>
        <v>153|9</v>
      </c>
      <c r="J502" s="6" t="s">
        <v>90</v>
      </c>
    </row>
    <row r="503" spans="1:10">
      <c r="A503" s="6">
        <v>1010509</v>
      </c>
      <c r="B503" s="6">
        <v>26001</v>
      </c>
      <c r="C503" s="6">
        <v>6</v>
      </c>
      <c r="D503" s="6">
        <v>2</v>
      </c>
      <c r="E503" s="6" t="s">
        <v>218</v>
      </c>
      <c r="F503" s="11" t="s">
        <v>91</v>
      </c>
      <c r="G503" s="11" t="s">
        <v>27</v>
      </c>
      <c r="H503" s="6">
        <v>0</v>
      </c>
      <c r="I503" s="11" t="str">
        <f t="shared" si="33"/>
        <v>153|9</v>
      </c>
      <c r="J503" s="6" t="s">
        <v>92</v>
      </c>
    </row>
    <row r="504" spans="1:10">
      <c r="A504" s="6">
        <v>1010510</v>
      </c>
      <c r="B504" s="6">
        <v>26001</v>
      </c>
      <c r="C504" s="6">
        <v>6</v>
      </c>
      <c r="D504" s="6">
        <v>3</v>
      </c>
      <c r="E504" s="6" t="s">
        <v>218</v>
      </c>
      <c r="F504" s="11" t="s">
        <v>93</v>
      </c>
      <c r="G504" s="11" t="s">
        <v>30</v>
      </c>
      <c r="H504" s="6">
        <v>0</v>
      </c>
      <c r="I504" s="11" t="str">
        <f t="shared" si="33"/>
        <v>153|9</v>
      </c>
      <c r="J504" s="6" t="s">
        <v>94</v>
      </c>
    </row>
    <row r="505" spans="1:10">
      <c r="A505" s="6">
        <v>1010511</v>
      </c>
      <c r="B505" s="6">
        <v>26001</v>
      </c>
      <c r="C505" s="6">
        <v>6</v>
      </c>
      <c r="D505" s="6">
        <v>4</v>
      </c>
      <c r="E505" s="6" t="s">
        <v>218</v>
      </c>
      <c r="F505" s="11" t="s">
        <v>95</v>
      </c>
      <c r="G505" s="11" t="s">
        <v>33</v>
      </c>
      <c r="H505" s="6">
        <v>0</v>
      </c>
      <c r="I505" s="11" t="str">
        <f t="shared" si="33"/>
        <v>153|9</v>
      </c>
      <c r="J505" s="6" t="s">
        <v>96</v>
      </c>
    </row>
    <row r="506" spans="1:10">
      <c r="A506" s="6">
        <v>1010512</v>
      </c>
      <c r="B506" s="6">
        <v>26001</v>
      </c>
      <c r="C506" s="6">
        <v>6</v>
      </c>
      <c r="D506" s="6">
        <v>5</v>
      </c>
      <c r="E506" s="6" t="s">
        <v>218</v>
      </c>
      <c r="F506" s="11" t="s">
        <v>97</v>
      </c>
      <c r="G506" s="11" t="s">
        <v>36</v>
      </c>
      <c r="H506" s="6">
        <v>0</v>
      </c>
      <c r="I506" s="11" t="str">
        <f t="shared" si="33"/>
        <v>153|9</v>
      </c>
      <c r="J506" s="6" t="s">
        <v>98</v>
      </c>
    </row>
    <row r="507" spans="1:10">
      <c r="A507" s="6">
        <v>1010513</v>
      </c>
      <c r="B507" s="6">
        <v>26001</v>
      </c>
      <c r="C507" s="6">
        <v>6</v>
      </c>
      <c r="D507" s="6">
        <v>6</v>
      </c>
      <c r="E507" s="6">
        <v>0</v>
      </c>
      <c r="F507" s="11" t="s">
        <v>97</v>
      </c>
      <c r="G507" s="11" t="s">
        <v>38</v>
      </c>
      <c r="H507" s="6">
        <v>120067</v>
      </c>
      <c r="I507" s="11" t="s">
        <v>220</v>
      </c>
      <c r="J507" s="6" t="s">
        <v>40</v>
      </c>
    </row>
    <row r="508" spans="1:10">
      <c r="A508" s="6">
        <v>1010514</v>
      </c>
      <c r="B508" s="6">
        <v>28001</v>
      </c>
      <c r="C508" s="6">
        <v>1</v>
      </c>
      <c r="D508" s="6">
        <v>0</v>
      </c>
      <c r="E508" s="6" t="s">
        <v>221</v>
      </c>
      <c r="F508" s="11" t="s">
        <v>22</v>
      </c>
      <c r="G508" s="11">
        <v>0</v>
      </c>
      <c r="H508" s="6">
        <v>0</v>
      </c>
      <c r="I508" s="11">
        <v>0</v>
      </c>
      <c r="J508" s="6">
        <v>0</v>
      </c>
    </row>
    <row r="509" spans="1:10">
      <c r="A509" s="6">
        <v>1010515</v>
      </c>
      <c r="B509" s="6">
        <v>28001</v>
      </c>
      <c r="C509" s="6">
        <v>1</v>
      </c>
      <c r="D509" s="6">
        <v>1</v>
      </c>
      <c r="E509" s="6" t="s">
        <v>221</v>
      </c>
      <c r="F509" s="11" t="s">
        <v>23</v>
      </c>
      <c r="G509" s="11" t="s">
        <v>24</v>
      </c>
      <c r="H509" s="6">
        <v>0</v>
      </c>
      <c r="I509" s="11">
        <v>0</v>
      </c>
      <c r="J509" s="6" t="s">
        <v>25</v>
      </c>
    </row>
    <row r="510" spans="1:10">
      <c r="A510" s="6">
        <v>1010516</v>
      </c>
      <c r="B510" s="6">
        <v>28001</v>
      </c>
      <c r="C510" s="6">
        <v>1</v>
      </c>
      <c r="D510" s="6">
        <v>2</v>
      </c>
      <c r="E510" s="6" t="s">
        <v>221</v>
      </c>
      <c r="F510" s="11" t="s">
        <v>26</v>
      </c>
      <c r="G510" s="11" t="s">
        <v>27</v>
      </c>
      <c r="H510" s="6">
        <v>0</v>
      </c>
      <c r="I510" s="11">
        <v>0</v>
      </c>
      <c r="J510" s="6" t="s">
        <v>28</v>
      </c>
    </row>
    <row r="511" spans="1:10">
      <c r="A511" s="6">
        <v>1010517</v>
      </c>
      <c r="B511" s="6">
        <v>28001</v>
      </c>
      <c r="C511" s="6">
        <v>1</v>
      </c>
      <c r="D511" s="6">
        <v>3</v>
      </c>
      <c r="E511" s="6" t="s">
        <v>221</v>
      </c>
      <c r="F511" s="11" t="s">
        <v>29</v>
      </c>
      <c r="G511" s="11" t="s">
        <v>30</v>
      </c>
      <c r="H511" s="6">
        <v>0</v>
      </c>
      <c r="I511" s="11">
        <v>0</v>
      </c>
      <c r="J511" s="6" t="s">
        <v>31</v>
      </c>
    </row>
    <row r="512" spans="1:10">
      <c r="A512" s="6">
        <v>1010518</v>
      </c>
      <c r="B512" s="6">
        <v>28001</v>
      </c>
      <c r="C512" s="6">
        <v>1</v>
      </c>
      <c r="D512" s="6">
        <v>4</v>
      </c>
      <c r="E512" s="6" t="s">
        <v>221</v>
      </c>
      <c r="F512" s="11" t="s">
        <v>32</v>
      </c>
      <c r="G512" s="11" t="s">
        <v>33</v>
      </c>
      <c r="H512" s="6">
        <v>0</v>
      </c>
      <c r="I512" s="11">
        <v>0</v>
      </c>
      <c r="J512" s="6" t="s">
        <v>34</v>
      </c>
    </row>
    <row r="513" spans="1:10">
      <c r="A513" s="6">
        <v>1010519</v>
      </c>
      <c r="B513" s="6">
        <v>28001</v>
      </c>
      <c r="C513" s="6">
        <v>1</v>
      </c>
      <c r="D513" s="6">
        <v>5</v>
      </c>
      <c r="E513" s="6" t="s">
        <v>221</v>
      </c>
      <c r="F513" s="11" t="s">
        <v>35</v>
      </c>
      <c r="G513" s="11" t="s">
        <v>36</v>
      </c>
      <c r="H513" s="6">
        <v>0</v>
      </c>
      <c r="I513" s="11">
        <v>0</v>
      </c>
      <c r="J513" s="6" t="s">
        <v>37</v>
      </c>
    </row>
    <row r="514" spans="1:10">
      <c r="A514" s="6">
        <v>1010520</v>
      </c>
      <c r="B514" s="6">
        <v>28001</v>
      </c>
      <c r="C514" s="6">
        <v>1</v>
      </c>
      <c r="D514" s="6">
        <v>6</v>
      </c>
      <c r="E514" s="6" t="s">
        <v>221</v>
      </c>
      <c r="F514" s="11" t="s">
        <v>35</v>
      </c>
      <c r="G514" s="11" t="s">
        <v>38</v>
      </c>
      <c r="H514" s="6">
        <v>120072</v>
      </c>
      <c r="I514" s="11" t="s">
        <v>222</v>
      </c>
      <c r="J514" s="6" t="s">
        <v>40</v>
      </c>
    </row>
    <row r="515" spans="1:10">
      <c r="A515" s="6">
        <v>1010521</v>
      </c>
      <c r="B515" s="6">
        <v>28001</v>
      </c>
      <c r="C515" s="6">
        <v>2</v>
      </c>
      <c r="D515" s="6">
        <v>0</v>
      </c>
      <c r="E515" s="6" t="s">
        <v>223</v>
      </c>
      <c r="F515" s="11" t="s">
        <v>35</v>
      </c>
      <c r="G515" s="11">
        <v>0</v>
      </c>
      <c r="H515" s="6">
        <v>0</v>
      </c>
      <c r="I515" s="11" t="str">
        <f t="shared" ref="I515:I520" si="34">I514</f>
        <v>163|5</v>
      </c>
      <c r="J515" s="6">
        <v>0</v>
      </c>
    </row>
    <row r="516" spans="1:10">
      <c r="A516" s="6">
        <v>1010522</v>
      </c>
      <c r="B516" s="6">
        <v>28001</v>
      </c>
      <c r="C516" s="6">
        <v>2</v>
      </c>
      <c r="D516" s="6">
        <v>1</v>
      </c>
      <c r="E516" s="6" t="s">
        <v>223</v>
      </c>
      <c r="F516" s="11" t="s">
        <v>42</v>
      </c>
      <c r="G516" s="11" t="s">
        <v>24</v>
      </c>
      <c r="H516" s="6">
        <v>0</v>
      </c>
      <c r="I516" s="11" t="str">
        <f t="shared" si="34"/>
        <v>163|5</v>
      </c>
      <c r="J516" s="6" t="s">
        <v>43</v>
      </c>
    </row>
    <row r="517" spans="1:10">
      <c r="A517" s="6">
        <v>1010523</v>
      </c>
      <c r="B517" s="6">
        <v>28001</v>
      </c>
      <c r="C517" s="6">
        <v>2</v>
      </c>
      <c r="D517" s="6">
        <v>2</v>
      </c>
      <c r="E517" s="6" t="s">
        <v>223</v>
      </c>
      <c r="F517" s="11" t="s">
        <v>44</v>
      </c>
      <c r="G517" s="11" t="s">
        <v>27</v>
      </c>
      <c r="H517" s="6">
        <v>0</v>
      </c>
      <c r="I517" s="11" t="str">
        <f t="shared" si="34"/>
        <v>163|5</v>
      </c>
      <c r="J517" s="6" t="s">
        <v>45</v>
      </c>
    </row>
    <row r="518" spans="1:10">
      <c r="A518" s="6">
        <v>1010524</v>
      </c>
      <c r="B518" s="6">
        <v>28001</v>
      </c>
      <c r="C518" s="6">
        <v>2</v>
      </c>
      <c r="D518" s="6">
        <v>3</v>
      </c>
      <c r="E518" s="6" t="s">
        <v>223</v>
      </c>
      <c r="F518" s="11" t="s">
        <v>46</v>
      </c>
      <c r="G518" s="11" t="s">
        <v>30</v>
      </c>
      <c r="H518" s="6">
        <v>0</v>
      </c>
      <c r="I518" s="11" t="str">
        <f t="shared" si="34"/>
        <v>163|5</v>
      </c>
      <c r="J518" s="6" t="s">
        <v>47</v>
      </c>
    </row>
    <row r="519" spans="1:10">
      <c r="A519" s="6">
        <v>1010525</v>
      </c>
      <c r="B519" s="6">
        <v>28001</v>
      </c>
      <c r="C519" s="6">
        <v>2</v>
      </c>
      <c r="D519" s="6">
        <v>4</v>
      </c>
      <c r="E519" s="6" t="s">
        <v>223</v>
      </c>
      <c r="F519" s="11" t="s">
        <v>48</v>
      </c>
      <c r="G519" s="11" t="s">
        <v>33</v>
      </c>
      <c r="H519" s="6">
        <v>0</v>
      </c>
      <c r="I519" s="11" t="str">
        <f t="shared" si="34"/>
        <v>163|5</v>
      </c>
      <c r="J519" s="6" t="s">
        <v>49</v>
      </c>
    </row>
    <row r="520" spans="1:10">
      <c r="A520" s="6">
        <v>1010526</v>
      </c>
      <c r="B520" s="6">
        <v>28001</v>
      </c>
      <c r="C520" s="6">
        <v>2</v>
      </c>
      <c r="D520" s="6">
        <v>5</v>
      </c>
      <c r="E520" s="6" t="s">
        <v>223</v>
      </c>
      <c r="F520" s="11" t="s">
        <v>50</v>
      </c>
      <c r="G520" s="11" t="s">
        <v>36</v>
      </c>
      <c r="H520" s="6">
        <v>0</v>
      </c>
      <c r="I520" s="11" t="str">
        <f t="shared" si="34"/>
        <v>163|5</v>
      </c>
      <c r="J520" s="6" t="s">
        <v>51</v>
      </c>
    </row>
    <row r="521" spans="1:10">
      <c r="A521" s="6">
        <v>1010527</v>
      </c>
      <c r="B521" s="6">
        <v>28001</v>
      </c>
      <c r="C521" s="6">
        <v>2</v>
      </c>
      <c r="D521" s="6">
        <v>6</v>
      </c>
      <c r="E521" s="6" t="s">
        <v>223</v>
      </c>
      <c r="F521" s="11" t="s">
        <v>50</v>
      </c>
      <c r="G521" s="11" t="s">
        <v>38</v>
      </c>
      <c r="H521" s="6">
        <v>120073</v>
      </c>
      <c r="I521" s="11" t="s">
        <v>224</v>
      </c>
      <c r="J521" s="6" t="s">
        <v>40</v>
      </c>
    </row>
    <row r="522" spans="1:10">
      <c r="A522" s="6">
        <v>1010528</v>
      </c>
      <c r="B522" s="6">
        <v>28001</v>
      </c>
      <c r="C522" s="6">
        <v>3</v>
      </c>
      <c r="D522" s="6">
        <v>0</v>
      </c>
      <c r="E522" s="6" t="s">
        <v>225</v>
      </c>
      <c r="F522" s="11" t="s">
        <v>50</v>
      </c>
      <c r="G522" s="11">
        <v>0</v>
      </c>
      <c r="H522" s="6">
        <v>0</v>
      </c>
      <c r="I522" s="11" t="str">
        <f t="shared" ref="I522:I527" si="35">I521</f>
        <v>163|6</v>
      </c>
      <c r="J522" s="6">
        <v>0</v>
      </c>
    </row>
    <row r="523" spans="1:10">
      <c r="A523" s="6">
        <v>1010529</v>
      </c>
      <c r="B523" s="6">
        <v>28001</v>
      </c>
      <c r="C523" s="6">
        <v>3</v>
      </c>
      <c r="D523" s="6">
        <v>1</v>
      </c>
      <c r="E523" s="6" t="s">
        <v>225</v>
      </c>
      <c r="F523" s="11" t="s">
        <v>54</v>
      </c>
      <c r="G523" s="11" t="s">
        <v>24</v>
      </c>
      <c r="H523" s="6">
        <v>0</v>
      </c>
      <c r="I523" s="11" t="str">
        <f t="shared" si="35"/>
        <v>163|6</v>
      </c>
      <c r="J523" s="6" t="s">
        <v>55</v>
      </c>
    </row>
    <row r="524" spans="1:10">
      <c r="A524" s="6">
        <v>1010530</v>
      </c>
      <c r="B524" s="6">
        <v>28001</v>
      </c>
      <c r="C524" s="6">
        <v>3</v>
      </c>
      <c r="D524" s="6">
        <v>2</v>
      </c>
      <c r="E524" s="6" t="s">
        <v>225</v>
      </c>
      <c r="F524" s="11" t="s">
        <v>56</v>
      </c>
      <c r="G524" s="11" t="s">
        <v>27</v>
      </c>
      <c r="H524" s="6">
        <v>0</v>
      </c>
      <c r="I524" s="11" t="str">
        <f t="shared" si="35"/>
        <v>163|6</v>
      </c>
      <c r="J524" s="6" t="s">
        <v>57</v>
      </c>
    </row>
    <row r="525" spans="1:10">
      <c r="A525" s="6">
        <v>1010531</v>
      </c>
      <c r="B525" s="6">
        <v>28001</v>
      </c>
      <c r="C525" s="6">
        <v>3</v>
      </c>
      <c r="D525" s="6">
        <v>3</v>
      </c>
      <c r="E525" s="6" t="s">
        <v>225</v>
      </c>
      <c r="F525" s="11" t="s">
        <v>58</v>
      </c>
      <c r="G525" s="11" t="s">
        <v>30</v>
      </c>
      <c r="H525" s="6">
        <v>0</v>
      </c>
      <c r="I525" s="11" t="str">
        <f t="shared" si="35"/>
        <v>163|6</v>
      </c>
      <c r="J525" s="6" t="s">
        <v>59</v>
      </c>
    </row>
    <row r="526" spans="1:10">
      <c r="A526" s="6">
        <v>1010532</v>
      </c>
      <c r="B526" s="6">
        <v>28001</v>
      </c>
      <c r="C526" s="6">
        <v>3</v>
      </c>
      <c r="D526" s="6">
        <v>4</v>
      </c>
      <c r="E526" s="6" t="s">
        <v>225</v>
      </c>
      <c r="F526" s="11" t="s">
        <v>60</v>
      </c>
      <c r="G526" s="11" t="s">
        <v>33</v>
      </c>
      <c r="H526" s="6">
        <v>0</v>
      </c>
      <c r="I526" s="11" t="str">
        <f t="shared" si="35"/>
        <v>163|6</v>
      </c>
      <c r="J526" s="6" t="s">
        <v>61</v>
      </c>
    </row>
    <row r="527" spans="1:10">
      <c r="A527" s="6">
        <v>1010533</v>
      </c>
      <c r="B527" s="6">
        <v>28001</v>
      </c>
      <c r="C527" s="6">
        <v>3</v>
      </c>
      <c r="D527" s="6">
        <v>5</v>
      </c>
      <c r="E527" s="6" t="s">
        <v>225</v>
      </c>
      <c r="F527" s="11" t="s">
        <v>62</v>
      </c>
      <c r="G527" s="11" t="s">
        <v>36</v>
      </c>
      <c r="H527" s="6">
        <v>0</v>
      </c>
      <c r="I527" s="11" t="str">
        <f t="shared" si="35"/>
        <v>163|6</v>
      </c>
      <c r="J527" s="6" t="s">
        <v>63</v>
      </c>
    </row>
    <row r="528" spans="1:10">
      <c r="A528" s="6">
        <v>1010534</v>
      </c>
      <c r="B528" s="6">
        <v>28001</v>
      </c>
      <c r="C528" s="6">
        <v>3</v>
      </c>
      <c r="D528" s="6">
        <v>6</v>
      </c>
      <c r="E528" s="6" t="s">
        <v>225</v>
      </c>
      <c r="F528" s="11" t="s">
        <v>62</v>
      </c>
      <c r="G528" s="11" t="s">
        <v>38</v>
      </c>
      <c r="H528" s="6">
        <v>120074</v>
      </c>
      <c r="I528" s="11" t="s">
        <v>226</v>
      </c>
      <c r="J528" s="6" t="s">
        <v>40</v>
      </c>
    </row>
    <row r="529" spans="1:10">
      <c r="A529" s="6">
        <v>1010535</v>
      </c>
      <c r="B529" s="6">
        <v>28001</v>
      </c>
      <c r="C529" s="6">
        <v>4</v>
      </c>
      <c r="D529" s="6">
        <v>0</v>
      </c>
      <c r="E529" s="6" t="s">
        <v>227</v>
      </c>
      <c r="F529" s="11" t="s">
        <v>62</v>
      </c>
      <c r="G529" s="11">
        <v>0</v>
      </c>
      <c r="H529" s="6">
        <v>0</v>
      </c>
      <c r="I529" s="11" t="str">
        <f t="shared" ref="I529:I534" si="36">I528</f>
        <v>163|7</v>
      </c>
      <c r="J529" s="6">
        <v>0</v>
      </c>
    </row>
    <row r="530" spans="1:10">
      <c r="A530" s="6">
        <v>1010536</v>
      </c>
      <c r="B530" s="6">
        <v>28001</v>
      </c>
      <c r="C530" s="6">
        <v>4</v>
      </c>
      <c r="D530" s="6">
        <v>1</v>
      </c>
      <c r="E530" s="6" t="s">
        <v>227</v>
      </c>
      <c r="F530" s="11" t="s">
        <v>66</v>
      </c>
      <c r="G530" s="11" t="s">
        <v>24</v>
      </c>
      <c r="H530" s="6">
        <v>0</v>
      </c>
      <c r="I530" s="11" t="str">
        <f t="shared" si="36"/>
        <v>163|7</v>
      </c>
      <c r="J530" s="6" t="s">
        <v>67</v>
      </c>
    </row>
    <row r="531" spans="1:10">
      <c r="A531" s="6">
        <v>1010537</v>
      </c>
      <c r="B531" s="6">
        <v>28001</v>
      </c>
      <c r="C531" s="6">
        <v>4</v>
      </c>
      <c r="D531" s="6">
        <v>2</v>
      </c>
      <c r="E531" s="6" t="s">
        <v>227</v>
      </c>
      <c r="F531" s="11" t="s">
        <v>68</v>
      </c>
      <c r="G531" s="11" t="s">
        <v>27</v>
      </c>
      <c r="H531" s="6">
        <v>0</v>
      </c>
      <c r="I531" s="11" t="str">
        <f t="shared" si="36"/>
        <v>163|7</v>
      </c>
      <c r="J531" s="6" t="s">
        <v>69</v>
      </c>
    </row>
    <row r="532" spans="1:10">
      <c r="A532" s="6">
        <v>1010538</v>
      </c>
      <c r="B532" s="6">
        <v>28001</v>
      </c>
      <c r="C532" s="6">
        <v>4</v>
      </c>
      <c r="D532" s="6">
        <v>3</v>
      </c>
      <c r="E532" s="6" t="s">
        <v>227</v>
      </c>
      <c r="F532" s="11" t="s">
        <v>70</v>
      </c>
      <c r="G532" s="11" t="s">
        <v>30</v>
      </c>
      <c r="H532" s="6">
        <v>0</v>
      </c>
      <c r="I532" s="11" t="str">
        <f t="shared" si="36"/>
        <v>163|7</v>
      </c>
      <c r="J532" s="6" t="s">
        <v>71</v>
      </c>
    </row>
    <row r="533" spans="1:10">
      <c r="A533" s="6">
        <v>1010539</v>
      </c>
      <c r="B533" s="6">
        <v>28001</v>
      </c>
      <c r="C533" s="6">
        <v>4</v>
      </c>
      <c r="D533" s="6">
        <v>4</v>
      </c>
      <c r="E533" s="6" t="s">
        <v>227</v>
      </c>
      <c r="F533" s="11" t="s">
        <v>72</v>
      </c>
      <c r="G533" s="11" t="s">
        <v>33</v>
      </c>
      <c r="H533" s="6">
        <v>0</v>
      </c>
      <c r="I533" s="11" t="str">
        <f t="shared" si="36"/>
        <v>163|7</v>
      </c>
      <c r="J533" s="6" t="s">
        <v>73</v>
      </c>
    </row>
    <row r="534" spans="1:10">
      <c r="A534" s="6">
        <v>1010540</v>
      </c>
      <c r="B534" s="6">
        <v>28001</v>
      </c>
      <c r="C534" s="6">
        <v>4</v>
      </c>
      <c r="D534" s="6">
        <v>5</v>
      </c>
      <c r="E534" s="6" t="s">
        <v>227</v>
      </c>
      <c r="F534" s="11" t="s">
        <v>74</v>
      </c>
      <c r="G534" s="11" t="s">
        <v>36</v>
      </c>
      <c r="H534" s="6">
        <v>0</v>
      </c>
      <c r="I534" s="11" t="str">
        <f t="shared" si="36"/>
        <v>163|7</v>
      </c>
      <c r="J534" s="6" t="s">
        <v>75</v>
      </c>
    </row>
    <row r="535" spans="1:10">
      <c r="A535" s="6">
        <v>1010541</v>
      </c>
      <c r="B535" s="6">
        <v>28001</v>
      </c>
      <c r="C535" s="6">
        <v>4</v>
      </c>
      <c r="D535" s="6">
        <v>6</v>
      </c>
      <c r="E535" s="6" t="s">
        <v>227</v>
      </c>
      <c r="F535" s="11" t="s">
        <v>74</v>
      </c>
      <c r="G535" s="11" t="s">
        <v>38</v>
      </c>
      <c r="H535" s="6">
        <v>120075</v>
      </c>
      <c r="I535" s="11" t="s">
        <v>228</v>
      </c>
      <c r="J535" s="6" t="s">
        <v>40</v>
      </c>
    </row>
    <row r="536" spans="1:10">
      <c r="A536" s="6">
        <v>1010542</v>
      </c>
      <c r="B536" s="6">
        <v>28001</v>
      </c>
      <c r="C536" s="6">
        <v>5</v>
      </c>
      <c r="D536" s="6">
        <v>0</v>
      </c>
      <c r="E536" s="6" t="s">
        <v>229</v>
      </c>
      <c r="F536" s="11" t="s">
        <v>74</v>
      </c>
      <c r="G536" s="11">
        <v>0</v>
      </c>
      <c r="H536" s="6">
        <v>0</v>
      </c>
      <c r="I536" s="11" t="str">
        <f t="shared" ref="I536:I541" si="37">I535</f>
        <v>163|8</v>
      </c>
      <c r="J536" s="6">
        <v>0</v>
      </c>
    </row>
    <row r="537" spans="1:10">
      <c r="A537" s="6">
        <v>1010543</v>
      </c>
      <c r="B537" s="6">
        <v>28001</v>
      </c>
      <c r="C537" s="6">
        <v>5</v>
      </c>
      <c r="D537" s="6">
        <v>1</v>
      </c>
      <c r="E537" s="6" t="s">
        <v>229</v>
      </c>
      <c r="F537" s="11" t="s">
        <v>78</v>
      </c>
      <c r="G537" s="11" t="s">
        <v>24</v>
      </c>
      <c r="H537" s="6">
        <v>0</v>
      </c>
      <c r="I537" s="11" t="str">
        <f t="shared" si="37"/>
        <v>163|8</v>
      </c>
      <c r="J537" s="6" t="s">
        <v>79</v>
      </c>
    </row>
    <row r="538" spans="1:10">
      <c r="A538" s="6">
        <v>1010544</v>
      </c>
      <c r="B538" s="6">
        <v>28001</v>
      </c>
      <c r="C538" s="6">
        <v>5</v>
      </c>
      <c r="D538" s="6">
        <v>2</v>
      </c>
      <c r="E538" s="6" t="s">
        <v>229</v>
      </c>
      <c r="F538" s="11" t="s">
        <v>80</v>
      </c>
      <c r="G538" s="11" t="s">
        <v>27</v>
      </c>
      <c r="H538" s="6">
        <v>0</v>
      </c>
      <c r="I538" s="11" t="str">
        <f t="shared" si="37"/>
        <v>163|8</v>
      </c>
      <c r="J538" s="6" t="s">
        <v>81</v>
      </c>
    </row>
    <row r="539" spans="1:10">
      <c r="A539" s="6">
        <v>1010545</v>
      </c>
      <c r="B539" s="6">
        <v>28001</v>
      </c>
      <c r="C539" s="6">
        <v>5</v>
      </c>
      <c r="D539" s="6">
        <v>3</v>
      </c>
      <c r="E539" s="6" t="s">
        <v>229</v>
      </c>
      <c r="F539" s="11" t="s">
        <v>82</v>
      </c>
      <c r="G539" s="11" t="s">
        <v>30</v>
      </c>
      <c r="H539" s="6">
        <v>0</v>
      </c>
      <c r="I539" s="11" t="str">
        <f t="shared" si="37"/>
        <v>163|8</v>
      </c>
      <c r="J539" s="6" t="s">
        <v>83</v>
      </c>
    </row>
    <row r="540" spans="1:10">
      <c r="A540" s="6">
        <v>1010546</v>
      </c>
      <c r="B540" s="6">
        <v>28001</v>
      </c>
      <c r="C540" s="6">
        <v>5</v>
      </c>
      <c r="D540" s="6">
        <v>4</v>
      </c>
      <c r="E540" s="6" t="s">
        <v>229</v>
      </c>
      <c r="F540" s="11" t="s">
        <v>84</v>
      </c>
      <c r="G540" s="11" t="s">
        <v>33</v>
      </c>
      <c r="H540" s="6">
        <v>0</v>
      </c>
      <c r="I540" s="11" t="str">
        <f t="shared" si="37"/>
        <v>163|8</v>
      </c>
      <c r="J540" s="6" t="s">
        <v>85</v>
      </c>
    </row>
    <row r="541" spans="1:10">
      <c r="A541" s="6">
        <v>1010547</v>
      </c>
      <c r="B541" s="6">
        <v>28001</v>
      </c>
      <c r="C541" s="6">
        <v>5</v>
      </c>
      <c r="D541" s="6">
        <v>5</v>
      </c>
      <c r="E541" s="6" t="s">
        <v>229</v>
      </c>
      <c r="F541" s="11" t="s">
        <v>86</v>
      </c>
      <c r="G541" s="11" t="s">
        <v>36</v>
      </c>
      <c r="H541" s="6">
        <v>0</v>
      </c>
      <c r="I541" s="11" t="str">
        <f t="shared" si="37"/>
        <v>163|8</v>
      </c>
      <c r="J541" s="6" t="s">
        <v>87</v>
      </c>
    </row>
    <row r="542" spans="1:10">
      <c r="A542" s="6">
        <v>1010548</v>
      </c>
      <c r="B542" s="6">
        <v>28001</v>
      </c>
      <c r="C542" s="6">
        <v>5</v>
      </c>
      <c r="D542" s="6">
        <v>6</v>
      </c>
      <c r="E542" s="6" t="s">
        <v>229</v>
      </c>
      <c r="F542" s="11" t="s">
        <v>86</v>
      </c>
      <c r="G542" s="11" t="s">
        <v>38</v>
      </c>
      <c r="H542" s="6">
        <v>120076</v>
      </c>
      <c r="I542" s="11" t="s">
        <v>230</v>
      </c>
      <c r="J542" s="6" t="s">
        <v>40</v>
      </c>
    </row>
    <row r="543" spans="1:10">
      <c r="A543" s="6">
        <v>1010549</v>
      </c>
      <c r="B543" s="6">
        <v>28001</v>
      </c>
      <c r="C543" s="6">
        <v>6</v>
      </c>
      <c r="D543" s="6">
        <v>0</v>
      </c>
      <c r="E543" s="6" t="s">
        <v>229</v>
      </c>
      <c r="F543" s="11" t="s">
        <v>86</v>
      </c>
      <c r="G543" s="11">
        <v>0</v>
      </c>
      <c r="H543" s="6">
        <v>0</v>
      </c>
      <c r="I543" s="11" t="str">
        <f t="shared" ref="I543:I548" si="38">I542</f>
        <v>163|9</v>
      </c>
      <c r="J543" s="6">
        <v>0</v>
      </c>
    </row>
    <row r="544" spans="1:10">
      <c r="A544" s="6">
        <v>1010550</v>
      </c>
      <c r="B544" s="6">
        <v>28001</v>
      </c>
      <c r="C544" s="6">
        <v>6</v>
      </c>
      <c r="D544" s="6">
        <v>1</v>
      </c>
      <c r="E544" s="6" t="s">
        <v>229</v>
      </c>
      <c r="F544" s="11" t="s">
        <v>89</v>
      </c>
      <c r="G544" s="11" t="s">
        <v>24</v>
      </c>
      <c r="H544" s="6">
        <v>0</v>
      </c>
      <c r="I544" s="11" t="str">
        <f t="shared" si="38"/>
        <v>163|9</v>
      </c>
      <c r="J544" s="6" t="s">
        <v>90</v>
      </c>
    </row>
    <row r="545" spans="1:10">
      <c r="A545" s="6">
        <v>1010551</v>
      </c>
      <c r="B545" s="6">
        <v>28001</v>
      </c>
      <c r="C545" s="6">
        <v>6</v>
      </c>
      <c r="D545" s="6">
        <v>2</v>
      </c>
      <c r="E545" s="6" t="s">
        <v>229</v>
      </c>
      <c r="F545" s="11" t="s">
        <v>91</v>
      </c>
      <c r="G545" s="11" t="s">
        <v>27</v>
      </c>
      <c r="H545" s="6">
        <v>0</v>
      </c>
      <c r="I545" s="11" t="str">
        <f t="shared" si="38"/>
        <v>163|9</v>
      </c>
      <c r="J545" s="6" t="s">
        <v>92</v>
      </c>
    </row>
    <row r="546" spans="1:10">
      <c r="A546" s="6">
        <v>1010552</v>
      </c>
      <c r="B546" s="6">
        <v>28001</v>
      </c>
      <c r="C546" s="6">
        <v>6</v>
      </c>
      <c r="D546" s="6">
        <v>3</v>
      </c>
      <c r="E546" s="6" t="s">
        <v>229</v>
      </c>
      <c r="F546" s="11" t="s">
        <v>93</v>
      </c>
      <c r="G546" s="11" t="s">
        <v>30</v>
      </c>
      <c r="H546" s="6">
        <v>0</v>
      </c>
      <c r="I546" s="11" t="str">
        <f t="shared" si="38"/>
        <v>163|9</v>
      </c>
      <c r="J546" s="6" t="s">
        <v>94</v>
      </c>
    </row>
    <row r="547" spans="1:10">
      <c r="A547" s="6">
        <v>1010553</v>
      </c>
      <c r="B547" s="6">
        <v>28001</v>
      </c>
      <c r="C547" s="6">
        <v>6</v>
      </c>
      <c r="D547" s="6">
        <v>4</v>
      </c>
      <c r="E547" s="6" t="s">
        <v>229</v>
      </c>
      <c r="F547" s="11" t="s">
        <v>95</v>
      </c>
      <c r="G547" s="11" t="s">
        <v>33</v>
      </c>
      <c r="H547" s="6">
        <v>0</v>
      </c>
      <c r="I547" s="11" t="str">
        <f t="shared" si="38"/>
        <v>163|9</v>
      </c>
      <c r="J547" s="6" t="s">
        <v>96</v>
      </c>
    </row>
    <row r="548" spans="1:10">
      <c r="A548" s="6">
        <v>1010554</v>
      </c>
      <c r="B548" s="6">
        <v>28001</v>
      </c>
      <c r="C548" s="6">
        <v>6</v>
      </c>
      <c r="D548" s="6">
        <v>5</v>
      </c>
      <c r="E548" s="6" t="s">
        <v>229</v>
      </c>
      <c r="F548" s="11" t="s">
        <v>97</v>
      </c>
      <c r="G548" s="11" t="s">
        <v>36</v>
      </c>
      <c r="H548" s="6">
        <v>0</v>
      </c>
      <c r="I548" s="11" t="str">
        <f t="shared" si="38"/>
        <v>163|9</v>
      </c>
      <c r="J548" s="6" t="s">
        <v>98</v>
      </c>
    </row>
    <row r="549" spans="1:10">
      <c r="A549" s="6">
        <v>1010555</v>
      </c>
      <c r="B549" s="6">
        <v>28001</v>
      </c>
      <c r="C549" s="6">
        <v>6</v>
      </c>
      <c r="D549" s="6">
        <v>6</v>
      </c>
      <c r="E549" s="6">
        <v>0</v>
      </c>
      <c r="F549" s="11" t="s">
        <v>97</v>
      </c>
      <c r="G549" s="11" t="s">
        <v>38</v>
      </c>
      <c r="H549" s="6">
        <v>120077</v>
      </c>
      <c r="I549" s="11" t="s">
        <v>231</v>
      </c>
      <c r="J549" s="6" t="s">
        <v>40</v>
      </c>
    </row>
    <row r="550" spans="1:10">
      <c r="A550" s="6">
        <v>1010556</v>
      </c>
      <c r="B550" s="6">
        <v>31001</v>
      </c>
      <c r="C550" s="6">
        <v>1</v>
      </c>
      <c r="D550" s="6">
        <v>0</v>
      </c>
      <c r="E550" s="6" t="s">
        <v>232</v>
      </c>
      <c r="F550" s="11" t="s">
        <v>22</v>
      </c>
      <c r="G550" s="11">
        <v>0</v>
      </c>
      <c r="H550" s="6">
        <v>0</v>
      </c>
      <c r="I550" s="11">
        <v>0</v>
      </c>
      <c r="J550" s="6">
        <v>0</v>
      </c>
    </row>
    <row r="551" spans="1:10">
      <c r="A551" s="6">
        <v>1010557</v>
      </c>
      <c r="B551" s="6">
        <v>31001</v>
      </c>
      <c r="C551" s="6">
        <v>1</v>
      </c>
      <c r="D551" s="6">
        <v>1</v>
      </c>
      <c r="E551" s="6" t="s">
        <v>232</v>
      </c>
      <c r="F551" s="11" t="s">
        <v>23</v>
      </c>
      <c r="G551" s="11" t="s">
        <v>24</v>
      </c>
      <c r="H551" s="6">
        <v>0</v>
      </c>
      <c r="I551" s="11">
        <v>0</v>
      </c>
      <c r="J551" s="6" t="s">
        <v>25</v>
      </c>
    </row>
    <row r="552" spans="1:10">
      <c r="A552" s="6">
        <v>1010558</v>
      </c>
      <c r="B552" s="6">
        <v>31001</v>
      </c>
      <c r="C552" s="6">
        <v>1</v>
      </c>
      <c r="D552" s="6">
        <v>2</v>
      </c>
      <c r="E552" s="6" t="s">
        <v>232</v>
      </c>
      <c r="F552" s="11" t="s">
        <v>26</v>
      </c>
      <c r="G552" s="11" t="s">
        <v>27</v>
      </c>
      <c r="H552" s="6">
        <v>0</v>
      </c>
      <c r="I552" s="11">
        <v>0</v>
      </c>
      <c r="J552" s="6" t="s">
        <v>28</v>
      </c>
    </row>
    <row r="553" spans="1:10">
      <c r="A553" s="6">
        <v>1010559</v>
      </c>
      <c r="B553" s="6">
        <v>31001</v>
      </c>
      <c r="C553" s="6">
        <v>1</v>
      </c>
      <c r="D553" s="6">
        <v>3</v>
      </c>
      <c r="E553" s="6" t="s">
        <v>232</v>
      </c>
      <c r="F553" s="11" t="s">
        <v>29</v>
      </c>
      <c r="G553" s="11" t="s">
        <v>30</v>
      </c>
      <c r="H553" s="6">
        <v>0</v>
      </c>
      <c r="I553" s="11">
        <v>0</v>
      </c>
      <c r="J553" s="6" t="s">
        <v>31</v>
      </c>
    </row>
    <row r="554" spans="1:10">
      <c r="A554" s="6">
        <v>1010560</v>
      </c>
      <c r="B554" s="6">
        <v>31001</v>
      </c>
      <c r="C554" s="6">
        <v>1</v>
      </c>
      <c r="D554" s="6">
        <v>4</v>
      </c>
      <c r="E554" s="6" t="s">
        <v>232</v>
      </c>
      <c r="F554" s="11" t="s">
        <v>32</v>
      </c>
      <c r="G554" s="11" t="s">
        <v>33</v>
      </c>
      <c r="H554" s="6">
        <v>0</v>
      </c>
      <c r="I554" s="11">
        <v>0</v>
      </c>
      <c r="J554" s="6" t="s">
        <v>34</v>
      </c>
    </row>
    <row r="555" spans="1:10">
      <c r="A555" s="6">
        <v>1010561</v>
      </c>
      <c r="B555" s="6">
        <v>31001</v>
      </c>
      <c r="C555" s="6">
        <v>1</v>
      </c>
      <c r="D555" s="6">
        <v>5</v>
      </c>
      <c r="E555" s="6" t="s">
        <v>232</v>
      </c>
      <c r="F555" s="11" t="s">
        <v>35</v>
      </c>
      <c r="G555" s="11" t="s">
        <v>36</v>
      </c>
      <c r="H555" s="6">
        <v>0</v>
      </c>
      <c r="I555" s="11">
        <v>0</v>
      </c>
      <c r="J555" s="6" t="s">
        <v>37</v>
      </c>
    </row>
    <row r="556" spans="1:10">
      <c r="A556" s="6">
        <v>1010562</v>
      </c>
      <c r="B556" s="6">
        <v>31001</v>
      </c>
      <c r="C556" s="6">
        <v>1</v>
      </c>
      <c r="D556" s="6">
        <v>6</v>
      </c>
      <c r="E556" s="6" t="s">
        <v>232</v>
      </c>
      <c r="F556" s="11" t="s">
        <v>35</v>
      </c>
      <c r="G556" s="11" t="s">
        <v>38</v>
      </c>
      <c r="H556" s="6">
        <v>130012</v>
      </c>
      <c r="I556" s="11" t="s">
        <v>233</v>
      </c>
      <c r="J556" s="6" t="s">
        <v>40</v>
      </c>
    </row>
    <row r="557" spans="1:10">
      <c r="A557" s="6">
        <v>1010563</v>
      </c>
      <c r="B557" s="6">
        <v>31001</v>
      </c>
      <c r="C557" s="6">
        <v>2</v>
      </c>
      <c r="D557" s="6">
        <v>0</v>
      </c>
      <c r="E557" s="6" t="s">
        <v>234</v>
      </c>
      <c r="F557" s="11" t="s">
        <v>35</v>
      </c>
      <c r="G557" s="11">
        <v>0</v>
      </c>
      <c r="H557" s="6">
        <v>0</v>
      </c>
      <c r="I557" s="11" t="str">
        <f t="shared" ref="I557:I562" si="39">I556</f>
        <v>102|8</v>
      </c>
      <c r="J557" s="6">
        <v>0</v>
      </c>
    </row>
    <row r="558" spans="1:10">
      <c r="A558" s="6">
        <v>1010564</v>
      </c>
      <c r="B558" s="6">
        <v>31001</v>
      </c>
      <c r="C558" s="6">
        <v>2</v>
      </c>
      <c r="D558" s="6">
        <v>1</v>
      </c>
      <c r="E558" s="6" t="s">
        <v>234</v>
      </c>
      <c r="F558" s="11" t="s">
        <v>42</v>
      </c>
      <c r="G558" s="11" t="s">
        <v>24</v>
      </c>
      <c r="H558" s="6">
        <v>0</v>
      </c>
      <c r="I558" s="11" t="str">
        <f t="shared" si="39"/>
        <v>102|8</v>
      </c>
      <c r="J558" s="6" t="s">
        <v>43</v>
      </c>
    </row>
    <row r="559" spans="1:10">
      <c r="A559" s="6">
        <v>1010565</v>
      </c>
      <c r="B559" s="6">
        <v>31001</v>
      </c>
      <c r="C559" s="6">
        <v>2</v>
      </c>
      <c r="D559" s="6">
        <v>2</v>
      </c>
      <c r="E559" s="6" t="s">
        <v>234</v>
      </c>
      <c r="F559" s="11" t="s">
        <v>44</v>
      </c>
      <c r="G559" s="11" t="s">
        <v>27</v>
      </c>
      <c r="H559" s="6">
        <v>0</v>
      </c>
      <c r="I559" s="11" t="str">
        <f t="shared" si="39"/>
        <v>102|8</v>
      </c>
      <c r="J559" s="6" t="s">
        <v>45</v>
      </c>
    </row>
    <row r="560" spans="1:10">
      <c r="A560" s="6">
        <v>1010566</v>
      </c>
      <c r="B560" s="6">
        <v>31001</v>
      </c>
      <c r="C560" s="6">
        <v>2</v>
      </c>
      <c r="D560" s="6">
        <v>3</v>
      </c>
      <c r="E560" s="6" t="s">
        <v>234</v>
      </c>
      <c r="F560" s="11" t="s">
        <v>46</v>
      </c>
      <c r="G560" s="11" t="s">
        <v>30</v>
      </c>
      <c r="H560" s="6">
        <v>0</v>
      </c>
      <c r="I560" s="11" t="str">
        <f t="shared" si="39"/>
        <v>102|8</v>
      </c>
      <c r="J560" s="6" t="s">
        <v>47</v>
      </c>
    </row>
    <row r="561" spans="1:10">
      <c r="A561" s="6">
        <v>1010567</v>
      </c>
      <c r="B561" s="6">
        <v>31001</v>
      </c>
      <c r="C561" s="6">
        <v>2</v>
      </c>
      <c r="D561" s="6">
        <v>4</v>
      </c>
      <c r="E561" s="6" t="s">
        <v>234</v>
      </c>
      <c r="F561" s="11" t="s">
        <v>48</v>
      </c>
      <c r="G561" s="11" t="s">
        <v>33</v>
      </c>
      <c r="H561" s="6">
        <v>0</v>
      </c>
      <c r="I561" s="11" t="str">
        <f t="shared" si="39"/>
        <v>102|8</v>
      </c>
      <c r="J561" s="6" t="s">
        <v>49</v>
      </c>
    </row>
    <row r="562" spans="1:10">
      <c r="A562" s="6">
        <v>1010568</v>
      </c>
      <c r="B562" s="6">
        <v>31001</v>
      </c>
      <c r="C562" s="6">
        <v>2</v>
      </c>
      <c r="D562" s="6">
        <v>5</v>
      </c>
      <c r="E562" s="6" t="s">
        <v>234</v>
      </c>
      <c r="F562" s="11" t="s">
        <v>50</v>
      </c>
      <c r="G562" s="11" t="s">
        <v>36</v>
      </c>
      <c r="H562" s="6">
        <v>0</v>
      </c>
      <c r="I562" s="11" t="str">
        <f t="shared" si="39"/>
        <v>102|8</v>
      </c>
      <c r="J562" s="6" t="s">
        <v>51</v>
      </c>
    </row>
    <row r="563" spans="1:10">
      <c r="A563" s="6">
        <v>1010569</v>
      </c>
      <c r="B563" s="6">
        <v>31001</v>
      </c>
      <c r="C563" s="6">
        <v>2</v>
      </c>
      <c r="D563" s="6">
        <v>6</v>
      </c>
      <c r="E563" s="6" t="s">
        <v>234</v>
      </c>
      <c r="F563" s="11" t="s">
        <v>50</v>
      </c>
      <c r="G563" s="11" t="s">
        <v>38</v>
      </c>
      <c r="H563" s="6">
        <v>130013</v>
      </c>
      <c r="I563" s="11" t="s">
        <v>235</v>
      </c>
      <c r="J563" s="6" t="s">
        <v>40</v>
      </c>
    </row>
    <row r="564" spans="1:10">
      <c r="A564" s="6">
        <v>1010570</v>
      </c>
      <c r="B564" s="6">
        <v>31001</v>
      </c>
      <c r="C564" s="6">
        <v>3</v>
      </c>
      <c r="D564" s="6">
        <v>0</v>
      </c>
      <c r="E564" s="6" t="s">
        <v>236</v>
      </c>
      <c r="F564" s="11" t="s">
        <v>50</v>
      </c>
      <c r="G564" s="11">
        <v>0</v>
      </c>
      <c r="H564" s="6">
        <v>0</v>
      </c>
      <c r="I564" s="11" t="str">
        <f t="shared" ref="I564:I569" si="40">I563</f>
        <v>102|12</v>
      </c>
      <c r="J564" s="6">
        <v>0</v>
      </c>
    </row>
    <row r="565" spans="1:10">
      <c r="A565" s="6">
        <v>1010571</v>
      </c>
      <c r="B565" s="6">
        <v>31001</v>
      </c>
      <c r="C565" s="6">
        <v>3</v>
      </c>
      <c r="D565" s="6">
        <v>1</v>
      </c>
      <c r="E565" s="6" t="s">
        <v>236</v>
      </c>
      <c r="F565" s="11" t="s">
        <v>54</v>
      </c>
      <c r="G565" s="11" t="s">
        <v>24</v>
      </c>
      <c r="H565" s="6">
        <v>0</v>
      </c>
      <c r="I565" s="11" t="str">
        <f t="shared" si="40"/>
        <v>102|12</v>
      </c>
      <c r="J565" s="6" t="s">
        <v>55</v>
      </c>
    </row>
    <row r="566" spans="1:10">
      <c r="A566" s="6">
        <v>1010572</v>
      </c>
      <c r="B566" s="6">
        <v>31001</v>
      </c>
      <c r="C566" s="6">
        <v>3</v>
      </c>
      <c r="D566" s="6">
        <v>2</v>
      </c>
      <c r="E566" s="6" t="s">
        <v>236</v>
      </c>
      <c r="F566" s="11" t="s">
        <v>56</v>
      </c>
      <c r="G566" s="11" t="s">
        <v>27</v>
      </c>
      <c r="H566" s="6">
        <v>0</v>
      </c>
      <c r="I566" s="11" t="str">
        <f t="shared" si="40"/>
        <v>102|12</v>
      </c>
      <c r="J566" s="6" t="s">
        <v>57</v>
      </c>
    </row>
    <row r="567" spans="1:10">
      <c r="A567" s="6">
        <v>1010573</v>
      </c>
      <c r="B567" s="6">
        <v>31001</v>
      </c>
      <c r="C567" s="6">
        <v>3</v>
      </c>
      <c r="D567" s="6">
        <v>3</v>
      </c>
      <c r="E567" s="6" t="s">
        <v>236</v>
      </c>
      <c r="F567" s="11" t="s">
        <v>58</v>
      </c>
      <c r="G567" s="11" t="s">
        <v>30</v>
      </c>
      <c r="H567" s="6">
        <v>0</v>
      </c>
      <c r="I567" s="11" t="str">
        <f t="shared" si="40"/>
        <v>102|12</v>
      </c>
      <c r="J567" s="6" t="s">
        <v>59</v>
      </c>
    </row>
    <row r="568" spans="1:10">
      <c r="A568" s="6">
        <v>1010574</v>
      </c>
      <c r="B568" s="6">
        <v>31001</v>
      </c>
      <c r="C568" s="6">
        <v>3</v>
      </c>
      <c r="D568" s="6">
        <v>4</v>
      </c>
      <c r="E568" s="6" t="s">
        <v>236</v>
      </c>
      <c r="F568" s="11" t="s">
        <v>60</v>
      </c>
      <c r="G568" s="11" t="s">
        <v>33</v>
      </c>
      <c r="H568" s="6">
        <v>0</v>
      </c>
      <c r="I568" s="11" t="str">
        <f t="shared" si="40"/>
        <v>102|12</v>
      </c>
      <c r="J568" s="6" t="s">
        <v>61</v>
      </c>
    </row>
    <row r="569" spans="1:10">
      <c r="A569" s="6">
        <v>1010575</v>
      </c>
      <c r="B569" s="6">
        <v>31001</v>
      </c>
      <c r="C569" s="6">
        <v>3</v>
      </c>
      <c r="D569" s="6">
        <v>5</v>
      </c>
      <c r="E569" s="6" t="s">
        <v>236</v>
      </c>
      <c r="F569" s="11" t="s">
        <v>62</v>
      </c>
      <c r="G569" s="11" t="s">
        <v>36</v>
      </c>
      <c r="H569" s="6">
        <v>0</v>
      </c>
      <c r="I569" s="11" t="str">
        <f t="shared" si="40"/>
        <v>102|12</v>
      </c>
      <c r="J569" s="6" t="s">
        <v>63</v>
      </c>
    </row>
    <row r="570" spans="1:10">
      <c r="A570" s="6">
        <v>1010576</v>
      </c>
      <c r="B570" s="6">
        <v>31001</v>
      </c>
      <c r="C570" s="6">
        <v>3</v>
      </c>
      <c r="D570" s="6">
        <v>6</v>
      </c>
      <c r="E570" s="6" t="s">
        <v>236</v>
      </c>
      <c r="F570" s="11" t="s">
        <v>62</v>
      </c>
      <c r="G570" s="11" t="s">
        <v>38</v>
      </c>
      <c r="H570" s="6">
        <v>130014</v>
      </c>
      <c r="I570" s="11" t="s">
        <v>237</v>
      </c>
      <c r="J570" s="6" t="s">
        <v>40</v>
      </c>
    </row>
    <row r="571" spans="1:10">
      <c r="A571" s="6">
        <v>1010577</v>
      </c>
      <c r="B571" s="6">
        <v>31001</v>
      </c>
      <c r="C571" s="6">
        <v>4</v>
      </c>
      <c r="D571" s="6">
        <v>0</v>
      </c>
      <c r="E571" s="6" t="s">
        <v>238</v>
      </c>
      <c r="F571" s="11" t="s">
        <v>62</v>
      </c>
      <c r="G571" s="11">
        <v>0</v>
      </c>
      <c r="H571" s="6">
        <v>0</v>
      </c>
      <c r="I571" s="11" t="str">
        <f t="shared" ref="I571:I576" si="41">I570</f>
        <v>102|16</v>
      </c>
      <c r="J571" s="6">
        <v>0</v>
      </c>
    </row>
    <row r="572" spans="1:10">
      <c r="A572" s="6">
        <v>1010578</v>
      </c>
      <c r="B572" s="6">
        <v>31001</v>
      </c>
      <c r="C572" s="6">
        <v>4</v>
      </c>
      <c r="D572" s="6">
        <v>1</v>
      </c>
      <c r="E572" s="6" t="s">
        <v>238</v>
      </c>
      <c r="F572" s="11" t="s">
        <v>66</v>
      </c>
      <c r="G572" s="11" t="s">
        <v>24</v>
      </c>
      <c r="H572" s="6">
        <v>0</v>
      </c>
      <c r="I572" s="11" t="str">
        <f t="shared" si="41"/>
        <v>102|16</v>
      </c>
      <c r="J572" s="6" t="s">
        <v>67</v>
      </c>
    </row>
    <row r="573" spans="1:10">
      <c r="A573" s="6">
        <v>1010579</v>
      </c>
      <c r="B573" s="6">
        <v>31001</v>
      </c>
      <c r="C573" s="6">
        <v>4</v>
      </c>
      <c r="D573" s="6">
        <v>2</v>
      </c>
      <c r="E573" s="6" t="s">
        <v>238</v>
      </c>
      <c r="F573" s="11" t="s">
        <v>68</v>
      </c>
      <c r="G573" s="11" t="s">
        <v>27</v>
      </c>
      <c r="H573" s="6">
        <v>0</v>
      </c>
      <c r="I573" s="11" t="str">
        <f t="shared" si="41"/>
        <v>102|16</v>
      </c>
      <c r="J573" s="6" t="s">
        <v>69</v>
      </c>
    </row>
    <row r="574" spans="1:10">
      <c r="A574" s="6">
        <v>1010580</v>
      </c>
      <c r="B574" s="6">
        <v>31001</v>
      </c>
      <c r="C574" s="6">
        <v>4</v>
      </c>
      <c r="D574" s="6">
        <v>3</v>
      </c>
      <c r="E574" s="6" t="s">
        <v>238</v>
      </c>
      <c r="F574" s="11" t="s">
        <v>70</v>
      </c>
      <c r="G574" s="11" t="s">
        <v>30</v>
      </c>
      <c r="H574" s="6">
        <v>0</v>
      </c>
      <c r="I574" s="11" t="str">
        <f t="shared" si="41"/>
        <v>102|16</v>
      </c>
      <c r="J574" s="6" t="s">
        <v>71</v>
      </c>
    </row>
    <row r="575" spans="1:10">
      <c r="A575" s="6">
        <v>1010581</v>
      </c>
      <c r="B575" s="6">
        <v>31001</v>
      </c>
      <c r="C575" s="6">
        <v>4</v>
      </c>
      <c r="D575" s="6">
        <v>4</v>
      </c>
      <c r="E575" s="6" t="s">
        <v>238</v>
      </c>
      <c r="F575" s="11" t="s">
        <v>72</v>
      </c>
      <c r="G575" s="11" t="s">
        <v>33</v>
      </c>
      <c r="H575" s="6">
        <v>0</v>
      </c>
      <c r="I575" s="11" t="str">
        <f t="shared" si="41"/>
        <v>102|16</v>
      </c>
      <c r="J575" s="6" t="s">
        <v>73</v>
      </c>
    </row>
    <row r="576" spans="1:10">
      <c r="A576" s="6">
        <v>1010582</v>
      </c>
      <c r="B576" s="6">
        <v>31001</v>
      </c>
      <c r="C576" s="6">
        <v>4</v>
      </c>
      <c r="D576" s="6">
        <v>5</v>
      </c>
      <c r="E576" s="6" t="s">
        <v>238</v>
      </c>
      <c r="F576" s="11" t="s">
        <v>74</v>
      </c>
      <c r="G576" s="11" t="s">
        <v>36</v>
      </c>
      <c r="H576" s="6">
        <v>0</v>
      </c>
      <c r="I576" s="11" t="str">
        <f t="shared" si="41"/>
        <v>102|16</v>
      </c>
      <c r="J576" s="6" t="s">
        <v>75</v>
      </c>
    </row>
    <row r="577" spans="1:10">
      <c r="A577" s="6">
        <v>1010583</v>
      </c>
      <c r="B577" s="6">
        <v>31001</v>
      </c>
      <c r="C577" s="6">
        <v>4</v>
      </c>
      <c r="D577" s="6">
        <v>6</v>
      </c>
      <c r="E577" s="6" t="s">
        <v>238</v>
      </c>
      <c r="F577" s="11" t="s">
        <v>74</v>
      </c>
      <c r="G577" s="11" t="s">
        <v>38</v>
      </c>
      <c r="H577" s="6">
        <v>130015</v>
      </c>
      <c r="I577" s="11" t="s">
        <v>239</v>
      </c>
      <c r="J577" s="6" t="s">
        <v>40</v>
      </c>
    </row>
    <row r="578" spans="1:10">
      <c r="A578" s="6">
        <v>1010584</v>
      </c>
      <c r="B578" s="6">
        <v>31001</v>
      </c>
      <c r="C578" s="6">
        <v>5</v>
      </c>
      <c r="D578" s="6">
        <v>0</v>
      </c>
      <c r="E578" s="6" t="s">
        <v>240</v>
      </c>
      <c r="F578" s="11" t="s">
        <v>74</v>
      </c>
      <c r="G578" s="11">
        <v>0</v>
      </c>
      <c r="H578" s="6">
        <v>0</v>
      </c>
      <c r="I578" s="11" t="str">
        <f t="shared" ref="I578:I583" si="42">I577</f>
        <v>102|20</v>
      </c>
      <c r="J578" s="6">
        <v>0</v>
      </c>
    </row>
    <row r="579" spans="1:10">
      <c r="A579" s="6">
        <v>1010585</v>
      </c>
      <c r="B579" s="6">
        <v>31001</v>
      </c>
      <c r="C579" s="6">
        <v>5</v>
      </c>
      <c r="D579" s="6">
        <v>1</v>
      </c>
      <c r="E579" s="6" t="s">
        <v>240</v>
      </c>
      <c r="F579" s="11" t="s">
        <v>78</v>
      </c>
      <c r="G579" s="11" t="s">
        <v>24</v>
      </c>
      <c r="H579" s="6">
        <v>0</v>
      </c>
      <c r="I579" s="11" t="str">
        <f t="shared" si="42"/>
        <v>102|20</v>
      </c>
      <c r="J579" s="6" t="s">
        <v>79</v>
      </c>
    </row>
    <row r="580" spans="1:10">
      <c r="A580" s="6">
        <v>1010586</v>
      </c>
      <c r="B580" s="6">
        <v>31001</v>
      </c>
      <c r="C580" s="6">
        <v>5</v>
      </c>
      <c r="D580" s="6">
        <v>2</v>
      </c>
      <c r="E580" s="6" t="s">
        <v>240</v>
      </c>
      <c r="F580" s="11" t="s">
        <v>80</v>
      </c>
      <c r="G580" s="11" t="s">
        <v>27</v>
      </c>
      <c r="H580" s="6">
        <v>0</v>
      </c>
      <c r="I580" s="11" t="str">
        <f t="shared" si="42"/>
        <v>102|20</v>
      </c>
      <c r="J580" s="6" t="s">
        <v>81</v>
      </c>
    </row>
    <row r="581" spans="1:10">
      <c r="A581" s="6">
        <v>1010587</v>
      </c>
      <c r="B581" s="6">
        <v>31001</v>
      </c>
      <c r="C581" s="6">
        <v>5</v>
      </c>
      <c r="D581" s="6">
        <v>3</v>
      </c>
      <c r="E581" s="6" t="s">
        <v>240</v>
      </c>
      <c r="F581" s="11" t="s">
        <v>82</v>
      </c>
      <c r="G581" s="11" t="s">
        <v>30</v>
      </c>
      <c r="H581" s="6">
        <v>0</v>
      </c>
      <c r="I581" s="11" t="str">
        <f t="shared" si="42"/>
        <v>102|20</v>
      </c>
      <c r="J581" s="6" t="s">
        <v>83</v>
      </c>
    </row>
    <row r="582" spans="1:10">
      <c r="A582" s="6">
        <v>1010588</v>
      </c>
      <c r="B582" s="6">
        <v>31001</v>
      </c>
      <c r="C582" s="6">
        <v>5</v>
      </c>
      <c r="D582" s="6">
        <v>4</v>
      </c>
      <c r="E582" s="6" t="s">
        <v>240</v>
      </c>
      <c r="F582" s="11" t="s">
        <v>84</v>
      </c>
      <c r="G582" s="11" t="s">
        <v>33</v>
      </c>
      <c r="H582" s="6">
        <v>0</v>
      </c>
      <c r="I582" s="11" t="str">
        <f t="shared" si="42"/>
        <v>102|20</v>
      </c>
      <c r="J582" s="6" t="s">
        <v>85</v>
      </c>
    </row>
    <row r="583" spans="1:10">
      <c r="A583" s="6">
        <v>1010589</v>
      </c>
      <c r="B583" s="6">
        <v>31001</v>
      </c>
      <c r="C583" s="6">
        <v>5</v>
      </c>
      <c r="D583" s="6">
        <v>5</v>
      </c>
      <c r="E583" s="6" t="s">
        <v>240</v>
      </c>
      <c r="F583" s="11" t="s">
        <v>86</v>
      </c>
      <c r="G583" s="11" t="s">
        <v>36</v>
      </c>
      <c r="H583" s="6">
        <v>0</v>
      </c>
      <c r="I583" s="11" t="str">
        <f t="shared" si="42"/>
        <v>102|20</v>
      </c>
      <c r="J583" s="6" t="s">
        <v>87</v>
      </c>
    </row>
    <row r="584" spans="1:10">
      <c r="A584" s="6">
        <v>1010590</v>
      </c>
      <c r="B584" s="6">
        <v>31001</v>
      </c>
      <c r="C584" s="6">
        <v>5</v>
      </c>
      <c r="D584" s="6">
        <v>6</v>
      </c>
      <c r="E584" s="6" t="s">
        <v>240</v>
      </c>
      <c r="F584" s="11" t="s">
        <v>86</v>
      </c>
      <c r="G584" s="11" t="s">
        <v>38</v>
      </c>
      <c r="H584" s="6">
        <v>130016</v>
      </c>
      <c r="I584" s="11" t="s">
        <v>241</v>
      </c>
      <c r="J584" s="6" t="s">
        <v>40</v>
      </c>
    </row>
    <row r="585" spans="1:10">
      <c r="A585" s="6">
        <v>1010591</v>
      </c>
      <c r="B585" s="6">
        <v>31001</v>
      </c>
      <c r="C585" s="6">
        <v>6</v>
      </c>
      <c r="D585" s="6">
        <v>0</v>
      </c>
      <c r="E585" s="6" t="s">
        <v>240</v>
      </c>
      <c r="F585" s="11" t="s">
        <v>86</v>
      </c>
      <c r="G585" s="11">
        <v>0</v>
      </c>
      <c r="H585" s="6">
        <v>0</v>
      </c>
      <c r="I585" s="11" t="str">
        <f t="shared" ref="I585:I590" si="43">I584</f>
        <v>102|25</v>
      </c>
      <c r="J585" s="6">
        <v>0</v>
      </c>
    </row>
    <row r="586" spans="1:10">
      <c r="A586" s="6">
        <v>1010592</v>
      </c>
      <c r="B586" s="6">
        <v>31001</v>
      </c>
      <c r="C586" s="6">
        <v>6</v>
      </c>
      <c r="D586" s="6">
        <v>1</v>
      </c>
      <c r="E586" s="6" t="s">
        <v>240</v>
      </c>
      <c r="F586" s="11" t="s">
        <v>89</v>
      </c>
      <c r="G586" s="11" t="s">
        <v>24</v>
      </c>
      <c r="H586" s="6">
        <v>0</v>
      </c>
      <c r="I586" s="11" t="str">
        <f t="shared" si="43"/>
        <v>102|25</v>
      </c>
      <c r="J586" s="6" t="s">
        <v>90</v>
      </c>
    </row>
    <row r="587" spans="1:10">
      <c r="A587" s="6">
        <v>1010593</v>
      </c>
      <c r="B587" s="6">
        <v>31001</v>
      </c>
      <c r="C587" s="6">
        <v>6</v>
      </c>
      <c r="D587" s="6">
        <v>2</v>
      </c>
      <c r="E587" s="6" t="s">
        <v>240</v>
      </c>
      <c r="F587" s="11" t="s">
        <v>91</v>
      </c>
      <c r="G587" s="11" t="s">
        <v>27</v>
      </c>
      <c r="H587" s="6">
        <v>0</v>
      </c>
      <c r="I587" s="11" t="str">
        <f t="shared" si="43"/>
        <v>102|25</v>
      </c>
      <c r="J587" s="6" t="s">
        <v>92</v>
      </c>
    </row>
    <row r="588" spans="1:10">
      <c r="A588" s="6">
        <v>1010594</v>
      </c>
      <c r="B588" s="6">
        <v>31001</v>
      </c>
      <c r="C588" s="6">
        <v>6</v>
      </c>
      <c r="D588" s="6">
        <v>3</v>
      </c>
      <c r="E588" s="6" t="s">
        <v>240</v>
      </c>
      <c r="F588" s="11" t="s">
        <v>93</v>
      </c>
      <c r="G588" s="11" t="s">
        <v>30</v>
      </c>
      <c r="H588" s="6">
        <v>0</v>
      </c>
      <c r="I588" s="11" t="str">
        <f t="shared" si="43"/>
        <v>102|25</v>
      </c>
      <c r="J588" s="6" t="s">
        <v>94</v>
      </c>
    </row>
    <row r="589" spans="1:10">
      <c r="A589" s="6">
        <v>1010595</v>
      </c>
      <c r="B589" s="6">
        <v>31001</v>
      </c>
      <c r="C589" s="6">
        <v>6</v>
      </c>
      <c r="D589" s="6">
        <v>4</v>
      </c>
      <c r="E589" s="6" t="s">
        <v>240</v>
      </c>
      <c r="F589" s="11" t="s">
        <v>95</v>
      </c>
      <c r="G589" s="11" t="s">
        <v>33</v>
      </c>
      <c r="H589" s="6">
        <v>0</v>
      </c>
      <c r="I589" s="11" t="str">
        <f t="shared" si="43"/>
        <v>102|25</v>
      </c>
      <c r="J589" s="6" t="s">
        <v>96</v>
      </c>
    </row>
    <row r="590" spans="1:10">
      <c r="A590" s="6">
        <v>1010596</v>
      </c>
      <c r="B590" s="6">
        <v>31001</v>
      </c>
      <c r="C590" s="6">
        <v>6</v>
      </c>
      <c r="D590" s="6">
        <v>5</v>
      </c>
      <c r="E590" s="6" t="s">
        <v>240</v>
      </c>
      <c r="F590" s="11" t="s">
        <v>97</v>
      </c>
      <c r="G590" s="11" t="s">
        <v>36</v>
      </c>
      <c r="H590" s="6">
        <v>0</v>
      </c>
      <c r="I590" s="11" t="str">
        <f t="shared" si="43"/>
        <v>102|25</v>
      </c>
      <c r="J590" s="6" t="s">
        <v>98</v>
      </c>
    </row>
    <row r="591" spans="1:10">
      <c r="A591" s="6">
        <v>1010597</v>
      </c>
      <c r="B591" s="6">
        <v>31001</v>
      </c>
      <c r="C591" s="6">
        <v>6</v>
      </c>
      <c r="D591" s="6">
        <v>6</v>
      </c>
      <c r="E591" s="6">
        <v>0</v>
      </c>
      <c r="F591" s="11" t="s">
        <v>97</v>
      </c>
      <c r="G591" s="11" t="s">
        <v>38</v>
      </c>
      <c r="H591" s="6">
        <v>130017</v>
      </c>
      <c r="I591" s="11" t="s">
        <v>242</v>
      </c>
      <c r="J591" s="6" t="s">
        <v>40</v>
      </c>
    </row>
    <row r="592" spans="1:10">
      <c r="A592" s="6">
        <v>1010598</v>
      </c>
      <c r="B592" s="6">
        <v>31002</v>
      </c>
      <c r="C592" s="6">
        <v>1</v>
      </c>
      <c r="D592" s="6">
        <v>0</v>
      </c>
      <c r="E592" s="6" t="s">
        <v>243</v>
      </c>
      <c r="F592" s="11" t="s">
        <v>22</v>
      </c>
      <c r="G592" s="11">
        <v>0</v>
      </c>
      <c r="H592" s="6">
        <v>0</v>
      </c>
      <c r="I592" s="11">
        <v>0</v>
      </c>
      <c r="J592" s="6">
        <v>0</v>
      </c>
    </row>
    <row r="593" spans="1:10">
      <c r="A593" s="6">
        <v>1010599</v>
      </c>
      <c r="B593" s="6">
        <v>31002</v>
      </c>
      <c r="C593" s="6">
        <v>1</v>
      </c>
      <c r="D593" s="6">
        <v>1</v>
      </c>
      <c r="E593" s="6" t="s">
        <v>243</v>
      </c>
      <c r="F593" s="11" t="s">
        <v>23</v>
      </c>
      <c r="G593" s="11" t="s">
        <v>24</v>
      </c>
      <c r="H593" s="6">
        <v>0</v>
      </c>
      <c r="I593" s="11">
        <v>0</v>
      </c>
      <c r="J593" s="6" t="s">
        <v>25</v>
      </c>
    </row>
    <row r="594" spans="1:10">
      <c r="A594" s="6">
        <v>1010600</v>
      </c>
      <c r="B594" s="6">
        <v>31002</v>
      </c>
      <c r="C594" s="6">
        <v>1</v>
      </c>
      <c r="D594" s="6">
        <v>2</v>
      </c>
      <c r="E594" s="6" t="s">
        <v>243</v>
      </c>
      <c r="F594" s="11" t="s">
        <v>26</v>
      </c>
      <c r="G594" s="11" t="s">
        <v>27</v>
      </c>
      <c r="H594" s="6">
        <v>0</v>
      </c>
      <c r="I594" s="11">
        <v>0</v>
      </c>
      <c r="J594" s="6" t="s">
        <v>28</v>
      </c>
    </row>
    <row r="595" spans="1:10">
      <c r="A595" s="6">
        <v>1010601</v>
      </c>
      <c r="B595" s="6">
        <v>31002</v>
      </c>
      <c r="C595" s="6">
        <v>1</v>
      </c>
      <c r="D595" s="6">
        <v>3</v>
      </c>
      <c r="E595" s="6" t="s">
        <v>243</v>
      </c>
      <c r="F595" s="11" t="s">
        <v>29</v>
      </c>
      <c r="G595" s="11" t="s">
        <v>30</v>
      </c>
      <c r="H595" s="6">
        <v>0</v>
      </c>
      <c r="I595" s="11">
        <v>0</v>
      </c>
      <c r="J595" s="6" t="s">
        <v>31</v>
      </c>
    </row>
    <row r="596" spans="1:10">
      <c r="A596" s="6">
        <v>1010602</v>
      </c>
      <c r="B596" s="6">
        <v>31002</v>
      </c>
      <c r="C596" s="6">
        <v>1</v>
      </c>
      <c r="D596" s="6">
        <v>4</v>
      </c>
      <c r="E596" s="6" t="s">
        <v>243</v>
      </c>
      <c r="F596" s="11" t="s">
        <v>32</v>
      </c>
      <c r="G596" s="11" t="s">
        <v>33</v>
      </c>
      <c r="H596" s="6">
        <v>0</v>
      </c>
      <c r="I596" s="11">
        <v>0</v>
      </c>
      <c r="J596" s="6" t="s">
        <v>34</v>
      </c>
    </row>
    <row r="597" spans="1:10">
      <c r="A597" s="6">
        <v>1010603</v>
      </c>
      <c r="B597" s="6">
        <v>31002</v>
      </c>
      <c r="C597" s="6">
        <v>1</v>
      </c>
      <c r="D597" s="6">
        <v>5</v>
      </c>
      <c r="E597" s="6" t="s">
        <v>243</v>
      </c>
      <c r="F597" s="11" t="s">
        <v>35</v>
      </c>
      <c r="G597" s="11" t="s">
        <v>36</v>
      </c>
      <c r="H597" s="6">
        <v>0</v>
      </c>
      <c r="I597" s="11">
        <v>0</v>
      </c>
      <c r="J597" s="6" t="s">
        <v>37</v>
      </c>
    </row>
    <row r="598" spans="1:10">
      <c r="A598" s="6">
        <v>1010604</v>
      </c>
      <c r="B598" s="6">
        <v>31002</v>
      </c>
      <c r="C598" s="6">
        <v>1</v>
      </c>
      <c r="D598" s="6">
        <v>6</v>
      </c>
      <c r="E598" s="6" t="s">
        <v>243</v>
      </c>
      <c r="F598" s="11" t="s">
        <v>35</v>
      </c>
      <c r="G598" s="11" t="s">
        <v>38</v>
      </c>
      <c r="H598" s="6">
        <v>130022</v>
      </c>
      <c r="I598" s="11" t="s">
        <v>244</v>
      </c>
      <c r="J598" s="6" t="s">
        <v>40</v>
      </c>
    </row>
    <row r="599" spans="1:10">
      <c r="A599" s="6">
        <v>1010605</v>
      </c>
      <c r="B599" s="6">
        <v>31002</v>
      </c>
      <c r="C599" s="6">
        <v>2</v>
      </c>
      <c r="D599" s="6">
        <v>0</v>
      </c>
      <c r="E599" s="6" t="s">
        <v>245</v>
      </c>
      <c r="F599" s="11" t="s">
        <v>35</v>
      </c>
      <c r="G599" s="11">
        <v>0</v>
      </c>
      <c r="H599" s="6">
        <v>0</v>
      </c>
      <c r="I599" s="11" t="str">
        <f t="shared" ref="I599:I604" si="44">I598</f>
        <v>112|8</v>
      </c>
      <c r="J599" s="6">
        <v>0</v>
      </c>
    </row>
    <row r="600" spans="1:10">
      <c r="A600" s="6">
        <v>1010606</v>
      </c>
      <c r="B600" s="6">
        <v>31002</v>
      </c>
      <c r="C600" s="6">
        <v>2</v>
      </c>
      <c r="D600" s="6">
        <v>1</v>
      </c>
      <c r="E600" s="6" t="s">
        <v>245</v>
      </c>
      <c r="F600" s="11" t="s">
        <v>42</v>
      </c>
      <c r="G600" s="11" t="s">
        <v>24</v>
      </c>
      <c r="H600" s="6">
        <v>0</v>
      </c>
      <c r="I600" s="11" t="str">
        <f t="shared" si="44"/>
        <v>112|8</v>
      </c>
      <c r="J600" s="6" t="s">
        <v>43</v>
      </c>
    </row>
    <row r="601" spans="1:10">
      <c r="A601" s="6">
        <v>1010607</v>
      </c>
      <c r="B601" s="6">
        <v>31002</v>
      </c>
      <c r="C601" s="6">
        <v>2</v>
      </c>
      <c r="D601" s="6">
        <v>2</v>
      </c>
      <c r="E601" s="6" t="s">
        <v>245</v>
      </c>
      <c r="F601" s="11" t="s">
        <v>44</v>
      </c>
      <c r="G601" s="11" t="s">
        <v>27</v>
      </c>
      <c r="H601" s="6">
        <v>0</v>
      </c>
      <c r="I601" s="11" t="str">
        <f t="shared" si="44"/>
        <v>112|8</v>
      </c>
      <c r="J601" s="6" t="s">
        <v>45</v>
      </c>
    </row>
    <row r="602" spans="1:10">
      <c r="A602" s="6">
        <v>1010608</v>
      </c>
      <c r="B602" s="6">
        <v>31002</v>
      </c>
      <c r="C602" s="6">
        <v>2</v>
      </c>
      <c r="D602" s="6">
        <v>3</v>
      </c>
      <c r="E602" s="6" t="s">
        <v>245</v>
      </c>
      <c r="F602" s="11" t="s">
        <v>46</v>
      </c>
      <c r="G602" s="11" t="s">
        <v>30</v>
      </c>
      <c r="H602" s="6">
        <v>0</v>
      </c>
      <c r="I602" s="11" t="str">
        <f t="shared" si="44"/>
        <v>112|8</v>
      </c>
      <c r="J602" s="6" t="s">
        <v>47</v>
      </c>
    </row>
    <row r="603" spans="1:10">
      <c r="A603" s="6">
        <v>1010609</v>
      </c>
      <c r="B603" s="6">
        <v>31002</v>
      </c>
      <c r="C603" s="6">
        <v>2</v>
      </c>
      <c r="D603" s="6">
        <v>4</v>
      </c>
      <c r="E603" s="6" t="s">
        <v>245</v>
      </c>
      <c r="F603" s="11" t="s">
        <v>48</v>
      </c>
      <c r="G603" s="11" t="s">
        <v>33</v>
      </c>
      <c r="H603" s="6">
        <v>0</v>
      </c>
      <c r="I603" s="11" t="str">
        <f t="shared" si="44"/>
        <v>112|8</v>
      </c>
      <c r="J603" s="6" t="s">
        <v>49</v>
      </c>
    </row>
    <row r="604" spans="1:10">
      <c r="A604" s="6">
        <v>1010610</v>
      </c>
      <c r="B604" s="6">
        <v>31002</v>
      </c>
      <c r="C604" s="6">
        <v>2</v>
      </c>
      <c r="D604" s="6">
        <v>5</v>
      </c>
      <c r="E604" s="6" t="s">
        <v>245</v>
      </c>
      <c r="F604" s="11" t="s">
        <v>50</v>
      </c>
      <c r="G604" s="11" t="s">
        <v>36</v>
      </c>
      <c r="H604" s="6">
        <v>0</v>
      </c>
      <c r="I604" s="11" t="str">
        <f t="shared" si="44"/>
        <v>112|8</v>
      </c>
      <c r="J604" s="6" t="s">
        <v>51</v>
      </c>
    </row>
    <row r="605" spans="1:10">
      <c r="A605" s="6">
        <v>1010611</v>
      </c>
      <c r="B605" s="6">
        <v>31002</v>
      </c>
      <c r="C605" s="6">
        <v>2</v>
      </c>
      <c r="D605" s="6">
        <v>6</v>
      </c>
      <c r="E605" s="6" t="s">
        <v>245</v>
      </c>
      <c r="F605" s="11" t="s">
        <v>50</v>
      </c>
      <c r="G605" s="11" t="s">
        <v>38</v>
      </c>
      <c r="H605" s="6">
        <v>130023</v>
      </c>
      <c r="I605" s="11" t="s">
        <v>246</v>
      </c>
      <c r="J605" s="6" t="s">
        <v>40</v>
      </c>
    </row>
    <row r="606" spans="1:10">
      <c r="A606" s="6">
        <v>1010612</v>
      </c>
      <c r="B606" s="6">
        <v>31002</v>
      </c>
      <c r="C606" s="6">
        <v>3</v>
      </c>
      <c r="D606" s="6">
        <v>0</v>
      </c>
      <c r="E606" s="6" t="s">
        <v>247</v>
      </c>
      <c r="F606" s="11" t="s">
        <v>50</v>
      </c>
      <c r="G606" s="11">
        <v>0</v>
      </c>
      <c r="H606" s="6">
        <v>0</v>
      </c>
      <c r="I606" s="11" t="str">
        <f t="shared" ref="I606:I611" si="45">I605</f>
        <v>112|12</v>
      </c>
      <c r="J606" s="6">
        <v>0</v>
      </c>
    </row>
    <row r="607" spans="1:10">
      <c r="A607" s="6">
        <v>1010613</v>
      </c>
      <c r="B607" s="6">
        <v>31002</v>
      </c>
      <c r="C607" s="6">
        <v>3</v>
      </c>
      <c r="D607" s="6">
        <v>1</v>
      </c>
      <c r="E607" s="6" t="s">
        <v>247</v>
      </c>
      <c r="F607" s="11" t="s">
        <v>54</v>
      </c>
      <c r="G607" s="11" t="s">
        <v>24</v>
      </c>
      <c r="H607" s="6">
        <v>0</v>
      </c>
      <c r="I607" s="11" t="str">
        <f t="shared" si="45"/>
        <v>112|12</v>
      </c>
      <c r="J607" s="6" t="s">
        <v>55</v>
      </c>
    </row>
    <row r="608" spans="1:10">
      <c r="A608" s="6">
        <v>1010614</v>
      </c>
      <c r="B608" s="6">
        <v>31002</v>
      </c>
      <c r="C608" s="6">
        <v>3</v>
      </c>
      <c r="D608" s="6">
        <v>2</v>
      </c>
      <c r="E608" s="6" t="s">
        <v>247</v>
      </c>
      <c r="F608" s="11" t="s">
        <v>56</v>
      </c>
      <c r="G608" s="11" t="s">
        <v>27</v>
      </c>
      <c r="H608" s="6">
        <v>0</v>
      </c>
      <c r="I608" s="11" t="str">
        <f t="shared" si="45"/>
        <v>112|12</v>
      </c>
      <c r="J608" s="6" t="s">
        <v>57</v>
      </c>
    </row>
    <row r="609" spans="1:10">
      <c r="A609" s="6">
        <v>1010615</v>
      </c>
      <c r="B609" s="6">
        <v>31002</v>
      </c>
      <c r="C609" s="6">
        <v>3</v>
      </c>
      <c r="D609" s="6">
        <v>3</v>
      </c>
      <c r="E609" s="6" t="s">
        <v>247</v>
      </c>
      <c r="F609" s="11" t="s">
        <v>58</v>
      </c>
      <c r="G609" s="11" t="s">
        <v>30</v>
      </c>
      <c r="H609" s="6">
        <v>0</v>
      </c>
      <c r="I609" s="11" t="str">
        <f t="shared" si="45"/>
        <v>112|12</v>
      </c>
      <c r="J609" s="6" t="s">
        <v>59</v>
      </c>
    </row>
    <row r="610" spans="1:10">
      <c r="A610" s="6">
        <v>1010616</v>
      </c>
      <c r="B610" s="6">
        <v>31002</v>
      </c>
      <c r="C610" s="6">
        <v>3</v>
      </c>
      <c r="D610" s="6">
        <v>4</v>
      </c>
      <c r="E610" s="6" t="s">
        <v>247</v>
      </c>
      <c r="F610" s="11" t="s">
        <v>60</v>
      </c>
      <c r="G610" s="11" t="s">
        <v>33</v>
      </c>
      <c r="H610" s="6">
        <v>0</v>
      </c>
      <c r="I610" s="11" t="str">
        <f t="shared" si="45"/>
        <v>112|12</v>
      </c>
      <c r="J610" s="6" t="s">
        <v>61</v>
      </c>
    </row>
    <row r="611" spans="1:10">
      <c r="A611" s="6">
        <v>1010617</v>
      </c>
      <c r="B611" s="6">
        <v>31002</v>
      </c>
      <c r="C611" s="6">
        <v>3</v>
      </c>
      <c r="D611" s="6">
        <v>5</v>
      </c>
      <c r="E611" s="6" t="s">
        <v>247</v>
      </c>
      <c r="F611" s="11" t="s">
        <v>62</v>
      </c>
      <c r="G611" s="11" t="s">
        <v>36</v>
      </c>
      <c r="H611" s="6">
        <v>0</v>
      </c>
      <c r="I611" s="11" t="str">
        <f t="shared" si="45"/>
        <v>112|12</v>
      </c>
      <c r="J611" s="6" t="s">
        <v>63</v>
      </c>
    </row>
    <row r="612" spans="1:10">
      <c r="A612" s="6">
        <v>1010618</v>
      </c>
      <c r="B612" s="6">
        <v>31002</v>
      </c>
      <c r="C612" s="6">
        <v>3</v>
      </c>
      <c r="D612" s="6">
        <v>6</v>
      </c>
      <c r="E612" s="6" t="s">
        <v>247</v>
      </c>
      <c r="F612" s="11" t="s">
        <v>62</v>
      </c>
      <c r="G612" s="11" t="s">
        <v>38</v>
      </c>
      <c r="H612" s="6">
        <v>130024</v>
      </c>
      <c r="I612" s="11" t="s">
        <v>248</v>
      </c>
      <c r="J612" s="6" t="s">
        <v>40</v>
      </c>
    </row>
    <row r="613" spans="1:10">
      <c r="A613" s="6">
        <v>1010619</v>
      </c>
      <c r="B613" s="6">
        <v>31002</v>
      </c>
      <c r="C613" s="6">
        <v>4</v>
      </c>
      <c r="D613" s="6">
        <v>0</v>
      </c>
      <c r="E613" s="6" t="s">
        <v>249</v>
      </c>
      <c r="F613" s="11" t="s">
        <v>62</v>
      </c>
      <c r="G613" s="11">
        <v>0</v>
      </c>
      <c r="H613" s="6">
        <v>0</v>
      </c>
      <c r="I613" s="11" t="str">
        <f t="shared" ref="I613:I618" si="46">I612</f>
        <v>112|16</v>
      </c>
      <c r="J613" s="6">
        <v>0</v>
      </c>
    </row>
    <row r="614" spans="1:10">
      <c r="A614" s="6">
        <v>1010620</v>
      </c>
      <c r="B614" s="6">
        <v>31002</v>
      </c>
      <c r="C614" s="6">
        <v>4</v>
      </c>
      <c r="D614" s="6">
        <v>1</v>
      </c>
      <c r="E614" s="6" t="s">
        <v>249</v>
      </c>
      <c r="F614" s="11" t="s">
        <v>66</v>
      </c>
      <c r="G614" s="11" t="s">
        <v>24</v>
      </c>
      <c r="H614" s="6">
        <v>0</v>
      </c>
      <c r="I614" s="11" t="str">
        <f t="shared" si="46"/>
        <v>112|16</v>
      </c>
      <c r="J614" s="6" t="s">
        <v>67</v>
      </c>
    </row>
    <row r="615" spans="1:10">
      <c r="A615" s="6">
        <v>1010621</v>
      </c>
      <c r="B615" s="6">
        <v>31002</v>
      </c>
      <c r="C615" s="6">
        <v>4</v>
      </c>
      <c r="D615" s="6">
        <v>2</v>
      </c>
      <c r="E615" s="6" t="s">
        <v>249</v>
      </c>
      <c r="F615" s="11" t="s">
        <v>68</v>
      </c>
      <c r="G615" s="11" t="s">
        <v>27</v>
      </c>
      <c r="H615" s="6">
        <v>0</v>
      </c>
      <c r="I615" s="11" t="str">
        <f t="shared" si="46"/>
        <v>112|16</v>
      </c>
      <c r="J615" s="6" t="s">
        <v>69</v>
      </c>
    </row>
    <row r="616" spans="1:10">
      <c r="A616" s="6">
        <v>1010622</v>
      </c>
      <c r="B616" s="6">
        <v>31002</v>
      </c>
      <c r="C616" s="6">
        <v>4</v>
      </c>
      <c r="D616" s="6">
        <v>3</v>
      </c>
      <c r="E616" s="6" t="s">
        <v>249</v>
      </c>
      <c r="F616" s="11" t="s">
        <v>70</v>
      </c>
      <c r="G616" s="11" t="s">
        <v>30</v>
      </c>
      <c r="H616" s="6">
        <v>0</v>
      </c>
      <c r="I616" s="11" t="str">
        <f t="shared" si="46"/>
        <v>112|16</v>
      </c>
      <c r="J616" s="6" t="s">
        <v>71</v>
      </c>
    </row>
    <row r="617" spans="1:10">
      <c r="A617" s="6">
        <v>1010623</v>
      </c>
      <c r="B617" s="6">
        <v>31002</v>
      </c>
      <c r="C617" s="6">
        <v>4</v>
      </c>
      <c r="D617" s="6">
        <v>4</v>
      </c>
      <c r="E617" s="6" t="s">
        <v>249</v>
      </c>
      <c r="F617" s="11" t="s">
        <v>72</v>
      </c>
      <c r="G617" s="11" t="s">
        <v>33</v>
      </c>
      <c r="H617" s="6">
        <v>0</v>
      </c>
      <c r="I617" s="11" t="str">
        <f t="shared" si="46"/>
        <v>112|16</v>
      </c>
      <c r="J617" s="6" t="s">
        <v>73</v>
      </c>
    </row>
    <row r="618" spans="1:10">
      <c r="A618" s="6">
        <v>1010624</v>
      </c>
      <c r="B618" s="6">
        <v>31002</v>
      </c>
      <c r="C618" s="6">
        <v>4</v>
      </c>
      <c r="D618" s="6">
        <v>5</v>
      </c>
      <c r="E618" s="6" t="s">
        <v>249</v>
      </c>
      <c r="F618" s="11" t="s">
        <v>74</v>
      </c>
      <c r="G618" s="11" t="s">
        <v>36</v>
      </c>
      <c r="H618" s="6">
        <v>0</v>
      </c>
      <c r="I618" s="11" t="str">
        <f t="shared" si="46"/>
        <v>112|16</v>
      </c>
      <c r="J618" s="6" t="s">
        <v>75</v>
      </c>
    </row>
    <row r="619" spans="1:10">
      <c r="A619" s="6">
        <v>1010625</v>
      </c>
      <c r="B619" s="6">
        <v>31002</v>
      </c>
      <c r="C619" s="6">
        <v>4</v>
      </c>
      <c r="D619" s="6">
        <v>6</v>
      </c>
      <c r="E619" s="6" t="s">
        <v>249</v>
      </c>
      <c r="F619" s="11" t="s">
        <v>74</v>
      </c>
      <c r="G619" s="11" t="s">
        <v>38</v>
      </c>
      <c r="H619" s="6">
        <v>130025</v>
      </c>
      <c r="I619" s="11" t="s">
        <v>250</v>
      </c>
      <c r="J619" s="6" t="s">
        <v>40</v>
      </c>
    </row>
    <row r="620" spans="1:10">
      <c r="A620" s="6">
        <v>1010626</v>
      </c>
      <c r="B620" s="6">
        <v>31002</v>
      </c>
      <c r="C620" s="6">
        <v>5</v>
      </c>
      <c r="D620" s="6">
        <v>0</v>
      </c>
      <c r="E620" s="6" t="s">
        <v>251</v>
      </c>
      <c r="F620" s="11" t="s">
        <v>74</v>
      </c>
      <c r="G620" s="11">
        <v>0</v>
      </c>
      <c r="H620" s="6">
        <v>0</v>
      </c>
      <c r="I620" s="11" t="str">
        <f t="shared" ref="I620:I625" si="47">I619</f>
        <v>112|20</v>
      </c>
      <c r="J620" s="6">
        <v>0</v>
      </c>
    </row>
    <row r="621" spans="1:10">
      <c r="A621" s="6">
        <v>1010627</v>
      </c>
      <c r="B621" s="6">
        <v>31002</v>
      </c>
      <c r="C621" s="6">
        <v>5</v>
      </c>
      <c r="D621" s="6">
        <v>1</v>
      </c>
      <c r="E621" s="6" t="s">
        <v>251</v>
      </c>
      <c r="F621" s="11" t="s">
        <v>78</v>
      </c>
      <c r="G621" s="11" t="s">
        <v>24</v>
      </c>
      <c r="H621" s="6">
        <v>0</v>
      </c>
      <c r="I621" s="11" t="str">
        <f t="shared" si="47"/>
        <v>112|20</v>
      </c>
      <c r="J621" s="6" t="s">
        <v>79</v>
      </c>
    </row>
    <row r="622" spans="1:10">
      <c r="A622" s="6">
        <v>1010628</v>
      </c>
      <c r="B622" s="6">
        <v>31002</v>
      </c>
      <c r="C622" s="6">
        <v>5</v>
      </c>
      <c r="D622" s="6">
        <v>2</v>
      </c>
      <c r="E622" s="6" t="s">
        <v>251</v>
      </c>
      <c r="F622" s="11" t="s">
        <v>80</v>
      </c>
      <c r="G622" s="11" t="s">
        <v>27</v>
      </c>
      <c r="H622" s="6">
        <v>0</v>
      </c>
      <c r="I622" s="11" t="str">
        <f t="shared" si="47"/>
        <v>112|20</v>
      </c>
      <c r="J622" s="6" t="s">
        <v>81</v>
      </c>
    </row>
    <row r="623" spans="1:10">
      <c r="A623" s="6">
        <v>1010629</v>
      </c>
      <c r="B623" s="6">
        <v>31002</v>
      </c>
      <c r="C623" s="6">
        <v>5</v>
      </c>
      <c r="D623" s="6">
        <v>3</v>
      </c>
      <c r="E623" s="6" t="s">
        <v>251</v>
      </c>
      <c r="F623" s="11" t="s">
        <v>82</v>
      </c>
      <c r="G623" s="11" t="s">
        <v>30</v>
      </c>
      <c r="H623" s="6">
        <v>0</v>
      </c>
      <c r="I623" s="11" t="str">
        <f t="shared" si="47"/>
        <v>112|20</v>
      </c>
      <c r="J623" s="6" t="s">
        <v>83</v>
      </c>
    </row>
    <row r="624" spans="1:10">
      <c r="A624" s="6">
        <v>1010630</v>
      </c>
      <c r="B624" s="6">
        <v>31002</v>
      </c>
      <c r="C624" s="6">
        <v>5</v>
      </c>
      <c r="D624" s="6">
        <v>4</v>
      </c>
      <c r="E624" s="6" t="s">
        <v>251</v>
      </c>
      <c r="F624" s="11" t="s">
        <v>84</v>
      </c>
      <c r="G624" s="11" t="s">
        <v>33</v>
      </c>
      <c r="H624" s="6">
        <v>0</v>
      </c>
      <c r="I624" s="11" t="str">
        <f t="shared" si="47"/>
        <v>112|20</v>
      </c>
      <c r="J624" s="6" t="s">
        <v>85</v>
      </c>
    </row>
    <row r="625" spans="1:10">
      <c r="A625" s="6">
        <v>1010631</v>
      </c>
      <c r="B625" s="6">
        <v>31002</v>
      </c>
      <c r="C625" s="6">
        <v>5</v>
      </c>
      <c r="D625" s="6">
        <v>5</v>
      </c>
      <c r="E625" s="6" t="s">
        <v>251</v>
      </c>
      <c r="F625" s="11" t="s">
        <v>86</v>
      </c>
      <c r="G625" s="11" t="s">
        <v>36</v>
      </c>
      <c r="H625" s="6">
        <v>0</v>
      </c>
      <c r="I625" s="11" t="str">
        <f t="shared" si="47"/>
        <v>112|20</v>
      </c>
      <c r="J625" s="6" t="s">
        <v>87</v>
      </c>
    </row>
    <row r="626" spans="1:10">
      <c r="A626" s="6">
        <v>1010632</v>
      </c>
      <c r="B626" s="6">
        <v>31002</v>
      </c>
      <c r="C626" s="6">
        <v>5</v>
      </c>
      <c r="D626" s="6">
        <v>6</v>
      </c>
      <c r="E626" s="6" t="s">
        <v>251</v>
      </c>
      <c r="F626" s="11" t="s">
        <v>86</v>
      </c>
      <c r="G626" s="11" t="s">
        <v>38</v>
      </c>
      <c r="H626" s="6">
        <v>130026</v>
      </c>
      <c r="I626" s="11" t="s">
        <v>252</v>
      </c>
      <c r="J626" s="6" t="s">
        <v>40</v>
      </c>
    </row>
    <row r="627" spans="1:10">
      <c r="A627" s="6">
        <v>1010633</v>
      </c>
      <c r="B627" s="6">
        <v>31002</v>
      </c>
      <c r="C627" s="6">
        <v>6</v>
      </c>
      <c r="D627" s="6">
        <v>0</v>
      </c>
      <c r="E627" s="6" t="s">
        <v>251</v>
      </c>
      <c r="F627" s="11" t="s">
        <v>86</v>
      </c>
      <c r="G627" s="11">
        <v>0</v>
      </c>
      <c r="H627" s="6">
        <v>0</v>
      </c>
      <c r="I627" s="11" t="str">
        <f t="shared" ref="I627:I632" si="48">I626</f>
        <v>112|25</v>
      </c>
      <c r="J627" s="6">
        <v>0</v>
      </c>
    </row>
    <row r="628" spans="1:10">
      <c r="A628" s="6">
        <v>1010634</v>
      </c>
      <c r="B628" s="6">
        <v>31002</v>
      </c>
      <c r="C628" s="6">
        <v>6</v>
      </c>
      <c r="D628" s="6">
        <v>1</v>
      </c>
      <c r="E628" s="6" t="s">
        <v>251</v>
      </c>
      <c r="F628" s="11" t="s">
        <v>89</v>
      </c>
      <c r="G628" s="11" t="s">
        <v>24</v>
      </c>
      <c r="H628" s="6">
        <v>0</v>
      </c>
      <c r="I628" s="11" t="str">
        <f t="shared" si="48"/>
        <v>112|25</v>
      </c>
      <c r="J628" s="6" t="s">
        <v>90</v>
      </c>
    </row>
    <row r="629" spans="1:10">
      <c r="A629" s="6">
        <v>1010635</v>
      </c>
      <c r="B629" s="6">
        <v>31002</v>
      </c>
      <c r="C629" s="6">
        <v>6</v>
      </c>
      <c r="D629" s="6">
        <v>2</v>
      </c>
      <c r="E629" s="6" t="s">
        <v>251</v>
      </c>
      <c r="F629" s="11" t="s">
        <v>91</v>
      </c>
      <c r="G629" s="11" t="s">
        <v>27</v>
      </c>
      <c r="H629" s="6">
        <v>0</v>
      </c>
      <c r="I629" s="11" t="str">
        <f t="shared" si="48"/>
        <v>112|25</v>
      </c>
      <c r="J629" s="6" t="s">
        <v>92</v>
      </c>
    </row>
    <row r="630" spans="1:10">
      <c r="A630" s="6">
        <v>1010636</v>
      </c>
      <c r="B630" s="6">
        <v>31002</v>
      </c>
      <c r="C630" s="6">
        <v>6</v>
      </c>
      <c r="D630" s="6">
        <v>3</v>
      </c>
      <c r="E630" s="6" t="s">
        <v>251</v>
      </c>
      <c r="F630" s="11" t="s">
        <v>93</v>
      </c>
      <c r="G630" s="11" t="s">
        <v>30</v>
      </c>
      <c r="H630" s="6">
        <v>0</v>
      </c>
      <c r="I630" s="11" t="str">
        <f t="shared" si="48"/>
        <v>112|25</v>
      </c>
      <c r="J630" s="6" t="s">
        <v>94</v>
      </c>
    </row>
    <row r="631" spans="1:10">
      <c r="A631" s="6">
        <v>1010637</v>
      </c>
      <c r="B631" s="6">
        <v>31002</v>
      </c>
      <c r="C631" s="6">
        <v>6</v>
      </c>
      <c r="D631" s="6">
        <v>4</v>
      </c>
      <c r="E631" s="6" t="s">
        <v>251</v>
      </c>
      <c r="F631" s="11" t="s">
        <v>95</v>
      </c>
      <c r="G631" s="11" t="s">
        <v>33</v>
      </c>
      <c r="H631" s="6">
        <v>0</v>
      </c>
      <c r="I631" s="11" t="str">
        <f t="shared" si="48"/>
        <v>112|25</v>
      </c>
      <c r="J631" s="6" t="s">
        <v>96</v>
      </c>
    </row>
    <row r="632" spans="1:10">
      <c r="A632" s="6">
        <v>1010638</v>
      </c>
      <c r="B632" s="6">
        <v>31002</v>
      </c>
      <c r="C632" s="6">
        <v>6</v>
      </c>
      <c r="D632" s="6">
        <v>5</v>
      </c>
      <c r="E632" s="6" t="s">
        <v>251</v>
      </c>
      <c r="F632" s="11" t="s">
        <v>97</v>
      </c>
      <c r="G632" s="11" t="s">
        <v>36</v>
      </c>
      <c r="H632" s="6">
        <v>0</v>
      </c>
      <c r="I632" s="11" t="str">
        <f t="shared" si="48"/>
        <v>112|25</v>
      </c>
      <c r="J632" s="6" t="s">
        <v>98</v>
      </c>
    </row>
    <row r="633" spans="1:10">
      <c r="A633" s="6">
        <v>1010639</v>
      </c>
      <c r="B633" s="6">
        <v>31002</v>
      </c>
      <c r="C633" s="6">
        <v>6</v>
      </c>
      <c r="D633" s="6">
        <v>6</v>
      </c>
      <c r="E633" s="6">
        <v>0</v>
      </c>
      <c r="F633" s="11" t="s">
        <v>97</v>
      </c>
      <c r="G633" s="11" t="s">
        <v>38</v>
      </c>
      <c r="H633" s="6">
        <v>130027</v>
      </c>
      <c r="I633" s="11" t="s">
        <v>253</v>
      </c>
      <c r="J633" s="6" t="s">
        <v>40</v>
      </c>
    </row>
    <row r="634" spans="1:10">
      <c r="A634" s="6">
        <v>1010640</v>
      </c>
      <c r="B634" s="6">
        <v>32001</v>
      </c>
      <c r="C634" s="6">
        <v>1</v>
      </c>
      <c r="D634" s="6">
        <v>0</v>
      </c>
      <c r="E634" s="6" t="s">
        <v>254</v>
      </c>
      <c r="F634" s="11" t="s">
        <v>22</v>
      </c>
      <c r="G634" s="11">
        <v>0</v>
      </c>
      <c r="H634" s="6">
        <v>0</v>
      </c>
      <c r="I634" s="11">
        <v>0</v>
      </c>
      <c r="J634" s="6">
        <v>0</v>
      </c>
    </row>
    <row r="635" spans="1:10">
      <c r="A635" s="6">
        <v>1010641</v>
      </c>
      <c r="B635" s="6">
        <v>32001</v>
      </c>
      <c r="C635" s="6">
        <v>1</v>
      </c>
      <c r="D635" s="6">
        <v>1</v>
      </c>
      <c r="E635" s="6" t="s">
        <v>254</v>
      </c>
      <c r="F635" s="11" t="s">
        <v>23</v>
      </c>
      <c r="G635" s="11" t="s">
        <v>24</v>
      </c>
      <c r="H635" s="6">
        <v>0</v>
      </c>
      <c r="I635" s="11">
        <v>0</v>
      </c>
      <c r="J635" s="6" t="s">
        <v>25</v>
      </c>
    </row>
    <row r="636" spans="1:10">
      <c r="A636" s="6">
        <v>1010642</v>
      </c>
      <c r="B636" s="6">
        <v>32001</v>
      </c>
      <c r="C636" s="6">
        <v>1</v>
      </c>
      <c r="D636" s="6">
        <v>2</v>
      </c>
      <c r="E636" s="6" t="s">
        <v>254</v>
      </c>
      <c r="F636" s="11" t="s">
        <v>26</v>
      </c>
      <c r="G636" s="11" t="s">
        <v>27</v>
      </c>
      <c r="H636" s="6">
        <v>0</v>
      </c>
      <c r="I636" s="11">
        <v>0</v>
      </c>
      <c r="J636" s="6" t="s">
        <v>28</v>
      </c>
    </row>
    <row r="637" spans="1:10">
      <c r="A637" s="6">
        <v>1010643</v>
      </c>
      <c r="B637" s="6">
        <v>32001</v>
      </c>
      <c r="C637" s="6">
        <v>1</v>
      </c>
      <c r="D637" s="6">
        <v>3</v>
      </c>
      <c r="E637" s="6" t="s">
        <v>254</v>
      </c>
      <c r="F637" s="11" t="s">
        <v>29</v>
      </c>
      <c r="G637" s="11" t="s">
        <v>30</v>
      </c>
      <c r="H637" s="6">
        <v>0</v>
      </c>
      <c r="I637" s="11">
        <v>0</v>
      </c>
      <c r="J637" s="6" t="s">
        <v>31</v>
      </c>
    </row>
    <row r="638" spans="1:10">
      <c r="A638" s="6">
        <v>1010644</v>
      </c>
      <c r="B638" s="6">
        <v>32001</v>
      </c>
      <c r="C638" s="6">
        <v>1</v>
      </c>
      <c r="D638" s="6">
        <v>4</v>
      </c>
      <c r="E638" s="6" t="s">
        <v>254</v>
      </c>
      <c r="F638" s="11" t="s">
        <v>32</v>
      </c>
      <c r="G638" s="11" t="s">
        <v>33</v>
      </c>
      <c r="H638" s="6">
        <v>0</v>
      </c>
      <c r="I638" s="11">
        <v>0</v>
      </c>
      <c r="J638" s="6" t="s">
        <v>34</v>
      </c>
    </row>
    <row r="639" spans="1:10">
      <c r="A639" s="6">
        <v>1010645</v>
      </c>
      <c r="B639" s="6">
        <v>32001</v>
      </c>
      <c r="C639" s="6">
        <v>1</v>
      </c>
      <c r="D639" s="6">
        <v>5</v>
      </c>
      <c r="E639" s="6" t="s">
        <v>254</v>
      </c>
      <c r="F639" s="11" t="s">
        <v>35</v>
      </c>
      <c r="G639" s="11" t="s">
        <v>36</v>
      </c>
      <c r="H639" s="6">
        <v>0</v>
      </c>
      <c r="I639" s="11">
        <v>0</v>
      </c>
      <c r="J639" s="6" t="s">
        <v>37</v>
      </c>
    </row>
    <row r="640" spans="1:10">
      <c r="A640" s="6">
        <v>1010646</v>
      </c>
      <c r="B640" s="6">
        <v>32001</v>
      </c>
      <c r="C640" s="6">
        <v>1</v>
      </c>
      <c r="D640" s="6">
        <v>6</v>
      </c>
      <c r="E640" s="6" t="s">
        <v>254</v>
      </c>
      <c r="F640" s="11" t="s">
        <v>35</v>
      </c>
      <c r="G640" s="11" t="s">
        <v>38</v>
      </c>
      <c r="H640" s="6">
        <v>130032</v>
      </c>
      <c r="I640" s="11" t="s">
        <v>255</v>
      </c>
      <c r="J640" s="6" t="s">
        <v>40</v>
      </c>
    </row>
    <row r="641" spans="1:10">
      <c r="A641" s="6">
        <v>1010647</v>
      </c>
      <c r="B641" s="6">
        <v>32001</v>
      </c>
      <c r="C641" s="6">
        <v>2</v>
      </c>
      <c r="D641" s="6">
        <v>0</v>
      </c>
      <c r="E641" s="6" t="s">
        <v>256</v>
      </c>
      <c r="F641" s="11" t="s">
        <v>35</v>
      </c>
      <c r="G641" s="11">
        <v>0</v>
      </c>
      <c r="H641" s="6">
        <v>0</v>
      </c>
      <c r="I641" s="11" t="str">
        <f t="shared" ref="I641:I646" si="49">I640</f>
        <v>122|8</v>
      </c>
      <c r="J641" s="6">
        <v>0</v>
      </c>
    </row>
    <row r="642" spans="1:10">
      <c r="A642" s="6">
        <v>1010648</v>
      </c>
      <c r="B642" s="6">
        <v>32001</v>
      </c>
      <c r="C642" s="6">
        <v>2</v>
      </c>
      <c r="D642" s="6">
        <v>1</v>
      </c>
      <c r="E642" s="6" t="s">
        <v>256</v>
      </c>
      <c r="F642" s="11" t="s">
        <v>42</v>
      </c>
      <c r="G642" s="11" t="s">
        <v>24</v>
      </c>
      <c r="H642" s="6">
        <v>0</v>
      </c>
      <c r="I642" s="11" t="str">
        <f t="shared" si="49"/>
        <v>122|8</v>
      </c>
      <c r="J642" s="6" t="s">
        <v>43</v>
      </c>
    </row>
    <row r="643" spans="1:10">
      <c r="A643" s="6">
        <v>1010649</v>
      </c>
      <c r="B643" s="6">
        <v>32001</v>
      </c>
      <c r="C643" s="6">
        <v>2</v>
      </c>
      <c r="D643" s="6">
        <v>2</v>
      </c>
      <c r="E643" s="6" t="s">
        <v>256</v>
      </c>
      <c r="F643" s="11" t="s">
        <v>44</v>
      </c>
      <c r="G643" s="11" t="s">
        <v>27</v>
      </c>
      <c r="H643" s="6">
        <v>0</v>
      </c>
      <c r="I643" s="11" t="str">
        <f t="shared" si="49"/>
        <v>122|8</v>
      </c>
      <c r="J643" s="6" t="s">
        <v>45</v>
      </c>
    </row>
    <row r="644" spans="1:10">
      <c r="A644" s="6">
        <v>1010650</v>
      </c>
      <c r="B644" s="6">
        <v>32001</v>
      </c>
      <c r="C644" s="6">
        <v>2</v>
      </c>
      <c r="D644" s="6">
        <v>3</v>
      </c>
      <c r="E644" s="6" t="s">
        <v>256</v>
      </c>
      <c r="F644" s="11" t="s">
        <v>46</v>
      </c>
      <c r="G644" s="11" t="s">
        <v>30</v>
      </c>
      <c r="H644" s="6">
        <v>0</v>
      </c>
      <c r="I644" s="11" t="str">
        <f t="shared" si="49"/>
        <v>122|8</v>
      </c>
      <c r="J644" s="6" t="s">
        <v>47</v>
      </c>
    </row>
    <row r="645" spans="1:10">
      <c r="A645" s="6">
        <v>1010651</v>
      </c>
      <c r="B645" s="6">
        <v>32001</v>
      </c>
      <c r="C645" s="6">
        <v>2</v>
      </c>
      <c r="D645" s="6">
        <v>4</v>
      </c>
      <c r="E645" s="6" t="s">
        <v>256</v>
      </c>
      <c r="F645" s="11" t="s">
        <v>48</v>
      </c>
      <c r="G645" s="11" t="s">
        <v>33</v>
      </c>
      <c r="H645" s="6">
        <v>0</v>
      </c>
      <c r="I645" s="11" t="str">
        <f t="shared" si="49"/>
        <v>122|8</v>
      </c>
      <c r="J645" s="6" t="s">
        <v>49</v>
      </c>
    </row>
    <row r="646" spans="1:10">
      <c r="A646" s="6">
        <v>1010652</v>
      </c>
      <c r="B646" s="6">
        <v>32001</v>
      </c>
      <c r="C646" s="6">
        <v>2</v>
      </c>
      <c r="D646" s="6">
        <v>5</v>
      </c>
      <c r="E646" s="6" t="s">
        <v>256</v>
      </c>
      <c r="F646" s="11" t="s">
        <v>50</v>
      </c>
      <c r="G646" s="11" t="s">
        <v>36</v>
      </c>
      <c r="H646" s="6">
        <v>0</v>
      </c>
      <c r="I646" s="11" t="str">
        <f t="shared" si="49"/>
        <v>122|8</v>
      </c>
      <c r="J646" s="6" t="s">
        <v>51</v>
      </c>
    </row>
    <row r="647" spans="1:10">
      <c r="A647" s="6">
        <v>1010653</v>
      </c>
      <c r="B647" s="6">
        <v>32001</v>
      </c>
      <c r="C647" s="6">
        <v>2</v>
      </c>
      <c r="D647" s="6">
        <v>6</v>
      </c>
      <c r="E647" s="6" t="s">
        <v>256</v>
      </c>
      <c r="F647" s="11" t="s">
        <v>50</v>
      </c>
      <c r="G647" s="11" t="s">
        <v>38</v>
      </c>
      <c r="H647" s="6">
        <v>130033</v>
      </c>
      <c r="I647" s="11" t="s">
        <v>257</v>
      </c>
      <c r="J647" s="6" t="s">
        <v>40</v>
      </c>
    </row>
    <row r="648" spans="1:10">
      <c r="A648" s="6">
        <v>1010654</v>
      </c>
      <c r="B648" s="6">
        <v>32001</v>
      </c>
      <c r="C648" s="6">
        <v>3</v>
      </c>
      <c r="D648" s="6">
        <v>0</v>
      </c>
      <c r="E648" s="6" t="s">
        <v>258</v>
      </c>
      <c r="F648" s="11" t="s">
        <v>50</v>
      </c>
      <c r="G648" s="11">
        <v>0</v>
      </c>
      <c r="H648" s="6">
        <v>0</v>
      </c>
      <c r="I648" s="11" t="str">
        <f t="shared" ref="I648:I653" si="50">I647</f>
        <v>122|12</v>
      </c>
      <c r="J648" s="6">
        <v>0</v>
      </c>
    </row>
    <row r="649" spans="1:10">
      <c r="A649" s="6">
        <v>1010655</v>
      </c>
      <c r="B649" s="6">
        <v>32001</v>
      </c>
      <c r="C649" s="6">
        <v>3</v>
      </c>
      <c r="D649" s="6">
        <v>1</v>
      </c>
      <c r="E649" s="6" t="s">
        <v>258</v>
      </c>
      <c r="F649" s="11" t="s">
        <v>54</v>
      </c>
      <c r="G649" s="11" t="s">
        <v>24</v>
      </c>
      <c r="H649" s="6">
        <v>0</v>
      </c>
      <c r="I649" s="11" t="str">
        <f t="shared" si="50"/>
        <v>122|12</v>
      </c>
      <c r="J649" s="6" t="s">
        <v>55</v>
      </c>
    </row>
    <row r="650" spans="1:10">
      <c r="A650" s="6">
        <v>1010656</v>
      </c>
      <c r="B650" s="6">
        <v>32001</v>
      </c>
      <c r="C650" s="6">
        <v>3</v>
      </c>
      <c r="D650" s="6">
        <v>2</v>
      </c>
      <c r="E650" s="6" t="s">
        <v>258</v>
      </c>
      <c r="F650" s="11" t="s">
        <v>56</v>
      </c>
      <c r="G650" s="11" t="s">
        <v>27</v>
      </c>
      <c r="H650" s="6">
        <v>0</v>
      </c>
      <c r="I650" s="11" t="str">
        <f t="shared" si="50"/>
        <v>122|12</v>
      </c>
      <c r="J650" s="6" t="s">
        <v>57</v>
      </c>
    </row>
    <row r="651" spans="1:10">
      <c r="A651" s="6">
        <v>1010657</v>
      </c>
      <c r="B651" s="6">
        <v>32001</v>
      </c>
      <c r="C651" s="6">
        <v>3</v>
      </c>
      <c r="D651" s="6">
        <v>3</v>
      </c>
      <c r="E651" s="6" t="s">
        <v>258</v>
      </c>
      <c r="F651" s="11" t="s">
        <v>58</v>
      </c>
      <c r="G651" s="11" t="s">
        <v>30</v>
      </c>
      <c r="H651" s="6">
        <v>0</v>
      </c>
      <c r="I651" s="11" t="str">
        <f t="shared" si="50"/>
        <v>122|12</v>
      </c>
      <c r="J651" s="6" t="s">
        <v>59</v>
      </c>
    </row>
    <row r="652" spans="1:10">
      <c r="A652" s="6">
        <v>1010658</v>
      </c>
      <c r="B652" s="6">
        <v>32001</v>
      </c>
      <c r="C652" s="6">
        <v>3</v>
      </c>
      <c r="D652" s="6">
        <v>4</v>
      </c>
      <c r="E652" s="6" t="s">
        <v>258</v>
      </c>
      <c r="F652" s="11" t="s">
        <v>60</v>
      </c>
      <c r="G652" s="11" t="s">
        <v>33</v>
      </c>
      <c r="H652" s="6">
        <v>0</v>
      </c>
      <c r="I652" s="11" t="str">
        <f t="shared" si="50"/>
        <v>122|12</v>
      </c>
      <c r="J652" s="6" t="s">
        <v>61</v>
      </c>
    </row>
    <row r="653" spans="1:10">
      <c r="A653" s="6">
        <v>1010659</v>
      </c>
      <c r="B653" s="6">
        <v>32001</v>
      </c>
      <c r="C653" s="6">
        <v>3</v>
      </c>
      <c r="D653" s="6">
        <v>5</v>
      </c>
      <c r="E653" s="6" t="s">
        <v>258</v>
      </c>
      <c r="F653" s="11" t="s">
        <v>62</v>
      </c>
      <c r="G653" s="11" t="s">
        <v>36</v>
      </c>
      <c r="H653" s="6">
        <v>0</v>
      </c>
      <c r="I653" s="11" t="str">
        <f t="shared" si="50"/>
        <v>122|12</v>
      </c>
      <c r="J653" s="6" t="s">
        <v>63</v>
      </c>
    </row>
    <row r="654" spans="1:10">
      <c r="A654" s="6">
        <v>1010660</v>
      </c>
      <c r="B654" s="6">
        <v>32001</v>
      </c>
      <c r="C654" s="6">
        <v>3</v>
      </c>
      <c r="D654" s="6">
        <v>6</v>
      </c>
      <c r="E654" s="6" t="s">
        <v>258</v>
      </c>
      <c r="F654" s="11" t="s">
        <v>62</v>
      </c>
      <c r="G654" s="11" t="s">
        <v>38</v>
      </c>
      <c r="H654" s="6">
        <v>130034</v>
      </c>
      <c r="I654" s="11" t="s">
        <v>259</v>
      </c>
      <c r="J654" s="6" t="s">
        <v>40</v>
      </c>
    </row>
    <row r="655" spans="1:10">
      <c r="A655" s="6">
        <v>1010661</v>
      </c>
      <c r="B655" s="6">
        <v>32001</v>
      </c>
      <c r="C655" s="6">
        <v>4</v>
      </c>
      <c r="D655" s="6">
        <v>0</v>
      </c>
      <c r="E655" s="6" t="s">
        <v>260</v>
      </c>
      <c r="F655" s="11" t="s">
        <v>62</v>
      </c>
      <c r="G655" s="11">
        <v>0</v>
      </c>
      <c r="H655" s="6">
        <v>0</v>
      </c>
      <c r="I655" s="11" t="str">
        <f t="shared" ref="I655:I660" si="51">I654</f>
        <v>122|16</v>
      </c>
      <c r="J655" s="6">
        <v>0</v>
      </c>
    </row>
    <row r="656" spans="1:10">
      <c r="A656" s="6">
        <v>1010662</v>
      </c>
      <c r="B656" s="6">
        <v>32001</v>
      </c>
      <c r="C656" s="6">
        <v>4</v>
      </c>
      <c r="D656" s="6">
        <v>1</v>
      </c>
      <c r="E656" s="6" t="s">
        <v>260</v>
      </c>
      <c r="F656" s="11" t="s">
        <v>66</v>
      </c>
      <c r="G656" s="11" t="s">
        <v>24</v>
      </c>
      <c r="H656" s="6">
        <v>0</v>
      </c>
      <c r="I656" s="11" t="str">
        <f t="shared" si="51"/>
        <v>122|16</v>
      </c>
      <c r="J656" s="6" t="s">
        <v>67</v>
      </c>
    </row>
    <row r="657" spans="1:10">
      <c r="A657" s="6">
        <v>1010663</v>
      </c>
      <c r="B657" s="6">
        <v>32001</v>
      </c>
      <c r="C657" s="6">
        <v>4</v>
      </c>
      <c r="D657" s="6">
        <v>2</v>
      </c>
      <c r="E657" s="6" t="s">
        <v>260</v>
      </c>
      <c r="F657" s="11" t="s">
        <v>68</v>
      </c>
      <c r="G657" s="11" t="s">
        <v>27</v>
      </c>
      <c r="H657" s="6">
        <v>0</v>
      </c>
      <c r="I657" s="11" t="str">
        <f t="shared" si="51"/>
        <v>122|16</v>
      </c>
      <c r="J657" s="6" t="s">
        <v>69</v>
      </c>
    </row>
    <row r="658" spans="1:10">
      <c r="A658" s="6">
        <v>1010664</v>
      </c>
      <c r="B658" s="6">
        <v>32001</v>
      </c>
      <c r="C658" s="6">
        <v>4</v>
      </c>
      <c r="D658" s="6">
        <v>3</v>
      </c>
      <c r="E658" s="6" t="s">
        <v>260</v>
      </c>
      <c r="F658" s="11" t="s">
        <v>70</v>
      </c>
      <c r="G658" s="11" t="s">
        <v>30</v>
      </c>
      <c r="H658" s="6">
        <v>0</v>
      </c>
      <c r="I658" s="11" t="str">
        <f t="shared" si="51"/>
        <v>122|16</v>
      </c>
      <c r="J658" s="6" t="s">
        <v>71</v>
      </c>
    </row>
    <row r="659" spans="1:10">
      <c r="A659" s="6">
        <v>1010665</v>
      </c>
      <c r="B659" s="6">
        <v>32001</v>
      </c>
      <c r="C659" s="6">
        <v>4</v>
      </c>
      <c r="D659" s="6">
        <v>4</v>
      </c>
      <c r="E659" s="6" t="s">
        <v>260</v>
      </c>
      <c r="F659" s="11" t="s">
        <v>72</v>
      </c>
      <c r="G659" s="11" t="s">
        <v>33</v>
      </c>
      <c r="H659" s="6">
        <v>0</v>
      </c>
      <c r="I659" s="11" t="str">
        <f t="shared" si="51"/>
        <v>122|16</v>
      </c>
      <c r="J659" s="6" t="s">
        <v>73</v>
      </c>
    </row>
    <row r="660" spans="1:10">
      <c r="A660" s="6">
        <v>1010666</v>
      </c>
      <c r="B660" s="6">
        <v>32001</v>
      </c>
      <c r="C660" s="6">
        <v>4</v>
      </c>
      <c r="D660" s="6">
        <v>5</v>
      </c>
      <c r="E660" s="6" t="s">
        <v>260</v>
      </c>
      <c r="F660" s="11" t="s">
        <v>74</v>
      </c>
      <c r="G660" s="11" t="s">
        <v>36</v>
      </c>
      <c r="H660" s="6">
        <v>0</v>
      </c>
      <c r="I660" s="11" t="str">
        <f t="shared" si="51"/>
        <v>122|16</v>
      </c>
      <c r="J660" s="6" t="s">
        <v>75</v>
      </c>
    </row>
    <row r="661" spans="1:10">
      <c r="A661" s="6">
        <v>1010667</v>
      </c>
      <c r="B661" s="6">
        <v>32001</v>
      </c>
      <c r="C661" s="6">
        <v>4</v>
      </c>
      <c r="D661" s="6">
        <v>6</v>
      </c>
      <c r="E661" s="6" t="s">
        <v>260</v>
      </c>
      <c r="F661" s="11" t="s">
        <v>74</v>
      </c>
      <c r="G661" s="11" t="s">
        <v>38</v>
      </c>
      <c r="H661" s="6">
        <v>130035</v>
      </c>
      <c r="I661" s="11" t="s">
        <v>261</v>
      </c>
      <c r="J661" s="6" t="s">
        <v>40</v>
      </c>
    </row>
    <row r="662" spans="1:10">
      <c r="A662" s="6">
        <v>1010668</v>
      </c>
      <c r="B662" s="6">
        <v>32001</v>
      </c>
      <c r="C662" s="6">
        <v>5</v>
      </c>
      <c r="D662" s="6">
        <v>0</v>
      </c>
      <c r="E662" s="6" t="s">
        <v>262</v>
      </c>
      <c r="F662" s="11" t="s">
        <v>74</v>
      </c>
      <c r="G662" s="11">
        <v>0</v>
      </c>
      <c r="H662" s="6">
        <v>0</v>
      </c>
      <c r="I662" s="11" t="str">
        <f t="shared" ref="I662:I667" si="52">I661</f>
        <v>122|20</v>
      </c>
      <c r="J662" s="6">
        <v>0</v>
      </c>
    </row>
    <row r="663" spans="1:10">
      <c r="A663" s="6">
        <v>1010669</v>
      </c>
      <c r="B663" s="6">
        <v>32001</v>
      </c>
      <c r="C663" s="6">
        <v>5</v>
      </c>
      <c r="D663" s="6">
        <v>1</v>
      </c>
      <c r="E663" s="6" t="s">
        <v>262</v>
      </c>
      <c r="F663" s="11" t="s">
        <v>78</v>
      </c>
      <c r="G663" s="11" t="s">
        <v>24</v>
      </c>
      <c r="H663" s="6">
        <v>0</v>
      </c>
      <c r="I663" s="11" t="str">
        <f t="shared" si="52"/>
        <v>122|20</v>
      </c>
      <c r="J663" s="6" t="s">
        <v>79</v>
      </c>
    </row>
    <row r="664" spans="1:10">
      <c r="A664" s="6">
        <v>1010670</v>
      </c>
      <c r="B664" s="6">
        <v>32001</v>
      </c>
      <c r="C664" s="6">
        <v>5</v>
      </c>
      <c r="D664" s="6">
        <v>2</v>
      </c>
      <c r="E664" s="6" t="s">
        <v>262</v>
      </c>
      <c r="F664" s="11" t="s">
        <v>80</v>
      </c>
      <c r="G664" s="11" t="s">
        <v>27</v>
      </c>
      <c r="H664" s="6">
        <v>0</v>
      </c>
      <c r="I664" s="11" t="str">
        <f t="shared" si="52"/>
        <v>122|20</v>
      </c>
      <c r="J664" s="6" t="s">
        <v>81</v>
      </c>
    </row>
    <row r="665" spans="1:10">
      <c r="A665" s="6">
        <v>1010671</v>
      </c>
      <c r="B665" s="6">
        <v>32001</v>
      </c>
      <c r="C665" s="6">
        <v>5</v>
      </c>
      <c r="D665" s="6">
        <v>3</v>
      </c>
      <c r="E665" s="6" t="s">
        <v>262</v>
      </c>
      <c r="F665" s="11" t="s">
        <v>82</v>
      </c>
      <c r="G665" s="11" t="s">
        <v>30</v>
      </c>
      <c r="H665" s="6">
        <v>0</v>
      </c>
      <c r="I665" s="11" t="str">
        <f t="shared" si="52"/>
        <v>122|20</v>
      </c>
      <c r="J665" s="6" t="s">
        <v>83</v>
      </c>
    </row>
    <row r="666" spans="1:10">
      <c r="A666" s="6">
        <v>1010672</v>
      </c>
      <c r="B666" s="6">
        <v>32001</v>
      </c>
      <c r="C666" s="6">
        <v>5</v>
      </c>
      <c r="D666" s="6">
        <v>4</v>
      </c>
      <c r="E666" s="6" t="s">
        <v>262</v>
      </c>
      <c r="F666" s="11" t="s">
        <v>84</v>
      </c>
      <c r="G666" s="11" t="s">
        <v>33</v>
      </c>
      <c r="H666" s="6">
        <v>0</v>
      </c>
      <c r="I666" s="11" t="str">
        <f t="shared" si="52"/>
        <v>122|20</v>
      </c>
      <c r="J666" s="6" t="s">
        <v>85</v>
      </c>
    </row>
    <row r="667" spans="1:10">
      <c r="A667" s="6">
        <v>1010673</v>
      </c>
      <c r="B667" s="6">
        <v>32001</v>
      </c>
      <c r="C667" s="6">
        <v>5</v>
      </c>
      <c r="D667" s="6">
        <v>5</v>
      </c>
      <c r="E667" s="6" t="s">
        <v>262</v>
      </c>
      <c r="F667" s="11" t="s">
        <v>86</v>
      </c>
      <c r="G667" s="11" t="s">
        <v>36</v>
      </c>
      <c r="H667" s="6">
        <v>0</v>
      </c>
      <c r="I667" s="11" t="str">
        <f t="shared" si="52"/>
        <v>122|20</v>
      </c>
      <c r="J667" s="6" t="s">
        <v>87</v>
      </c>
    </row>
    <row r="668" spans="1:10">
      <c r="A668" s="6">
        <v>1010674</v>
      </c>
      <c r="B668" s="6">
        <v>32001</v>
      </c>
      <c r="C668" s="6">
        <v>5</v>
      </c>
      <c r="D668" s="6">
        <v>6</v>
      </c>
      <c r="E668" s="6" t="s">
        <v>262</v>
      </c>
      <c r="F668" s="11" t="s">
        <v>86</v>
      </c>
      <c r="G668" s="11" t="s">
        <v>38</v>
      </c>
      <c r="H668" s="6">
        <v>130036</v>
      </c>
      <c r="I668" s="11" t="s">
        <v>263</v>
      </c>
      <c r="J668" s="6" t="s">
        <v>40</v>
      </c>
    </row>
    <row r="669" spans="1:10">
      <c r="A669" s="6">
        <v>1010675</v>
      </c>
      <c r="B669" s="6">
        <v>32001</v>
      </c>
      <c r="C669" s="6">
        <v>6</v>
      </c>
      <c r="D669" s="6">
        <v>0</v>
      </c>
      <c r="E669" s="6" t="s">
        <v>262</v>
      </c>
      <c r="F669" s="11" t="s">
        <v>86</v>
      </c>
      <c r="G669" s="11">
        <v>0</v>
      </c>
      <c r="H669" s="6">
        <v>0</v>
      </c>
      <c r="I669" s="11" t="str">
        <f t="shared" ref="I669:I674" si="53">I668</f>
        <v>122|25</v>
      </c>
      <c r="J669" s="6">
        <v>0</v>
      </c>
    </row>
    <row r="670" spans="1:10">
      <c r="A670" s="6">
        <v>1010676</v>
      </c>
      <c r="B670" s="6">
        <v>32001</v>
      </c>
      <c r="C670" s="6">
        <v>6</v>
      </c>
      <c r="D670" s="6">
        <v>1</v>
      </c>
      <c r="E670" s="6" t="s">
        <v>262</v>
      </c>
      <c r="F670" s="11" t="s">
        <v>89</v>
      </c>
      <c r="G670" s="11" t="s">
        <v>24</v>
      </c>
      <c r="H670" s="6">
        <v>0</v>
      </c>
      <c r="I670" s="11" t="str">
        <f t="shared" si="53"/>
        <v>122|25</v>
      </c>
      <c r="J670" s="6" t="s">
        <v>90</v>
      </c>
    </row>
    <row r="671" spans="1:10">
      <c r="A671" s="6">
        <v>1010677</v>
      </c>
      <c r="B671" s="6">
        <v>32001</v>
      </c>
      <c r="C671" s="6">
        <v>6</v>
      </c>
      <c r="D671" s="6">
        <v>2</v>
      </c>
      <c r="E671" s="6" t="s">
        <v>262</v>
      </c>
      <c r="F671" s="11" t="s">
        <v>91</v>
      </c>
      <c r="G671" s="11" t="s">
        <v>27</v>
      </c>
      <c r="H671" s="6">
        <v>0</v>
      </c>
      <c r="I671" s="11" t="str">
        <f t="shared" si="53"/>
        <v>122|25</v>
      </c>
      <c r="J671" s="6" t="s">
        <v>92</v>
      </c>
    </row>
    <row r="672" spans="1:10">
      <c r="A672" s="6">
        <v>1010678</v>
      </c>
      <c r="B672" s="6">
        <v>32001</v>
      </c>
      <c r="C672" s="6">
        <v>6</v>
      </c>
      <c r="D672" s="6">
        <v>3</v>
      </c>
      <c r="E672" s="6" t="s">
        <v>262</v>
      </c>
      <c r="F672" s="11" t="s">
        <v>93</v>
      </c>
      <c r="G672" s="11" t="s">
        <v>30</v>
      </c>
      <c r="H672" s="6">
        <v>0</v>
      </c>
      <c r="I672" s="11" t="str">
        <f t="shared" si="53"/>
        <v>122|25</v>
      </c>
      <c r="J672" s="6" t="s">
        <v>94</v>
      </c>
    </row>
    <row r="673" spans="1:10">
      <c r="A673" s="6">
        <v>1010679</v>
      </c>
      <c r="B673" s="6">
        <v>32001</v>
      </c>
      <c r="C673" s="6">
        <v>6</v>
      </c>
      <c r="D673" s="6">
        <v>4</v>
      </c>
      <c r="E673" s="6" t="s">
        <v>262</v>
      </c>
      <c r="F673" s="11" t="s">
        <v>95</v>
      </c>
      <c r="G673" s="11" t="s">
        <v>33</v>
      </c>
      <c r="H673" s="6">
        <v>0</v>
      </c>
      <c r="I673" s="11" t="str">
        <f t="shared" si="53"/>
        <v>122|25</v>
      </c>
      <c r="J673" s="6" t="s">
        <v>96</v>
      </c>
    </row>
    <row r="674" spans="1:10">
      <c r="A674" s="6">
        <v>1010680</v>
      </c>
      <c r="B674" s="6">
        <v>32001</v>
      </c>
      <c r="C674" s="6">
        <v>6</v>
      </c>
      <c r="D674" s="6">
        <v>5</v>
      </c>
      <c r="E674" s="6" t="s">
        <v>262</v>
      </c>
      <c r="F674" s="11" t="s">
        <v>97</v>
      </c>
      <c r="G674" s="11" t="s">
        <v>36</v>
      </c>
      <c r="H674" s="6">
        <v>0</v>
      </c>
      <c r="I674" s="11" t="str">
        <f t="shared" si="53"/>
        <v>122|25</v>
      </c>
      <c r="J674" s="6" t="s">
        <v>98</v>
      </c>
    </row>
    <row r="675" spans="1:10">
      <c r="A675" s="6">
        <v>1010681</v>
      </c>
      <c r="B675" s="6">
        <v>32001</v>
      </c>
      <c r="C675" s="6">
        <v>6</v>
      </c>
      <c r="D675" s="6">
        <v>6</v>
      </c>
      <c r="E675" s="6">
        <v>0</v>
      </c>
      <c r="F675" s="11" t="s">
        <v>97</v>
      </c>
      <c r="G675" s="11" t="s">
        <v>38</v>
      </c>
      <c r="H675" s="6">
        <v>130037</v>
      </c>
      <c r="I675" s="11" t="s">
        <v>264</v>
      </c>
      <c r="J675" s="6" t="s">
        <v>40</v>
      </c>
    </row>
    <row r="676" spans="1:10">
      <c r="A676" s="6">
        <v>1010682</v>
      </c>
      <c r="B676" s="6">
        <v>33001</v>
      </c>
      <c r="C676" s="6">
        <v>1</v>
      </c>
      <c r="D676" s="6">
        <v>0</v>
      </c>
      <c r="E676" s="6" t="s">
        <v>265</v>
      </c>
      <c r="F676" s="11" t="s">
        <v>22</v>
      </c>
      <c r="G676" s="11">
        <v>0</v>
      </c>
      <c r="H676" s="6">
        <v>0</v>
      </c>
      <c r="I676" s="11">
        <v>0</v>
      </c>
      <c r="J676" s="6">
        <v>0</v>
      </c>
    </row>
    <row r="677" spans="1:10">
      <c r="A677" s="6">
        <v>1010683</v>
      </c>
      <c r="B677" s="6">
        <v>33001</v>
      </c>
      <c r="C677" s="6">
        <v>1</v>
      </c>
      <c r="D677" s="6">
        <v>1</v>
      </c>
      <c r="E677" s="6" t="s">
        <v>265</v>
      </c>
      <c r="F677" s="11" t="s">
        <v>23</v>
      </c>
      <c r="G677" s="11" t="s">
        <v>24</v>
      </c>
      <c r="H677" s="6">
        <v>0</v>
      </c>
      <c r="I677" s="11">
        <v>0</v>
      </c>
      <c r="J677" s="6" t="s">
        <v>25</v>
      </c>
    </row>
    <row r="678" spans="1:10">
      <c r="A678" s="6">
        <v>1010684</v>
      </c>
      <c r="B678" s="6">
        <v>33001</v>
      </c>
      <c r="C678" s="6">
        <v>1</v>
      </c>
      <c r="D678" s="6">
        <v>2</v>
      </c>
      <c r="E678" s="6" t="s">
        <v>265</v>
      </c>
      <c r="F678" s="11" t="s">
        <v>26</v>
      </c>
      <c r="G678" s="11" t="s">
        <v>27</v>
      </c>
      <c r="H678" s="6">
        <v>0</v>
      </c>
      <c r="I678" s="11">
        <v>0</v>
      </c>
      <c r="J678" s="6" t="s">
        <v>28</v>
      </c>
    </row>
    <row r="679" spans="1:10">
      <c r="A679" s="6">
        <v>1010685</v>
      </c>
      <c r="B679" s="6">
        <v>33001</v>
      </c>
      <c r="C679" s="6">
        <v>1</v>
      </c>
      <c r="D679" s="6">
        <v>3</v>
      </c>
      <c r="E679" s="6" t="s">
        <v>265</v>
      </c>
      <c r="F679" s="11" t="s">
        <v>29</v>
      </c>
      <c r="G679" s="11" t="s">
        <v>30</v>
      </c>
      <c r="H679" s="6">
        <v>0</v>
      </c>
      <c r="I679" s="11">
        <v>0</v>
      </c>
      <c r="J679" s="6" t="s">
        <v>31</v>
      </c>
    </row>
    <row r="680" spans="1:10">
      <c r="A680" s="6">
        <v>1010686</v>
      </c>
      <c r="B680" s="6">
        <v>33001</v>
      </c>
      <c r="C680" s="6">
        <v>1</v>
      </c>
      <c r="D680" s="6">
        <v>4</v>
      </c>
      <c r="E680" s="6" t="s">
        <v>265</v>
      </c>
      <c r="F680" s="11" t="s">
        <v>32</v>
      </c>
      <c r="G680" s="11" t="s">
        <v>33</v>
      </c>
      <c r="H680" s="6">
        <v>0</v>
      </c>
      <c r="I680" s="11">
        <v>0</v>
      </c>
      <c r="J680" s="6" t="s">
        <v>34</v>
      </c>
    </row>
    <row r="681" spans="1:10">
      <c r="A681" s="6">
        <v>1010687</v>
      </c>
      <c r="B681" s="6">
        <v>33001</v>
      </c>
      <c r="C681" s="6">
        <v>1</v>
      </c>
      <c r="D681" s="6">
        <v>5</v>
      </c>
      <c r="E681" s="6" t="s">
        <v>265</v>
      </c>
      <c r="F681" s="11" t="s">
        <v>35</v>
      </c>
      <c r="G681" s="11" t="s">
        <v>36</v>
      </c>
      <c r="H681" s="6">
        <v>0</v>
      </c>
      <c r="I681" s="11">
        <v>0</v>
      </c>
      <c r="J681" s="6" t="s">
        <v>37</v>
      </c>
    </row>
    <row r="682" spans="1:10">
      <c r="A682" s="6">
        <v>1010688</v>
      </c>
      <c r="B682" s="6">
        <v>33001</v>
      </c>
      <c r="C682" s="6">
        <v>1</v>
      </c>
      <c r="D682" s="6">
        <v>6</v>
      </c>
      <c r="E682" s="6" t="s">
        <v>265</v>
      </c>
      <c r="F682" s="11" t="s">
        <v>35</v>
      </c>
      <c r="G682" s="11" t="s">
        <v>38</v>
      </c>
      <c r="H682" s="6">
        <v>130042</v>
      </c>
      <c r="I682" s="11" t="s">
        <v>266</v>
      </c>
      <c r="J682" s="6" t="s">
        <v>40</v>
      </c>
    </row>
    <row r="683" spans="1:10">
      <c r="A683" s="6">
        <v>1010689</v>
      </c>
      <c r="B683" s="6">
        <v>33001</v>
      </c>
      <c r="C683" s="6">
        <v>2</v>
      </c>
      <c r="D683" s="6">
        <v>0</v>
      </c>
      <c r="E683" s="6" t="s">
        <v>267</v>
      </c>
      <c r="F683" s="11" t="s">
        <v>35</v>
      </c>
      <c r="G683" s="11">
        <v>0</v>
      </c>
      <c r="H683" s="6">
        <v>0</v>
      </c>
      <c r="I683" s="11" t="str">
        <f t="shared" ref="I683:I688" si="54">I682</f>
        <v>104|8</v>
      </c>
      <c r="J683" s="6">
        <v>0</v>
      </c>
    </row>
    <row r="684" spans="1:10">
      <c r="A684" s="6">
        <v>1010690</v>
      </c>
      <c r="B684" s="6">
        <v>33001</v>
      </c>
      <c r="C684" s="6">
        <v>2</v>
      </c>
      <c r="D684" s="6">
        <v>1</v>
      </c>
      <c r="E684" s="6" t="s">
        <v>267</v>
      </c>
      <c r="F684" s="11" t="s">
        <v>42</v>
      </c>
      <c r="G684" s="11" t="s">
        <v>24</v>
      </c>
      <c r="H684" s="6">
        <v>0</v>
      </c>
      <c r="I684" s="11" t="str">
        <f t="shared" si="54"/>
        <v>104|8</v>
      </c>
      <c r="J684" s="6" t="s">
        <v>43</v>
      </c>
    </row>
    <row r="685" spans="1:10">
      <c r="A685" s="6">
        <v>1010691</v>
      </c>
      <c r="B685" s="6">
        <v>33001</v>
      </c>
      <c r="C685" s="6">
        <v>2</v>
      </c>
      <c r="D685" s="6">
        <v>2</v>
      </c>
      <c r="E685" s="6" t="s">
        <v>267</v>
      </c>
      <c r="F685" s="11" t="s">
        <v>44</v>
      </c>
      <c r="G685" s="11" t="s">
        <v>27</v>
      </c>
      <c r="H685" s="6">
        <v>0</v>
      </c>
      <c r="I685" s="11" t="str">
        <f t="shared" si="54"/>
        <v>104|8</v>
      </c>
      <c r="J685" s="6" t="s">
        <v>45</v>
      </c>
    </row>
    <row r="686" spans="1:10">
      <c r="A686" s="6">
        <v>1010692</v>
      </c>
      <c r="B686" s="6">
        <v>33001</v>
      </c>
      <c r="C686" s="6">
        <v>2</v>
      </c>
      <c r="D686" s="6">
        <v>3</v>
      </c>
      <c r="E686" s="6" t="s">
        <v>267</v>
      </c>
      <c r="F686" s="11" t="s">
        <v>46</v>
      </c>
      <c r="G686" s="11" t="s">
        <v>30</v>
      </c>
      <c r="H686" s="6">
        <v>0</v>
      </c>
      <c r="I686" s="11" t="str">
        <f t="shared" si="54"/>
        <v>104|8</v>
      </c>
      <c r="J686" s="6" t="s">
        <v>47</v>
      </c>
    </row>
    <row r="687" spans="1:10">
      <c r="A687" s="6">
        <v>1010693</v>
      </c>
      <c r="B687" s="6">
        <v>33001</v>
      </c>
      <c r="C687" s="6">
        <v>2</v>
      </c>
      <c r="D687" s="6">
        <v>4</v>
      </c>
      <c r="E687" s="6" t="s">
        <v>267</v>
      </c>
      <c r="F687" s="11" t="s">
        <v>48</v>
      </c>
      <c r="G687" s="11" t="s">
        <v>33</v>
      </c>
      <c r="H687" s="6">
        <v>0</v>
      </c>
      <c r="I687" s="11" t="str">
        <f t="shared" si="54"/>
        <v>104|8</v>
      </c>
      <c r="J687" s="6" t="s">
        <v>49</v>
      </c>
    </row>
    <row r="688" spans="1:10">
      <c r="A688" s="6">
        <v>1010694</v>
      </c>
      <c r="B688" s="6">
        <v>33001</v>
      </c>
      <c r="C688" s="6">
        <v>2</v>
      </c>
      <c r="D688" s="6">
        <v>5</v>
      </c>
      <c r="E688" s="6" t="s">
        <v>267</v>
      </c>
      <c r="F688" s="11" t="s">
        <v>50</v>
      </c>
      <c r="G688" s="11" t="s">
        <v>36</v>
      </c>
      <c r="H688" s="6">
        <v>0</v>
      </c>
      <c r="I688" s="11" t="str">
        <f t="shared" si="54"/>
        <v>104|8</v>
      </c>
      <c r="J688" s="6" t="s">
        <v>51</v>
      </c>
    </row>
    <row r="689" spans="1:10">
      <c r="A689" s="6">
        <v>1010695</v>
      </c>
      <c r="B689" s="6">
        <v>33001</v>
      </c>
      <c r="C689" s="6">
        <v>2</v>
      </c>
      <c r="D689" s="6">
        <v>6</v>
      </c>
      <c r="E689" s="6" t="s">
        <v>267</v>
      </c>
      <c r="F689" s="11" t="s">
        <v>50</v>
      </c>
      <c r="G689" s="11" t="s">
        <v>38</v>
      </c>
      <c r="H689" s="6">
        <v>130043</v>
      </c>
      <c r="I689" s="11" t="s">
        <v>268</v>
      </c>
      <c r="J689" s="6" t="s">
        <v>40</v>
      </c>
    </row>
    <row r="690" spans="1:10">
      <c r="A690" s="6">
        <v>1010696</v>
      </c>
      <c r="B690" s="6">
        <v>33001</v>
      </c>
      <c r="C690" s="6">
        <v>3</v>
      </c>
      <c r="D690" s="6">
        <v>0</v>
      </c>
      <c r="E690" s="6" t="s">
        <v>269</v>
      </c>
      <c r="F690" s="11" t="s">
        <v>50</v>
      </c>
      <c r="G690" s="11">
        <v>0</v>
      </c>
      <c r="H690" s="6">
        <v>0</v>
      </c>
      <c r="I690" s="11" t="str">
        <f t="shared" ref="I690:I695" si="55">I689</f>
        <v>104|12</v>
      </c>
      <c r="J690" s="6">
        <v>0</v>
      </c>
    </row>
    <row r="691" spans="1:10">
      <c r="A691" s="6">
        <v>1010697</v>
      </c>
      <c r="B691" s="6">
        <v>33001</v>
      </c>
      <c r="C691" s="6">
        <v>3</v>
      </c>
      <c r="D691" s="6">
        <v>1</v>
      </c>
      <c r="E691" s="6" t="s">
        <v>269</v>
      </c>
      <c r="F691" s="11" t="s">
        <v>54</v>
      </c>
      <c r="G691" s="11" t="s">
        <v>24</v>
      </c>
      <c r="H691" s="6">
        <v>0</v>
      </c>
      <c r="I691" s="11" t="str">
        <f t="shared" si="55"/>
        <v>104|12</v>
      </c>
      <c r="J691" s="6" t="s">
        <v>55</v>
      </c>
    </row>
    <row r="692" spans="1:10">
      <c r="A692" s="6">
        <v>1010698</v>
      </c>
      <c r="B692" s="6">
        <v>33001</v>
      </c>
      <c r="C692" s="6">
        <v>3</v>
      </c>
      <c r="D692" s="6">
        <v>2</v>
      </c>
      <c r="E692" s="6" t="s">
        <v>269</v>
      </c>
      <c r="F692" s="11" t="s">
        <v>56</v>
      </c>
      <c r="G692" s="11" t="s">
        <v>27</v>
      </c>
      <c r="H692" s="6">
        <v>0</v>
      </c>
      <c r="I692" s="11" t="str">
        <f t="shared" si="55"/>
        <v>104|12</v>
      </c>
      <c r="J692" s="6" t="s">
        <v>57</v>
      </c>
    </row>
    <row r="693" spans="1:10">
      <c r="A693" s="6">
        <v>1010699</v>
      </c>
      <c r="B693" s="6">
        <v>33001</v>
      </c>
      <c r="C693" s="6">
        <v>3</v>
      </c>
      <c r="D693" s="6">
        <v>3</v>
      </c>
      <c r="E693" s="6" t="s">
        <v>269</v>
      </c>
      <c r="F693" s="11" t="s">
        <v>58</v>
      </c>
      <c r="G693" s="11" t="s">
        <v>30</v>
      </c>
      <c r="H693" s="6">
        <v>0</v>
      </c>
      <c r="I693" s="11" t="str">
        <f t="shared" si="55"/>
        <v>104|12</v>
      </c>
      <c r="J693" s="6" t="s">
        <v>59</v>
      </c>
    </row>
    <row r="694" spans="1:10">
      <c r="A694" s="6">
        <v>1010700</v>
      </c>
      <c r="B694" s="6">
        <v>33001</v>
      </c>
      <c r="C694" s="6">
        <v>3</v>
      </c>
      <c r="D694" s="6">
        <v>4</v>
      </c>
      <c r="E694" s="6" t="s">
        <v>269</v>
      </c>
      <c r="F694" s="11" t="s">
        <v>60</v>
      </c>
      <c r="G694" s="11" t="s">
        <v>33</v>
      </c>
      <c r="H694" s="6">
        <v>0</v>
      </c>
      <c r="I694" s="11" t="str">
        <f t="shared" si="55"/>
        <v>104|12</v>
      </c>
      <c r="J694" s="6" t="s">
        <v>61</v>
      </c>
    </row>
    <row r="695" spans="1:10">
      <c r="A695" s="6">
        <v>1010701</v>
      </c>
      <c r="B695" s="6">
        <v>33001</v>
      </c>
      <c r="C695" s="6">
        <v>3</v>
      </c>
      <c r="D695" s="6">
        <v>5</v>
      </c>
      <c r="E695" s="6" t="s">
        <v>269</v>
      </c>
      <c r="F695" s="11" t="s">
        <v>62</v>
      </c>
      <c r="G695" s="11" t="s">
        <v>36</v>
      </c>
      <c r="H695" s="6">
        <v>0</v>
      </c>
      <c r="I695" s="11" t="str">
        <f t="shared" si="55"/>
        <v>104|12</v>
      </c>
      <c r="J695" s="6" t="s">
        <v>63</v>
      </c>
    </row>
    <row r="696" spans="1:10">
      <c r="A696" s="6">
        <v>1010702</v>
      </c>
      <c r="B696" s="6">
        <v>33001</v>
      </c>
      <c r="C696" s="6">
        <v>3</v>
      </c>
      <c r="D696" s="6">
        <v>6</v>
      </c>
      <c r="E696" s="6" t="s">
        <v>269</v>
      </c>
      <c r="F696" s="11" t="s">
        <v>62</v>
      </c>
      <c r="G696" s="11" t="s">
        <v>38</v>
      </c>
      <c r="H696" s="6">
        <v>130044</v>
      </c>
      <c r="I696" s="11" t="s">
        <v>270</v>
      </c>
      <c r="J696" s="6" t="s">
        <v>40</v>
      </c>
    </row>
    <row r="697" spans="1:10">
      <c r="A697" s="6">
        <v>1010703</v>
      </c>
      <c r="B697" s="6">
        <v>33001</v>
      </c>
      <c r="C697" s="6">
        <v>4</v>
      </c>
      <c r="D697" s="6">
        <v>0</v>
      </c>
      <c r="E697" s="6" t="s">
        <v>271</v>
      </c>
      <c r="F697" s="11" t="s">
        <v>62</v>
      </c>
      <c r="G697" s="11">
        <v>0</v>
      </c>
      <c r="H697" s="6">
        <v>0</v>
      </c>
      <c r="I697" s="11" t="str">
        <f t="shared" ref="I697:I702" si="56">I696</f>
        <v>104|16</v>
      </c>
      <c r="J697" s="6">
        <v>0</v>
      </c>
    </row>
    <row r="698" spans="1:10">
      <c r="A698" s="6">
        <v>1010704</v>
      </c>
      <c r="B698" s="6">
        <v>33001</v>
      </c>
      <c r="C698" s="6">
        <v>4</v>
      </c>
      <c r="D698" s="6">
        <v>1</v>
      </c>
      <c r="E698" s="6" t="s">
        <v>271</v>
      </c>
      <c r="F698" s="11" t="s">
        <v>66</v>
      </c>
      <c r="G698" s="11" t="s">
        <v>24</v>
      </c>
      <c r="H698" s="6">
        <v>0</v>
      </c>
      <c r="I698" s="11" t="str">
        <f t="shared" si="56"/>
        <v>104|16</v>
      </c>
      <c r="J698" s="6" t="s">
        <v>67</v>
      </c>
    </row>
    <row r="699" spans="1:10">
      <c r="A699" s="6">
        <v>1010705</v>
      </c>
      <c r="B699" s="6">
        <v>33001</v>
      </c>
      <c r="C699" s="6">
        <v>4</v>
      </c>
      <c r="D699" s="6">
        <v>2</v>
      </c>
      <c r="E699" s="6" t="s">
        <v>271</v>
      </c>
      <c r="F699" s="11" t="s">
        <v>68</v>
      </c>
      <c r="G699" s="11" t="s">
        <v>27</v>
      </c>
      <c r="H699" s="6">
        <v>0</v>
      </c>
      <c r="I699" s="11" t="str">
        <f t="shared" si="56"/>
        <v>104|16</v>
      </c>
      <c r="J699" s="6" t="s">
        <v>69</v>
      </c>
    </row>
    <row r="700" spans="1:10">
      <c r="A700" s="6">
        <v>1010706</v>
      </c>
      <c r="B700" s="6">
        <v>33001</v>
      </c>
      <c r="C700" s="6">
        <v>4</v>
      </c>
      <c r="D700" s="6">
        <v>3</v>
      </c>
      <c r="E700" s="6" t="s">
        <v>271</v>
      </c>
      <c r="F700" s="11" t="s">
        <v>70</v>
      </c>
      <c r="G700" s="11" t="s">
        <v>30</v>
      </c>
      <c r="H700" s="6">
        <v>0</v>
      </c>
      <c r="I700" s="11" t="str">
        <f t="shared" si="56"/>
        <v>104|16</v>
      </c>
      <c r="J700" s="6" t="s">
        <v>71</v>
      </c>
    </row>
    <row r="701" spans="1:10">
      <c r="A701" s="6">
        <v>1010707</v>
      </c>
      <c r="B701" s="6">
        <v>33001</v>
      </c>
      <c r="C701" s="6">
        <v>4</v>
      </c>
      <c r="D701" s="6">
        <v>4</v>
      </c>
      <c r="E701" s="6" t="s">
        <v>271</v>
      </c>
      <c r="F701" s="11" t="s">
        <v>72</v>
      </c>
      <c r="G701" s="11" t="s">
        <v>33</v>
      </c>
      <c r="H701" s="6">
        <v>0</v>
      </c>
      <c r="I701" s="11" t="str">
        <f t="shared" si="56"/>
        <v>104|16</v>
      </c>
      <c r="J701" s="6" t="s">
        <v>73</v>
      </c>
    </row>
    <row r="702" spans="1:10">
      <c r="A702" s="6">
        <v>1010708</v>
      </c>
      <c r="B702" s="6">
        <v>33001</v>
      </c>
      <c r="C702" s="6">
        <v>4</v>
      </c>
      <c r="D702" s="6">
        <v>5</v>
      </c>
      <c r="E702" s="6" t="s">
        <v>271</v>
      </c>
      <c r="F702" s="11" t="s">
        <v>74</v>
      </c>
      <c r="G702" s="11" t="s">
        <v>36</v>
      </c>
      <c r="H702" s="6">
        <v>0</v>
      </c>
      <c r="I702" s="11" t="str">
        <f t="shared" si="56"/>
        <v>104|16</v>
      </c>
      <c r="J702" s="6" t="s">
        <v>75</v>
      </c>
    </row>
    <row r="703" spans="1:10">
      <c r="A703" s="6">
        <v>1010709</v>
      </c>
      <c r="B703" s="6">
        <v>33001</v>
      </c>
      <c r="C703" s="6">
        <v>4</v>
      </c>
      <c r="D703" s="6">
        <v>6</v>
      </c>
      <c r="E703" s="6" t="s">
        <v>271</v>
      </c>
      <c r="F703" s="11" t="s">
        <v>74</v>
      </c>
      <c r="G703" s="11" t="s">
        <v>38</v>
      </c>
      <c r="H703" s="6">
        <v>130045</v>
      </c>
      <c r="I703" s="11" t="s">
        <v>272</v>
      </c>
      <c r="J703" s="6" t="s">
        <v>40</v>
      </c>
    </row>
    <row r="704" spans="1:10">
      <c r="A704" s="6">
        <v>1010710</v>
      </c>
      <c r="B704" s="6">
        <v>33001</v>
      </c>
      <c r="C704" s="6">
        <v>5</v>
      </c>
      <c r="D704" s="6">
        <v>0</v>
      </c>
      <c r="E704" s="6" t="s">
        <v>273</v>
      </c>
      <c r="F704" s="11" t="s">
        <v>74</v>
      </c>
      <c r="G704" s="11">
        <v>0</v>
      </c>
      <c r="H704" s="6">
        <v>0</v>
      </c>
      <c r="I704" s="11" t="str">
        <f t="shared" ref="I704:I709" si="57">I703</f>
        <v>104|20</v>
      </c>
      <c r="J704" s="6">
        <v>0</v>
      </c>
    </row>
    <row r="705" spans="1:10">
      <c r="A705" s="6">
        <v>1010711</v>
      </c>
      <c r="B705" s="6">
        <v>33001</v>
      </c>
      <c r="C705" s="6">
        <v>5</v>
      </c>
      <c r="D705" s="6">
        <v>1</v>
      </c>
      <c r="E705" s="6" t="s">
        <v>273</v>
      </c>
      <c r="F705" s="11" t="s">
        <v>78</v>
      </c>
      <c r="G705" s="11" t="s">
        <v>24</v>
      </c>
      <c r="H705" s="6">
        <v>0</v>
      </c>
      <c r="I705" s="11" t="str">
        <f t="shared" si="57"/>
        <v>104|20</v>
      </c>
      <c r="J705" s="6" t="s">
        <v>79</v>
      </c>
    </row>
    <row r="706" spans="1:10">
      <c r="A706" s="6">
        <v>1010712</v>
      </c>
      <c r="B706" s="6">
        <v>33001</v>
      </c>
      <c r="C706" s="6">
        <v>5</v>
      </c>
      <c r="D706" s="6">
        <v>2</v>
      </c>
      <c r="E706" s="6" t="s">
        <v>273</v>
      </c>
      <c r="F706" s="11" t="s">
        <v>80</v>
      </c>
      <c r="G706" s="11" t="s">
        <v>27</v>
      </c>
      <c r="H706" s="6">
        <v>0</v>
      </c>
      <c r="I706" s="11" t="str">
        <f t="shared" si="57"/>
        <v>104|20</v>
      </c>
      <c r="J706" s="6" t="s">
        <v>81</v>
      </c>
    </row>
    <row r="707" spans="1:10">
      <c r="A707" s="6">
        <v>1010713</v>
      </c>
      <c r="B707" s="6">
        <v>33001</v>
      </c>
      <c r="C707" s="6">
        <v>5</v>
      </c>
      <c r="D707" s="6">
        <v>3</v>
      </c>
      <c r="E707" s="6" t="s">
        <v>273</v>
      </c>
      <c r="F707" s="11" t="s">
        <v>82</v>
      </c>
      <c r="G707" s="11" t="s">
        <v>30</v>
      </c>
      <c r="H707" s="6">
        <v>0</v>
      </c>
      <c r="I707" s="11" t="str">
        <f t="shared" si="57"/>
        <v>104|20</v>
      </c>
      <c r="J707" s="6" t="s">
        <v>83</v>
      </c>
    </row>
    <row r="708" spans="1:10">
      <c r="A708" s="6">
        <v>1010714</v>
      </c>
      <c r="B708" s="6">
        <v>33001</v>
      </c>
      <c r="C708" s="6">
        <v>5</v>
      </c>
      <c r="D708" s="6">
        <v>4</v>
      </c>
      <c r="E708" s="6" t="s">
        <v>273</v>
      </c>
      <c r="F708" s="11" t="s">
        <v>84</v>
      </c>
      <c r="G708" s="11" t="s">
        <v>33</v>
      </c>
      <c r="H708" s="6">
        <v>0</v>
      </c>
      <c r="I708" s="11" t="str">
        <f t="shared" si="57"/>
        <v>104|20</v>
      </c>
      <c r="J708" s="6" t="s">
        <v>85</v>
      </c>
    </row>
    <row r="709" spans="1:10">
      <c r="A709" s="6">
        <v>1010715</v>
      </c>
      <c r="B709" s="6">
        <v>33001</v>
      </c>
      <c r="C709" s="6">
        <v>5</v>
      </c>
      <c r="D709" s="6">
        <v>5</v>
      </c>
      <c r="E709" s="6" t="s">
        <v>273</v>
      </c>
      <c r="F709" s="11" t="s">
        <v>86</v>
      </c>
      <c r="G709" s="11" t="s">
        <v>36</v>
      </c>
      <c r="H709" s="6">
        <v>0</v>
      </c>
      <c r="I709" s="11" t="str">
        <f t="shared" si="57"/>
        <v>104|20</v>
      </c>
      <c r="J709" s="6" t="s">
        <v>87</v>
      </c>
    </row>
    <row r="710" spans="1:10">
      <c r="A710" s="6">
        <v>1010716</v>
      </c>
      <c r="B710" s="6">
        <v>33001</v>
      </c>
      <c r="C710" s="6">
        <v>5</v>
      </c>
      <c r="D710" s="6">
        <v>6</v>
      </c>
      <c r="E710" s="6" t="s">
        <v>273</v>
      </c>
      <c r="F710" s="11" t="s">
        <v>86</v>
      </c>
      <c r="G710" s="11" t="s">
        <v>38</v>
      </c>
      <c r="H710" s="6">
        <v>130046</v>
      </c>
      <c r="I710" s="11" t="s">
        <v>274</v>
      </c>
      <c r="J710" s="6" t="s">
        <v>40</v>
      </c>
    </row>
    <row r="711" spans="1:10">
      <c r="A711" s="6">
        <v>1010717</v>
      </c>
      <c r="B711" s="6">
        <v>33001</v>
      </c>
      <c r="C711" s="6">
        <v>6</v>
      </c>
      <c r="D711" s="6">
        <v>0</v>
      </c>
      <c r="E711" s="6" t="s">
        <v>273</v>
      </c>
      <c r="F711" s="11" t="s">
        <v>86</v>
      </c>
      <c r="G711" s="11">
        <v>0</v>
      </c>
      <c r="H711" s="6">
        <v>0</v>
      </c>
      <c r="I711" s="11" t="str">
        <f t="shared" ref="I711:I716" si="58">I710</f>
        <v>104|25</v>
      </c>
      <c r="J711" s="6">
        <v>0</v>
      </c>
    </row>
    <row r="712" spans="1:10">
      <c r="A712" s="6">
        <v>1010718</v>
      </c>
      <c r="B712" s="6">
        <v>33001</v>
      </c>
      <c r="C712" s="6">
        <v>6</v>
      </c>
      <c r="D712" s="6">
        <v>1</v>
      </c>
      <c r="E712" s="6" t="s">
        <v>273</v>
      </c>
      <c r="F712" s="11" t="s">
        <v>89</v>
      </c>
      <c r="G712" s="11" t="s">
        <v>24</v>
      </c>
      <c r="H712" s="6">
        <v>0</v>
      </c>
      <c r="I712" s="11" t="str">
        <f t="shared" si="58"/>
        <v>104|25</v>
      </c>
      <c r="J712" s="6" t="s">
        <v>90</v>
      </c>
    </row>
    <row r="713" spans="1:10">
      <c r="A713" s="6">
        <v>1010719</v>
      </c>
      <c r="B713" s="6">
        <v>33001</v>
      </c>
      <c r="C713" s="6">
        <v>6</v>
      </c>
      <c r="D713" s="6">
        <v>2</v>
      </c>
      <c r="E713" s="6" t="s">
        <v>273</v>
      </c>
      <c r="F713" s="11" t="s">
        <v>91</v>
      </c>
      <c r="G713" s="11" t="s">
        <v>27</v>
      </c>
      <c r="H713" s="6">
        <v>0</v>
      </c>
      <c r="I713" s="11" t="str">
        <f t="shared" si="58"/>
        <v>104|25</v>
      </c>
      <c r="J713" s="6" t="s">
        <v>92</v>
      </c>
    </row>
    <row r="714" spans="1:10">
      <c r="A714" s="6">
        <v>1010720</v>
      </c>
      <c r="B714" s="6">
        <v>33001</v>
      </c>
      <c r="C714" s="6">
        <v>6</v>
      </c>
      <c r="D714" s="6">
        <v>3</v>
      </c>
      <c r="E714" s="6" t="s">
        <v>273</v>
      </c>
      <c r="F714" s="11" t="s">
        <v>93</v>
      </c>
      <c r="G714" s="11" t="s">
        <v>30</v>
      </c>
      <c r="H714" s="6">
        <v>0</v>
      </c>
      <c r="I714" s="11" t="str">
        <f t="shared" si="58"/>
        <v>104|25</v>
      </c>
      <c r="J714" s="6" t="s">
        <v>94</v>
      </c>
    </row>
    <row r="715" spans="1:10">
      <c r="A715" s="6">
        <v>1010721</v>
      </c>
      <c r="B715" s="6">
        <v>33001</v>
      </c>
      <c r="C715" s="6">
        <v>6</v>
      </c>
      <c r="D715" s="6">
        <v>4</v>
      </c>
      <c r="E715" s="6" t="s">
        <v>273</v>
      </c>
      <c r="F715" s="11" t="s">
        <v>95</v>
      </c>
      <c r="G715" s="11" t="s">
        <v>33</v>
      </c>
      <c r="H715" s="6">
        <v>0</v>
      </c>
      <c r="I715" s="11" t="str">
        <f t="shared" si="58"/>
        <v>104|25</v>
      </c>
      <c r="J715" s="6" t="s">
        <v>96</v>
      </c>
    </row>
    <row r="716" spans="1:10">
      <c r="A716" s="6">
        <v>1010722</v>
      </c>
      <c r="B716" s="6">
        <v>33001</v>
      </c>
      <c r="C716" s="6">
        <v>6</v>
      </c>
      <c r="D716" s="6">
        <v>5</v>
      </c>
      <c r="E716" s="6" t="s">
        <v>273</v>
      </c>
      <c r="F716" s="11" t="s">
        <v>97</v>
      </c>
      <c r="G716" s="11" t="s">
        <v>36</v>
      </c>
      <c r="H716" s="6">
        <v>0</v>
      </c>
      <c r="I716" s="11" t="str">
        <f t="shared" si="58"/>
        <v>104|25</v>
      </c>
      <c r="J716" s="6" t="s">
        <v>98</v>
      </c>
    </row>
    <row r="717" spans="1:10">
      <c r="A717" s="6">
        <v>1010723</v>
      </c>
      <c r="B717" s="6">
        <v>33001</v>
      </c>
      <c r="C717" s="6">
        <v>6</v>
      </c>
      <c r="D717" s="6">
        <v>6</v>
      </c>
      <c r="E717" s="6">
        <v>0</v>
      </c>
      <c r="F717" s="11" t="s">
        <v>97</v>
      </c>
      <c r="G717" s="11" t="s">
        <v>38</v>
      </c>
      <c r="H717" s="6">
        <v>130047</v>
      </c>
      <c r="I717" s="11" t="s">
        <v>275</v>
      </c>
      <c r="J717" s="6" t="s">
        <v>40</v>
      </c>
    </row>
    <row r="718" spans="1:10">
      <c r="A718" s="6">
        <v>1010724</v>
      </c>
      <c r="B718" s="6">
        <v>34001</v>
      </c>
      <c r="C718" s="6">
        <v>1</v>
      </c>
      <c r="D718" s="6">
        <v>0</v>
      </c>
      <c r="E718" s="6" t="s">
        <v>276</v>
      </c>
      <c r="F718" s="11" t="s">
        <v>22</v>
      </c>
      <c r="G718" s="11">
        <v>0</v>
      </c>
      <c r="H718" s="6">
        <v>0</v>
      </c>
      <c r="I718" s="11">
        <v>0</v>
      </c>
      <c r="J718" s="6">
        <v>0</v>
      </c>
    </row>
    <row r="719" spans="1:10">
      <c r="A719" s="6">
        <v>1010725</v>
      </c>
      <c r="B719" s="6">
        <v>34001</v>
      </c>
      <c r="C719" s="6">
        <v>1</v>
      </c>
      <c r="D719" s="6">
        <v>1</v>
      </c>
      <c r="E719" s="6" t="s">
        <v>276</v>
      </c>
      <c r="F719" s="11" t="s">
        <v>23</v>
      </c>
      <c r="G719" s="11" t="s">
        <v>24</v>
      </c>
      <c r="H719" s="6">
        <v>0</v>
      </c>
      <c r="I719" s="11">
        <v>0</v>
      </c>
      <c r="J719" s="6" t="s">
        <v>25</v>
      </c>
    </row>
    <row r="720" spans="1:10">
      <c r="A720" s="6">
        <v>1010726</v>
      </c>
      <c r="B720" s="6">
        <v>34001</v>
      </c>
      <c r="C720" s="6">
        <v>1</v>
      </c>
      <c r="D720" s="6">
        <v>2</v>
      </c>
      <c r="E720" s="6" t="s">
        <v>276</v>
      </c>
      <c r="F720" s="11" t="s">
        <v>26</v>
      </c>
      <c r="G720" s="11" t="s">
        <v>27</v>
      </c>
      <c r="H720" s="6">
        <v>0</v>
      </c>
      <c r="I720" s="11">
        <v>0</v>
      </c>
      <c r="J720" s="6" t="s">
        <v>28</v>
      </c>
    </row>
    <row r="721" spans="1:10">
      <c r="A721" s="6">
        <v>1010727</v>
      </c>
      <c r="B721" s="6">
        <v>34001</v>
      </c>
      <c r="C721" s="6">
        <v>1</v>
      </c>
      <c r="D721" s="6">
        <v>3</v>
      </c>
      <c r="E721" s="6" t="s">
        <v>276</v>
      </c>
      <c r="F721" s="11" t="s">
        <v>29</v>
      </c>
      <c r="G721" s="11" t="s">
        <v>30</v>
      </c>
      <c r="H721" s="6">
        <v>0</v>
      </c>
      <c r="I721" s="11">
        <v>0</v>
      </c>
      <c r="J721" s="6" t="s">
        <v>31</v>
      </c>
    </row>
    <row r="722" spans="1:10">
      <c r="A722" s="6">
        <v>1010728</v>
      </c>
      <c r="B722" s="6">
        <v>34001</v>
      </c>
      <c r="C722" s="6">
        <v>1</v>
      </c>
      <c r="D722" s="6">
        <v>4</v>
      </c>
      <c r="E722" s="6" t="s">
        <v>276</v>
      </c>
      <c r="F722" s="11" t="s">
        <v>32</v>
      </c>
      <c r="G722" s="11" t="s">
        <v>33</v>
      </c>
      <c r="H722" s="6">
        <v>0</v>
      </c>
      <c r="I722" s="11">
        <v>0</v>
      </c>
      <c r="J722" s="6" t="s">
        <v>34</v>
      </c>
    </row>
    <row r="723" spans="1:10">
      <c r="A723" s="6">
        <v>1010729</v>
      </c>
      <c r="B723" s="6">
        <v>34001</v>
      </c>
      <c r="C723" s="6">
        <v>1</v>
      </c>
      <c r="D723" s="6">
        <v>5</v>
      </c>
      <c r="E723" s="6" t="s">
        <v>276</v>
      </c>
      <c r="F723" s="11" t="s">
        <v>35</v>
      </c>
      <c r="G723" s="11" t="s">
        <v>36</v>
      </c>
      <c r="H723" s="6">
        <v>0</v>
      </c>
      <c r="I723" s="11">
        <v>0</v>
      </c>
      <c r="J723" s="6" t="s">
        <v>37</v>
      </c>
    </row>
    <row r="724" spans="1:10">
      <c r="A724" s="6">
        <v>1010730</v>
      </c>
      <c r="B724" s="6">
        <v>34001</v>
      </c>
      <c r="C724" s="6">
        <v>1</v>
      </c>
      <c r="D724" s="6">
        <v>6</v>
      </c>
      <c r="E724" s="6" t="s">
        <v>276</v>
      </c>
      <c r="F724" s="11" t="s">
        <v>35</v>
      </c>
      <c r="G724" s="11" t="s">
        <v>38</v>
      </c>
      <c r="H724" s="6">
        <v>130052</v>
      </c>
      <c r="I724" s="11" t="s">
        <v>277</v>
      </c>
      <c r="J724" s="6" t="s">
        <v>40</v>
      </c>
    </row>
    <row r="725" spans="1:10">
      <c r="A725" s="6">
        <v>1010731</v>
      </c>
      <c r="B725" s="6">
        <v>34001</v>
      </c>
      <c r="C725" s="6">
        <v>2</v>
      </c>
      <c r="D725" s="6">
        <v>0</v>
      </c>
      <c r="E725" s="6" t="s">
        <v>278</v>
      </c>
      <c r="F725" s="11" t="s">
        <v>35</v>
      </c>
      <c r="G725" s="11">
        <v>0</v>
      </c>
      <c r="H725" s="6">
        <v>0</v>
      </c>
      <c r="I725" s="11" t="str">
        <f t="shared" ref="I725:I730" si="59">I724</f>
        <v>132|8</v>
      </c>
      <c r="J725" s="6">
        <v>0</v>
      </c>
    </row>
    <row r="726" spans="1:10">
      <c r="A726" s="6">
        <v>1010732</v>
      </c>
      <c r="B726" s="6">
        <v>34001</v>
      </c>
      <c r="C726" s="6">
        <v>2</v>
      </c>
      <c r="D726" s="6">
        <v>1</v>
      </c>
      <c r="E726" s="6" t="s">
        <v>278</v>
      </c>
      <c r="F726" s="11" t="s">
        <v>42</v>
      </c>
      <c r="G726" s="11" t="s">
        <v>24</v>
      </c>
      <c r="H726" s="6">
        <v>0</v>
      </c>
      <c r="I726" s="11" t="str">
        <f t="shared" si="59"/>
        <v>132|8</v>
      </c>
      <c r="J726" s="6" t="s">
        <v>43</v>
      </c>
    </row>
    <row r="727" spans="1:10">
      <c r="A727" s="6">
        <v>1010733</v>
      </c>
      <c r="B727" s="6">
        <v>34001</v>
      </c>
      <c r="C727" s="6">
        <v>2</v>
      </c>
      <c r="D727" s="6">
        <v>2</v>
      </c>
      <c r="E727" s="6" t="s">
        <v>278</v>
      </c>
      <c r="F727" s="11" t="s">
        <v>44</v>
      </c>
      <c r="G727" s="11" t="s">
        <v>27</v>
      </c>
      <c r="H727" s="6">
        <v>0</v>
      </c>
      <c r="I727" s="11" t="str">
        <f t="shared" si="59"/>
        <v>132|8</v>
      </c>
      <c r="J727" s="6" t="s">
        <v>45</v>
      </c>
    </row>
    <row r="728" spans="1:10">
      <c r="A728" s="6">
        <v>1010734</v>
      </c>
      <c r="B728" s="6">
        <v>34001</v>
      </c>
      <c r="C728" s="6">
        <v>2</v>
      </c>
      <c r="D728" s="6">
        <v>3</v>
      </c>
      <c r="E728" s="6" t="s">
        <v>278</v>
      </c>
      <c r="F728" s="11" t="s">
        <v>46</v>
      </c>
      <c r="G728" s="11" t="s">
        <v>30</v>
      </c>
      <c r="H728" s="6">
        <v>0</v>
      </c>
      <c r="I728" s="11" t="str">
        <f t="shared" si="59"/>
        <v>132|8</v>
      </c>
      <c r="J728" s="6" t="s">
        <v>47</v>
      </c>
    </row>
    <row r="729" spans="1:10">
      <c r="A729" s="6">
        <v>1010735</v>
      </c>
      <c r="B729" s="6">
        <v>34001</v>
      </c>
      <c r="C729" s="6">
        <v>2</v>
      </c>
      <c r="D729" s="6">
        <v>4</v>
      </c>
      <c r="E729" s="6" t="s">
        <v>278</v>
      </c>
      <c r="F729" s="11" t="s">
        <v>48</v>
      </c>
      <c r="G729" s="11" t="s">
        <v>33</v>
      </c>
      <c r="H729" s="6">
        <v>0</v>
      </c>
      <c r="I729" s="11" t="str">
        <f t="shared" si="59"/>
        <v>132|8</v>
      </c>
      <c r="J729" s="6" t="s">
        <v>49</v>
      </c>
    </row>
    <row r="730" spans="1:10">
      <c r="A730" s="6">
        <v>1010736</v>
      </c>
      <c r="B730" s="6">
        <v>34001</v>
      </c>
      <c r="C730" s="6">
        <v>2</v>
      </c>
      <c r="D730" s="6">
        <v>5</v>
      </c>
      <c r="E730" s="6" t="s">
        <v>278</v>
      </c>
      <c r="F730" s="11" t="s">
        <v>50</v>
      </c>
      <c r="G730" s="11" t="s">
        <v>36</v>
      </c>
      <c r="H730" s="6">
        <v>0</v>
      </c>
      <c r="I730" s="11" t="str">
        <f t="shared" si="59"/>
        <v>132|8</v>
      </c>
      <c r="J730" s="6" t="s">
        <v>51</v>
      </c>
    </row>
    <row r="731" spans="1:10">
      <c r="A731" s="6">
        <v>1010737</v>
      </c>
      <c r="B731" s="6">
        <v>34001</v>
      </c>
      <c r="C731" s="6">
        <v>2</v>
      </c>
      <c r="D731" s="6">
        <v>6</v>
      </c>
      <c r="E731" s="6" t="s">
        <v>278</v>
      </c>
      <c r="F731" s="11" t="s">
        <v>50</v>
      </c>
      <c r="G731" s="11" t="s">
        <v>38</v>
      </c>
      <c r="H731" s="6">
        <v>130053</v>
      </c>
      <c r="I731" s="11" t="s">
        <v>279</v>
      </c>
      <c r="J731" s="6" t="s">
        <v>40</v>
      </c>
    </row>
    <row r="732" spans="1:10">
      <c r="A732" s="6">
        <v>1010738</v>
      </c>
      <c r="B732" s="6">
        <v>34001</v>
      </c>
      <c r="C732" s="6">
        <v>3</v>
      </c>
      <c r="D732" s="6">
        <v>0</v>
      </c>
      <c r="E732" s="6" t="s">
        <v>280</v>
      </c>
      <c r="F732" s="11" t="s">
        <v>50</v>
      </c>
      <c r="G732" s="11">
        <v>0</v>
      </c>
      <c r="H732" s="6">
        <v>0</v>
      </c>
      <c r="I732" s="11" t="str">
        <f t="shared" ref="I732:I737" si="60">I731</f>
        <v>132|12</v>
      </c>
      <c r="J732" s="6">
        <v>0</v>
      </c>
    </row>
    <row r="733" spans="1:10">
      <c r="A733" s="6">
        <v>1010739</v>
      </c>
      <c r="B733" s="6">
        <v>34001</v>
      </c>
      <c r="C733" s="6">
        <v>3</v>
      </c>
      <c r="D733" s="6">
        <v>1</v>
      </c>
      <c r="E733" s="6" t="s">
        <v>280</v>
      </c>
      <c r="F733" s="11" t="s">
        <v>54</v>
      </c>
      <c r="G733" s="11" t="s">
        <v>24</v>
      </c>
      <c r="H733" s="6">
        <v>0</v>
      </c>
      <c r="I733" s="11" t="str">
        <f t="shared" si="60"/>
        <v>132|12</v>
      </c>
      <c r="J733" s="6" t="s">
        <v>55</v>
      </c>
    </row>
    <row r="734" spans="1:10">
      <c r="A734" s="6">
        <v>1010740</v>
      </c>
      <c r="B734" s="6">
        <v>34001</v>
      </c>
      <c r="C734" s="6">
        <v>3</v>
      </c>
      <c r="D734" s="6">
        <v>2</v>
      </c>
      <c r="E734" s="6" t="s">
        <v>280</v>
      </c>
      <c r="F734" s="11" t="s">
        <v>56</v>
      </c>
      <c r="G734" s="11" t="s">
        <v>27</v>
      </c>
      <c r="H734" s="6">
        <v>0</v>
      </c>
      <c r="I734" s="11" t="str">
        <f t="shared" si="60"/>
        <v>132|12</v>
      </c>
      <c r="J734" s="6" t="s">
        <v>57</v>
      </c>
    </row>
    <row r="735" spans="1:10">
      <c r="A735" s="6">
        <v>1010741</v>
      </c>
      <c r="B735" s="6">
        <v>34001</v>
      </c>
      <c r="C735" s="6">
        <v>3</v>
      </c>
      <c r="D735" s="6">
        <v>3</v>
      </c>
      <c r="E735" s="6" t="s">
        <v>280</v>
      </c>
      <c r="F735" s="11" t="s">
        <v>58</v>
      </c>
      <c r="G735" s="11" t="s">
        <v>30</v>
      </c>
      <c r="H735" s="6">
        <v>0</v>
      </c>
      <c r="I735" s="11" t="str">
        <f t="shared" si="60"/>
        <v>132|12</v>
      </c>
      <c r="J735" s="6" t="s">
        <v>59</v>
      </c>
    </row>
    <row r="736" spans="1:10">
      <c r="A736" s="6">
        <v>1010742</v>
      </c>
      <c r="B736" s="6">
        <v>34001</v>
      </c>
      <c r="C736" s="6">
        <v>3</v>
      </c>
      <c r="D736" s="6">
        <v>4</v>
      </c>
      <c r="E736" s="6" t="s">
        <v>280</v>
      </c>
      <c r="F736" s="11" t="s">
        <v>60</v>
      </c>
      <c r="G736" s="11" t="s">
        <v>33</v>
      </c>
      <c r="H736" s="6">
        <v>0</v>
      </c>
      <c r="I736" s="11" t="str">
        <f t="shared" si="60"/>
        <v>132|12</v>
      </c>
      <c r="J736" s="6" t="s">
        <v>61</v>
      </c>
    </row>
    <row r="737" spans="1:10">
      <c r="A737" s="6">
        <v>1010743</v>
      </c>
      <c r="B737" s="6">
        <v>34001</v>
      </c>
      <c r="C737" s="6">
        <v>3</v>
      </c>
      <c r="D737" s="6">
        <v>5</v>
      </c>
      <c r="E737" s="6" t="s">
        <v>280</v>
      </c>
      <c r="F737" s="11" t="s">
        <v>62</v>
      </c>
      <c r="G737" s="11" t="s">
        <v>36</v>
      </c>
      <c r="H737" s="6">
        <v>0</v>
      </c>
      <c r="I737" s="11" t="str">
        <f t="shared" si="60"/>
        <v>132|12</v>
      </c>
      <c r="J737" s="6" t="s">
        <v>63</v>
      </c>
    </row>
    <row r="738" spans="1:10">
      <c r="A738" s="6">
        <v>1010744</v>
      </c>
      <c r="B738" s="6">
        <v>34001</v>
      </c>
      <c r="C738" s="6">
        <v>3</v>
      </c>
      <c r="D738" s="6">
        <v>6</v>
      </c>
      <c r="E738" s="6" t="s">
        <v>280</v>
      </c>
      <c r="F738" s="11" t="s">
        <v>62</v>
      </c>
      <c r="G738" s="11" t="s">
        <v>38</v>
      </c>
      <c r="H738" s="6">
        <v>130054</v>
      </c>
      <c r="I738" s="11" t="s">
        <v>281</v>
      </c>
      <c r="J738" s="6" t="s">
        <v>40</v>
      </c>
    </row>
    <row r="739" spans="1:10">
      <c r="A739" s="6">
        <v>1010745</v>
      </c>
      <c r="B739" s="6">
        <v>34001</v>
      </c>
      <c r="C739" s="6">
        <v>4</v>
      </c>
      <c r="D739" s="6">
        <v>0</v>
      </c>
      <c r="E739" s="6" t="s">
        <v>282</v>
      </c>
      <c r="F739" s="11" t="s">
        <v>62</v>
      </c>
      <c r="G739" s="11">
        <v>0</v>
      </c>
      <c r="H739" s="6">
        <v>0</v>
      </c>
      <c r="I739" s="11" t="str">
        <f t="shared" ref="I739:I744" si="61">I738</f>
        <v>132|16</v>
      </c>
      <c r="J739" s="6">
        <v>0</v>
      </c>
    </row>
    <row r="740" spans="1:10">
      <c r="A740" s="6">
        <v>1010746</v>
      </c>
      <c r="B740" s="6">
        <v>34001</v>
      </c>
      <c r="C740" s="6">
        <v>4</v>
      </c>
      <c r="D740" s="6">
        <v>1</v>
      </c>
      <c r="E740" s="6" t="s">
        <v>282</v>
      </c>
      <c r="F740" s="11" t="s">
        <v>66</v>
      </c>
      <c r="G740" s="11" t="s">
        <v>24</v>
      </c>
      <c r="H740" s="6">
        <v>0</v>
      </c>
      <c r="I740" s="11" t="str">
        <f t="shared" si="61"/>
        <v>132|16</v>
      </c>
      <c r="J740" s="6" t="s">
        <v>67</v>
      </c>
    </row>
    <row r="741" spans="1:10">
      <c r="A741" s="6">
        <v>1010747</v>
      </c>
      <c r="B741" s="6">
        <v>34001</v>
      </c>
      <c r="C741" s="6">
        <v>4</v>
      </c>
      <c r="D741" s="6">
        <v>2</v>
      </c>
      <c r="E741" s="6" t="s">
        <v>282</v>
      </c>
      <c r="F741" s="11" t="s">
        <v>68</v>
      </c>
      <c r="G741" s="11" t="s">
        <v>27</v>
      </c>
      <c r="H741" s="6">
        <v>0</v>
      </c>
      <c r="I741" s="11" t="str">
        <f t="shared" si="61"/>
        <v>132|16</v>
      </c>
      <c r="J741" s="6" t="s">
        <v>69</v>
      </c>
    </row>
    <row r="742" spans="1:10">
      <c r="A742" s="6">
        <v>1010748</v>
      </c>
      <c r="B742" s="6">
        <v>34001</v>
      </c>
      <c r="C742" s="6">
        <v>4</v>
      </c>
      <c r="D742" s="6">
        <v>3</v>
      </c>
      <c r="E742" s="6" t="s">
        <v>282</v>
      </c>
      <c r="F742" s="11" t="s">
        <v>70</v>
      </c>
      <c r="G742" s="11" t="s">
        <v>30</v>
      </c>
      <c r="H742" s="6">
        <v>0</v>
      </c>
      <c r="I742" s="11" t="str">
        <f t="shared" si="61"/>
        <v>132|16</v>
      </c>
      <c r="J742" s="6" t="s">
        <v>71</v>
      </c>
    </row>
    <row r="743" spans="1:10">
      <c r="A743" s="6">
        <v>1010749</v>
      </c>
      <c r="B743" s="6">
        <v>34001</v>
      </c>
      <c r="C743" s="6">
        <v>4</v>
      </c>
      <c r="D743" s="6">
        <v>4</v>
      </c>
      <c r="E743" s="6" t="s">
        <v>282</v>
      </c>
      <c r="F743" s="11" t="s">
        <v>72</v>
      </c>
      <c r="G743" s="11" t="s">
        <v>33</v>
      </c>
      <c r="H743" s="6">
        <v>0</v>
      </c>
      <c r="I743" s="11" t="str">
        <f t="shared" si="61"/>
        <v>132|16</v>
      </c>
      <c r="J743" s="6" t="s">
        <v>73</v>
      </c>
    </row>
    <row r="744" spans="1:10">
      <c r="A744" s="6">
        <v>1010750</v>
      </c>
      <c r="B744" s="6">
        <v>34001</v>
      </c>
      <c r="C744" s="6">
        <v>4</v>
      </c>
      <c r="D744" s="6">
        <v>5</v>
      </c>
      <c r="E744" s="6" t="s">
        <v>282</v>
      </c>
      <c r="F744" s="11" t="s">
        <v>74</v>
      </c>
      <c r="G744" s="11" t="s">
        <v>36</v>
      </c>
      <c r="H744" s="6">
        <v>0</v>
      </c>
      <c r="I744" s="11" t="str">
        <f t="shared" si="61"/>
        <v>132|16</v>
      </c>
      <c r="J744" s="6" t="s">
        <v>75</v>
      </c>
    </row>
    <row r="745" spans="1:10">
      <c r="A745" s="6">
        <v>1010751</v>
      </c>
      <c r="B745" s="6">
        <v>34001</v>
      </c>
      <c r="C745" s="6">
        <v>4</v>
      </c>
      <c r="D745" s="6">
        <v>6</v>
      </c>
      <c r="E745" s="6" t="s">
        <v>282</v>
      </c>
      <c r="F745" s="11" t="s">
        <v>74</v>
      </c>
      <c r="G745" s="11" t="s">
        <v>38</v>
      </c>
      <c r="H745" s="6">
        <v>130055</v>
      </c>
      <c r="I745" s="11" t="s">
        <v>283</v>
      </c>
      <c r="J745" s="6" t="s">
        <v>40</v>
      </c>
    </row>
    <row r="746" spans="1:10">
      <c r="A746" s="6">
        <v>1010752</v>
      </c>
      <c r="B746" s="6">
        <v>34001</v>
      </c>
      <c r="C746" s="6">
        <v>5</v>
      </c>
      <c r="D746" s="6">
        <v>0</v>
      </c>
      <c r="E746" s="6" t="s">
        <v>284</v>
      </c>
      <c r="F746" s="11" t="s">
        <v>74</v>
      </c>
      <c r="G746" s="11">
        <v>0</v>
      </c>
      <c r="H746" s="6">
        <v>0</v>
      </c>
      <c r="I746" s="11" t="str">
        <f t="shared" ref="I746:I751" si="62">I745</f>
        <v>132|20</v>
      </c>
      <c r="J746" s="6">
        <v>0</v>
      </c>
    </row>
    <row r="747" spans="1:10">
      <c r="A747" s="6">
        <v>1010753</v>
      </c>
      <c r="B747" s="6">
        <v>34001</v>
      </c>
      <c r="C747" s="6">
        <v>5</v>
      </c>
      <c r="D747" s="6">
        <v>1</v>
      </c>
      <c r="E747" s="6" t="s">
        <v>284</v>
      </c>
      <c r="F747" s="11" t="s">
        <v>78</v>
      </c>
      <c r="G747" s="11" t="s">
        <v>24</v>
      </c>
      <c r="H747" s="6">
        <v>0</v>
      </c>
      <c r="I747" s="11" t="str">
        <f t="shared" si="62"/>
        <v>132|20</v>
      </c>
      <c r="J747" s="6" t="s">
        <v>79</v>
      </c>
    </row>
    <row r="748" spans="1:10">
      <c r="A748" s="6">
        <v>1010754</v>
      </c>
      <c r="B748" s="6">
        <v>34001</v>
      </c>
      <c r="C748" s="6">
        <v>5</v>
      </c>
      <c r="D748" s="6">
        <v>2</v>
      </c>
      <c r="E748" s="6" t="s">
        <v>284</v>
      </c>
      <c r="F748" s="11" t="s">
        <v>80</v>
      </c>
      <c r="G748" s="11" t="s">
        <v>27</v>
      </c>
      <c r="H748" s="6">
        <v>0</v>
      </c>
      <c r="I748" s="11" t="str">
        <f t="shared" si="62"/>
        <v>132|20</v>
      </c>
      <c r="J748" s="6" t="s">
        <v>81</v>
      </c>
    </row>
    <row r="749" spans="1:10">
      <c r="A749" s="6">
        <v>1010755</v>
      </c>
      <c r="B749" s="6">
        <v>34001</v>
      </c>
      <c r="C749" s="6">
        <v>5</v>
      </c>
      <c r="D749" s="6">
        <v>3</v>
      </c>
      <c r="E749" s="6" t="s">
        <v>284</v>
      </c>
      <c r="F749" s="11" t="s">
        <v>82</v>
      </c>
      <c r="G749" s="11" t="s">
        <v>30</v>
      </c>
      <c r="H749" s="6">
        <v>0</v>
      </c>
      <c r="I749" s="11" t="str">
        <f t="shared" si="62"/>
        <v>132|20</v>
      </c>
      <c r="J749" s="6" t="s">
        <v>83</v>
      </c>
    </row>
    <row r="750" spans="1:10">
      <c r="A750" s="6">
        <v>1010756</v>
      </c>
      <c r="B750" s="6">
        <v>34001</v>
      </c>
      <c r="C750" s="6">
        <v>5</v>
      </c>
      <c r="D750" s="6">
        <v>4</v>
      </c>
      <c r="E750" s="6" t="s">
        <v>284</v>
      </c>
      <c r="F750" s="11" t="s">
        <v>84</v>
      </c>
      <c r="G750" s="11" t="s">
        <v>33</v>
      </c>
      <c r="H750" s="6">
        <v>0</v>
      </c>
      <c r="I750" s="11" t="str">
        <f t="shared" si="62"/>
        <v>132|20</v>
      </c>
      <c r="J750" s="6" t="s">
        <v>85</v>
      </c>
    </row>
    <row r="751" spans="1:10">
      <c r="A751" s="6">
        <v>1010757</v>
      </c>
      <c r="B751" s="6">
        <v>34001</v>
      </c>
      <c r="C751" s="6">
        <v>5</v>
      </c>
      <c r="D751" s="6">
        <v>5</v>
      </c>
      <c r="E751" s="6" t="s">
        <v>284</v>
      </c>
      <c r="F751" s="11" t="s">
        <v>86</v>
      </c>
      <c r="G751" s="11" t="s">
        <v>36</v>
      </c>
      <c r="H751" s="6">
        <v>0</v>
      </c>
      <c r="I751" s="11" t="str">
        <f t="shared" si="62"/>
        <v>132|20</v>
      </c>
      <c r="J751" s="6" t="s">
        <v>87</v>
      </c>
    </row>
    <row r="752" spans="1:10">
      <c r="A752" s="6">
        <v>1010758</v>
      </c>
      <c r="B752" s="6">
        <v>34001</v>
      </c>
      <c r="C752" s="6">
        <v>5</v>
      </c>
      <c r="D752" s="6">
        <v>6</v>
      </c>
      <c r="E752" s="6" t="s">
        <v>284</v>
      </c>
      <c r="F752" s="11" t="s">
        <v>86</v>
      </c>
      <c r="G752" s="11" t="s">
        <v>38</v>
      </c>
      <c r="H752" s="6">
        <v>130056</v>
      </c>
      <c r="I752" s="11" t="s">
        <v>285</v>
      </c>
      <c r="J752" s="6" t="s">
        <v>40</v>
      </c>
    </row>
    <row r="753" spans="1:10">
      <c r="A753" s="6">
        <v>1010759</v>
      </c>
      <c r="B753" s="6">
        <v>34001</v>
      </c>
      <c r="C753" s="6">
        <v>6</v>
      </c>
      <c r="D753" s="6">
        <v>0</v>
      </c>
      <c r="E753" s="6" t="s">
        <v>284</v>
      </c>
      <c r="F753" s="11" t="s">
        <v>86</v>
      </c>
      <c r="G753" s="11">
        <v>0</v>
      </c>
      <c r="H753" s="6">
        <v>0</v>
      </c>
      <c r="I753" s="11" t="str">
        <f t="shared" ref="I753:I758" si="63">I752</f>
        <v>132|25</v>
      </c>
      <c r="J753" s="6">
        <v>0</v>
      </c>
    </row>
    <row r="754" spans="1:10">
      <c r="A754" s="6">
        <v>1010760</v>
      </c>
      <c r="B754" s="6">
        <v>34001</v>
      </c>
      <c r="C754" s="6">
        <v>6</v>
      </c>
      <c r="D754" s="6">
        <v>1</v>
      </c>
      <c r="E754" s="6" t="s">
        <v>284</v>
      </c>
      <c r="F754" s="11" t="s">
        <v>89</v>
      </c>
      <c r="G754" s="11" t="s">
        <v>24</v>
      </c>
      <c r="H754" s="6">
        <v>0</v>
      </c>
      <c r="I754" s="11" t="str">
        <f t="shared" si="63"/>
        <v>132|25</v>
      </c>
      <c r="J754" s="6" t="s">
        <v>90</v>
      </c>
    </row>
    <row r="755" spans="1:10">
      <c r="A755" s="6">
        <v>1010761</v>
      </c>
      <c r="B755" s="6">
        <v>34001</v>
      </c>
      <c r="C755" s="6">
        <v>6</v>
      </c>
      <c r="D755" s="6">
        <v>2</v>
      </c>
      <c r="E755" s="6" t="s">
        <v>284</v>
      </c>
      <c r="F755" s="11" t="s">
        <v>91</v>
      </c>
      <c r="G755" s="11" t="s">
        <v>27</v>
      </c>
      <c r="H755" s="6">
        <v>0</v>
      </c>
      <c r="I755" s="11" t="str">
        <f t="shared" si="63"/>
        <v>132|25</v>
      </c>
      <c r="J755" s="6" t="s">
        <v>92</v>
      </c>
    </row>
    <row r="756" spans="1:10">
      <c r="A756" s="6">
        <v>1010762</v>
      </c>
      <c r="B756" s="6">
        <v>34001</v>
      </c>
      <c r="C756" s="6">
        <v>6</v>
      </c>
      <c r="D756" s="6">
        <v>3</v>
      </c>
      <c r="E756" s="6" t="s">
        <v>284</v>
      </c>
      <c r="F756" s="11" t="s">
        <v>93</v>
      </c>
      <c r="G756" s="11" t="s">
        <v>30</v>
      </c>
      <c r="H756" s="6">
        <v>0</v>
      </c>
      <c r="I756" s="11" t="str">
        <f t="shared" si="63"/>
        <v>132|25</v>
      </c>
      <c r="J756" s="6" t="s">
        <v>94</v>
      </c>
    </row>
    <row r="757" spans="1:10">
      <c r="A757" s="6">
        <v>1010763</v>
      </c>
      <c r="B757" s="6">
        <v>34001</v>
      </c>
      <c r="C757" s="6">
        <v>6</v>
      </c>
      <c r="D757" s="6">
        <v>4</v>
      </c>
      <c r="E757" s="6" t="s">
        <v>284</v>
      </c>
      <c r="F757" s="11" t="s">
        <v>95</v>
      </c>
      <c r="G757" s="11" t="s">
        <v>33</v>
      </c>
      <c r="H757" s="6">
        <v>0</v>
      </c>
      <c r="I757" s="11" t="str">
        <f t="shared" si="63"/>
        <v>132|25</v>
      </c>
      <c r="J757" s="6" t="s">
        <v>96</v>
      </c>
    </row>
    <row r="758" spans="1:10">
      <c r="A758" s="6">
        <v>1010764</v>
      </c>
      <c r="B758" s="6">
        <v>34001</v>
      </c>
      <c r="C758" s="6">
        <v>6</v>
      </c>
      <c r="D758" s="6">
        <v>5</v>
      </c>
      <c r="E758" s="6" t="s">
        <v>284</v>
      </c>
      <c r="F758" s="11" t="s">
        <v>97</v>
      </c>
      <c r="G758" s="11" t="s">
        <v>36</v>
      </c>
      <c r="H758" s="6">
        <v>0</v>
      </c>
      <c r="I758" s="11" t="str">
        <f t="shared" si="63"/>
        <v>132|25</v>
      </c>
      <c r="J758" s="6" t="s">
        <v>98</v>
      </c>
    </row>
    <row r="759" spans="1:10">
      <c r="A759" s="6">
        <v>1010765</v>
      </c>
      <c r="B759" s="6">
        <v>34001</v>
      </c>
      <c r="C759" s="6">
        <v>6</v>
      </c>
      <c r="D759" s="6">
        <v>6</v>
      </c>
      <c r="E759" s="6">
        <v>0</v>
      </c>
      <c r="F759" s="11" t="s">
        <v>97</v>
      </c>
      <c r="G759" s="11" t="s">
        <v>38</v>
      </c>
      <c r="H759" s="6">
        <v>130057</v>
      </c>
      <c r="I759" s="11" t="s">
        <v>286</v>
      </c>
      <c r="J759" s="6" t="s">
        <v>40</v>
      </c>
    </row>
    <row r="760" spans="1:10">
      <c r="A760" s="6">
        <v>1010766</v>
      </c>
      <c r="B760" s="6">
        <v>35001</v>
      </c>
      <c r="C760" s="6">
        <v>1</v>
      </c>
      <c r="D760" s="6">
        <v>0</v>
      </c>
      <c r="E760" s="6" t="s">
        <v>287</v>
      </c>
      <c r="F760" s="11" t="s">
        <v>22</v>
      </c>
      <c r="G760" s="11">
        <v>0</v>
      </c>
      <c r="H760" s="6">
        <v>0</v>
      </c>
      <c r="I760" s="11">
        <v>0</v>
      </c>
      <c r="J760" s="6">
        <v>0</v>
      </c>
    </row>
    <row r="761" spans="1:10">
      <c r="A761" s="6">
        <v>1010767</v>
      </c>
      <c r="B761" s="6">
        <v>35001</v>
      </c>
      <c r="C761" s="6">
        <v>1</v>
      </c>
      <c r="D761" s="6">
        <v>1</v>
      </c>
      <c r="E761" s="6" t="s">
        <v>287</v>
      </c>
      <c r="F761" s="11" t="s">
        <v>23</v>
      </c>
      <c r="G761" s="11" t="s">
        <v>24</v>
      </c>
      <c r="H761" s="6">
        <v>0</v>
      </c>
      <c r="I761" s="11">
        <v>0</v>
      </c>
      <c r="J761" s="6" t="s">
        <v>25</v>
      </c>
    </row>
    <row r="762" spans="1:10">
      <c r="A762" s="6">
        <v>1010768</v>
      </c>
      <c r="B762" s="6">
        <v>35001</v>
      </c>
      <c r="C762" s="6">
        <v>1</v>
      </c>
      <c r="D762" s="6">
        <v>2</v>
      </c>
      <c r="E762" s="6" t="s">
        <v>287</v>
      </c>
      <c r="F762" s="11" t="s">
        <v>26</v>
      </c>
      <c r="G762" s="11" t="s">
        <v>27</v>
      </c>
      <c r="H762" s="6">
        <v>0</v>
      </c>
      <c r="I762" s="11">
        <v>0</v>
      </c>
      <c r="J762" s="6" t="s">
        <v>28</v>
      </c>
    </row>
    <row r="763" spans="1:10">
      <c r="A763" s="6">
        <v>1010769</v>
      </c>
      <c r="B763" s="6">
        <v>35001</v>
      </c>
      <c r="C763" s="6">
        <v>1</v>
      </c>
      <c r="D763" s="6">
        <v>3</v>
      </c>
      <c r="E763" s="6" t="s">
        <v>287</v>
      </c>
      <c r="F763" s="11" t="s">
        <v>29</v>
      </c>
      <c r="G763" s="11" t="s">
        <v>30</v>
      </c>
      <c r="H763" s="6">
        <v>0</v>
      </c>
      <c r="I763" s="11">
        <v>0</v>
      </c>
      <c r="J763" s="6" t="s">
        <v>31</v>
      </c>
    </row>
    <row r="764" spans="1:10">
      <c r="A764" s="6">
        <v>1010770</v>
      </c>
      <c r="B764" s="6">
        <v>35001</v>
      </c>
      <c r="C764" s="6">
        <v>1</v>
      </c>
      <c r="D764" s="6">
        <v>4</v>
      </c>
      <c r="E764" s="6" t="s">
        <v>287</v>
      </c>
      <c r="F764" s="11" t="s">
        <v>32</v>
      </c>
      <c r="G764" s="11" t="s">
        <v>33</v>
      </c>
      <c r="H764" s="6">
        <v>0</v>
      </c>
      <c r="I764" s="11">
        <v>0</v>
      </c>
      <c r="J764" s="6" t="s">
        <v>34</v>
      </c>
    </row>
    <row r="765" spans="1:10">
      <c r="A765" s="6">
        <v>1010771</v>
      </c>
      <c r="B765" s="6">
        <v>35001</v>
      </c>
      <c r="C765" s="6">
        <v>1</v>
      </c>
      <c r="D765" s="6">
        <v>5</v>
      </c>
      <c r="E765" s="6" t="s">
        <v>287</v>
      </c>
      <c r="F765" s="11" t="s">
        <v>35</v>
      </c>
      <c r="G765" s="11" t="s">
        <v>36</v>
      </c>
      <c r="H765" s="6">
        <v>0</v>
      </c>
      <c r="I765" s="11">
        <v>0</v>
      </c>
      <c r="J765" s="6" t="s">
        <v>37</v>
      </c>
    </row>
    <row r="766" spans="1:10">
      <c r="A766" s="6">
        <v>1010772</v>
      </c>
      <c r="B766" s="6">
        <v>35001</v>
      </c>
      <c r="C766" s="6">
        <v>1</v>
      </c>
      <c r="D766" s="6">
        <v>6</v>
      </c>
      <c r="E766" s="6" t="s">
        <v>287</v>
      </c>
      <c r="F766" s="11" t="s">
        <v>35</v>
      </c>
      <c r="G766" s="11" t="s">
        <v>38</v>
      </c>
      <c r="H766" s="6">
        <v>130062</v>
      </c>
      <c r="I766" s="11" t="s">
        <v>288</v>
      </c>
      <c r="J766" s="6" t="s">
        <v>40</v>
      </c>
    </row>
    <row r="767" spans="1:10">
      <c r="A767" s="6">
        <v>1010773</v>
      </c>
      <c r="B767" s="6">
        <v>35001</v>
      </c>
      <c r="C767" s="6">
        <v>2</v>
      </c>
      <c r="D767" s="6">
        <v>0</v>
      </c>
      <c r="E767" s="6" t="s">
        <v>289</v>
      </c>
      <c r="F767" s="11" t="s">
        <v>35</v>
      </c>
      <c r="G767" s="11">
        <v>0</v>
      </c>
      <c r="H767" s="6">
        <v>0</v>
      </c>
      <c r="I767" s="11" t="str">
        <f t="shared" ref="I767:I772" si="64">I766</f>
        <v>155|8</v>
      </c>
      <c r="J767" s="6">
        <v>0</v>
      </c>
    </row>
    <row r="768" spans="1:10">
      <c r="A768" s="6">
        <v>1010774</v>
      </c>
      <c r="B768" s="6">
        <v>35001</v>
      </c>
      <c r="C768" s="6">
        <v>2</v>
      </c>
      <c r="D768" s="6">
        <v>1</v>
      </c>
      <c r="E768" s="6" t="s">
        <v>289</v>
      </c>
      <c r="F768" s="11" t="s">
        <v>42</v>
      </c>
      <c r="G768" s="11" t="s">
        <v>24</v>
      </c>
      <c r="H768" s="6">
        <v>0</v>
      </c>
      <c r="I768" s="11" t="str">
        <f t="shared" si="64"/>
        <v>155|8</v>
      </c>
      <c r="J768" s="6" t="s">
        <v>43</v>
      </c>
    </row>
    <row r="769" spans="1:10">
      <c r="A769" s="6">
        <v>1010775</v>
      </c>
      <c r="B769" s="6">
        <v>35001</v>
      </c>
      <c r="C769" s="6">
        <v>2</v>
      </c>
      <c r="D769" s="6">
        <v>2</v>
      </c>
      <c r="E769" s="6" t="s">
        <v>289</v>
      </c>
      <c r="F769" s="11" t="s">
        <v>44</v>
      </c>
      <c r="G769" s="11" t="s">
        <v>27</v>
      </c>
      <c r="H769" s="6">
        <v>0</v>
      </c>
      <c r="I769" s="11" t="str">
        <f t="shared" si="64"/>
        <v>155|8</v>
      </c>
      <c r="J769" s="6" t="s">
        <v>45</v>
      </c>
    </row>
    <row r="770" spans="1:10">
      <c r="A770" s="6">
        <v>1010776</v>
      </c>
      <c r="B770" s="6">
        <v>35001</v>
      </c>
      <c r="C770" s="6">
        <v>2</v>
      </c>
      <c r="D770" s="6">
        <v>3</v>
      </c>
      <c r="E770" s="6" t="s">
        <v>289</v>
      </c>
      <c r="F770" s="11" t="s">
        <v>46</v>
      </c>
      <c r="G770" s="11" t="s">
        <v>30</v>
      </c>
      <c r="H770" s="6">
        <v>0</v>
      </c>
      <c r="I770" s="11" t="str">
        <f t="shared" si="64"/>
        <v>155|8</v>
      </c>
      <c r="J770" s="6" t="s">
        <v>47</v>
      </c>
    </row>
    <row r="771" spans="1:10">
      <c r="A771" s="6">
        <v>1010777</v>
      </c>
      <c r="B771" s="6">
        <v>35001</v>
      </c>
      <c r="C771" s="6">
        <v>2</v>
      </c>
      <c r="D771" s="6">
        <v>4</v>
      </c>
      <c r="E771" s="6" t="s">
        <v>289</v>
      </c>
      <c r="F771" s="11" t="s">
        <v>48</v>
      </c>
      <c r="G771" s="11" t="s">
        <v>33</v>
      </c>
      <c r="H771" s="6">
        <v>0</v>
      </c>
      <c r="I771" s="11" t="str">
        <f t="shared" si="64"/>
        <v>155|8</v>
      </c>
      <c r="J771" s="6" t="s">
        <v>49</v>
      </c>
    </row>
    <row r="772" spans="1:10">
      <c r="A772" s="6">
        <v>1010778</v>
      </c>
      <c r="B772" s="6">
        <v>35001</v>
      </c>
      <c r="C772" s="6">
        <v>2</v>
      </c>
      <c r="D772" s="6">
        <v>5</v>
      </c>
      <c r="E772" s="6" t="s">
        <v>289</v>
      </c>
      <c r="F772" s="11" t="s">
        <v>50</v>
      </c>
      <c r="G772" s="11" t="s">
        <v>36</v>
      </c>
      <c r="H772" s="6">
        <v>0</v>
      </c>
      <c r="I772" s="11" t="str">
        <f t="shared" si="64"/>
        <v>155|8</v>
      </c>
      <c r="J772" s="6" t="s">
        <v>51</v>
      </c>
    </row>
    <row r="773" spans="1:10">
      <c r="A773" s="6">
        <v>1010779</v>
      </c>
      <c r="B773" s="6">
        <v>35001</v>
      </c>
      <c r="C773" s="6">
        <v>2</v>
      </c>
      <c r="D773" s="6">
        <v>6</v>
      </c>
      <c r="E773" s="6" t="s">
        <v>289</v>
      </c>
      <c r="F773" s="11" t="s">
        <v>50</v>
      </c>
      <c r="G773" s="11" t="s">
        <v>38</v>
      </c>
      <c r="H773" s="6">
        <v>130063</v>
      </c>
      <c r="I773" s="11" t="s">
        <v>290</v>
      </c>
      <c r="J773" s="6" t="s">
        <v>40</v>
      </c>
    </row>
    <row r="774" spans="1:10">
      <c r="A774" s="6">
        <v>1010780</v>
      </c>
      <c r="B774" s="6">
        <v>35001</v>
      </c>
      <c r="C774" s="6">
        <v>3</v>
      </c>
      <c r="D774" s="6">
        <v>0</v>
      </c>
      <c r="E774" s="6" t="s">
        <v>291</v>
      </c>
      <c r="F774" s="11" t="s">
        <v>50</v>
      </c>
      <c r="G774" s="11">
        <v>0</v>
      </c>
      <c r="H774" s="6">
        <v>0</v>
      </c>
      <c r="I774" s="11" t="str">
        <f t="shared" ref="I774:I779" si="65">I773</f>
        <v>155|12</v>
      </c>
      <c r="J774" s="6">
        <v>0</v>
      </c>
    </row>
    <row r="775" spans="1:10">
      <c r="A775" s="6">
        <v>1010781</v>
      </c>
      <c r="B775" s="6">
        <v>35001</v>
      </c>
      <c r="C775" s="6">
        <v>3</v>
      </c>
      <c r="D775" s="6">
        <v>1</v>
      </c>
      <c r="E775" s="6" t="s">
        <v>291</v>
      </c>
      <c r="F775" s="11" t="s">
        <v>54</v>
      </c>
      <c r="G775" s="11" t="s">
        <v>24</v>
      </c>
      <c r="H775" s="6">
        <v>0</v>
      </c>
      <c r="I775" s="11" t="str">
        <f t="shared" si="65"/>
        <v>155|12</v>
      </c>
      <c r="J775" s="6" t="s">
        <v>55</v>
      </c>
    </row>
    <row r="776" spans="1:10">
      <c r="A776" s="6">
        <v>1010782</v>
      </c>
      <c r="B776" s="6">
        <v>35001</v>
      </c>
      <c r="C776" s="6">
        <v>3</v>
      </c>
      <c r="D776" s="6">
        <v>2</v>
      </c>
      <c r="E776" s="6" t="s">
        <v>291</v>
      </c>
      <c r="F776" s="11" t="s">
        <v>56</v>
      </c>
      <c r="G776" s="11" t="s">
        <v>27</v>
      </c>
      <c r="H776" s="6">
        <v>0</v>
      </c>
      <c r="I776" s="11" t="str">
        <f t="shared" si="65"/>
        <v>155|12</v>
      </c>
      <c r="J776" s="6" t="s">
        <v>57</v>
      </c>
    </row>
    <row r="777" spans="1:10">
      <c r="A777" s="6">
        <v>1010783</v>
      </c>
      <c r="B777" s="6">
        <v>35001</v>
      </c>
      <c r="C777" s="6">
        <v>3</v>
      </c>
      <c r="D777" s="6">
        <v>3</v>
      </c>
      <c r="E777" s="6" t="s">
        <v>291</v>
      </c>
      <c r="F777" s="11" t="s">
        <v>58</v>
      </c>
      <c r="G777" s="11" t="s">
        <v>30</v>
      </c>
      <c r="H777" s="6">
        <v>0</v>
      </c>
      <c r="I777" s="11" t="str">
        <f t="shared" si="65"/>
        <v>155|12</v>
      </c>
      <c r="J777" s="6" t="s">
        <v>59</v>
      </c>
    </row>
    <row r="778" spans="1:10">
      <c r="A778" s="6">
        <v>1010784</v>
      </c>
      <c r="B778" s="6">
        <v>35001</v>
      </c>
      <c r="C778" s="6">
        <v>3</v>
      </c>
      <c r="D778" s="6">
        <v>4</v>
      </c>
      <c r="E778" s="6" t="s">
        <v>291</v>
      </c>
      <c r="F778" s="11" t="s">
        <v>60</v>
      </c>
      <c r="G778" s="11" t="s">
        <v>33</v>
      </c>
      <c r="H778" s="6">
        <v>0</v>
      </c>
      <c r="I778" s="11" t="str">
        <f t="shared" si="65"/>
        <v>155|12</v>
      </c>
      <c r="J778" s="6" t="s">
        <v>61</v>
      </c>
    </row>
    <row r="779" spans="1:10">
      <c r="A779" s="6">
        <v>1010785</v>
      </c>
      <c r="B779" s="6">
        <v>35001</v>
      </c>
      <c r="C779" s="6">
        <v>3</v>
      </c>
      <c r="D779" s="6">
        <v>5</v>
      </c>
      <c r="E779" s="6" t="s">
        <v>291</v>
      </c>
      <c r="F779" s="11" t="s">
        <v>62</v>
      </c>
      <c r="G779" s="11" t="s">
        <v>36</v>
      </c>
      <c r="H779" s="6">
        <v>0</v>
      </c>
      <c r="I779" s="11" t="str">
        <f t="shared" si="65"/>
        <v>155|12</v>
      </c>
      <c r="J779" s="6" t="s">
        <v>63</v>
      </c>
    </row>
    <row r="780" spans="1:10">
      <c r="A780" s="6">
        <v>1010786</v>
      </c>
      <c r="B780" s="6">
        <v>35001</v>
      </c>
      <c r="C780" s="6">
        <v>3</v>
      </c>
      <c r="D780" s="6">
        <v>6</v>
      </c>
      <c r="E780" s="6" t="s">
        <v>291</v>
      </c>
      <c r="F780" s="11" t="s">
        <v>62</v>
      </c>
      <c r="G780" s="11" t="s">
        <v>38</v>
      </c>
      <c r="H780" s="6">
        <v>130064</v>
      </c>
      <c r="I780" s="11" t="s">
        <v>292</v>
      </c>
      <c r="J780" s="6" t="s">
        <v>40</v>
      </c>
    </row>
    <row r="781" spans="1:10">
      <c r="A781" s="6">
        <v>1010787</v>
      </c>
      <c r="B781" s="6">
        <v>35001</v>
      </c>
      <c r="C781" s="6">
        <v>4</v>
      </c>
      <c r="D781" s="6">
        <v>0</v>
      </c>
      <c r="E781" s="6" t="s">
        <v>293</v>
      </c>
      <c r="F781" s="11" t="s">
        <v>62</v>
      </c>
      <c r="G781" s="11">
        <v>0</v>
      </c>
      <c r="H781" s="6">
        <v>0</v>
      </c>
      <c r="I781" s="11" t="str">
        <f t="shared" ref="I781:I786" si="66">I780</f>
        <v>155|16</v>
      </c>
      <c r="J781" s="6">
        <v>0</v>
      </c>
    </row>
    <row r="782" spans="1:10">
      <c r="A782" s="6">
        <v>1010788</v>
      </c>
      <c r="B782" s="6">
        <v>35001</v>
      </c>
      <c r="C782" s="6">
        <v>4</v>
      </c>
      <c r="D782" s="6">
        <v>1</v>
      </c>
      <c r="E782" s="6" t="s">
        <v>293</v>
      </c>
      <c r="F782" s="11" t="s">
        <v>66</v>
      </c>
      <c r="G782" s="11" t="s">
        <v>24</v>
      </c>
      <c r="H782" s="6">
        <v>0</v>
      </c>
      <c r="I782" s="11" t="str">
        <f t="shared" si="66"/>
        <v>155|16</v>
      </c>
      <c r="J782" s="6" t="s">
        <v>67</v>
      </c>
    </row>
    <row r="783" spans="1:10">
      <c r="A783" s="6">
        <v>1010789</v>
      </c>
      <c r="B783" s="6">
        <v>35001</v>
      </c>
      <c r="C783" s="6">
        <v>4</v>
      </c>
      <c r="D783" s="6">
        <v>2</v>
      </c>
      <c r="E783" s="6" t="s">
        <v>293</v>
      </c>
      <c r="F783" s="11" t="s">
        <v>68</v>
      </c>
      <c r="G783" s="11" t="s">
        <v>27</v>
      </c>
      <c r="H783" s="6">
        <v>0</v>
      </c>
      <c r="I783" s="11" t="str">
        <f t="shared" si="66"/>
        <v>155|16</v>
      </c>
      <c r="J783" s="6" t="s">
        <v>69</v>
      </c>
    </row>
    <row r="784" spans="1:10">
      <c r="A784" s="6">
        <v>1010790</v>
      </c>
      <c r="B784" s="6">
        <v>35001</v>
      </c>
      <c r="C784" s="6">
        <v>4</v>
      </c>
      <c r="D784" s="6">
        <v>3</v>
      </c>
      <c r="E784" s="6" t="s">
        <v>293</v>
      </c>
      <c r="F784" s="11" t="s">
        <v>70</v>
      </c>
      <c r="G784" s="11" t="s">
        <v>30</v>
      </c>
      <c r="H784" s="6">
        <v>0</v>
      </c>
      <c r="I784" s="11" t="str">
        <f t="shared" si="66"/>
        <v>155|16</v>
      </c>
      <c r="J784" s="6" t="s">
        <v>71</v>
      </c>
    </row>
    <row r="785" spans="1:10">
      <c r="A785" s="6">
        <v>1010791</v>
      </c>
      <c r="B785" s="6">
        <v>35001</v>
      </c>
      <c r="C785" s="6">
        <v>4</v>
      </c>
      <c r="D785" s="6">
        <v>4</v>
      </c>
      <c r="E785" s="6" t="s">
        <v>293</v>
      </c>
      <c r="F785" s="11" t="s">
        <v>72</v>
      </c>
      <c r="G785" s="11" t="s">
        <v>33</v>
      </c>
      <c r="H785" s="6">
        <v>0</v>
      </c>
      <c r="I785" s="11" t="str">
        <f t="shared" si="66"/>
        <v>155|16</v>
      </c>
      <c r="J785" s="6" t="s">
        <v>73</v>
      </c>
    </row>
    <row r="786" spans="1:10">
      <c r="A786" s="6">
        <v>1010792</v>
      </c>
      <c r="B786" s="6">
        <v>35001</v>
      </c>
      <c r="C786" s="6">
        <v>4</v>
      </c>
      <c r="D786" s="6">
        <v>5</v>
      </c>
      <c r="E786" s="6" t="s">
        <v>293</v>
      </c>
      <c r="F786" s="11" t="s">
        <v>74</v>
      </c>
      <c r="G786" s="11" t="s">
        <v>36</v>
      </c>
      <c r="H786" s="6">
        <v>0</v>
      </c>
      <c r="I786" s="11" t="str">
        <f t="shared" si="66"/>
        <v>155|16</v>
      </c>
      <c r="J786" s="6" t="s">
        <v>75</v>
      </c>
    </row>
    <row r="787" spans="1:10">
      <c r="A787" s="6">
        <v>1010793</v>
      </c>
      <c r="B787" s="6">
        <v>35001</v>
      </c>
      <c r="C787" s="6">
        <v>4</v>
      </c>
      <c r="D787" s="6">
        <v>6</v>
      </c>
      <c r="E787" s="6" t="s">
        <v>293</v>
      </c>
      <c r="F787" s="11" t="s">
        <v>74</v>
      </c>
      <c r="G787" s="11" t="s">
        <v>38</v>
      </c>
      <c r="H787" s="6">
        <v>130065</v>
      </c>
      <c r="I787" s="11" t="s">
        <v>294</v>
      </c>
      <c r="J787" s="6" t="s">
        <v>40</v>
      </c>
    </row>
    <row r="788" spans="1:10">
      <c r="A788" s="6">
        <v>1010794</v>
      </c>
      <c r="B788" s="6">
        <v>35001</v>
      </c>
      <c r="C788" s="6">
        <v>5</v>
      </c>
      <c r="D788" s="6">
        <v>0</v>
      </c>
      <c r="E788" s="6" t="s">
        <v>295</v>
      </c>
      <c r="F788" s="11" t="s">
        <v>74</v>
      </c>
      <c r="G788" s="11">
        <v>0</v>
      </c>
      <c r="H788" s="6">
        <v>0</v>
      </c>
      <c r="I788" s="11" t="str">
        <f t="shared" ref="I788:I793" si="67">I787</f>
        <v>155|20</v>
      </c>
      <c r="J788" s="6">
        <v>0</v>
      </c>
    </row>
    <row r="789" spans="1:10">
      <c r="A789" s="6">
        <v>1010795</v>
      </c>
      <c r="B789" s="6">
        <v>35001</v>
      </c>
      <c r="C789" s="6">
        <v>5</v>
      </c>
      <c r="D789" s="6">
        <v>1</v>
      </c>
      <c r="E789" s="6" t="s">
        <v>295</v>
      </c>
      <c r="F789" s="11" t="s">
        <v>78</v>
      </c>
      <c r="G789" s="11" t="s">
        <v>24</v>
      </c>
      <c r="H789" s="6">
        <v>0</v>
      </c>
      <c r="I789" s="11" t="str">
        <f t="shared" si="67"/>
        <v>155|20</v>
      </c>
      <c r="J789" s="6" t="s">
        <v>79</v>
      </c>
    </row>
    <row r="790" spans="1:10">
      <c r="A790" s="6">
        <v>1010796</v>
      </c>
      <c r="B790" s="6">
        <v>35001</v>
      </c>
      <c r="C790" s="6">
        <v>5</v>
      </c>
      <c r="D790" s="6">
        <v>2</v>
      </c>
      <c r="E790" s="6" t="s">
        <v>295</v>
      </c>
      <c r="F790" s="11" t="s">
        <v>80</v>
      </c>
      <c r="G790" s="11" t="s">
        <v>27</v>
      </c>
      <c r="H790" s="6">
        <v>0</v>
      </c>
      <c r="I790" s="11" t="str">
        <f t="shared" si="67"/>
        <v>155|20</v>
      </c>
      <c r="J790" s="6" t="s">
        <v>81</v>
      </c>
    </row>
    <row r="791" spans="1:10">
      <c r="A791" s="6">
        <v>1010797</v>
      </c>
      <c r="B791" s="6">
        <v>35001</v>
      </c>
      <c r="C791" s="6">
        <v>5</v>
      </c>
      <c r="D791" s="6">
        <v>3</v>
      </c>
      <c r="E791" s="6" t="s">
        <v>295</v>
      </c>
      <c r="F791" s="11" t="s">
        <v>82</v>
      </c>
      <c r="G791" s="11" t="s">
        <v>30</v>
      </c>
      <c r="H791" s="6">
        <v>0</v>
      </c>
      <c r="I791" s="11" t="str">
        <f t="shared" si="67"/>
        <v>155|20</v>
      </c>
      <c r="J791" s="6" t="s">
        <v>83</v>
      </c>
    </row>
    <row r="792" spans="1:10">
      <c r="A792" s="6">
        <v>1010798</v>
      </c>
      <c r="B792" s="6">
        <v>35001</v>
      </c>
      <c r="C792" s="6">
        <v>5</v>
      </c>
      <c r="D792" s="6">
        <v>4</v>
      </c>
      <c r="E792" s="6" t="s">
        <v>295</v>
      </c>
      <c r="F792" s="11" t="s">
        <v>84</v>
      </c>
      <c r="G792" s="11" t="s">
        <v>33</v>
      </c>
      <c r="H792" s="6">
        <v>0</v>
      </c>
      <c r="I792" s="11" t="str">
        <f t="shared" si="67"/>
        <v>155|20</v>
      </c>
      <c r="J792" s="6" t="s">
        <v>85</v>
      </c>
    </row>
    <row r="793" spans="1:10">
      <c r="A793" s="6">
        <v>1010799</v>
      </c>
      <c r="B793" s="6">
        <v>35001</v>
      </c>
      <c r="C793" s="6">
        <v>5</v>
      </c>
      <c r="D793" s="6">
        <v>5</v>
      </c>
      <c r="E793" s="6" t="s">
        <v>295</v>
      </c>
      <c r="F793" s="11" t="s">
        <v>86</v>
      </c>
      <c r="G793" s="11" t="s">
        <v>36</v>
      </c>
      <c r="H793" s="6">
        <v>0</v>
      </c>
      <c r="I793" s="11" t="str">
        <f t="shared" si="67"/>
        <v>155|20</v>
      </c>
      <c r="J793" s="6" t="s">
        <v>87</v>
      </c>
    </row>
    <row r="794" spans="1:10">
      <c r="A794" s="6">
        <v>1010800</v>
      </c>
      <c r="B794" s="6">
        <v>35001</v>
      </c>
      <c r="C794" s="6">
        <v>5</v>
      </c>
      <c r="D794" s="6">
        <v>6</v>
      </c>
      <c r="E794" s="6" t="s">
        <v>295</v>
      </c>
      <c r="F794" s="11" t="s">
        <v>86</v>
      </c>
      <c r="G794" s="11" t="s">
        <v>38</v>
      </c>
      <c r="H794" s="6">
        <v>130066</v>
      </c>
      <c r="I794" s="11" t="s">
        <v>296</v>
      </c>
      <c r="J794" s="6" t="s">
        <v>40</v>
      </c>
    </row>
    <row r="795" spans="1:10">
      <c r="A795" s="6">
        <v>1010801</v>
      </c>
      <c r="B795" s="6">
        <v>35001</v>
      </c>
      <c r="C795" s="6">
        <v>6</v>
      </c>
      <c r="D795" s="6">
        <v>0</v>
      </c>
      <c r="E795" s="6" t="s">
        <v>295</v>
      </c>
      <c r="F795" s="11" t="s">
        <v>86</v>
      </c>
      <c r="G795" s="11">
        <v>0</v>
      </c>
      <c r="H795" s="6">
        <v>0</v>
      </c>
      <c r="I795" s="11" t="str">
        <f t="shared" ref="I795:I800" si="68">I794</f>
        <v>155|25</v>
      </c>
      <c r="J795" s="6">
        <v>0</v>
      </c>
    </row>
    <row r="796" spans="1:10">
      <c r="A796" s="6">
        <v>1010802</v>
      </c>
      <c r="B796" s="6">
        <v>35001</v>
      </c>
      <c r="C796" s="6">
        <v>6</v>
      </c>
      <c r="D796" s="6">
        <v>1</v>
      </c>
      <c r="E796" s="6" t="s">
        <v>295</v>
      </c>
      <c r="F796" s="11" t="s">
        <v>89</v>
      </c>
      <c r="G796" s="11" t="s">
        <v>24</v>
      </c>
      <c r="H796" s="6">
        <v>0</v>
      </c>
      <c r="I796" s="11" t="str">
        <f t="shared" si="68"/>
        <v>155|25</v>
      </c>
      <c r="J796" s="6" t="s">
        <v>90</v>
      </c>
    </row>
    <row r="797" spans="1:10">
      <c r="A797" s="6">
        <v>1010803</v>
      </c>
      <c r="B797" s="6">
        <v>35001</v>
      </c>
      <c r="C797" s="6">
        <v>6</v>
      </c>
      <c r="D797" s="6">
        <v>2</v>
      </c>
      <c r="E797" s="6" t="s">
        <v>295</v>
      </c>
      <c r="F797" s="11" t="s">
        <v>91</v>
      </c>
      <c r="G797" s="11" t="s">
        <v>27</v>
      </c>
      <c r="H797" s="6">
        <v>0</v>
      </c>
      <c r="I797" s="11" t="str">
        <f t="shared" si="68"/>
        <v>155|25</v>
      </c>
      <c r="J797" s="6" t="s">
        <v>92</v>
      </c>
    </row>
    <row r="798" spans="1:10">
      <c r="A798" s="6">
        <v>1010804</v>
      </c>
      <c r="B798" s="6">
        <v>35001</v>
      </c>
      <c r="C798" s="6">
        <v>6</v>
      </c>
      <c r="D798" s="6">
        <v>3</v>
      </c>
      <c r="E798" s="6" t="s">
        <v>295</v>
      </c>
      <c r="F798" s="11" t="s">
        <v>93</v>
      </c>
      <c r="G798" s="11" t="s">
        <v>30</v>
      </c>
      <c r="H798" s="6">
        <v>0</v>
      </c>
      <c r="I798" s="11" t="str">
        <f t="shared" si="68"/>
        <v>155|25</v>
      </c>
      <c r="J798" s="6" t="s">
        <v>94</v>
      </c>
    </row>
    <row r="799" spans="1:10">
      <c r="A799" s="6">
        <v>1010805</v>
      </c>
      <c r="B799" s="6">
        <v>35001</v>
      </c>
      <c r="C799" s="6">
        <v>6</v>
      </c>
      <c r="D799" s="6">
        <v>4</v>
      </c>
      <c r="E799" s="6" t="s">
        <v>295</v>
      </c>
      <c r="F799" s="11" t="s">
        <v>95</v>
      </c>
      <c r="G799" s="11" t="s">
        <v>33</v>
      </c>
      <c r="H799" s="6">
        <v>0</v>
      </c>
      <c r="I799" s="11" t="str">
        <f t="shared" si="68"/>
        <v>155|25</v>
      </c>
      <c r="J799" s="6" t="s">
        <v>96</v>
      </c>
    </row>
    <row r="800" spans="1:10">
      <c r="A800" s="6">
        <v>1010806</v>
      </c>
      <c r="B800" s="6">
        <v>35001</v>
      </c>
      <c r="C800" s="6">
        <v>6</v>
      </c>
      <c r="D800" s="6">
        <v>5</v>
      </c>
      <c r="E800" s="6" t="s">
        <v>295</v>
      </c>
      <c r="F800" s="11" t="s">
        <v>97</v>
      </c>
      <c r="G800" s="11" t="s">
        <v>36</v>
      </c>
      <c r="H800" s="6">
        <v>0</v>
      </c>
      <c r="I800" s="11" t="str">
        <f t="shared" si="68"/>
        <v>155|25</v>
      </c>
      <c r="J800" s="6" t="s">
        <v>98</v>
      </c>
    </row>
    <row r="801" spans="1:10">
      <c r="A801" s="6">
        <v>1010807</v>
      </c>
      <c r="B801" s="6">
        <v>35001</v>
      </c>
      <c r="C801" s="6">
        <v>6</v>
      </c>
      <c r="D801" s="6">
        <v>6</v>
      </c>
      <c r="E801" s="6">
        <v>0</v>
      </c>
      <c r="F801" s="11" t="s">
        <v>97</v>
      </c>
      <c r="G801" s="11" t="s">
        <v>38</v>
      </c>
      <c r="H801" s="6">
        <v>130067</v>
      </c>
      <c r="I801" s="11" t="s">
        <v>297</v>
      </c>
      <c r="J801" s="6" t="s">
        <v>40</v>
      </c>
    </row>
    <row r="802" spans="1:10">
      <c r="A802" s="6">
        <v>1010808</v>
      </c>
      <c r="B802" s="6">
        <v>36001</v>
      </c>
      <c r="C802" s="6">
        <v>1</v>
      </c>
      <c r="D802" s="6">
        <v>0</v>
      </c>
      <c r="E802" s="6" t="s">
        <v>298</v>
      </c>
      <c r="F802" s="11" t="s">
        <v>22</v>
      </c>
      <c r="G802" s="11">
        <v>0</v>
      </c>
      <c r="H802" s="6">
        <v>0</v>
      </c>
      <c r="I802" s="11">
        <v>0</v>
      </c>
      <c r="J802" s="6">
        <v>0</v>
      </c>
    </row>
    <row r="803" spans="1:10">
      <c r="A803" s="6">
        <v>1010809</v>
      </c>
      <c r="B803" s="6">
        <v>36001</v>
      </c>
      <c r="C803" s="6">
        <v>1</v>
      </c>
      <c r="D803" s="6">
        <v>1</v>
      </c>
      <c r="E803" s="6" t="s">
        <v>298</v>
      </c>
      <c r="F803" s="11" t="s">
        <v>23</v>
      </c>
      <c r="G803" s="11" t="s">
        <v>24</v>
      </c>
      <c r="H803" s="6">
        <v>0</v>
      </c>
      <c r="I803" s="11">
        <v>0</v>
      </c>
      <c r="J803" s="6" t="s">
        <v>25</v>
      </c>
    </row>
    <row r="804" spans="1:10">
      <c r="A804" s="6">
        <v>1010810</v>
      </c>
      <c r="B804" s="6">
        <v>36001</v>
      </c>
      <c r="C804" s="6">
        <v>1</v>
      </c>
      <c r="D804" s="6">
        <v>2</v>
      </c>
      <c r="E804" s="6" t="s">
        <v>298</v>
      </c>
      <c r="F804" s="11" t="s">
        <v>26</v>
      </c>
      <c r="G804" s="11" t="s">
        <v>27</v>
      </c>
      <c r="H804" s="6">
        <v>0</v>
      </c>
      <c r="I804" s="11">
        <v>0</v>
      </c>
      <c r="J804" s="6" t="s">
        <v>28</v>
      </c>
    </row>
    <row r="805" spans="1:10">
      <c r="A805" s="6">
        <v>1010811</v>
      </c>
      <c r="B805" s="6">
        <v>36001</v>
      </c>
      <c r="C805" s="6">
        <v>1</v>
      </c>
      <c r="D805" s="6">
        <v>3</v>
      </c>
      <c r="E805" s="6" t="s">
        <v>298</v>
      </c>
      <c r="F805" s="11" t="s">
        <v>29</v>
      </c>
      <c r="G805" s="11" t="s">
        <v>30</v>
      </c>
      <c r="H805" s="6">
        <v>0</v>
      </c>
      <c r="I805" s="11">
        <v>0</v>
      </c>
      <c r="J805" s="6" t="s">
        <v>31</v>
      </c>
    </row>
    <row r="806" spans="1:10">
      <c r="A806" s="6">
        <v>1010812</v>
      </c>
      <c r="B806" s="6">
        <v>36001</v>
      </c>
      <c r="C806" s="6">
        <v>1</v>
      </c>
      <c r="D806" s="6">
        <v>4</v>
      </c>
      <c r="E806" s="6" t="s">
        <v>298</v>
      </c>
      <c r="F806" s="11" t="s">
        <v>32</v>
      </c>
      <c r="G806" s="11" t="s">
        <v>33</v>
      </c>
      <c r="H806" s="6">
        <v>0</v>
      </c>
      <c r="I806" s="11">
        <v>0</v>
      </c>
      <c r="J806" s="6" t="s">
        <v>34</v>
      </c>
    </row>
    <row r="807" spans="1:10">
      <c r="A807" s="6">
        <v>1010813</v>
      </c>
      <c r="B807" s="6">
        <v>36001</v>
      </c>
      <c r="C807" s="6">
        <v>1</v>
      </c>
      <c r="D807" s="6">
        <v>5</v>
      </c>
      <c r="E807" s="6" t="s">
        <v>298</v>
      </c>
      <c r="F807" s="11" t="s">
        <v>35</v>
      </c>
      <c r="G807" s="11" t="s">
        <v>36</v>
      </c>
      <c r="H807" s="6">
        <v>0</v>
      </c>
      <c r="I807" s="11">
        <v>0</v>
      </c>
      <c r="J807" s="6" t="s">
        <v>37</v>
      </c>
    </row>
    <row r="808" spans="1:10">
      <c r="A808" s="6">
        <v>1010814</v>
      </c>
      <c r="B808" s="6">
        <v>36001</v>
      </c>
      <c r="C808" s="6">
        <v>1</v>
      </c>
      <c r="D808" s="6">
        <v>6</v>
      </c>
      <c r="E808" s="6" t="s">
        <v>298</v>
      </c>
      <c r="F808" s="11" t="s">
        <v>35</v>
      </c>
      <c r="G808" s="11" t="s">
        <v>38</v>
      </c>
      <c r="H808" s="6">
        <v>130072</v>
      </c>
      <c r="I808" s="11" t="s">
        <v>299</v>
      </c>
      <c r="J808" s="6" t="s">
        <v>40</v>
      </c>
    </row>
    <row r="809" spans="1:10">
      <c r="A809" s="6">
        <v>1010815</v>
      </c>
      <c r="B809" s="6">
        <v>36001</v>
      </c>
      <c r="C809" s="6">
        <v>2</v>
      </c>
      <c r="D809" s="6">
        <v>0</v>
      </c>
      <c r="E809" s="6" t="s">
        <v>300</v>
      </c>
      <c r="F809" s="11" t="s">
        <v>35</v>
      </c>
      <c r="G809" s="11">
        <v>0</v>
      </c>
      <c r="H809" s="6">
        <v>0</v>
      </c>
      <c r="I809" s="11" t="str">
        <f t="shared" ref="I809:I814" si="69">I808</f>
        <v>145|8</v>
      </c>
      <c r="J809" s="6">
        <v>0</v>
      </c>
    </row>
    <row r="810" spans="1:10">
      <c r="A810" s="6">
        <v>1010816</v>
      </c>
      <c r="B810" s="6">
        <v>36001</v>
      </c>
      <c r="C810" s="6">
        <v>2</v>
      </c>
      <c r="D810" s="6">
        <v>1</v>
      </c>
      <c r="E810" s="6" t="s">
        <v>300</v>
      </c>
      <c r="F810" s="11" t="s">
        <v>42</v>
      </c>
      <c r="G810" s="11" t="s">
        <v>24</v>
      </c>
      <c r="H810" s="6">
        <v>0</v>
      </c>
      <c r="I810" s="11" t="str">
        <f t="shared" si="69"/>
        <v>145|8</v>
      </c>
      <c r="J810" s="6" t="s">
        <v>43</v>
      </c>
    </row>
    <row r="811" spans="1:10">
      <c r="A811" s="6">
        <v>1010817</v>
      </c>
      <c r="B811" s="6">
        <v>36001</v>
      </c>
      <c r="C811" s="6">
        <v>2</v>
      </c>
      <c r="D811" s="6">
        <v>2</v>
      </c>
      <c r="E811" s="6" t="s">
        <v>300</v>
      </c>
      <c r="F811" s="11" t="s">
        <v>44</v>
      </c>
      <c r="G811" s="11" t="s">
        <v>27</v>
      </c>
      <c r="H811" s="6">
        <v>0</v>
      </c>
      <c r="I811" s="11" t="str">
        <f t="shared" si="69"/>
        <v>145|8</v>
      </c>
      <c r="J811" s="6" t="s">
        <v>45</v>
      </c>
    </row>
    <row r="812" spans="1:10">
      <c r="A812" s="6">
        <v>1010818</v>
      </c>
      <c r="B812" s="6">
        <v>36001</v>
      </c>
      <c r="C812" s="6">
        <v>2</v>
      </c>
      <c r="D812" s="6">
        <v>3</v>
      </c>
      <c r="E812" s="6" t="s">
        <v>300</v>
      </c>
      <c r="F812" s="11" t="s">
        <v>46</v>
      </c>
      <c r="G812" s="11" t="s">
        <v>30</v>
      </c>
      <c r="H812" s="6">
        <v>0</v>
      </c>
      <c r="I812" s="11" t="str">
        <f t="shared" si="69"/>
        <v>145|8</v>
      </c>
      <c r="J812" s="6" t="s">
        <v>47</v>
      </c>
    </row>
    <row r="813" spans="1:10">
      <c r="A813" s="6">
        <v>1010819</v>
      </c>
      <c r="B813" s="6">
        <v>36001</v>
      </c>
      <c r="C813" s="6">
        <v>2</v>
      </c>
      <c r="D813" s="6">
        <v>4</v>
      </c>
      <c r="E813" s="6" t="s">
        <v>300</v>
      </c>
      <c r="F813" s="11" t="s">
        <v>48</v>
      </c>
      <c r="G813" s="11" t="s">
        <v>33</v>
      </c>
      <c r="H813" s="6">
        <v>0</v>
      </c>
      <c r="I813" s="11" t="str">
        <f t="shared" si="69"/>
        <v>145|8</v>
      </c>
      <c r="J813" s="6" t="s">
        <v>49</v>
      </c>
    </row>
    <row r="814" spans="1:10">
      <c r="A814" s="6">
        <v>1010820</v>
      </c>
      <c r="B814" s="6">
        <v>36001</v>
      </c>
      <c r="C814" s="6">
        <v>2</v>
      </c>
      <c r="D814" s="6">
        <v>5</v>
      </c>
      <c r="E814" s="6" t="s">
        <v>300</v>
      </c>
      <c r="F814" s="11" t="s">
        <v>50</v>
      </c>
      <c r="G814" s="11" t="s">
        <v>36</v>
      </c>
      <c r="H814" s="6">
        <v>0</v>
      </c>
      <c r="I814" s="11" t="str">
        <f t="shared" si="69"/>
        <v>145|8</v>
      </c>
      <c r="J814" s="6" t="s">
        <v>51</v>
      </c>
    </row>
    <row r="815" spans="1:10">
      <c r="A815" s="6">
        <v>1010821</v>
      </c>
      <c r="B815" s="6">
        <v>36001</v>
      </c>
      <c r="C815" s="6">
        <v>2</v>
      </c>
      <c r="D815" s="6">
        <v>6</v>
      </c>
      <c r="E815" s="6" t="s">
        <v>300</v>
      </c>
      <c r="F815" s="11" t="s">
        <v>50</v>
      </c>
      <c r="G815" s="11" t="s">
        <v>38</v>
      </c>
      <c r="H815" s="6">
        <v>130073</v>
      </c>
      <c r="I815" s="11" t="s">
        <v>301</v>
      </c>
      <c r="J815" s="6" t="s">
        <v>40</v>
      </c>
    </row>
    <row r="816" spans="1:10">
      <c r="A816" s="6">
        <v>1010822</v>
      </c>
      <c r="B816" s="6">
        <v>36001</v>
      </c>
      <c r="C816" s="6">
        <v>3</v>
      </c>
      <c r="D816" s="6">
        <v>0</v>
      </c>
      <c r="E816" s="6" t="s">
        <v>302</v>
      </c>
      <c r="F816" s="11" t="s">
        <v>50</v>
      </c>
      <c r="G816" s="11">
        <v>0</v>
      </c>
      <c r="H816" s="6">
        <v>0</v>
      </c>
      <c r="I816" s="11" t="str">
        <f t="shared" ref="I816:I821" si="70">I815</f>
        <v>145|12</v>
      </c>
      <c r="J816" s="6">
        <v>0</v>
      </c>
    </row>
    <row r="817" spans="1:10">
      <c r="A817" s="6">
        <v>1010823</v>
      </c>
      <c r="B817" s="6">
        <v>36001</v>
      </c>
      <c r="C817" s="6">
        <v>3</v>
      </c>
      <c r="D817" s="6">
        <v>1</v>
      </c>
      <c r="E817" s="6" t="s">
        <v>302</v>
      </c>
      <c r="F817" s="11" t="s">
        <v>54</v>
      </c>
      <c r="G817" s="11" t="s">
        <v>24</v>
      </c>
      <c r="H817" s="6">
        <v>0</v>
      </c>
      <c r="I817" s="11" t="str">
        <f t="shared" si="70"/>
        <v>145|12</v>
      </c>
      <c r="J817" s="6" t="s">
        <v>55</v>
      </c>
    </row>
    <row r="818" spans="1:10">
      <c r="A818" s="6">
        <v>1010824</v>
      </c>
      <c r="B818" s="6">
        <v>36001</v>
      </c>
      <c r="C818" s="6">
        <v>3</v>
      </c>
      <c r="D818" s="6">
        <v>2</v>
      </c>
      <c r="E818" s="6" t="s">
        <v>302</v>
      </c>
      <c r="F818" s="11" t="s">
        <v>56</v>
      </c>
      <c r="G818" s="11" t="s">
        <v>27</v>
      </c>
      <c r="H818" s="6">
        <v>0</v>
      </c>
      <c r="I818" s="11" t="str">
        <f t="shared" si="70"/>
        <v>145|12</v>
      </c>
      <c r="J818" s="6" t="s">
        <v>57</v>
      </c>
    </row>
    <row r="819" spans="1:10">
      <c r="A819" s="6">
        <v>1010825</v>
      </c>
      <c r="B819" s="6">
        <v>36001</v>
      </c>
      <c r="C819" s="6">
        <v>3</v>
      </c>
      <c r="D819" s="6">
        <v>3</v>
      </c>
      <c r="E819" s="6" t="s">
        <v>302</v>
      </c>
      <c r="F819" s="11" t="s">
        <v>58</v>
      </c>
      <c r="G819" s="11" t="s">
        <v>30</v>
      </c>
      <c r="H819" s="6">
        <v>0</v>
      </c>
      <c r="I819" s="11" t="str">
        <f t="shared" si="70"/>
        <v>145|12</v>
      </c>
      <c r="J819" s="6" t="s">
        <v>59</v>
      </c>
    </row>
    <row r="820" spans="1:10">
      <c r="A820" s="6">
        <v>1010826</v>
      </c>
      <c r="B820" s="6">
        <v>36001</v>
      </c>
      <c r="C820" s="6">
        <v>3</v>
      </c>
      <c r="D820" s="6">
        <v>4</v>
      </c>
      <c r="E820" s="6" t="s">
        <v>302</v>
      </c>
      <c r="F820" s="11" t="s">
        <v>60</v>
      </c>
      <c r="G820" s="11" t="s">
        <v>33</v>
      </c>
      <c r="H820" s="6">
        <v>0</v>
      </c>
      <c r="I820" s="11" t="str">
        <f t="shared" si="70"/>
        <v>145|12</v>
      </c>
      <c r="J820" s="6" t="s">
        <v>61</v>
      </c>
    </row>
    <row r="821" spans="1:10">
      <c r="A821" s="6">
        <v>1010827</v>
      </c>
      <c r="B821" s="6">
        <v>36001</v>
      </c>
      <c r="C821" s="6">
        <v>3</v>
      </c>
      <c r="D821" s="6">
        <v>5</v>
      </c>
      <c r="E821" s="6" t="s">
        <v>302</v>
      </c>
      <c r="F821" s="11" t="s">
        <v>62</v>
      </c>
      <c r="G821" s="11" t="s">
        <v>36</v>
      </c>
      <c r="H821" s="6">
        <v>0</v>
      </c>
      <c r="I821" s="11" t="str">
        <f t="shared" si="70"/>
        <v>145|12</v>
      </c>
      <c r="J821" s="6" t="s">
        <v>63</v>
      </c>
    </row>
    <row r="822" spans="1:10">
      <c r="A822" s="6">
        <v>1010828</v>
      </c>
      <c r="B822" s="6">
        <v>36001</v>
      </c>
      <c r="C822" s="6">
        <v>3</v>
      </c>
      <c r="D822" s="6">
        <v>6</v>
      </c>
      <c r="E822" s="6" t="s">
        <v>302</v>
      </c>
      <c r="F822" s="11" t="s">
        <v>62</v>
      </c>
      <c r="G822" s="11" t="s">
        <v>38</v>
      </c>
      <c r="H822" s="6">
        <v>130074</v>
      </c>
      <c r="I822" s="11" t="s">
        <v>303</v>
      </c>
      <c r="J822" s="6" t="s">
        <v>40</v>
      </c>
    </row>
    <row r="823" spans="1:10">
      <c r="A823" s="6">
        <v>1010829</v>
      </c>
      <c r="B823" s="6">
        <v>36001</v>
      </c>
      <c r="C823" s="6">
        <v>4</v>
      </c>
      <c r="D823" s="6">
        <v>0</v>
      </c>
      <c r="E823" s="6" t="s">
        <v>304</v>
      </c>
      <c r="F823" s="11" t="s">
        <v>62</v>
      </c>
      <c r="G823" s="11">
        <v>0</v>
      </c>
      <c r="H823" s="6">
        <v>0</v>
      </c>
      <c r="I823" s="11" t="str">
        <f t="shared" ref="I823:I828" si="71">I822</f>
        <v>145|16</v>
      </c>
      <c r="J823" s="6">
        <v>0</v>
      </c>
    </row>
    <row r="824" spans="1:10">
      <c r="A824" s="6">
        <v>1010830</v>
      </c>
      <c r="B824" s="6">
        <v>36001</v>
      </c>
      <c r="C824" s="6">
        <v>4</v>
      </c>
      <c r="D824" s="6">
        <v>1</v>
      </c>
      <c r="E824" s="6" t="s">
        <v>304</v>
      </c>
      <c r="F824" s="11" t="s">
        <v>66</v>
      </c>
      <c r="G824" s="11" t="s">
        <v>24</v>
      </c>
      <c r="H824" s="6">
        <v>0</v>
      </c>
      <c r="I824" s="11" t="str">
        <f t="shared" si="71"/>
        <v>145|16</v>
      </c>
      <c r="J824" s="6" t="s">
        <v>67</v>
      </c>
    </row>
    <row r="825" spans="1:10">
      <c r="A825" s="6">
        <v>1010831</v>
      </c>
      <c r="B825" s="6">
        <v>36001</v>
      </c>
      <c r="C825" s="6">
        <v>4</v>
      </c>
      <c r="D825" s="6">
        <v>2</v>
      </c>
      <c r="E825" s="6" t="s">
        <v>304</v>
      </c>
      <c r="F825" s="11" t="s">
        <v>68</v>
      </c>
      <c r="G825" s="11" t="s">
        <v>27</v>
      </c>
      <c r="H825" s="6">
        <v>0</v>
      </c>
      <c r="I825" s="11" t="str">
        <f t="shared" si="71"/>
        <v>145|16</v>
      </c>
      <c r="J825" s="6" t="s">
        <v>69</v>
      </c>
    </row>
    <row r="826" spans="1:10">
      <c r="A826" s="6">
        <v>1010832</v>
      </c>
      <c r="B826" s="6">
        <v>36001</v>
      </c>
      <c r="C826" s="6">
        <v>4</v>
      </c>
      <c r="D826" s="6">
        <v>3</v>
      </c>
      <c r="E826" s="6" t="s">
        <v>304</v>
      </c>
      <c r="F826" s="11" t="s">
        <v>70</v>
      </c>
      <c r="G826" s="11" t="s">
        <v>30</v>
      </c>
      <c r="H826" s="6">
        <v>0</v>
      </c>
      <c r="I826" s="11" t="str">
        <f t="shared" si="71"/>
        <v>145|16</v>
      </c>
      <c r="J826" s="6" t="s">
        <v>71</v>
      </c>
    </row>
    <row r="827" spans="1:10">
      <c r="A827" s="6">
        <v>1010833</v>
      </c>
      <c r="B827" s="6">
        <v>36001</v>
      </c>
      <c r="C827" s="6">
        <v>4</v>
      </c>
      <c r="D827" s="6">
        <v>4</v>
      </c>
      <c r="E827" s="6" t="s">
        <v>304</v>
      </c>
      <c r="F827" s="11" t="s">
        <v>72</v>
      </c>
      <c r="G827" s="11" t="s">
        <v>33</v>
      </c>
      <c r="H827" s="6">
        <v>0</v>
      </c>
      <c r="I827" s="11" t="str">
        <f t="shared" si="71"/>
        <v>145|16</v>
      </c>
      <c r="J827" s="6" t="s">
        <v>73</v>
      </c>
    </row>
    <row r="828" spans="1:10">
      <c r="A828" s="6">
        <v>1010834</v>
      </c>
      <c r="B828" s="6">
        <v>36001</v>
      </c>
      <c r="C828" s="6">
        <v>4</v>
      </c>
      <c r="D828" s="6">
        <v>5</v>
      </c>
      <c r="E828" s="6" t="s">
        <v>304</v>
      </c>
      <c r="F828" s="11" t="s">
        <v>74</v>
      </c>
      <c r="G828" s="11" t="s">
        <v>36</v>
      </c>
      <c r="H828" s="6">
        <v>0</v>
      </c>
      <c r="I828" s="11" t="str">
        <f t="shared" si="71"/>
        <v>145|16</v>
      </c>
      <c r="J828" s="6" t="s">
        <v>75</v>
      </c>
    </row>
    <row r="829" spans="1:10">
      <c r="A829" s="6">
        <v>1010835</v>
      </c>
      <c r="B829" s="6">
        <v>36001</v>
      </c>
      <c r="C829" s="6">
        <v>4</v>
      </c>
      <c r="D829" s="6">
        <v>6</v>
      </c>
      <c r="E829" s="6" t="s">
        <v>304</v>
      </c>
      <c r="F829" s="11" t="s">
        <v>74</v>
      </c>
      <c r="G829" s="11" t="s">
        <v>38</v>
      </c>
      <c r="H829" s="6">
        <v>130075</v>
      </c>
      <c r="I829" s="11" t="s">
        <v>305</v>
      </c>
      <c r="J829" s="6" t="s">
        <v>40</v>
      </c>
    </row>
    <row r="830" spans="1:10">
      <c r="A830" s="6">
        <v>1010836</v>
      </c>
      <c r="B830" s="6">
        <v>36001</v>
      </c>
      <c r="C830" s="6">
        <v>5</v>
      </c>
      <c r="D830" s="6">
        <v>0</v>
      </c>
      <c r="E830" s="6" t="s">
        <v>306</v>
      </c>
      <c r="F830" s="11" t="s">
        <v>74</v>
      </c>
      <c r="G830" s="11">
        <v>0</v>
      </c>
      <c r="H830" s="6">
        <v>0</v>
      </c>
      <c r="I830" s="11" t="str">
        <f t="shared" ref="I830:I835" si="72">I829</f>
        <v>145|20</v>
      </c>
      <c r="J830" s="6">
        <v>0</v>
      </c>
    </row>
    <row r="831" spans="1:10">
      <c r="A831" s="6">
        <v>1010837</v>
      </c>
      <c r="B831" s="6">
        <v>36001</v>
      </c>
      <c r="C831" s="6">
        <v>5</v>
      </c>
      <c r="D831" s="6">
        <v>1</v>
      </c>
      <c r="E831" s="6" t="s">
        <v>306</v>
      </c>
      <c r="F831" s="11" t="s">
        <v>78</v>
      </c>
      <c r="G831" s="11" t="s">
        <v>24</v>
      </c>
      <c r="H831" s="6">
        <v>0</v>
      </c>
      <c r="I831" s="11" t="str">
        <f t="shared" si="72"/>
        <v>145|20</v>
      </c>
      <c r="J831" s="6" t="s">
        <v>79</v>
      </c>
    </row>
    <row r="832" spans="1:10">
      <c r="A832" s="6">
        <v>1010838</v>
      </c>
      <c r="B832" s="6">
        <v>36001</v>
      </c>
      <c r="C832" s="6">
        <v>5</v>
      </c>
      <c r="D832" s="6">
        <v>2</v>
      </c>
      <c r="E832" s="6" t="s">
        <v>306</v>
      </c>
      <c r="F832" s="11" t="s">
        <v>80</v>
      </c>
      <c r="G832" s="11" t="s">
        <v>27</v>
      </c>
      <c r="H832" s="6">
        <v>0</v>
      </c>
      <c r="I832" s="11" t="str">
        <f t="shared" si="72"/>
        <v>145|20</v>
      </c>
      <c r="J832" s="6" t="s">
        <v>81</v>
      </c>
    </row>
    <row r="833" spans="1:10">
      <c r="A833" s="6">
        <v>1010839</v>
      </c>
      <c r="B833" s="6">
        <v>36001</v>
      </c>
      <c r="C833" s="6">
        <v>5</v>
      </c>
      <c r="D833" s="6">
        <v>3</v>
      </c>
      <c r="E833" s="6" t="s">
        <v>306</v>
      </c>
      <c r="F833" s="11" t="s">
        <v>82</v>
      </c>
      <c r="G833" s="11" t="s">
        <v>30</v>
      </c>
      <c r="H833" s="6">
        <v>0</v>
      </c>
      <c r="I833" s="11" t="str">
        <f t="shared" si="72"/>
        <v>145|20</v>
      </c>
      <c r="J833" s="6" t="s">
        <v>83</v>
      </c>
    </row>
    <row r="834" spans="1:10">
      <c r="A834" s="6">
        <v>1010840</v>
      </c>
      <c r="B834" s="6">
        <v>36001</v>
      </c>
      <c r="C834" s="6">
        <v>5</v>
      </c>
      <c r="D834" s="6">
        <v>4</v>
      </c>
      <c r="E834" s="6" t="s">
        <v>306</v>
      </c>
      <c r="F834" s="11" t="s">
        <v>84</v>
      </c>
      <c r="G834" s="11" t="s">
        <v>33</v>
      </c>
      <c r="H834" s="6">
        <v>0</v>
      </c>
      <c r="I834" s="11" t="str">
        <f t="shared" si="72"/>
        <v>145|20</v>
      </c>
      <c r="J834" s="6" t="s">
        <v>85</v>
      </c>
    </row>
    <row r="835" spans="1:10">
      <c r="A835" s="6">
        <v>1010841</v>
      </c>
      <c r="B835" s="6">
        <v>36001</v>
      </c>
      <c r="C835" s="6">
        <v>5</v>
      </c>
      <c r="D835" s="6">
        <v>5</v>
      </c>
      <c r="E835" s="6" t="s">
        <v>306</v>
      </c>
      <c r="F835" s="11" t="s">
        <v>86</v>
      </c>
      <c r="G835" s="11" t="s">
        <v>36</v>
      </c>
      <c r="H835" s="6">
        <v>0</v>
      </c>
      <c r="I835" s="11" t="str">
        <f t="shared" si="72"/>
        <v>145|20</v>
      </c>
      <c r="J835" s="6" t="s">
        <v>87</v>
      </c>
    </row>
    <row r="836" spans="1:10">
      <c r="A836" s="6">
        <v>1010842</v>
      </c>
      <c r="B836" s="6">
        <v>36001</v>
      </c>
      <c r="C836" s="6">
        <v>5</v>
      </c>
      <c r="D836" s="6">
        <v>6</v>
      </c>
      <c r="E836" s="6" t="s">
        <v>306</v>
      </c>
      <c r="F836" s="11" t="s">
        <v>86</v>
      </c>
      <c r="G836" s="11" t="s">
        <v>38</v>
      </c>
      <c r="H836" s="6">
        <v>130076</v>
      </c>
      <c r="I836" s="11" t="s">
        <v>307</v>
      </c>
      <c r="J836" s="6" t="s">
        <v>40</v>
      </c>
    </row>
    <row r="837" spans="1:10">
      <c r="A837" s="6">
        <v>1010843</v>
      </c>
      <c r="B837" s="6">
        <v>36001</v>
      </c>
      <c r="C837" s="6">
        <v>6</v>
      </c>
      <c r="D837" s="6">
        <v>0</v>
      </c>
      <c r="E837" s="6" t="s">
        <v>306</v>
      </c>
      <c r="F837" s="11" t="s">
        <v>86</v>
      </c>
      <c r="G837" s="11">
        <v>0</v>
      </c>
      <c r="H837" s="6">
        <v>0</v>
      </c>
      <c r="I837" s="11" t="str">
        <f t="shared" ref="I837:I842" si="73">I836</f>
        <v>145|25</v>
      </c>
      <c r="J837" s="6">
        <v>0</v>
      </c>
    </row>
    <row r="838" spans="1:10">
      <c r="A838" s="6">
        <v>1010844</v>
      </c>
      <c r="B838" s="6">
        <v>36001</v>
      </c>
      <c r="C838" s="6">
        <v>6</v>
      </c>
      <c r="D838" s="6">
        <v>1</v>
      </c>
      <c r="E838" s="6" t="s">
        <v>306</v>
      </c>
      <c r="F838" s="11" t="s">
        <v>89</v>
      </c>
      <c r="G838" s="11" t="s">
        <v>24</v>
      </c>
      <c r="H838" s="6">
        <v>0</v>
      </c>
      <c r="I838" s="11" t="str">
        <f t="shared" si="73"/>
        <v>145|25</v>
      </c>
      <c r="J838" s="6" t="s">
        <v>90</v>
      </c>
    </row>
    <row r="839" spans="1:10">
      <c r="A839" s="6">
        <v>1010845</v>
      </c>
      <c r="B839" s="6">
        <v>36001</v>
      </c>
      <c r="C839" s="6">
        <v>6</v>
      </c>
      <c r="D839" s="6">
        <v>2</v>
      </c>
      <c r="E839" s="6" t="s">
        <v>306</v>
      </c>
      <c r="F839" s="11" t="s">
        <v>91</v>
      </c>
      <c r="G839" s="11" t="s">
        <v>27</v>
      </c>
      <c r="H839" s="6">
        <v>0</v>
      </c>
      <c r="I839" s="11" t="str">
        <f t="shared" si="73"/>
        <v>145|25</v>
      </c>
      <c r="J839" s="6" t="s">
        <v>92</v>
      </c>
    </row>
    <row r="840" spans="1:10">
      <c r="A840" s="6">
        <v>1010846</v>
      </c>
      <c r="B840" s="6">
        <v>36001</v>
      </c>
      <c r="C840" s="6">
        <v>6</v>
      </c>
      <c r="D840" s="6">
        <v>3</v>
      </c>
      <c r="E840" s="6" t="s">
        <v>306</v>
      </c>
      <c r="F840" s="11" t="s">
        <v>93</v>
      </c>
      <c r="G840" s="11" t="s">
        <v>30</v>
      </c>
      <c r="H840" s="6">
        <v>0</v>
      </c>
      <c r="I840" s="11" t="str">
        <f t="shared" si="73"/>
        <v>145|25</v>
      </c>
      <c r="J840" s="6" t="s">
        <v>94</v>
      </c>
    </row>
    <row r="841" spans="1:10">
      <c r="A841" s="6">
        <v>1010847</v>
      </c>
      <c r="B841" s="6">
        <v>36001</v>
      </c>
      <c r="C841" s="6">
        <v>6</v>
      </c>
      <c r="D841" s="6">
        <v>4</v>
      </c>
      <c r="E841" s="6" t="s">
        <v>306</v>
      </c>
      <c r="F841" s="11" t="s">
        <v>95</v>
      </c>
      <c r="G841" s="11" t="s">
        <v>33</v>
      </c>
      <c r="H841" s="6">
        <v>0</v>
      </c>
      <c r="I841" s="11" t="str">
        <f t="shared" si="73"/>
        <v>145|25</v>
      </c>
      <c r="J841" s="6" t="s">
        <v>96</v>
      </c>
    </row>
    <row r="842" spans="1:10">
      <c r="A842" s="6">
        <v>1010848</v>
      </c>
      <c r="B842" s="6">
        <v>36001</v>
      </c>
      <c r="C842" s="6">
        <v>6</v>
      </c>
      <c r="D842" s="6">
        <v>5</v>
      </c>
      <c r="E842" s="6" t="s">
        <v>306</v>
      </c>
      <c r="F842" s="11" t="s">
        <v>97</v>
      </c>
      <c r="G842" s="11" t="s">
        <v>36</v>
      </c>
      <c r="H842" s="6">
        <v>0</v>
      </c>
      <c r="I842" s="11" t="str">
        <f t="shared" si="73"/>
        <v>145|25</v>
      </c>
      <c r="J842" s="6" t="s">
        <v>98</v>
      </c>
    </row>
    <row r="843" spans="1:10">
      <c r="A843" s="6">
        <v>1010849</v>
      </c>
      <c r="B843" s="6">
        <v>36001</v>
      </c>
      <c r="C843" s="6">
        <v>6</v>
      </c>
      <c r="D843" s="6">
        <v>6</v>
      </c>
      <c r="E843" s="6">
        <v>0</v>
      </c>
      <c r="F843" s="11" t="s">
        <v>97</v>
      </c>
      <c r="G843" s="11" t="s">
        <v>38</v>
      </c>
      <c r="H843" s="6">
        <v>130077</v>
      </c>
      <c r="I843" s="11" t="s">
        <v>308</v>
      </c>
      <c r="J843" s="6" t="s">
        <v>40</v>
      </c>
    </row>
    <row r="844" spans="1:10">
      <c r="A844" s="6">
        <v>1010850</v>
      </c>
      <c r="B844" s="6">
        <v>37001</v>
      </c>
      <c r="C844" s="6">
        <v>1</v>
      </c>
      <c r="D844" s="6">
        <v>0</v>
      </c>
      <c r="E844" s="6" t="s">
        <v>309</v>
      </c>
      <c r="F844" s="11" t="s">
        <v>22</v>
      </c>
      <c r="G844" s="11">
        <v>0</v>
      </c>
      <c r="H844" s="6">
        <v>0</v>
      </c>
      <c r="I844" s="11">
        <v>0</v>
      </c>
      <c r="J844" s="6">
        <v>0</v>
      </c>
    </row>
    <row r="845" spans="1:10">
      <c r="A845" s="6">
        <v>1010851</v>
      </c>
      <c r="B845" s="6">
        <v>37001</v>
      </c>
      <c r="C845" s="6">
        <v>1</v>
      </c>
      <c r="D845" s="6">
        <v>1</v>
      </c>
      <c r="E845" s="6" t="s">
        <v>309</v>
      </c>
      <c r="F845" s="11" t="s">
        <v>23</v>
      </c>
      <c r="G845" s="11" t="s">
        <v>24</v>
      </c>
      <c r="H845" s="6">
        <v>0</v>
      </c>
      <c r="I845" s="11">
        <v>0</v>
      </c>
      <c r="J845" s="6" t="s">
        <v>25</v>
      </c>
    </row>
    <row r="846" spans="1:10">
      <c r="A846" s="6">
        <v>1010852</v>
      </c>
      <c r="B846" s="6">
        <v>37001</v>
      </c>
      <c r="C846" s="6">
        <v>1</v>
      </c>
      <c r="D846" s="6">
        <v>2</v>
      </c>
      <c r="E846" s="6" t="s">
        <v>309</v>
      </c>
      <c r="F846" s="11" t="s">
        <v>26</v>
      </c>
      <c r="G846" s="11" t="s">
        <v>27</v>
      </c>
      <c r="H846" s="6">
        <v>0</v>
      </c>
      <c r="I846" s="11">
        <v>0</v>
      </c>
      <c r="J846" s="6" t="s">
        <v>28</v>
      </c>
    </row>
    <row r="847" spans="1:10">
      <c r="A847" s="6">
        <v>1010853</v>
      </c>
      <c r="B847" s="6">
        <v>37001</v>
      </c>
      <c r="C847" s="6">
        <v>1</v>
      </c>
      <c r="D847" s="6">
        <v>3</v>
      </c>
      <c r="E847" s="6" t="s">
        <v>309</v>
      </c>
      <c r="F847" s="11" t="s">
        <v>29</v>
      </c>
      <c r="G847" s="11" t="s">
        <v>30</v>
      </c>
      <c r="H847" s="6">
        <v>0</v>
      </c>
      <c r="I847" s="11">
        <v>0</v>
      </c>
      <c r="J847" s="6" t="s">
        <v>31</v>
      </c>
    </row>
    <row r="848" spans="1:10">
      <c r="A848" s="6">
        <v>1010854</v>
      </c>
      <c r="B848" s="6">
        <v>37001</v>
      </c>
      <c r="C848" s="6">
        <v>1</v>
      </c>
      <c r="D848" s="6">
        <v>4</v>
      </c>
      <c r="E848" s="6" t="s">
        <v>309</v>
      </c>
      <c r="F848" s="11" t="s">
        <v>32</v>
      </c>
      <c r="G848" s="11" t="s">
        <v>33</v>
      </c>
      <c r="H848" s="6">
        <v>0</v>
      </c>
      <c r="I848" s="11">
        <v>0</v>
      </c>
      <c r="J848" s="6" t="s">
        <v>34</v>
      </c>
    </row>
    <row r="849" spans="1:10">
      <c r="A849" s="6">
        <v>1010855</v>
      </c>
      <c r="B849" s="6">
        <v>37001</v>
      </c>
      <c r="C849" s="6">
        <v>1</v>
      </c>
      <c r="D849" s="6">
        <v>5</v>
      </c>
      <c r="E849" s="6" t="s">
        <v>309</v>
      </c>
      <c r="F849" s="11" t="s">
        <v>35</v>
      </c>
      <c r="G849" s="11" t="s">
        <v>36</v>
      </c>
      <c r="H849" s="6">
        <v>0</v>
      </c>
      <c r="I849" s="11">
        <v>0</v>
      </c>
      <c r="J849" s="6" t="s">
        <v>37</v>
      </c>
    </row>
    <row r="850" spans="1:10">
      <c r="A850" s="6">
        <v>1010856</v>
      </c>
      <c r="B850" s="6">
        <v>37001</v>
      </c>
      <c r="C850" s="6">
        <v>1</v>
      </c>
      <c r="D850" s="6">
        <v>6</v>
      </c>
      <c r="E850" s="6" t="s">
        <v>309</v>
      </c>
      <c r="F850" s="11" t="s">
        <v>35</v>
      </c>
      <c r="G850" s="11" t="s">
        <v>38</v>
      </c>
      <c r="H850" s="6">
        <v>130082</v>
      </c>
      <c r="I850" s="11" t="s">
        <v>310</v>
      </c>
      <c r="J850" s="6" t="s">
        <v>40</v>
      </c>
    </row>
    <row r="851" spans="1:10">
      <c r="A851" s="6">
        <v>1010857</v>
      </c>
      <c r="B851" s="6">
        <v>37001</v>
      </c>
      <c r="C851" s="6">
        <v>2</v>
      </c>
      <c r="D851" s="6">
        <v>0</v>
      </c>
      <c r="E851" s="6" t="s">
        <v>311</v>
      </c>
      <c r="F851" s="11" t="s">
        <v>35</v>
      </c>
      <c r="G851" s="11">
        <v>0</v>
      </c>
      <c r="H851" s="6">
        <v>0</v>
      </c>
      <c r="I851" s="11" t="str">
        <f t="shared" ref="I851:I856" si="74">I850</f>
        <v>172|8</v>
      </c>
      <c r="J851" s="6">
        <v>0</v>
      </c>
    </row>
    <row r="852" spans="1:10">
      <c r="A852" s="6">
        <v>1010858</v>
      </c>
      <c r="B852" s="6">
        <v>37001</v>
      </c>
      <c r="C852" s="6">
        <v>2</v>
      </c>
      <c r="D852" s="6">
        <v>1</v>
      </c>
      <c r="E852" s="6" t="s">
        <v>311</v>
      </c>
      <c r="F852" s="11" t="s">
        <v>42</v>
      </c>
      <c r="G852" s="11" t="s">
        <v>24</v>
      </c>
      <c r="H852" s="6">
        <v>0</v>
      </c>
      <c r="I852" s="11" t="str">
        <f t="shared" si="74"/>
        <v>172|8</v>
      </c>
      <c r="J852" s="6" t="s">
        <v>43</v>
      </c>
    </row>
    <row r="853" spans="1:10">
      <c r="A853" s="6">
        <v>1010859</v>
      </c>
      <c r="B853" s="6">
        <v>37001</v>
      </c>
      <c r="C853" s="6">
        <v>2</v>
      </c>
      <c r="D853" s="6">
        <v>2</v>
      </c>
      <c r="E853" s="6" t="s">
        <v>311</v>
      </c>
      <c r="F853" s="11" t="s">
        <v>44</v>
      </c>
      <c r="G853" s="11" t="s">
        <v>27</v>
      </c>
      <c r="H853" s="6">
        <v>0</v>
      </c>
      <c r="I853" s="11" t="str">
        <f t="shared" si="74"/>
        <v>172|8</v>
      </c>
      <c r="J853" s="6" t="s">
        <v>45</v>
      </c>
    </row>
    <row r="854" spans="1:10">
      <c r="A854" s="6">
        <v>1010860</v>
      </c>
      <c r="B854" s="6">
        <v>37001</v>
      </c>
      <c r="C854" s="6">
        <v>2</v>
      </c>
      <c r="D854" s="6">
        <v>3</v>
      </c>
      <c r="E854" s="6" t="s">
        <v>311</v>
      </c>
      <c r="F854" s="11" t="s">
        <v>46</v>
      </c>
      <c r="G854" s="11" t="s">
        <v>30</v>
      </c>
      <c r="H854" s="6">
        <v>0</v>
      </c>
      <c r="I854" s="11" t="str">
        <f t="shared" si="74"/>
        <v>172|8</v>
      </c>
      <c r="J854" s="6" t="s">
        <v>47</v>
      </c>
    </row>
    <row r="855" spans="1:10">
      <c r="A855" s="6">
        <v>1010861</v>
      </c>
      <c r="B855" s="6">
        <v>37001</v>
      </c>
      <c r="C855" s="6">
        <v>2</v>
      </c>
      <c r="D855" s="6">
        <v>4</v>
      </c>
      <c r="E855" s="6" t="s">
        <v>311</v>
      </c>
      <c r="F855" s="11" t="s">
        <v>48</v>
      </c>
      <c r="G855" s="11" t="s">
        <v>33</v>
      </c>
      <c r="H855" s="6">
        <v>0</v>
      </c>
      <c r="I855" s="11" t="str">
        <f t="shared" si="74"/>
        <v>172|8</v>
      </c>
      <c r="J855" s="6" t="s">
        <v>49</v>
      </c>
    </row>
    <row r="856" spans="1:10">
      <c r="A856" s="6">
        <v>1010862</v>
      </c>
      <c r="B856" s="6">
        <v>37001</v>
      </c>
      <c r="C856" s="6">
        <v>2</v>
      </c>
      <c r="D856" s="6">
        <v>5</v>
      </c>
      <c r="E856" s="6" t="s">
        <v>311</v>
      </c>
      <c r="F856" s="11" t="s">
        <v>50</v>
      </c>
      <c r="G856" s="11" t="s">
        <v>36</v>
      </c>
      <c r="H856" s="6">
        <v>0</v>
      </c>
      <c r="I856" s="11" t="str">
        <f t="shared" si="74"/>
        <v>172|8</v>
      </c>
      <c r="J856" s="6" t="s">
        <v>51</v>
      </c>
    </row>
    <row r="857" spans="1:10">
      <c r="A857" s="6">
        <v>1010863</v>
      </c>
      <c r="B857" s="6">
        <v>37001</v>
      </c>
      <c r="C857" s="6">
        <v>2</v>
      </c>
      <c r="D857" s="6">
        <v>6</v>
      </c>
      <c r="E857" s="6" t="s">
        <v>311</v>
      </c>
      <c r="F857" s="11" t="s">
        <v>50</v>
      </c>
      <c r="G857" s="11" t="s">
        <v>38</v>
      </c>
      <c r="H857" s="6">
        <v>130083</v>
      </c>
      <c r="I857" s="11" t="s">
        <v>312</v>
      </c>
      <c r="J857" s="6" t="s">
        <v>40</v>
      </c>
    </row>
    <row r="858" spans="1:10">
      <c r="A858" s="6">
        <v>1010864</v>
      </c>
      <c r="B858" s="6">
        <v>37001</v>
      </c>
      <c r="C858" s="6">
        <v>3</v>
      </c>
      <c r="D858" s="6">
        <v>0</v>
      </c>
      <c r="E858" s="6" t="s">
        <v>313</v>
      </c>
      <c r="F858" s="11" t="s">
        <v>50</v>
      </c>
      <c r="G858" s="11">
        <v>0</v>
      </c>
      <c r="H858" s="6">
        <v>0</v>
      </c>
      <c r="I858" s="11" t="str">
        <f t="shared" ref="I858:I863" si="75">I857</f>
        <v>172|12</v>
      </c>
      <c r="J858" s="6">
        <v>0</v>
      </c>
    </row>
    <row r="859" spans="1:10">
      <c r="A859" s="6">
        <v>1010865</v>
      </c>
      <c r="B859" s="6">
        <v>37001</v>
      </c>
      <c r="C859" s="6">
        <v>3</v>
      </c>
      <c r="D859" s="6">
        <v>1</v>
      </c>
      <c r="E859" s="6" t="s">
        <v>313</v>
      </c>
      <c r="F859" s="11" t="s">
        <v>54</v>
      </c>
      <c r="G859" s="11" t="s">
        <v>24</v>
      </c>
      <c r="H859" s="6">
        <v>0</v>
      </c>
      <c r="I859" s="11" t="str">
        <f t="shared" si="75"/>
        <v>172|12</v>
      </c>
      <c r="J859" s="6" t="s">
        <v>55</v>
      </c>
    </row>
    <row r="860" spans="1:10">
      <c r="A860" s="6">
        <v>1010866</v>
      </c>
      <c r="B860" s="6">
        <v>37001</v>
      </c>
      <c r="C860" s="6">
        <v>3</v>
      </c>
      <c r="D860" s="6">
        <v>2</v>
      </c>
      <c r="E860" s="6" t="s">
        <v>313</v>
      </c>
      <c r="F860" s="11" t="s">
        <v>56</v>
      </c>
      <c r="G860" s="11" t="s">
        <v>27</v>
      </c>
      <c r="H860" s="6">
        <v>0</v>
      </c>
      <c r="I860" s="11" t="str">
        <f t="shared" si="75"/>
        <v>172|12</v>
      </c>
      <c r="J860" s="6" t="s">
        <v>57</v>
      </c>
    </row>
    <row r="861" spans="1:10">
      <c r="A861" s="6">
        <v>1010867</v>
      </c>
      <c r="B861" s="6">
        <v>37001</v>
      </c>
      <c r="C861" s="6">
        <v>3</v>
      </c>
      <c r="D861" s="6">
        <v>3</v>
      </c>
      <c r="E861" s="6" t="s">
        <v>313</v>
      </c>
      <c r="F861" s="11" t="s">
        <v>58</v>
      </c>
      <c r="G861" s="11" t="s">
        <v>30</v>
      </c>
      <c r="H861" s="6">
        <v>0</v>
      </c>
      <c r="I861" s="11" t="str">
        <f t="shared" si="75"/>
        <v>172|12</v>
      </c>
      <c r="J861" s="6" t="s">
        <v>59</v>
      </c>
    </row>
    <row r="862" spans="1:10">
      <c r="A862" s="6">
        <v>1010868</v>
      </c>
      <c r="B862" s="6">
        <v>37001</v>
      </c>
      <c r="C862" s="6">
        <v>3</v>
      </c>
      <c r="D862" s="6">
        <v>4</v>
      </c>
      <c r="E862" s="6" t="s">
        <v>313</v>
      </c>
      <c r="F862" s="11" t="s">
        <v>60</v>
      </c>
      <c r="G862" s="11" t="s">
        <v>33</v>
      </c>
      <c r="H862" s="6">
        <v>0</v>
      </c>
      <c r="I862" s="11" t="str">
        <f t="shared" si="75"/>
        <v>172|12</v>
      </c>
      <c r="J862" s="6" t="s">
        <v>61</v>
      </c>
    </row>
    <row r="863" spans="1:10">
      <c r="A863" s="6">
        <v>1010869</v>
      </c>
      <c r="B863" s="6">
        <v>37001</v>
      </c>
      <c r="C863" s="6">
        <v>3</v>
      </c>
      <c r="D863" s="6">
        <v>5</v>
      </c>
      <c r="E863" s="6" t="s">
        <v>313</v>
      </c>
      <c r="F863" s="11" t="s">
        <v>62</v>
      </c>
      <c r="G863" s="11" t="s">
        <v>36</v>
      </c>
      <c r="H863" s="6">
        <v>0</v>
      </c>
      <c r="I863" s="11" t="str">
        <f t="shared" si="75"/>
        <v>172|12</v>
      </c>
      <c r="J863" s="6" t="s">
        <v>63</v>
      </c>
    </row>
    <row r="864" spans="1:10">
      <c r="A864" s="6">
        <v>1010870</v>
      </c>
      <c r="B864" s="6">
        <v>37001</v>
      </c>
      <c r="C864" s="6">
        <v>3</v>
      </c>
      <c r="D864" s="6">
        <v>6</v>
      </c>
      <c r="E864" s="6" t="s">
        <v>313</v>
      </c>
      <c r="F864" s="11" t="s">
        <v>62</v>
      </c>
      <c r="G864" s="11" t="s">
        <v>38</v>
      </c>
      <c r="H864" s="6">
        <v>130084</v>
      </c>
      <c r="I864" s="11" t="s">
        <v>314</v>
      </c>
      <c r="J864" s="6" t="s">
        <v>40</v>
      </c>
    </row>
    <row r="865" spans="1:10">
      <c r="A865" s="6">
        <v>1010871</v>
      </c>
      <c r="B865" s="6">
        <v>37001</v>
      </c>
      <c r="C865" s="6">
        <v>4</v>
      </c>
      <c r="D865" s="6">
        <v>0</v>
      </c>
      <c r="E865" s="6" t="s">
        <v>315</v>
      </c>
      <c r="F865" s="11" t="s">
        <v>62</v>
      </c>
      <c r="G865" s="11">
        <v>0</v>
      </c>
      <c r="H865" s="6">
        <v>0</v>
      </c>
      <c r="I865" s="11" t="str">
        <f t="shared" ref="I865:I870" si="76">I864</f>
        <v>172|16</v>
      </c>
      <c r="J865" s="6">
        <v>0</v>
      </c>
    </row>
    <row r="866" spans="1:10">
      <c r="A866" s="6">
        <v>1010872</v>
      </c>
      <c r="B866" s="6">
        <v>37001</v>
      </c>
      <c r="C866" s="6">
        <v>4</v>
      </c>
      <c r="D866" s="6">
        <v>1</v>
      </c>
      <c r="E866" s="6" t="s">
        <v>315</v>
      </c>
      <c r="F866" s="11" t="s">
        <v>66</v>
      </c>
      <c r="G866" s="11" t="s">
        <v>24</v>
      </c>
      <c r="H866" s="6">
        <v>0</v>
      </c>
      <c r="I866" s="11" t="str">
        <f t="shared" si="76"/>
        <v>172|16</v>
      </c>
      <c r="J866" s="6" t="s">
        <v>67</v>
      </c>
    </row>
    <row r="867" spans="1:10">
      <c r="A867" s="6">
        <v>1010873</v>
      </c>
      <c r="B867" s="6">
        <v>37001</v>
      </c>
      <c r="C867" s="6">
        <v>4</v>
      </c>
      <c r="D867" s="6">
        <v>2</v>
      </c>
      <c r="E867" s="6" t="s">
        <v>315</v>
      </c>
      <c r="F867" s="11" t="s">
        <v>68</v>
      </c>
      <c r="G867" s="11" t="s">
        <v>27</v>
      </c>
      <c r="H867" s="6">
        <v>0</v>
      </c>
      <c r="I867" s="11" t="str">
        <f t="shared" si="76"/>
        <v>172|16</v>
      </c>
      <c r="J867" s="6" t="s">
        <v>69</v>
      </c>
    </row>
    <row r="868" spans="1:10">
      <c r="A868" s="6">
        <v>1010874</v>
      </c>
      <c r="B868" s="6">
        <v>37001</v>
      </c>
      <c r="C868" s="6">
        <v>4</v>
      </c>
      <c r="D868" s="6">
        <v>3</v>
      </c>
      <c r="E868" s="6" t="s">
        <v>315</v>
      </c>
      <c r="F868" s="11" t="s">
        <v>70</v>
      </c>
      <c r="G868" s="11" t="s">
        <v>30</v>
      </c>
      <c r="H868" s="6">
        <v>0</v>
      </c>
      <c r="I868" s="11" t="str">
        <f t="shared" si="76"/>
        <v>172|16</v>
      </c>
      <c r="J868" s="6" t="s">
        <v>71</v>
      </c>
    </row>
    <row r="869" spans="1:10">
      <c r="A869" s="6">
        <v>1010875</v>
      </c>
      <c r="B869" s="6">
        <v>37001</v>
      </c>
      <c r="C869" s="6">
        <v>4</v>
      </c>
      <c r="D869" s="6">
        <v>4</v>
      </c>
      <c r="E869" s="6" t="s">
        <v>315</v>
      </c>
      <c r="F869" s="11" t="s">
        <v>72</v>
      </c>
      <c r="G869" s="11" t="s">
        <v>33</v>
      </c>
      <c r="H869" s="6">
        <v>0</v>
      </c>
      <c r="I869" s="11" t="str">
        <f t="shared" si="76"/>
        <v>172|16</v>
      </c>
      <c r="J869" s="6" t="s">
        <v>73</v>
      </c>
    </row>
    <row r="870" spans="1:10">
      <c r="A870" s="6">
        <v>1010876</v>
      </c>
      <c r="B870" s="6">
        <v>37001</v>
      </c>
      <c r="C870" s="6">
        <v>4</v>
      </c>
      <c r="D870" s="6">
        <v>5</v>
      </c>
      <c r="E870" s="6" t="s">
        <v>315</v>
      </c>
      <c r="F870" s="11" t="s">
        <v>74</v>
      </c>
      <c r="G870" s="11" t="s">
        <v>36</v>
      </c>
      <c r="H870" s="6">
        <v>0</v>
      </c>
      <c r="I870" s="11" t="str">
        <f t="shared" si="76"/>
        <v>172|16</v>
      </c>
      <c r="J870" s="6" t="s">
        <v>75</v>
      </c>
    </row>
    <row r="871" spans="1:10">
      <c r="A871" s="6">
        <v>1010877</v>
      </c>
      <c r="B871" s="6">
        <v>37001</v>
      </c>
      <c r="C871" s="6">
        <v>4</v>
      </c>
      <c r="D871" s="6">
        <v>6</v>
      </c>
      <c r="E871" s="6" t="s">
        <v>315</v>
      </c>
      <c r="F871" s="11" t="s">
        <v>74</v>
      </c>
      <c r="G871" s="11" t="s">
        <v>38</v>
      </c>
      <c r="H871" s="6">
        <v>130085</v>
      </c>
      <c r="I871" s="11" t="s">
        <v>316</v>
      </c>
      <c r="J871" s="6" t="s">
        <v>40</v>
      </c>
    </row>
    <row r="872" spans="1:10">
      <c r="A872" s="6">
        <v>1010878</v>
      </c>
      <c r="B872" s="6">
        <v>37001</v>
      </c>
      <c r="C872" s="6">
        <v>5</v>
      </c>
      <c r="D872" s="6">
        <v>0</v>
      </c>
      <c r="E872" s="6" t="s">
        <v>317</v>
      </c>
      <c r="F872" s="11" t="s">
        <v>74</v>
      </c>
      <c r="G872" s="11">
        <v>0</v>
      </c>
      <c r="H872" s="6">
        <v>0</v>
      </c>
      <c r="I872" s="11" t="str">
        <f t="shared" ref="I872:I877" si="77">I871</f>
        <v>172|20</v>
      </c>
      <c r="J872" s="6">
        <v>0</v>
      </c>
    </row>
    <row r="873" spans="1:10">
      <c r="A873" s="6">
        <v>1010879</v>
      </c>
      <c r="B873" s="6">
        <v>37001</v>
      </c>
      <c r="C873" s="6">
        <v>5</v>
      </c>
      <c r="D873" s="6">
        <v>1</v>
      </c>
      <c r="E873" s="6" t="s">
        <v>317</v>
      </c>
      <c r="F873" s="11" t="s">
        <v>78</v>
      </c>
      <c r="G873" s="11" t="s">
        <v>24</v>
      </c>
      <c r="H873" s="6">
        <v>0</v>
      </c>
      <c r="I873" s="11" t="str">
        <f t="shared" si="77"/>
        <v>172|20</v>
      </c>
      <c r="J873" s="6" t="s">
        <v>79</v>
      </c>
    </row>
    <row r="874" spans="1:10">
      <c r="A874" s="6">
        <v>1010880</v>
      </c>
      <c r="B874" s="6">
        <v>37001</v>
      </c>
      <c r="C874" s="6">
        <v>5</v>
      </c>
      <c r="D874" s="6">
        <v>2</v>
      </c>
      <c r="E874" s="6" t="s">
        <v>317</v>
      </c>
      <c r="F874" s="11" t="s">
        <v>80</v>
      </c>
      <c r="G874" s="11" t="s">
        <v>27</v>
      </c>
      <c r="H874" s="6">
        <v>0</v>
      </c>
      <c r="I874" s="11" t="str">
        <f t="shared" si="77"/>
        <v>172|20</v>
      </c>
      <c r="J874" s="6" t="s">
        <v>81</v>
      </c>
    </row>
    <row r="875" spans="1:10">
      <c r="A875" s="6">
        <v>1010881</v>
      </c>
      <c r="B875" s="6">
        <v>37001</v>
      </c>
      <c r="C875" s="6">
        <v>5</v>
      </c>
      <c r="D875" s="6">
        <v>3</v>
      </c>
      <c r="E875" s="6" t="s">
        <v>317</v>
      </c>
      <c r="F875" s="11" t="s">
        <v>82</v>
      </c>
      <c r="G875" s="11" t="s">
        <v>30</v>
      </c>
      <c r="H875" s="6">
        <v>0</v>
      </c>
      <c r="I875" s="11" t="str">
        <f t="shared" si="77"/>
        <v>172|20</v>
      </c>
      <c r="J875" s="6" t="s">
        <v>83</v>
      </c>
    </row>
    <row r="876" spans="1:10">
      <c r="A876" s="6">
        <v>1010882</v>
      </c>
      <c r="B876" s="6">
        <v>37001</v>
      </c>
      <c r="C876" s="6">
        <v>5</v>
      </c>
      <c r="D876" s="6">
        <v>4</v>
      </c>
      <c r="E876" s="6" t="s">
        <v>317</v>
      </c>
      <c r="F876" s="11" t="s">
        <v>84</v>
      </c>
      <c r="G876" s="11" t="s">
        <v>33</v>
      </c>
      <c r="H876" s="6">
        <v>0</v>
      </c>
      <c r="I876" s="11" t="str">
        <f t="shared" si="77"/>
        <v>172|20</v>
      </c>
      <c r="J876" s="6" t="s">
        <v>85</v>
      </c>
    </row>
    <row r="877" spans="1:10">
      <c r="A877" s="6">
        <v>1010883</v>
      </c>
      <c r="B877" s="6">
        <v>37001</v>
      </c>
      <c r="C877" s="6">
        <v>5</v>
      </c>
      <c r="D877" s="6">
        <v>5</v>
      </c>
      <c r="E877" s="6" t="s">
        <v>317</v>
      </c>
      <c r="F877" s="11" t="s">
        <v>86</v>
      </c>
      <c r="G877" s="11" t="s">
        <v>36</v>
      </c>
      <c r="H877" s="6">
        <v>0</v>
      </c>
      <c r="I877" s="11" t="str">
        <f t="shared" si="77"/>
        <v>172|20</v>
      </c>
      <c r="J877" s="6" t="s">
        <v>87</v>
      </c>
    </row>
    <row r="878" spans="1:10">
      <c r="A878" s="6">
        <v>1010884</v>
      </c>
      <c r="B878" s="6">
        <v>37001</v>
      </c>
      <c r="C878" s="6">
        <v>5</v>
      </c>
      <c r="D878" s="6">
        <v>6</v>
      </c>
      <c r="E878" s="6" t="s">
        <v>317</v>
      </c>
      <c r="F878" s="11" t="s">
        <v>86</v>
      </c>
      <c r="G878" s="11" t="s">
        <v>38</v>
      </c>
      <c r="H878" s="6">
        <v>130086</v>
      </c>
      <c r="I878" s="11" t="s">
        <v>318</v>
      </c>
      <c r="J878" s="6" t="s">
        <v>40</v>
      </c>
    </row>
    <row r="879" spans="1:10">
      <c r="A879" s="6">
        <v>1010885</v>
      </c>
      <c r="B879" s="6">
        <v>37001</v>
      </c>
      <c r="C879" s="6">
        <v>6</v>
      </c>
      <c r="D879" s="6">
        <v>0</v>
      </c>
      <c r="E879" s="6" t="s">
        <v>317</v>
      </c>
      <c r="F879" s="11" t="s">
        <v>86</v>
      </c>
      <c r="G879" s="11">
        <v>0</v>
      </c>
      <c r="H879" s="6">
        <v>0</v>
      </c>
      <c r="I879" s="11" t="str">
        <f t="shared" ref="I879:I884" si="78">I878</f>
        <v>172|25</v>
      </c>
      <c r="J879" s="6">
        <v>0</v>
      </c>
    </row>
    <row r="880" spans="1:10">
      <c r="A880" s="6">
        <v>1010886</v>
      </c>
      <c r="B880" s="6">
        <v>37001</v>
      </c>
      <c r="C880" s="6">
        <v>6</v>
      </c>
      <c r="D880" s="6">
        <v>1</v>
      </c>
      <c r="E880" s="6" t="s">
        <v>317</v>
      </c>
      <c r="F880" s="11" t="s">
        <v>89</v>
      </c>
      <c r="G880" s="11" t="s">
        <v>24</v>
      </c>
      <c r="H880" s="6">
        <v>0</v>
      </c>
      <c r="I880" s="11" t="str">
        <f t="shared" si="78"/>
        <v>172|25</v>
      </c>
      <c r="J880" s="6" t="s">
        <v>90</v>
      </c>
    </row>
    <row r="881" spans="1:10">
      <c r="A881" s="6">
        <v>1010887</v>
      </c>
      <c r="B881" s="6">
        <v>37001</v>
      </c>
      <c r="C881" s="6">
        <v>6</v>
      </c>
      <c r="D881" s="6">
        <v>2</v>
      </c>
      <c r="E881" s="6" t="s">
        <v>317</v>
      </c>
      <c r="F881" s="11" t="s">
        <v>91</v>
      </c>
      <c r="G881" s="11" t="s">
        <v>27</v>
      </c>
      <c r="H881" s="6">
        <v>0</v>
      </c>
      <c r="I881" s="11" t="str">
        <f t="shared" si="78"/>
        <v>172|25</v>
      </c>
      <c r="J881" s="6" t="s">
        <v>92</v>
      </c>
    </row>
    <row r="882" spans="1:10">
      <c r="A882" s="6">
        <v>1010888</v>
      </c>
      <c r="B882" s="6">
        <v>37001</v>
      </c>
      <c r="C882" s="6">
        <v>6</v>
      </c>
      <c r="D882" s="6">
        <v>3</v>
      </c>
      <c r="E882" s="6" t="s">
        <v>317</v>
      </c>
      <c r="F882" s="11" t="s">
        <v>93</v>
      </c>
      <c r="G882" s="11" t="s">
        <v>30</v>
      </c>
      <c r="H882" s="6">
        <v>0</v>
      </c>
      <c r="I882" s="11" t="str">
        <f t="shared" si="78"/>
        <v>172|25</v>
      </c>
      <c r="J882" s="6" t="s">
        <v>94</v>
      </c>
    </row>
    <row r="883" spans="1:10">
      <c r="A883" s="6">
        <v>1010889</v>
      </c>
      <c r="B883" s="6">
        <v>37001</v>
      </c>
      <c r="C883" s="6">
        <v>6</v>
      </c>
      <c r="D883" s="6">
        <v>4</v>
      </c>
      <c r="E883" s="6" t="s">
        <v>317</v>
      </c>
      <c r="F883" s="11" t="s">
        <v>95</v>
      </c>
      <c r="G883" s="11" t="s">
        <v>33</v>
      </c>
      <c r="H883" s="6">
        <v>0</v>
      </c>
      <c r="I883" s="11" t="str">
        <f t="shared" si="78"/>
        <v>172|25</v>
      </c>
      <c r="J883" s="6" t="s">
        <v>96</v>
      </c>
    </row>
    <row r="884" spans="1:10">
      <c r="A884" s="6">
        <v>1010890</v>
      </c>
      <c r="B884" s="6">
        <v>37001</v>
      </c>
      <c r="C884" s="6">
        <v>6</v>
      </c>
      <c r="D884" s="6">
        <v>5</v>
      </c>
      <c r="E884" s="6" t="s">
        <v>317</v>
      </c>
      <c r="F884" s="11" t="s">
        <v>97</v>
      </c>
      <c r="G884" s="11" t="s">
        <v>36</v>
      </c>
      <c r="H884" s="6">
        <v>0</v>
      </c>
      <c r="I884" s="11" t="str">
        <f t="shared" si="78"/>
        <v>172|25</v>
      </c>
      <c r="J884" s="6" t="s">
        <v>98</v>
      </c>
    </row>
    <row r="885" spans="1:10">
      <c r="A885" s="6">
        <v>1010891</v>
      </c>
      <c r="B885" s="6">
        <v>37001</v>
      </c>
      <c r="C885" s="6">
        <v>6</v>
      </c>
      <c r="D885" s="6">
        <v>6</v>
      </c>
      <c r="E885" s="6">
        <v>0</v>
      </c>
      <c r="F885" s="11" t="s">
        <v>97</v>
      </c>
      <c r="G885" s="11" t="s">
        <v>38</v>
      </c>
      <c r="H885" s="6">
        <v>130087</v>
      </c>
      <c r="I885" s="11" t="s">
        <v>319</v>
      </c>
      <c r="J885" s="6" t="s">
        <v>40</v>
      </c>
    </row>
    <row r="886" spans="1:10">
      <c r="A886" s="6">
        <v>1010892</v>
      </c>
      <c r="B886" s="6">
        <v>37002</v>
      </c>
      <c r="C886" s="6">
        <v>1</v>
      </c>
      <c r="D886" s="6">
        <v>0</v>
      </c>
      <c r="E886" s="6" t="s">
        <v>320</v>
      </c>
      <c r="F886" s="11" t="s">
        <v>22</v>
      </c>
      <c r="G886" s="11">
        <v>0</v>
      </c>
      <c r="H886" s="6">
        <v>0</v>
      </c>
      <c r="I886" s="11">
        <v>0</v>
      </c>
      <c r="J886" s="6">
        <v>0</v>
      </c>
    </row>
    <row r="887" spans="1:10">
      <c r="A887" s="6">
        <v>1010893</v>
      </c>
      <c r="B887" s="6">
        <v>37002</v>
      </c>
      <c r="C887" s="6">
        <v>1</v>
      </c>
      <c r="D887" s="6">
        <v>1</v>
      </c>
      <c r="E887" s="6" t="s">
        <v>320</v>
      </c>
      <c r="F887" s="11" t="s">
        <v>23</v>
      </c>
      <c r="G887" s="11" t="s">
        <v>24</v>
      </c>
      <c r="H887" s="6">
        <v>0</v>
      </c>
      <c r="I887" s="11">
        <v>0</v>
      </c>
      <c r="J887" s="6" t="s">
        <v>25</v>
      </c>
    </row>
    <row r="888" spans="1:10">
      <c r="A888" s="6">
        <v>1010894</v>
      </c>
      <c r="B888" s="6">
        <v>37002</v>
      </c>
      <c r="C888" s="6">
        <v>1</v>
      </c>
      <c r="D888" s="6">
        <v>2</v>
      </c>
      <c r="E888" s="6" t="s">
        <v>320</v>
      </c>
      <c r="F888" s="11" t="s">
        <v>26</v>
      </c>
      <c r="G888" s="11" t="s">
        <v>27</v>
      </c>
      <c r="H888" s="6">
        <v>0</v>
      </c>
      <c r="I888" s="11">
        <v>0</v>
      </c>
      <c r="J888" s="6" t="s">
        <v>28</v>
      </c>
    </row>
    <row r="889" spans="1:10">
      <c r="A889" s="6">
        <v>1010895</v>
      </c>
      <c r="B889" s="6">
        <v>37002</v>
      </c>
      <c r="C889" s="6">
        <v>1</v>
      </c>
      <c r="D889" s="6">
        <v>3</v>
      </c>
      <c r="E889" s="6" t="s">
        <v>320</v>
      </c>
      <c r="F889" s="11" t="s">
        <v>29</v>
      </c>
      <c r="G889" s="11" t="s">
        <v>30</v>
      </c>
      <c r="H889" s="6">
        <v>0</v>
      </c>
      <c r="I889" s="11">
        <v>0</v>
      </c>
      <c r="J889" s="6" t="s">
        <v>31</v>
      </c>
    </row>
    <row r="890" spans="1:10">
      <c r="A890" s="6">
        <v>1010896</v>
      </c>
      <c r="B890" s="6">
        <v>37002</v>
      </c>
      <c r="C890" s="6">
        <v>1</v>
      </c>
      <c r="D890" s="6">
        <v>4</v>
      </c>
      <c r="E890" s="6" t="s">
        <v>320</v>
      </c>
      <c r="F890" s="11" t="s">
        <v>32</v>
      </c>
      <c r="G890" s="11" t="s">
        <v>33</v>
      </c>
      <c r="H890" s="6">
        <v>0</v>
      </c>
      <c r="I890" s="11">
        <v>0</v>
      </c>
      <c r="J890" s="6" t="s">
        <v>34</v>
      </c>
    </row>
    <row r="891" spans="1:10">
      <c r="A891" s="6">
        <v>1010897</v>
      </c>
      <c r="B891" s="6">
        <v>37002</v>
      </c>
      <c r="C891" s="6">
        <v>1</v>
      </c>
      <c r="D891" s="6">
        <v>5</v>
      </c>
      <c r="E891" s="6" t="s">
        <v>320</v>
      </c>
      <c r="F891" s="11" t="s">
        <v>35</v>
      </c>
      <c r="G891" s="11" t="s">
        <v>36</v>
      </c>
      <c r="H891" s="6">
        <v>0</v>
      </c>
      <c r="I891" s="11">
        <v>0</v>
      </c>
      <c r="J891" s="6" t="s">
        <v>37</v>
      </c>
    </row>
    <row r="892" spans="1:10">
      <c r="A892" s="6">
        <v>1010898</v>
      </c>
      <c r="B892" s="6">
        <v>37002</v>
      </c>
      <c r="C892" s="6">
        <v>1</v>
      </c>
      <c r="D892" s="6">
        <v>6</v>
      </c>
      <c r="E892" s="6" t="s">
        <v>320</v>
      </c>
      <c r="F892" s="11" t="s">
        <v>35</v>
      </c>
      <c r="G892" s="11" t="s">
        <v>38</v>
      </c>
      <c r="H892" s="6">
        <v>130092</v>
      </c>
      <c r="I892" s="11" t="s">
        <v>321</v>
      </c>
      <c r="J892" s="6" t="s">
        <v>40</v>
      </c>
    </row>
    <row r="893" spans="1:10">
      <c r="A893" s="6">
        <v>1010899</v>
      </c>
      <c r="B893" s="6">
        <v>37002</v>
      </c>
      <c r="C893" s="6">
        <v>2</v>
      </c>
      <c r="D893" s="6">
        <v>0</v>
      </c>
      <c r="E893" s="6" t="s">
        <v>322</v>
      </c>
      <c r="F893" s="11" t="s">
        <v>35</v>
      </c>
      <c r="G893" s="11">
        <v>0</v>
      </c>
      <c r="H893" s="6">
        <v>0</v>
      </c>
      <c r="I893" s="11" t="str">
        <f t="shared" ref="I893:I898" si="79">I892</f>
        <v>173|8</v>
      </c>
      <c r="J893" s="6">
        <v>0</v>
      </c>
    </row>
    <row r="894" spans="1:10">
      <c r="A894" s="6">
        <v>1010900</v>
      </c>
      <c r="B894" s="6">
        <v>37002</v>
      </c>
      <c r="C894" s="6">
        <v>2</v>
      </c>
      <c r="D894" s="6">
        <v>1</v>
      </c>
      <c r="E894" s="6" t="s">
        <v>322</v>
      </c>
      <c r="F894" s="11" t="s">
        <v>42</v>
      </c>
      <c r="G894" s="11" t="s">
        <v>24</v>
      </c>
      <c r="H894" s="6">
        <v>0</v>
      </c>
      <c r="I894" s="11" t="str">
        <f t="shared" si="79"/>
        <v>173|8</v>
      </c>
      <c r="J894" s="6" t="s">
        <v>43</v>
      </c>
    </row>
    <row r="895" spans="1:10">
      <c r="A895" s="6">
        <v>1010901</v>
      </c>
      <c r="B895" s="6">
        <v>37002</v>
      </c>
      <c r="C895" s="6">
        <v>2</v>
      </c>
      <c r="D895" s="6">
        <v>2</v>
      </c>
      <c r="E895" s="6" t="s">
        <v>322</v>
      </c>
      <c r="F895" s="11" t="s">
        <v>44</v>
      </c>
      <c r="G895" s="11" t="s">
        <v>27</v>
      </c>
      <c r="H895" s="6">
        <v>0</v>
      </c>
      <c r="I895" s="11" t="str">
        <f t="shared" si="79"/>
        <v>173|8</v>
      </c>
      <c r="J895" s="6" t="s">
        <v>45</v>
      </c>
    </row>
    <row r="896" spans="1:10">
      <c r="A896" s="6">
        <v>1010902</v>
      </c>
      <c r="B896" s="6">
        <v>37002</v>
      </c>
      <c r="C896" s="6">
        <v>2</v>
      </c>
      <c r="D896" s="6">
        <v>3</v>
      </c>
      <c r="E896" s="6" t="s">
        <v>322</v>
      </c>
      <c r="F896" s="11" t="s">
        <v>46</v>
      </c>
      <c r="G896" s="11" t="s">
        <v>30</v>
      </c>
      <c r="H896" s="6">
        <v>0</v>
      </c>
      <c r="I896" s="11" t="str">
        <f t="shared" si="79"/>
        <v>173|8</v>
      </c>
      <c r="J896" s="6" t="s">
        <v>47</v>
      </c>
    </row>
    <row r="897" spans="1:10">
      <c r="A897" s="6">
        <v>1010903</v>
      </c>
      <c r="B897" s="6">
        <v>37002</v>
      </c>
      <c r="C897" s="6">
        <v>2</v>
      </c>
      <c r="D897" s="6">
        <v>4</v>
      </c>
      <c r="E897" s="6" t="s">
        <v>322</v>
      </c>
      <c r="F897" s="11" t="s">
        <v>48</v>
      </c>
      <c r="G897" s="11" t="s">
        <v>33</v>
      </c>
      <c r="H897" s="6">
        <v>0</v>
      </c>
      <c r="I897" s="11" t="str">
        <f t="shared" si="79"/>
        <v>173|8</v>
      </c>
      <c r="J897" s="6" t="s">
        <v>49</v>
      </c>
    </row>
    <row r="898" spans="1:10">
      <c r="A898" s="6">
        <v>1010904</v>
      </c>
      <c r="B898" s="6">
        <v>37002</v>
      </c>
      <c r="C898" s="6">
        <v>2</v>
      </c>
      <c r="D898" s="6">
        <v>5</v>
      </c>
      <c r="E898" s="6" t="s">
        <v>322</v>
      </c>
      <c r="F898" s="11" t="s">
        <v>50</v>
      </c>
      <c r="G898" s="11" t="s">
        <v>36</v>
      </c>
      <c r="H898" s="6">
        <v>0</v>
      </c>
      <c r="I898" s="11" t="str">
        <f t="shared" si="79"/>
        <v>173|8</v>
      </c>
      <c r="J898" s="6" t="s">
        <v>51</v>
      </c>
    </row>
    <row r="899" spans="1:10">
      <c r="A899" s="6">
        <v>1010905</v>
      </c>
      <c r="B899" s="6">
        <v>37002</v>
      </c>
      <c r="C899" s="6">
        <v>2</v>
      </c>
      <c r="D899" s="6">
        <v>6</v>
      </c>
      <c r="E899" s="6" t="s">
        <v>322</v>
      </c>
      <c r="F899" s="11" t="s">
        <v>50</v>
      </c>
      <c r="G899" s="11" t="s">
        <v>38</v>
      </c>
      <c r="H899" s="6">
        <v>130093</v>
      </c>
      <c r="I899" s="11" t="s">
        <v>323</v>
      </c>
      <c r="J899" s="6" t="s">
        <v>40</v>
      </c>
    </row>
    <row r="900" spans="1:10">
      <c r="A900" s="6">
        <v>1010906</v>
      </c>
      <c r="B900" s="6">
        <v>37002</v>
      </c>
      <c r="C900" s="6">
        <v>3</v>
      </c>
      <c r="D900" s="6">
        <v>0</v>
      </c>
      <c r="E900" s="6" t="s">
        <v>324</v>
      </c>
      <c r="F900" s="11" t="s">
        <v>50</v>
      </c>
      <c r="G900" s="11">
        <v>0</v>
      </c>
      <c r="H900" s="6">
        <v>0</v>
      </c>
      <c r="I900" s="11" t="str">
        <f t="shared" ref="I900:I905" si="80">I899</f>
        <v>173|12</v>
      </c>
      <c r="J900" s="6">
        <v>0</v>
      </c>
    </row>
    <row r="901" spans="1:10">
      <c r="A901" s="6">
        <v>1010907</v>
      </c>
      <c r="B901" s="6">
        <v>37002</v>
      </c>
      <c r="C901" s="6">
        <v>3</v>
      </c>
      <c r="D901" s="6">
        <v>1</v>
      </c>
      <c r="E901" s="6" t="s">
        <v>324</v>
      </c>
      <c r="F901" s="11" t="s">
        <v>54</v>
      </c>
      <c r="G901" s="11" t="s">
        <v>24</v>
      </c>
      <c r="H901" s="6">
        <v>0</v>
      </c>
      <c r="I901" s="11" t="str">
        <f t="shared" si="80"/>
        <v>173|12</v>
      </c>
      <c r="J901" s="6" t="s">
        <v>55</v>
      </c>
    </row>
    <row r="902" spans="1:10">
      <c r="A902" s="6">
        <v>1010908</v>
      </c>
      <c r="B902" s="6">
        <v>37002</v>
      </c>
      <c r="C902" s="6">
        <v>3</v>
      </c>
      <c r="D902" s="6">
        <v>2</v>
      </c>
      <c r="E902" s="6" t="s">
        <v>324</v>
      </c>
      <c r="F902" s="11" t="s">
        <v>56</v>
      </c>
      <c r="G902" s="11" t="s">
        <v>27</v>
      </c>
      <c r="H902" s="6">
        <v>0</v>
      </c>
      <c r="I902" s="11" t="str">
        <f t="shared" si="80"/>
        <v>173|12</v>
      </c>
      <c r="J902" s="6" t="s">
        <v>57</v>
      </c>
    </row>
    <row r="903" spans="1:10">
      <c r="A903" s="6">
        <v>1010909</v>
      </c>
      <c r="B903" s="6">
        <v>37002</v>
      </c>
      <c r="C903" s="6">
        <v>3</v>
      </c>
      <c r="D903" s="6">
        <v>3</v>
      </c>
      <c r="E903" s="6" t="s">
        <v>324</v>
      </c>
      <c r="F903" s="11" t="s">
        <v>58</v>
      </c>
      <c r="G903" s="11" t="s">
        <v>30</v>
      </c>
      <c r="H903" s="6">
        <v>0</v>
      </c>
      <c r="I903" s="11" t="str">
        <f t="shared" si="80"/>
        <v>173|12</v>
      </c>
      <c r="J903" s="6" t="s">
        <v>59</v>
      </c>
    </row>
    <row r="904" spans="1:10">
      <c r="A904" s="6">
        <v>1010910</v>
      </c>
      <c r="B904" s="6">
        <v>37002</v>
      </c>
      <c r="C904" s="6">
        <v>3</v>
      </c>
      <c r="D904" s="6">
        <v>4</v>
      </c>
      <c r="E904" s="6" t="s">
        <v>324</v>
      </c>
      <c r="F904" s="11" t="s">
        <v>60</v>
      </c>
      <c r="G904" s="11" t="s">
        <v>33</v>
      </c>
      <c r="H904" s="6">
        <v>0</v>
      </c>
      <c r="I904" s="11" t="str">
        <f t="shared" si="80"/>
        <v>173|12</v>
      </c>
      <c r="J904" s="6" t="s">
        <v>61</v>
      </c>
    </row>
    <row r="905" spans="1:10">
      <c r="A905" s="6">
        <v>1010911</v>
      </c>
      <c r="B905" s="6">
        <v>37002</v>
      </c>
      <c r="C905" s="6">
        <v>3</v>
      </c>
      <c r="D905" s="6">
        <v>5</v>
      </c>
      <c r="E905" s="6" t="s">
        <v>324</v>
      </c>
      <c r="F905" s="11" t="s">
        <v>62</v>
      </c>
      <c r="G905" s="11" t="s">
        <v>36</v>
      </c>
      <c r="H905" s="6">
        <v>0</v>
      </c>
      <c r="I905" s="11" t="str">
        <f t="shared" si="80"/>
        <v>173|12</v>
      </c>
      <c r="J905" s="6" t="s">
        <v>63</v>
      </c>
    </row>
    <row r="906" spans="1:10">
      <c r="A906" s="6">
        <v>1010912</v>
      </c>
      <c r="B906" s="6">
        <v>37002</v>
      </c>
      <c r="C906" s="6">
        <v>3</v>
      </c>
      <c r="D906" s="6">
        <v>6</v>
      </c>
      <c r="E906" s="6" t="s">
        <v>324</v>
      </c>
      <c r="F906" s="11" t="s">
        <v>62</v>
      </c>
      <c r="G906" s="11" t="s">
        <v>38</v>
      </c>
      <c r="H906" s="6">
        <v>130094</v>
      </c>
      <c r="I906" s="11" t="s">
        <v>325</v>
      </c>
      <c r="J906" s="6" t="s">
        <v>40</v>
      </c>
    </row>
    <row r="907" spans="1:10">
      <c r="A907" s="6">
        <v>1010913</v>
      </c>
      <c r="B907" s="6">
        <v>37002</v>
      </c>
      <c r="C907" s="6">
        <v>4</v>
      </c>
      <c r="D907" s="6">
        <v>0</v>
      </c>
      <c r="E907" s="6" t="s">
        <v>326</v>
      </c>
      <c r="F907" s="11" t="s">
        <v>62</v>
      </c>
      <c r="G907" s="11">
        <v>0</v>
      </c>
      <c r="H907" s="6">
        <v>0</v>
      </c>
      <c r="I907" s="11" t="str">
        <f t="shared" ref="I907:I912" si="81">I906</f>
        <v>173|16</v>
      </c>
      <c r="J907" s="6">
        <v>0</v>
      </c>
    </row>
    <row r="908" spans="1:10">
      <c r="A908" s="6">
        <v>1010914</v>
      </c>
      <c r="B908" s="6">
        <v>37002</v>
      </c>
      <c r="C908" s="6">
        <v>4</v>
      </c>
      <c r="D908" s="6">
        <v>1</v>
      </c>
      <c r="E908" s="6" t="s">
        <v>326</v>
      </c>
      <c r="F908" s="11" t="s">
        <v>66</v>
      </c>
      <c r="G908" s="11" t="s">
        <v>24</v>
      </c>
      <c r="H908" s="6">
        <v>0</v>
      </c>
      <c r="I908" s="11" t="str">
        <f t="shared" si="81"/>
        <v>173|16</v>
      </c>
      <c r="J908" s="6" t="s">
        <v>67</v>
      </c>
    </row>
    <row r="909" spans="1:10">
      <c r="A909" s="6">
        <v>1010915</v>
      </c>
      <c r="B909" s="6">
        <v>37002</v>
      </c>
      <c r="C909" s="6">
        <v>4</v>
      </c>
      <c r="D909" s="6">
        <v>2</v>
      </c>
      <c r="E909" s="6" t="s">
        <v>326</v>
      </c>
      <c r="F909" s="11" t="s">
        <v>68</v>
      </c>
      <c r="G909" s="11" t="s">
        <v>27</v>
      </c>
      <c r="H909" s="6">
        <v>0</v>
      </c>
      <c r="I909" s="11" t="str">
        <f t="shared" si="81"/>
        <v>173|16</v>
      </c>
      <c r="J909" s="6" t="s">
        <v>69</v>
      </c>
    </row>
    <row r="910" spans="1:10">
      <c r="A910" s="6">
        <v>1010916</v>
      </c>
      <c r="B910" s="6">
        <v>37002</v>
      </c>
      <c r="C910" s="6">
        <v>4</v>
      </c>
      <c r="D910" s="6">
        <v>3</v>
      </c>
      <c r="E910" s="6" t="s">
        <v>326</v>
      </c>
      <c r="F910" s="11" t="s">
        <v>70</v>
      </c>
      <c r="G910" s="11" t="s">
        <v>30</v>
      </c>
      <c r="H910" s="6">
        <v>0</v>
      </c>
      <c r="I910" s="11" t="str">
        <f t="shared" si="81"/>
        <v>173|16</v>
      </c>
      <c r="J910" s="6" t="s">
        <v>71</v>
      </c>
    </row>
    <row r="911" spans="1:10">
      <c r="A911" s="6">
        <v>1010917</v>
      </c>
      <c r="B911" s="6">
        <v>37002</v>
      </c>
      <c r="C911" s="6">
        <v>4</v>
      </c>
      <c r="D911" s="6">
        <v>4</v>
      </c>
      <c r="E911" s="6" t="s">
        <v>326</v>
      </c>
      <c r="F911" s="11" t="s">
        <v>72</v>
      </c>
      <c r="G911" s="11" t="s">
        <v>33</v>
      </c>
      <c r="H911" s="6">
        <v>0</v>
      </c>
      <c r="I911" s="11" t="str">
        <f t="shared" si="81"/>
        <v>173|16</v>
      </c>
      <c r="J911" s="6" t="s">
        <v>73</v>
      </c>
    </row>
    <row r="912" spans="1:10">
      <c r="A912" s="6">
        <v>1010918</v>
      </c>
      <c r="B912" s="6">
        <v>37002</v>
      </c>
      <c r="C912" s="6">
        <v>4</v>
      </c>
      <c r="D912" s="6">
        <v>5</v>
      </c>
      <c r="E912" s="6" t="s">
        <v>326</v>
      </c>
      <c r="F912" s="11" t="s">
        <v>74</v>
      </c>
      <c r="G912" s="11" t="s">
        <v>36</v>
      </c>
      <c r="H912" s="6">
        <v>0</v>
      </c>
      <c r="I912" s="11" t="str">
        <f t="shared" si="81"/>
        <v>173|16</v>
      </c>
      <c r="J912" s="6" t="s">
        <v>75</v>
      </c>
    </row>
    <row r="913" spans="1:10">
      <c r="A913" s="6">
        <v>1010919</v>
      </c>
      <c r="B913" s="6">
        <v>37002</v>
      </c>
      <c r="C913" s="6">
        <v>4</v>
      </c>
      <c r="D913" s="6">
        <v>6</v>
      </c>
      <c r="E913" s="6" t="s">
        <v>326</v>
      </c>
      <c r="F913" s="11" t="s">
        <v>74</v>
      </c>
      <c r="G913" s="11" t="s">
        <v>38</v>
      </c>
      <c r="H913" s="6">
        <v>130095</v>
      </c>
      <c r="I913" s="11" t="s">
        <v>327</v>
      </c>
      <c r="J913" s="6" t="s">
        <v>40</v>
      </c>
    </row>
    <row r="914" spans="1:10">
      <c r="A914" s="6">
        <v>1010920</v>
      </c>
      <c r="B914" s="6">
        <v>37002</v>
      </c>
      <c r="C914" s="6">
        <v>5</v>
      </c>
      <c r="D914" s="6">
        <v>0</v>
      </c>
      <c r="E914" s="6" t="s">
        <v>328</v>
      </c>
      <c r="F914" s="11" t="s">
        <v>74</v>
      </c>
      <c r="G914" s="11">
        <v>0</v>
      </c>
      <c r="H914" s="6">
        <v>0</v>
      </c>
      <c r="I914" s="11" t="str">
        <f t="shared" ref="I914:I919" si="82">I913</f>
        <v>173|20</v>
      </c>
      <c r="J914" s="6">
        <v>0</v>
      </c>
    </row>
    <row r="915" spans="1:10">
      <c r="A915" s="6">
        <v>1010921</v>
      </c>
      <c r="B915" s="6">
        <v>37002</v>
      </c>
      <c r="C915" s="6">
        <v>5</v>
      </c>
      <c r="D915" s="6">
        <v>1</v>
      </c>
      <c r="E915" s="6" t="s">
        <v>328</v>
      </c>
      <c r="F915" s="11" t="s">
        <v>78</v>
      </c>
      <c r="G915" s="11" t="s">
        <v>24</v>
      </c>
      <c r="H915" s="6">
        <v>0</v>
      </c>
      <c r="I915" s="11" t="str">
        <f t="shared" si="82"/>
        <v>173|20</v>
      </c>
      <c r="J915" s="6" t="s">
        <v>79</v>
      </c>
    </row>
    <row r="916" spans="1:10">
      <c r="A916" s="6">
        <v>1010922</v>
      </c>
      <c r="B916" s="6">
        <v>37002</v>
      </c>
      <c r="C916" s="6">
        <v>5</v>
      </c>
      <c r="D916" s="6">
        <v>2</v>
      </c>
      <c r="E916" s="6" t="s">
        <v>328</v>
      </c>
      <c r="F916" s="11" t="s">
        <v>80</v>
      </c>
      <c r="G916" s="11" t="s">
        <v>27</v>
      </c>
      <c r="H916" s="6">
        <v>0</v>
      </c>
      <c r="I916" s="11" t="str">
        <f t="shared" si="82"/>
        <v>173|20</v>
      </c>
      <c r="J916" s="6" t="s">
        <v>81</v>
      </c>
    </row>
    <row r="917" spans="1:10">
      <c r="A917" s="6">
        <v>1010923</v>
      </c>
      <c r="B917" s="6">
        <v>37002</v>
      </c>
      <c r="C917" s="6">
        <v>5</v>
      </c>
      <c r="D917" s="6">
        <v>3</v>
      </c>
      <c r="E917" s="6" t="s">
        <v>328</v>
      </c>
      <c r="F917" s="11" t="s">
        <v>82</v>
      </c>
      <c r="G917" s="11" t="s">
        <v>30</v>
      </c>
      <c r="H917" s="6">
        <v>0</v>
      </c>
      <c r="I917" s="11" t="str">
        <f t="shared" si="82"/>
        <v>173|20</v>
      </c>
      <c r="J917" s="6" t="s">
        <v>83</v>
      </c>
    </row>
    <row r="918" spans="1:10">
      <c r="A918" s="6">
        <v>1010924</v>
      </c>
      <c r="B918" s="6">
        <v>37002</v>
      </c>
      <c r="C918" s="6">
        <v>5</v>
      </c>
      <c r="D918" s="6">
        <v>4</v>
      </c>
      <c r="E918" s="6" t="s">
        <v>328</v>
      </c>
      <c r="F918" s="11" t="s">
        <v>84</v>
      </c>
      <c r="G918" s="11" t="s">
        <v>33</v>
      </c>
      <c r="H918" s="6">
        <v>0</v>
      </c>
      <c r="I918" s="11" t="str">
        <f t="shared" si="82"/>
        <v>173|20</v>
      </c>
      <c r="J918" s="6" t="s">
        <v>85</v>
      </c>
    </row>
    <row r="919" spans="1:10">
      <c r="A919" s="6">
        <v>1010925</v>
      </c>
      <c r="B919" s="6">
        <v>37002</v>
      </c>
      <c r="C919" s="6">
        <v>5</v>
      </c>
      <c r="D919" s="6">
        <v>5</v>
      </c>
      <c r="E919" s="6" t="s">
        <v>328</v>
      </c>
      <c r="F919" s="11" t="s">
        <v>86</v>
      </c>
      <c r="G919" s="11" t="s">
        <v>36</v>
      </c>
      <c r="H919" s="6">
        <v>0</v>
      </c>
      <c r="I919" s="11" t="str">
        <f t="shared" si="82"/>
        <v>173|20</v>
      </c>
      <c r="J919" s="6" t="s">
        <v>87</v>
      </c>
    </row>
    <row r="920" spans="1:10">
      <c r="A920" s="6">
        <v>1010926</v>
      </c>
      <c r="B920" s="6">
        <v>37002</v>
      </c>
      <c r="C920" s="6">
        <v>5</v>
      </c>
      <c r="D920" s="6">
        <v>6</v>
      </c>
      <c r="E920" s="6" t="s">
        <v>328</v>
      </c>
      <c r="F920" s="11" t="s">
        <v>86</v>
      </c>
      <c r="G920" s="11" t="s">
        <v>38</v>
      </c>
      <c r="H920" s="6">
        <v>130096</v>
      </c>
      <c r="I920" s="11" t="s">
        <v>329</v>
      </c>
      <c r="J920" s="6" t="s">
        <v>40</v>
      </c>
    </row>
    <row r="921" spans="1:10">
      <c r="A921" s="6">
        <v>1010927</v>
      </c>
      <c r="B921" s="6">
        <v>37002</v>
      </c>
      <c r="C921" s="6">
        <v>6</v>
      </c>
      <c r="D921" s="6">
        <v>0</v>
      </c>
      <c r="E921" s="6" t="s">
        <v>328</v>
      </c>
      <c r="F921" s="11" t="s">
        <v>86</v>
      </c>
      <c r="G921" s="11">
        <v>0</v>
      </c>
      <c r="H921" s="6">
        <v>0</v>
      </c>
      <c r="I921" s="11" t="str">
        <f t="shared" ref="I921:I926" si="83">I920</f>
        <v>173|25</v>
      </c>
      <c r="J921" s="6">
        <v>0</v>
      </c>
    </row>
    <row r="922" spans="1:10">
      <c r="A922" s="6">
        <v>1010928</v>
      </c>
      <c r="B922" s="6">
        <v>37002</v>
      </c>
      <c r="C922" s="6">
        <v>6</v>
      </c>
      <c r="D922" s="6">
        <v>1</v>
      </c>
      <c r="E922" s="6" t="s">
        <v>328</v>
      </c>
      <c r="F922" s="11" t="s">
        <v>89</v>
      </c>
      <c r="G922" s="11" t="s">
        <v>24</v>
      </c>
      <c r="H922" s="6">
        <v>0</v>
      </c>
      <c r="I922" s="11" t="str">
        <f t="shared" si="83"/>
        <v>173|25</v>
      </c>
      <c r="J922" s="6" t="s">
        <v>90</v>
      </c>
    </row>
    <row r="923" spans="1:10">
      <c r="A923" s="6">
        <v>1010929</v>
      </c>
      <c r="B923" s="6">
        <v>37002</v>
      </c>
      <c r="C923" s="6">
        <v>6</v>
      </c>
      <c r="D923" s="6">
        <v>2</v>
      </c>
      <c r="E923" s="6" t="s">
        <v>328</v>
      </c>
      <c r="F923" s="11" t="s">
        <v>91</v>
      </c>
      <c r="G923" s="11" t="s">
        <v>27</v>
      </c>
      <c r="H923" s="6">
        <v>0</v>
      </c>
      <c r="I923" s="11" t="str">
        <f t="shared" si="83"/>
        <v>173|25</v>
      </c>
      <c r="J923" s="6" t="s">
        <v>92</v>
      </c>
    </row>
    <row r="924" spans="1:10">
      <c r="A924" s="6">
        <v>1010930</v>
      </c>
      <c r="B924" s="6">
        <v>37002</v>
      </c>
      <c r="C924" s="6">
        <v>6</v>
      </c>
      <c r="D924" s="6">
        <v>3</v>
      </c>
      <c r="E924" s="6" t="s">
        <v>328</v>
      </c>
      <c r="F924" s="11" t="s">
        <v>93</v>
      </c>
      <c r="G924" s="11" t="s">
        <v>30</v>
      </c>
      <c r="H924" s="6">
        <v>0</v>
      </c>
      <c r="I924" s="11" t="str">
        <f t="shared" si="83"/>
        <v>173|25</v>
      </c>
      <c r="J924" s="6" t="s">
        <v>94</v>
      </c>
    </row>
    <row r="925" spans="1:10">
      <c r="A925" s="6">
        <v>1010931</v>
      </c>
      <c r="B925" s="6">
        <v>37002</v>
      </c>
      <c r="C925" s="6">
        <v>6</v>
      </c>
      <c r="D925" s="6">
        <v>4</v>
      </c>
      <c r="E925" s="6" t="s">
        <v>328</v>
      </c>
      <c r="F925" s="11" t="s">
        <v>95</v>
      </c>
      <c r="G925" s="11" t="s">
        <v>33</v>
      </c>
      <c r="H925" s="6">
        <v>0</v>
      </c>
      <c r="I925" s="11" t="str">
        <f t="shared" si="83"/>
        <v>173|25</v>
      </c>
      <c r="J925" s="6" t="s">
        <v>96</v>
      </c>
    </row>
    <row r="926" spans="1:10">
      <c r="A926" s="6">
        <v>1010932</v>
      </c>
      <c r="B926" s="6">
        <v>37002</v>
      </c>
      <c r="C926" s="6">
        <v>6</v>
      </c>
      <c r="D926" s="6">
        <v>5</v>
      </c>
      <c r="E926" s="6" t="s">
        <v>328</v>
      </c>
      <c r="F926" s="11" t="s">
        <v>97</v>
      </c>
      <c r="G926" s="11" t="s">
        <v>36</v>
      </c>
      <c r="H926" s="6">
        <v>0</v>
      </c>
      <c r="I926" s="11" t="str">
        <f t="shared" si="83"/>
        <v>173|25</v>
      </c>
      <c r="J926" s="6" t="s">
        <v>98</v>
      </c>
    </row>
    <row r="927" spans="1:10">
      <c r="A927" s="6">
        <v>1010933</v>
      </c>
      <c r="B927" s="6">
        <v>37002</v>
      </c>
      <c r="C927" s="6">
        <v>6</v>
      </c>
      <c r="D927" s="6">
        <v>6</v>
      </c>
      <c r="E927" s="6">
        <v>0</v>
      </c>
      <c r="F927" s="11" t="s">
        <v>97</v>
      </c>
      <c r="G927" s="11" t="s">
        <v>38</v>
      </c>
      <c r="H927" s="6">
        <v>130097</v>
      </c>
      <c r="I927" s="11" t="s">
        <v>330</v>
      </c>
      <c r="J927" s="6" t="s">
        <v>40</v>
      </c>
    </row>
    <row r="928" spans="1:10">
      <c r="A928" s="6">
        <v>1010934</v>
      </c>
      <c r="B928" s="6">
        <v>38001</v>
      </c>
      <c r="C928" s="6">
        <v>1</v>
      </c>
      <c r="D928" s="6">
        <v>0</v>
      </c>
      <c r="E928" s="6" t="s">
        <v>331</v>
      </c>
      <c r="F928" s="11" t="s">
        <v>22</v>
      </c>
      <c r="G928" s="11">
        <v>0</v>
      </c>
      <c r="H928" s="6">
        <v>0</v>
      </c>
      <c r="I928" s="11">
        <v>0</v>
      </c>
      <c r="J928" s="6">
        <v>0</v>
      </c>
    </row>
    <row r="929" spans="1:10">
      <c r="A929" s="6">
        <v>1010935</v>
      </c>
      <c r="B929" s="6">
        <v>38001</v>
      </c>
      <c r="C929" s="6">
        <v>1</v>
      </c>
      <c r="D929" s="6">
        <v>1</v>
      </c>
      <c r="E929" s="6" t="s">
        <v>331</v>
      </c>
      <c r="F929" s="11" t="s">
        <v>23</v>
      </c>
      <c r="G929" s="11" t="s">
        <v>24</v>
      </c>
      <c r="H929" s="6">
        <v>0</v>
      </c>
      <c r="I929" s="11">
        <v>0</v>
      </c>
      <c r="J929" s="6" t="s">
        <v>25</v>
      </c>
    </row>
    <row r="930" spans="1:10">
      <c r="A930" s="6">
        <v>1010936</v>
      </c>
      <c r="B930" s="6">
        <v>38001</v>
      </c>
      <c r="C930" s="6">
        <v>1</v>
      </c>
      <c r="D930" s="6">
        <v>2</v>
      </c>
      <c r="E930" s="6" t="s">
        <v>331</v>
      </c>
      <c r="F930" s="11" t="s">
        <v>26</v>
      </c>
      <c r="G930" s="11" t="s">
        <v>27</v>
      </c>
      <c r="H930" s="6">
        <v>0</v>
      </c>
      <c r="I930" s="11">
        <v>0</v>
      </c>
      <c r="J930" s="6" t="s">
        <v>28</v>
      </c>
    </row>
    <row r="931" spans="1:10">
      <c r="A931" s="6">
        <v>1010937</v>
      </c>
      <c r="B931" s="6">
        <v>38001</v>
      </c>
      <c r="C931" s="6">
        <v>1</v>
      </c>
      <c r="D931" s="6">
        <v>3</v>
      </c>
      <c r="E931" s="6" t="s">
        <v>331</v>
      </c>
      <c r="F931" s="11" t="s">
        <v>29</v>
      </c>
      <c r="G931" s="11" t="s">
        <v>30</v>
      </c>
      <c r="H931" s="6">
        <v>0</v>
      </c>
      <c r="I931" s="11">
        <v>0</v>
      </c>
      <c r="J931" s="6" t="s">
        <v>31</v>
      </c>
    </row>
    <row r="932" spans="1:10">
      <c r="A932" s="6">
        <v>1010938</v>
      </c>
      <c r="B932" s="6">
        <v>38001</v>
      </c>
      <c r="C932" s="6">
        <v>1</v>
      </c>
      <c r="D932" s="6">
        <v>4</v>
      </c>
      <c r="E932" s="6" t="s">
        <v>331</v>
      </c>
      <c r="F932" s="11" t="s">
        <v>32</v>
      </c>
      <c r="G932" s="11" t="s">
        <v>33</v>
      </c>
      <c r="H932" s="6">
        <v>0</v>
      </c>
      <c r="I932" s="11">
        <v>0</v>
      </c>
      <c r="J932" s="6" t="s">
        <v>34</v>
      </c>
    </row>
    <row r="933" spans="1:10">
      <c r="A933" s="6">
        <v>1010939</v>
      </c>
      <c r="B933" s="6">
        <v>38001</v>
      </c>
      <c r="C933" s="6">
        <v>1</v>
      </c>
      <c r="D933" s="6">
        <v>5</v>
      </c>
      <c r="E933" s="6" t="s">
        <v>331</v>
      </c>
      <c r="F933" s="11" t="s">
        <v>35</v>
      </c>
      <c r="G933" s="11" t="s">
        <v>36</v>
      </c>
      <c r="H933" s="6">
        <v>0</v>
      </c>
      <c r="I933" s="11">
        <v>0</v>
      </c>
      <c r="J933" s="6" t="s">
        <v>37</v>
      </c>
    </row>
    <row r="934" spans="1:10">
      <c r="A934" s="6">
        <v>1010940</v>
      </c>
      <c r="B934" s="6">
        <v>38001</v>
      </c>
      <c r="C934" s="6">
        <v>1</v>
      </c>
      <c r="D934" s="6">
        <v>6</v>
      </c>
      <c r="E934" s="6" t="s">
        <v>331</v>
      </c>
      <c r="F934" s="11" t="s">
        <v>35</v>
      </c>
      <c r="G934" s="11" t="s">
        <v>38</v>
      </c>
      <c r="H934" s="6">
        <v>130102</v>
      </c>
      <c r="I934" s="11" t="s">
        <v>332</v>
      </c>
      <c r="J934" s="6" t="s">
        <v>40</v>
      </c>
    </row>
    <row r="935" spans="1:10">
      <c r="A935" s="6">
        <v>1010941</v>
      </c>
      <c r="B935" s="6">
        <v>38001</v>
      </c>
      <c r="C935" s="6">
        <v>2</v>
      </c>
      <c r="D935" s="6">
        <v>0</v>
      </c>
      <c r="E935" s="6" t="s">
        <v>333</v>
      </c>
      <c r="F935" s="11" t="s">
        <v>35</v>
      </c>
      <c r="G935" s="11">
        <v>0</v>
      </c>
      <c r="H935" s="6">
        <v>0</v>
      </c>
      <c r="I935" s="11" t="str">
        <f t="shared" ref="I935:I940" si="84">I934</f>
        <v>165|8</v>
      </c>
      <c r="J935" s="6">
        <v>0</v>
      </c>
    </row>
    <row r="936" spans="1:10">
      <c r="A936" s="6">
        <v>1010942</v>
      </c>
      <c r="B936" s="6">
        <v>38001</v>
      </c>
      <c r="C936" s="6">
        <v>2</v>
      </c>
      <c r="D936" s="6">
        <v>1</v>
      </c>
      <c r="E936" s="6" t="s">
        <v>333</v>
      </c>
      <c r="F936" s="11" t="s">
        <v>42</v>
      </c>
      <c r="G936" s="11" t="s">
        <v>24</v>
      </c>
      <c r="H936" s="6">
        <v>0</v>
      </c>
      <c r="I936" s="11" t="str">
        <f t="shared" si="84"/>
        <v>165|8</v>
      </c>
      <c r="J936" s="6" t="s">
        <v>43</v>
      </c>
    </row>
    <row r="937" spans="1:10">
      <c r="A937" s="6">
        <v>1010943</v>
      </c>
      <c r="B937" s="6">
        <v>38001</v>
      </c>
      <c r="C937" s="6">
        <v>2</v>
      </c>
      <c r="D937" s="6">
        <v>2</v>
      </c>
      <c r="E937" s="6" t="s">
        <v>333</v>
      </c>
      <c r="F937" s="11" t="s">
        <v>44</v>
      </c>
      <c r="G937" s="11" t="s">
        <v>27</v>
      </c>
      <c r="H937" s="6">
        <v>0</v>
      </c>
      <c r="I937" s="11" t="str">
        <f t="shared" si="84"/>
        <v>165|8</v>
      </c>
      <c r="J937" s="6" t="s">
        <v>45</v>
      </c>
    </row>
    <row r="938" spans="1:10">
      <c r="A938" s="6">
        <v>1010944</v>
      </c>
      <c r="B938" s="6">
        <v>38001</v>
      </c>
      <c r="C938" s="6">
        <v>2</v>
      </c>
      <c r="D938" s="6">
        <v>3</v>
      </c>
      <c r="E938" s="6" t="s">
        <v>333</v>
      </c>
      <c r="F938" s="11" t="s">
        <v>46</v>
      </c>
      <c r="G938" s="11" t="s">
        <v>30</v>
      </c>
      <c r="H938" s="6">
        <v>0</v>
      </c>
      <c r="I938" s="11" t="str">
        <f t="shared" si="84"/>
        <v>165|8</v>
      </c>
      <c r="J938" s="6" t="s">
        <v>47</v>
      </c>
    </row>
    <row r="939" spans="1:10">
      <c r="A939" s="6">
        <v>1010945</v>
      </c>
      <c r="B939" s="6">
        <v>38001</v>
      </c>
      <c r="C939" s="6">
        <v>2</v>
      </c>
      <c r="D939" s="6">
        <v>4</v>
      </c>
      <c r="E939" s="6" t="s">
        <v>333</v>
      </c>
      <c r="F939" s="11" t="s">
        <v>48</v>
      </c>
      <c r="G939" s="11" t="s">
        <v>33</v>
      </c>
      <c r="H939" s="6">
        <v>0</v>
      </c>
      <c r="I939" s="11" t="str">
        <f t="shared" si="84"/>
        <v>165|8</v>
      </c>
      <c r="J939" s="6" t="s">
        <v>49</v>
      </c>
    </row>
    <row r="940" spans="1:10">
      <c r="A940" s="6">
        <v>1010946</v>
      </c>
      <c r="B940" s="6">
        <v>38001</v>
      </c>
      <c r="C940" s="6">
        <v>2</v>
      </c>
      <c r="D940" s="6">
        <v>5</v>
      </c>
      <c r="E940" s="6" t="s">
        <v>333</v>
      </c>
      <c r="F940" s="11" t="s">
        <v>50</v>
      </c>
      <c r="G940" s="11" t="s">
        <v>36</v>
      </c>
      <c r="H940" s="6">
        <v>0</v>
      </c>
      <c r="I940" s="11" t="str">
        <f t="shared" si="84"/>
        <v>165|8</v>
      </c>
      <c r="J940" s="6" t="s">
        <v>51</v>
      </c>
    </row>
    <row r="941" spans="1:10">
      <c r="A941" s="6">
        <v>1010947</v>
      </c>
      <c r="B941" s="6">
        <v>38001</v>
      </c>
      <c r="C941" s="6">
        <v>2</v>
      </c>
      <c r="D941" s="6">
        <v>6</v>
      </c>
      <c r="E941" s="6" t="s">
        <v>333</v>
      </c>
      <c r="F941" s="11" t="s">
        <v>50</v>
      </c>
      <c r="G941" s="11" t="s">
        <v>38</v>
      </c>
      <c r="H941" s="6">
        <v>130103</v>
      </c>
      <c r="I941" s="11" t="s">
        <v>334</v>
      </c>
      <c r="J941" s="6" t="s">
        <v>40</v>
      </c>
    </row>
    <row r="942" spans="1:10">
      <c r="A942" s="6">
        <v>1010948</v>
      </c>
      <c r="B942" s="6">
        <v>38001</v>
      </c>
      <c r="C942" s="6">
        <v>3</v>
      </c>
      <c r="D942" s="6">
        <v>0</v>
      </c>
      <c r="E942" s="6" t="s">
        <v>335</v>
      </c>
      <c r="F942" s="11" t="s">
        <v>50</v>
      </c>
      <c r="G942" s="11">
        <v>0</v>
      </c>
      <c r="H942" s="6">
        <v>0</v>
      </c>
      <c r="I942" s="11" t="str">
        <f t="shared" ref="I942:I947" si="85">I941</f>
        <v>165|12</v>
      </c>
      <c r="J942" s="6">
        <v>0</v>
      </c>
    </row>
    <row r="943" spans="1:10">
      <c r="A943" s="6">
        <v>1010949</v>
      </c>
      <c r="B943" s="6">
        <v>38001</v>
      </c>
      <c r="C943" s="6">
        <v>3</v>
      </c>
      <c r="D943" s="6">
        <v>1</v>
      </c>
      <c r="E943" s="6" t="s">
        <v>335</v>
      </c>
      <c r="F943" s="11" t="s">
        <v>54</v>
      </c>
      <c r="G943" s="11" t="s">
        <v>24</v>
      </c>
      <c r="H943" s="6">
        <v>0</v>
      </c>
      <c r="I943" s="11" t="str">
        <f t="shared" si="85"/>
        <v>165|12</v>
      </c>
      <c r="J943" s="6" t="s">
        <v>55</v>
      </c>
    </row>
    <row r="944" spans="1:10">
      <c r="A944" s="6">
        <v>1010950</v>
      </c>
      <c r="B944" s="6">
        <v>38001</v>
      </c>
      <c r="C944" s="6">
        <v>3</v>
      </c>
      <c r="D944" s="6">
        <v>2</v>
      </c>
      <c r="E944" s="6" t="s">
        <v>335</v>
      </c>
      <c r="F944" s="11" t="s">
        <v>56</v>
      </c>
      <c r="G944" s="11" t="s">
        <v>27</v>
      </c>
      <c r="H944" s="6">
        <v>0</v>
      </c>
      <c r="I944" s="11" t="str">
        <f t="shared" si="85"/>
        <v>165|12</v>
      </c>
      <c r="J944" s="6" t="s">
        <v>57</v>
      </c>
    </row>
    <row r="945" spans="1:10">
      <c r="A945" s="6">
        <v>1010951</v>
      </c>
      <c r="B945" s="6">
        <v>38001</v>
      </c>
      <c r="C945" s="6">
        <v>3</v>
      </c>
      <c r="D945" s="6">
        <v>3</v>
      </c>
      <c r="E945" s="6" t="s">
        <v>335</v>
      </c>
      <c r="F945" s="11" t="s">
        <v>58</v>
      </c>
      <c r="G945" s="11" t="s">
        <v>30</v>
      </c>
      <c r="H945" s="6">
        <v>0</v>
      </c>
      <c r="I945" s="11" t="str">
        <f t="shared" si="85"/>
        <v>165|12</v>
      </c>
      <c r="J945" s="6" t="s">
        <v>59</v>
      </c>
    </row>
    <row r="946" spans="1:10">
      <c r="A946" s="6">
        <v>1010952</v>
      </c>
      <c r="B946" s="6">
        <v>38001</v>
      </c>
      <c r="C946" s="6">
        <v>3</v>
      </c>
      <c r="D946" s="6">
        <v>4</v>
      </c>
      <c r="E946" s="6" t="s">
        <v>335</v>
      </c>
      <c r="F946" s="11" t="s">
        <v>60</v>
      </c>
      <c r="G946" s="11" t="s">
        <v>33</v>
      </c>
      <c r="H946" s="6">
        <v>0</v>
      </c>
      <c r="I946" s="11" t="str">
        <f t="shared" si="85"/>
        <v>165|12</v>
      </c>
      <c r="J946" s="6" t="s">
        <v>61</v>
      </c>
    </row>
    <row r="947" spans="1:10">
      <c r="A947" s="6">
        <v>1010953</v>
      </c>
      <c r="B947" s="6">
        <v>38001</v>
      </c>
      <c r="C947" s="6">
        <v>3</v>
      </c>
      <c r="D947" s="6">
        <v>5</v>
      </c>
      <c r="E947" s="6" t="s">
        <v>335</v>
      </c>
      <c r="F947" s="11" t="s">
        <v>62</v>
      </c>
      <c r="G947" s="11" t="s">
        <v>36</v>
      </c>
      <c r="H947" s="6">
        <v>0</v>
      </c>
      <c r="I947" s="11" t="str">
        <f t="shared" si="85"/>
        <v>165|12</v>
      </c>
      <c r="J947" s="6" t="s">
        <v>63</v>
      </c>
    </row>
    <row r="948" spans="1:10">
      <c r="A948" s="6">
        <v>1010954</v>
      </c>
      <c r="B948" s="6">
        <v>38001</v>
      </c>
      <c r="C948" s="6">
        <v>3</v>
      </c>
      <c r="D948" s="6">
        <v>6</v>
      </c>
      <c r="E948" s="6" t="s">
        <v>335</v>
      </c>
      <c r="F948" s="11" t="s">
        <v>62</v>
      </c>
      <c r="G948" s="11" t="s">
        <v>38</v>
      </c>
      <c r="H948" s="6">
        <v>130104</v>
      </c>
      <c r="I948" s="11" t="s">
        <v>336</v>
      </c>
      <c r="J948" s="6" t="s">
        <v>40</v>
      </c>
    </row>
    <row r="949" spans="1:10">
      <c r="A949" s="6">
        <v>1010955</v>
      </c>
      <c r="B949" s="6">
        <v>38001</v>
      </c>
      <c r="C949" s="6">
        <v>4</v>
      </c>
      <c r="D949" s="6">
        <v>0</v>
      </c>
      <c r="E949" s="6" t="s">
        <v>337</v>
      </c>
      <c r="F949" s="11" t="s">
        <v>62</v>
      </c>
      <c r="G949" s="11">
        <v>0</v>
      </c>
      <c r="H949" s="6">
        <v>0</v>
      </c>
      <c r="I949" s="11" t="str">
        <f t="shared" ref="I949:I954" si="86">I948</f>
        <v>165|16</v>
      </c>
      <c r="J949" s="6">
        <v>0</v>
      </c>
    </row>
    <row r="950" spans="1:10">
      <c r="A950" s="6">
        <v>1010956</v>
      </c>
      <c r="B950" s="6">
        <v>38001</v>
      </c>
      <c r="C950" s="6">
        <v>4</v>
      </c>
      <c r="D950" s="6">
        <v>1</v>
      </c>
      <c r="E950" s="6" t="s">
        <v>337</v>
      </c>
      <c r="F950" s="11" t="s">
        <v>66</v>
      </c>
      <c r="G950" s="11" t="s">
        <v>24</v>
      </c>
      <c r="H950" s="6">
        <v>0</v>
      </c>
      <c r="I950" s="11" t="str">
        <f t="shared" si="86"/>
        <v>165|16</v>
      </c>
      <c r="J950" s="6" t="s">
        <v>67</v>
      </c>
    </row>
    <row r="951" spans="1:10">
      <c r="A951" s="6">
        <v>1010957</v>
      </c>
      <c r="B951" s="6">
        <v>38001</v>
      </c>
      <c r="C951" s="6">
        <v>4</v>
      </c>
      <c r="D951" s="6">
        <v>2</v>
      </c>
      <c r="E951" s="6" t="s">
        <v>337</v>
      </c>
      <c r="F951" s="11" t="s">
        <v>68</v>
      </c>
      <c r="G951" s="11" t="s">
        <v>27</v>
      </c>
      <c r="H951" s="6">
        <v>0</v>
      </c>
      <c r="I951" s="11" t="str">
        <f t="shared" si="86"/>
        <v>165|16</v>
      </c>
      <c r="J951" s="6" t="s">
        <v>69</v>
      </c>
    </row>
    <row r="952" spans="1:10">
      <c r="A952" s="6">
        <v>1010958</v>
      </c>
      <c r="B952" s="6">
        <v>38001</v>
      </c>
      <c r="C952" s="6">
        <v>4</v>
      </c>
      <c r="D952" s="6">
        <v>3</v>
      </c>
      <c r="E952" s="6" t="s">
        <v>337</v>
      </c>
      <c r="F952" s="11" t="s">
        <v>70</v>
      </c>
      <c r="G952" s="11" t="s">
        <v>30</v>
      </c>
      <c r="H952" s="6">
        <v>0</v>
      </c>
      <c r="I952" s="11" t="str">
        <f t="shared" si="86"/>
        <v>165|16</v>
      </c>
      <c r="J952" s="6" t="s">
        <v>71</v>
      </c>
    </row>
    <row r="953" spans="1:10">
      <c r="A953" s="6">
        <v>1010959</v>
      </c>
      <c r="B953" s="6">
        <v>38001</v>
      </c>
      <c r="C953" s="6">
        <v>4</v>
      </c>
      <c r="D953" s="6">
        <v>4</v>
      </c>
      <c r="E953" s="6" t="s">
        <v>337</v>
      </c>
      <c r="F953" s="11" t="s">
        <v>72</v>
      </c>
      <c r="G953" s="11" t="s">
        <v>33</v>
      </c>
      <c r="H953" s="6">
        <v>0</v>
      </c>
      <c r="I953" s="11" t="str">
        <f t="shared" si="86"/>
        <v>165|16</v>
      </c>
      <c r="J953" s="6" t="s">
        <v>73</v>
      </c>
    </row>
    <row r="954" spans="1:10">
      <c r="A954" s="6">
        <v>1010960</v>
      </c>
      <c r="B954" s="6">
        <v>38001</v>
      </c>
      <c r="C954" s="6">
        <v>4</v>
      </c>
      <c r="D954" s="6">
        <v>5</v>
      </c>
      <c r="E954" s="6" t="s">
        <v>337</v>
      </c>
      <c r="F954" s="11" t="s">
        <v>74</v>
      </c>
      <c r="G954" s="11" t="s">
        <v>36</v>
      </c>
      <c r="H954" s="6">
        <v>0</v>
      </c>
      <c r="I954" s="11" t="str">
        <f t="shared" si="86"/>
        <v>165|16</v>
      </c>
      <c r="J954" s="6" t="s">
        <v>75</v>
      </c>
    </row>
    <row r="955" spans="1:10">
      <c r="A955" s="6">
        <v>1010961</v>
      </c>
      <c r="B955" s="6">
        <v>38001</v>
      </c>
      <c r="C955" s="6">
        <v>4</v>
      </c>
      <c r="D955" s="6">
        <v>6</v>
      </c>
      <c r="E955" s="6" t="s">
        <v>337</v>
      </c>
      <c r="F955" s="11" t="s">
        <v>74</v>
      </c>
      <c r="G955" s="11" t="s">
        <v>38</v>
      </c>
      <c r="H955" s="6">
        <v>130105</v>
      </c>
      <c r="I955" s="11" t="s">
        <v>338</v>
      </c>
      <c r="J955" s="6" t="s">
        <v>40</v>
      </c>
    </row>
    <row r="956" spans="1:10">
      <c r="A956" s="6">
        <v>1010962</v>
      </c>
      <c r="B956" s="6">
        <v>38001</v>
      </c>
      <c r="C956" s="6">
        <v>5</v>
      </c>
      <c r="D956" s="6">
        <v>0</v>
      </c>
      <c r="E956" s="6" t="s">
        <v>339</v>
      </c>
      <c r="F956" s="11" t="s">
        <v>74</v>
      </c>
      <c r="G956" s="11">
        <v>0</v>
      </c>
      <c r="H956" s="6">
        <v>0</v>
      </c>
      <c r="I956" s="11" t="str">
        <f t="shared" ref="I956:I961" si="87">I955</f>
        <v>165|20</v>
      </c>
      <c r="J956" s="6">
        <v>0</v>
      </c>
    </row>
    <row r="957" spans="1:10">
      <c r="A957" s="6">
        <v>1010963</v>
      </c>
      <c r="B957" s="6">
        <v>38001</v>
      </c>
      <c r="C957" s="6">
        <v>5</v>
      </c>
      <c r="D957" s="6">
        <v>1</v>
      </c>
      <c r="E957" s="6" t="s">
        <v>339</v>
      </c>
      <c r="F957" s="11" t="s">
        <v>78</v>
      </c>
      <c r="G957" s="11" t="s">
        <v>24</v>
      </c>
      <c r="H957" s="6">
        <v>0</v>
      </c>
      <c r="I957" s="11" t="str">
        <f t="shared" si="87"/>
        <v>165|20</v>
      </c>
      <c r="J957" s="6" t="s">
        <v>79</v>
      </c>
    </row>
    <row r="958" spans="1:10">
      <c r="A958" s="6">
        <v>1010964</v>
      </c>
      <c r="B958" s="6">
        <v>38001</v>
      </c>
      <c r="C958" s="6">
        <v>5</v>
      </c>
      <c r="D958" s="6">
        <v>2</v>
      </c>
      <c r="E958" s="6" t="s">
        <v>339</v>
      </c>
      <c r="F958" s="11" t="s">
        <v>80</v>
      </c>
      <c r="G958" s="11" t="s">
        <v>27</v>
      </c>
      <c r="H958" s="6">
        <v>0</v>
      </c>
      <c r="I958" s="11" t="str">
        <f t="shared" si="87"/>
        <v>165|20</v>
      </c>
      <c r="J958" s="6" t="s">
        <v>81</v>
      </c>
    </row>
    <row r="959" spans="1:10">
      <c r="A959" s="6">
        <v>1010965</v>
      </c>
      <c r="B959" s="6">
        <v>38001</v>
      </c>
      <c r="C959" s="6">
        <v>5</v>
      </c>
      <c r="D959" s="6">
        <v>3</v>
      </c>
      <c r="E959" s="6" t="s">
        <v>339</v>
      </c>
      <c r="F959" s="11" t="s">
        <v>82</v>
      </c>
      <c r="G959" s="11" t="s">
        <v>30</v>
      </c>
      <c r="H959" s="6">
        <v>0</v>
      </c>
      <c r="I959" s="11" t="str">
        <f t="shared" si="87"/>
        <v>165|20</v>
      </c>
      <c r="J959" s="6" t="s">
        <v>83</v>
      </c>
    </row>
    <row r="960" spans="1:10">
      <c r="A960" s="6">
        <v>1010966</v>
      </c>
      <c r="B960" s="6">
        <v>38001</v>
      </c>
      <c r="C960" s="6">
        <v>5</v>
      </c>
      <c r="D960" s="6">
        <v>4</v>
      </c>
      <c r="E960" s="6" t="s">
        <v>339</v>
      </c>
      <c r="F960" s="11" t="s">
        <v>84</v>
      </c>
      <c r="G960" s="11" t="s">
        <v>33</v>
      </c>
      <c r="H960" s="6">
        <v>0</v>
      </c>
      <c r="I960" s="11" t="str">
        <f t="shared" si="87"/>
        <v>165|20</v>
      </c>
      <c r="J960" s="6" t="s">
        <v>85</v>
      </c>
    </row>
    <row r="961" spans="1:10">
      <c r="A961" s="6">
        <v>1010967</v>
      </c>
      <c r="B961" s="6">
        <v>38001</v>
      </c>
      <c r="C961" s="6">
        <v>5</v>
      </c>
      <c r="D961" s="6">
        <v>5</v>
      </c>
      <c r="E961" s="6" t="s">
        <v>339</v>
      </c>
      <c r="F961" s="11" t="s">
        <v>86</v>
      </c>
      <c r="G961" s="11" t="s">
        <v>36</v>
      </c>
      <c r="H961" s="6">
        <v>0</v>
      </c>
      <c r="I961" s="11" t="str">
        <f t="shared" si="87"/>
        <v>165|20</v>
      </c>
      <c r="J961" s="6" t="s">
        <v>87</v>
      </c>
    </row>
    <row r="962" spans="1:10">
      <c r="A962" s="6">
        <v>1010968</v>
      </c>
      <c r="B962" s="6">
        <v>38001</v>
      </c>
      <c r="C962" s="6">
        <v>5</v>
      </c>
      <c r="D962" s="6">
        <v>6</v>
      </c>
      <c r="E962" s="6" t="s">
        <v>339</v>
      </c>
      <c r="F962" s="11" t="s">
        <v>86</v>
      </c>
      <c r="G962" s="11" t="s">
        <v>38</v>
      </c>
      <c r="H962" s="6">
        <v>130106</v>
      </c>
      <c r="I962" s="11" t="s">
        <v>340</v>
      </c>
      <c r="J962" s="6" t="s">
        <v>40</v>
      </c>
    </row>
    <row r="963" spans="1:10">
      <c r="A963" s="6">
        <v>1010969</v>
      </c>
      <c r="B963" s="6">
        <v>38001</v>
      </c>
      <c r="C963" s="6">
        <v>6</v>
      </c>
      <c r="D963" s="6">
        <v>0</v>
      </c>
      <c r="E963" s="6" t="s">
        <v>339</v>
      </c>
      <c r="F963" s="11" t="s">
        <v>86</v>
      </c>
      <c r="G963" s="11">
        <v>0</v>
      </c>
      <c r="H963" s="6">
        <v>0</v>
      </c>
      <c r="I963" s="11" t="str">
        <f t="shared" ref="I963:I968" si="88">I962</f>
        <v>165|25</v>
      </c>
      <c r="J963" s="6">
        <v>0</v>
      </c>
    </row>
    <row r="964" spans="1:10">
      <c r="A964" s="6">
        <v>1010970</v>
      </c>
      <c r="B964" s="6">
        <v>38001</v>
      </c>
      <c r="C964" s="6">
        <v>6</v>
      </c>
      <c r="D964" s="6">
        <v>1</v>
      </c>
      <c r="E964" s="6" t="s">
        <v>339</v>
      </c>
      <c r="F964" s="11" t="s">
        <v>89</v>
      </c>
      <c r="G964" s="11" t="s">
        <v>24</v>
      </c>
      <c r="H964" s="6">
        <v>0</v>
      </c>
      <c r="I964" s="11" t="str">
        <f t="shared" si="88"/>
        <v>165|25</v>
      </c>
      <c r="J964" s="6" t="s">
        <v>90</v>
      </c>
    </row>
    <row r="965" spans="1:10">
      <c r="A965" s="6">
        <v>1010971</v>
      </c>
      <c r="B965" s="6">
        <v>38001</v>
      </c>
      <c r="C965" s="6">
        <v>6</v>
      </c>
      <c r="D965" s="6">
        <v>2</v>
      </c>
      <c r="E965" s="6" t="s">
        <v>339</v>
      </c>
      <c r="F965" s="11" t="s">
        <v>91</v>
      </c>
      <c r="G965" s="11" t="s">
        <v>27</v>
      </c>
      <c r="H965" s="6">
        <v>0</v>
      </c>
      <c r="I965" s="11" t="str">
        <f t="shared" si="88"/>
        <v>165|25</v>
      </c>
      <c r="J965" s="6" t="s">
        <v>92</v>
      </c>
    </row>
    <row r="966" spans="1:10">
      <c r="A966" s="6">
        <v>1010972</v>
      </c>
      <c r="B966" s="6">
        <v>38001</v>
      </c>
      <c r="C966" s="6">
        <v>6</v>
      </c>
      <c r="D966" s="6">
        <v>3</v>
      </c>
      <c r="E966" s="6" t="s">
        <v>339</v>
      </c>
      <c r="F966" s="11" t="s">
        <v>93</v>
      </c>
      <c r="G966" s="11" t="s">
        <v>30</v>
      </c>
      <c r="H966" s="6">
        <v>0</v>
      </c>
      <c r="I966" s="11" t="str">
        <f t="shared" si="88"/>
        <v>165|25</v>
      </c>
      <c r="J966" s="6" t="s">
        <v>94</v>
      </c>
    </row>
    <row r="967" spans="1:10">
      <c r="A967" s="6">
        <v>1010973</v>
      </c>
      <c r="B967" s="6">
        <v>38001</v>
      </c>
      <c r="C967" s="6">
        <v>6</v>
      </c>
      <c r="D967" s="6">
        <v>4</v>
      </c>
      <c r="E967" s="6" t="s">
        <v>339</v>
      </c>
      <c r="F967" s="11" t="s">
        <v>95</v>
      </c>
      <c r="G967" s="11" t="s">
        <v>33</v>
      </c>
      <c r="H967" s="6">
        <v>0</v>
      </c>
      <c r="I967" s="11" t="str">
        <f t="shared" si="88"/>
        <v>165|25</v>
      </c>
      <c r="J967" s="6" t="s">
        <v>96</v>
      </c>
    </row>
    <row r="968" spans="1:10">
      <c r="A968" s="6">
        <v>1010974</v>
      </c>
      <c r="B968" s="6">
        <v>38001</v>
      </c>
      <c r="C968" s="6">
        <v>6</v>
      </c>
      <c r="D968" s="6">
        <v>5</v>
      </c>
      <c r="E968" s="6" t="s">
        <v>339</v>
      </c>
      <c r="F968" s="11" t="s">
        <v>97</v>
      </c>
      <c r="G968" s="11" t="s">
        <v>36</v>
      </c>
      <c r="H968" s="6">
        <v>0</v>
      </c>
      <c r="I968" s="11" t="str">
        <f t="shared" si="88"/>
        <v>165|25</v>
      </c>
      <c r="J968" s="6" t="s">
        <v>98</v>
      </c>
    </row>
    <row r="969" spans="1:10">
      <c r="A969" s="6">
        <v>1010975</v>
      </c>
      <c r="B969" s="6">
        <v>38001</v>
      </c>
      <c r="C969" s="6">
        <v>6</v>
      </c>
      <c r="D969" s="6">
        <v>6</v>
      </c>
      <c r="E969" s="6">
        <v>0</v>
      </c>
      <c r="F969" s="11" t="s">
        <v>97</v>
      </c>
      <c r="G969" s="11" t="s">
        <v>38</v>
      </c>
      <c r="H969" s="6">
        <v>130107</v>
      </c>
      <c r="I969" s="11" t="s">
        <v>341</v>
      </c>
      <c r="J969" s="6" t="s">
        <v>40</v>
      </c>
    </row>
    <row r="970" spans="1:10">
      <c r="A970" s="6">
        <v>1010976</v>
      </c>
      <c r="B970" s="6">
        <v>38002</v>
      </c>
      <c r="C970" s="6">
        <v>1</v>
      </c>
      <c r="D970" s="6">
        <v>0</v>
      </c>
      <c r="E970" s="6" t="s">
        <v>342</v>
      </c>
      <c r="F970" s="11" t="s">
        <v>22</v>
      </c>
      <c r="G970" s="11">
        <v>0</v>
      </c>
      <c r="H970" s="6">
        <v>0</v>
      </c>
      <c r="I970" s="11">
        <v>0</v>
      </c>
      <c r="J970" s="6">
        <v>0</v>
      </c>
    </row>
    <row r="971" spans="1:10">
      <c r="A971" s="6">
        <v>1010977</v>
      </c>
      <c r="B971" s="6">
        <v>38002</v>
      </c>
      <c r="C971" s="6">
        <v>1</v>
      </c>
      <c r="D971" s="6">
        <v>1</v>
      </c>
      <c r="E971" s="6" t="s">
        <v>342</v>
      </c>
      <c r="F971" s="11" t="s">
        <v>23</v>
      </c>
      <c r="G971" s="11" t="s">
        <v>24</v>
      </c>
      <c r="H971" s="6">
        <v>0</v>
      </c>
      <c r="I971" s="11">
        <v>0</v>
      </c>
      <c r="J971" s="6" t="s">
        <v>25</v>
      </c>
    </row>
    <row r="972" spans="1:10">
      <c r="A972" s="6">
        <v>1010978</v>
      </c>
      <c r="B972" s="6">
        <v>38002</v>
      </c>
      <c r="C972" s="6">
        <v>1</v>
      </c>
      <c r="D972" s="6">
        <v>2</v>
      </c>
      <c r="E972" s="6" t="s">
        <v>342</v>
      </c>
      <c r="F972" s="11" t="s">
        <v>26</v>
      </c>
      <c r="G972" s="11" t="s">
        <v>27</v>
      </c>
      <c r="H972" s="6">
        <v>0</v>
      </c>
      <c r="I972" s="11">
        <v>0</v>
      </c>
      <c r="J972" s="6" t="s">
        <v>28</v>
      </c>
    </row>
    <row r="973" spans="1:10">
      <c r="A973" s="6">
        <v>1010979</v>
      </c>
      <c r="B973" s="6">
        <v>38002</v>
      </c>
      <c r="C973" s="6">
        <v>1</v>
      </c>
      <c r="D973" s="6">
        <v>3</v>
      </c>
      <c r="E973" s="6" t="s">
        <v>342</v>
      </c>
      <c r="F973" s="11" t="s">
        <v>29</v>
      </c>
      <c r="G973" s="11" t="s">
        <v>30</v>
      </c>
      <c r="H973" s="6">
        <v>0</v>
      </c>
      <c r="I973" s="11">
        <v>0</v>
      </c>
      <c r="J973" s="6" t="s">
        <v>31</v>
      </c>
    </row>
    <row r="974" spans="1:10">
      <c r="A974" s="6">
        <v>1010980</v>
      </c>
      <c r="B974" s="6">
        <v>38002</v>
      </c>
      <c r="C974" s="6">
        <v>1</v>
      </c>
      <c r="D974" s="6">
        <v>4</v>
      </c>
      <c r="E974" s="6" t="s">
        <v>342</v>
      </c>
      <c r="F974" s="11" t="s">
        <v>32</v>
      </c>
      <c r="G974" s="11" t="s">
        <v>33</v>
      </c>
      <c r="H974" s="6">
        <v>0</v>
      </c>
      <c r="I974" s="11">
        <v>0</v>
      </c>
      <c r="J974" s="6" t="s">
        <v>34</v>
      </c>
    </row>
    <row r="975" spans="1:10">
      <c r="A975" s="6">
        <v>1010981</v>
      </c>
      <c r="B975" s="6">
        <v>38002</v>
      </c>
      <c r="C975" s="6">
        <v>1</v>
      </c>
      <c r="D975" s="6">
        <v>5</v>
      </c>
      <c r="E975" s="6" t="s">
        <v>342</v>
      </c>
      <c r="F975" s="11" t="s">
        <v>35</v>
      </c>
      <c r="G975" s="11" t="s">
        <v>36</v>
      </c>
      <c r="H975" s="6">
        <v>0</v>
      </c>
      <c r="I975" s="11">
        <v>0</v>
      </c>
      <c r="J975" s="6" t="s">
        <v>37</v>
      </c>
    </row>
    <row r="976" spans="1:10">
      <c r="A976" s="6">
        <v>1010982</v>
      </c>
      <c r="B976" s="6">
        <v>38002</v>
      </c>
      <c r="C976" s="6">
        <v>1</v>
      </c>
      <c r="D976" s="6">
        <v>6</v>
      </c>
      <c r="E976" s="6" t="s">
        <v>342</v>
      </c>
      <c r="F976" s="11" t="s">
        <v>35</v>
      </c>
      <c r="G976" s="11" t="s">
        <v>38</v>
      </c>
      <c r="H976" s="6">
        <v>130112</v>
      </c>
      <c r="I976" s="11" t="s">
        <v>343</v>
      </c>
      <c r="J976" s="6" t="s">
        <v>40</v>
      </c>
    </row>
    <row r="977" spans="1:10">
      <c r="A977" s="6">
        <v>1010983</v>
      </c>
      <c r="B977" s="6">
        <v>38002</v>
      </c>
      <c r="C977" s="6">
        <v>2</v>
      </c>
      <c r="D977" s="6">
        <v>0</v>
      </c>
      <c r="E977" s="6" t="s">
        <v>344</v>
      </c>
      <c r="F977" s="11" t="s">
        <v>35</v>
      </c>
      <c r="G977" s="11">
        <v>0</v>
      </c>
      <c r="H977" s="6">
        <v>0</v>
      </c>
      <c r="I977" s="11" t="str">
        <f t="shared" ref="I977:I982" si="89">I976</f>
        <v>162|8</v>
      </c>
      <c r="J977" s="6">
        <v>0</v>
      </c>
    </row>
    <row r="978" spans="1:10">
      <c r="A978" s="6">
        <v>1010984</v>
      </c>
      <c r="B978" s="6">
        <v>38002</v>
      </c>
      <c r="C978" s="6">
        <v>2</v>
      </c>
      <c r="D978" s="6">
        <v>1</v>
      </c>
      <c r="E978" s="6" t="s">
        <v>344</v>
      </c>
      <c r="F978" s="11" t="s">
        <v>42</v>
      </c>
      <c r="G978" s="11" t="s">
        <v>24</v>
      </c>
      <c r="H978" s="6">
        <v>0</v>
      </c>
      <c r="I978" s="11" t="str">
        <f t="shared" si="89"/>
        <v>162|8</v>
      </c>
      <c r="J978" s="6" t="s">
        <v>43</v>
      </c>
    </row>
    <row r="979" spans="1:10">
      <c r="A979" s="6">
        <v>1010985</v>
      </c>
      <c r="B979" s="6">
        <v>38002</v>
      </c>
      <c r="C979" s="6">
        <v>2</v>
      </c>
      <c r="D979" s="6">
        <v>2</v>
      </c>
      <c r="E979" s="6" t="s">
        <v>344</v>
      </c>
      <c r="F979" s="11" t="s">
        <v>44</v>
      </c>
      <c r="G979" s="11" t="s">
        <v>27</v>
      </c>
      <c r="H979" s="6">
        <v>0</v>
      </c>
      <c r="I979" s="11" t="str">
        <f t="shared" si="89"/>
        <v>162|8</v>
      </c>
      <c r="J979" s="6" t="s">
        <v>45</v>
      </c>
    </row>
    <row r="980" spans="1:10">
      <c r="A980" s="6">
        <v>1010986</v>
      </c>
      <c r="B980" s="6">
        <v>38002</v>
      </c>
      <c r="C980" s="6">
        <v>2</v>
      </c>
      <c r="D980" s="6">
        <v>3</v>
      </c>
      <c r="E980" s="6" t="s">
        <v>344</v>
      </c>
      <c r="F980" s="11" t="s">
        <v>46</v>
      </c>
      <c r="G980" s="11" t="s">
        <v>30</v>
      </c>
      <c r="H980" s="6">
        <v>0</v>
      </c>
      <c r="I980" s="11" t="str">
        <f t="shared" si="89"/>
        <v>162|8</v>
      </c>
      <c r="J980" s="6" t="s">
        <v>47</v>
      </c>
    </row>
    <row r="981" spans="1:10">
      <c r="A981" s="6">
        <v>1010987</v>
      </c>
      <c r="B981" s="6">
        <v>38002</v>
      </c>
      <c r="C981" s="6">
        <v>2</v>
      </c>
      <c r="D981" s="6">
        <v>4</v>
      </c>
      <c r="E981" s="6" t="s">
        <v>344</v>
      </c>
      <c r="F981" s="11" t="s">
        <v>48</v>
      </c>
      <c r="G981" s="11" t="s">
        <v>33</v>
      </c>
      <c r="H981" s="6">
        <v>0</v>
      </c>
      <c r="I981" s="11" t="str">
        <f t="shared" si="89"/>
        <v>162|8</v>
      </c>
      <c r="J981" s="6" t="s">
        <v>49</v>
      </c>
    </row>
    <row r="982" spans="1:10">
      <c r="A982" s="6">
        <v>1010988</v>
      </c>
      <c r="B982" s="6">
        <v>38002</v>
      </c>
      <c r="C982" s="6">
        <v>2</v>
      </c>
      <c r="D982" s="6">
        <v>5</v>
      </c>
      <c r="E982" s="6" t="s">
        <v>344</v>
      </c>
      <c r="F982" s="11" t="s">
        <v>50</v>
      </c>
      <c r="G982" s="11" t="s">
        <v>36</v>
      </c>
      <c r="H982" s="6">
        <v>0</v>
      </c>
      <c r="I982" s="11" t="str">
        <f t="shared" si="89"/>
        <v>162|8</v>
      </c>
      <c r="J982" s="6" t="s">
        <v>51</v>
      </c>
    </row>
    <row r="983" spans="1:10">
      <c r="A983" s="6">
        <v>1010989</v>
      </c>
      <c r="B983" s="6">
        <v>38002</v>
      </c>
      <c r="C983" s="6">
        <v>2</v>
      </c>
      <c r="D983" s="6">
        <v>6</v>
      </c>
      <c r="E983" s="6" t="s">
        <v>344</v>
      </c>
      <c r="F983" s="11" t="s">
        <v>50</v>
      </c>
      <c r="G983" s="11" t="s">
        <v>38</v>
      </c>
      <c r="H983" s="6">
        <v>130113</v>
      </c>
      <c r="I983" s="11" t="s">
        <v>345</v>
      </c>
      <c r="J983" s="6" t="s">
        <v>40</v>
      </c>
    </row>
    <row r="984" spans="1:10">
      <c r="A984" s="6">
        <v>1010990</v>
      </c>
      <c r="B984" s="6">
        <v>38002</v>
      </c>
      <c r="C984" s="6">
        <v>3</v>
      </c>
      <c r="D984" s="6">
        <v>0</v>
      </c>
      <c r="E984" s="6" t="s">
        <v>346</v>
      </c>
      <c r="F984" s="11" t="s">
        <v>50</v>
      </c>
      <c r="G984" s="11">
        <v>0</v>
      </c>
      <c r="H984" s="6">
        <v>0</v>
      </c>
      <c r="I984" s="11" t="str">
        <f t="shared" ref="I984:I989" si="90">I983</f>
        <v>162|12</v>
      </c>
      <c r="J984" s="6">
        <v>0</v>
      </c>
    </row>
    <row r="985" spans="1:10">
      <c r="A985" s="6">
        <v>1010991</v>
      </c>
      <c r="B985" s="6">
        <v>38002</v>
      </c>
      <c r="C985" s="6">
        <v>3</v>
      </c>
      <c r="D985" s="6">
        <v>1</v>
      </c>
      <c r="E985" s="6" t="s">
        <v>346</v>
      </c>
      <c r="F985" s="11" t="s">
        <v>54</v>
      </c>
      <c r="G985" s="11" t="s">
        <v>24</v>
      </c>
      <c r="H985" s="6">
        <v>0</v>
      </c>
      <c r="I985" s="11" t="str">
        <f t="shared" si="90"/>
        <v>162|12</v>
      </c>
      <c r="J985" s="6" t="s">
        <v>55</v>
      </c>
    </row>
    <row r="986" spans="1:10">
      <c r="A986" s="6">
        <v>1010992</v>
      </c>
      <c r="B986" s="6">
        <v>38002</v>
      </c>
      <c r="C986" s="6">
        <v>3</v>
      </c>
      <c r="D986" s="6">
        <v>2</v>
      </c>
      <c r="E986" s="6" t="s">
        <v>346</v>
      </c>
      <c r="F986" s="11" t="s">
        <v>56</v>
      </c>
      <c r="G986" s="11" t="s">
        <v>27</v>
      </c>
      <c r="H986" s="6">
        <v>0</v>
      </c>
      <c r="I986" s="11" t="str">
        <f t="shared" si="90"/>
        <v>162|12</v>
      </c>
      <c r="J986" s="6" t="s">
        <v>57</v>
      </c>
    </row>
    <row r="987" spans="1:10">
      <c r="A987" s="6">
        <v>1010993</v>
      </c>
      <c r="B987" s="6">
        <v>38002</v>
      </c>
      <c r="C987" s="6">
        <v>3</v>
      </c>
      <c r="D987" s="6">
        <v>3</v>
      </c>
      <c r="E987" s="6" t="s">
        <v>346</v>
      </c>
      <c r="F987" s="11" t="s">
        <v>58</v>
      </c>
      <c r="G987" s="11" t="s">
        <v>30</v>
      </c>
      <c r="H987" s="6">
        <v>0</v>
      </c>
      <c r="I987" s="11" t="str">
        <f t="shared" si="90"/>
        <v>162|12</v>
      </c>
      <c r="J987" s="6" t="s">
        <v>59</v>
      </c>
    </row>
    <row r="988" spans="1:10">
      <c r="A988" s="6">
        <v>1010994</v>
      </c>
      <c r="B988" s="6">
        <v>38002</v>
      </c>
      <c r="C988" s="6">
        <v>3</v>
      </c>
      <c r="D988" s="6">
        <v>4</v>
      </c>
      <c r="E988" s="6" t="s">
        <v>346</v>
      </c>
      <c r="F988" s="11" t="s">
        <v>60</v>
      </c>
      <c r="G988" s="11" t="s">
        <v>33</v>
      </c>
      <c r="H988" s="6">
        <v>0</v>
      </c>
      <c r="I988" s="11" t="str">
        <f t="shared" si="90"/>
        <v>162|12</v>
      </c>
      <c r="J988" s="6" t="s">
        <v>61</v>
      </c>
    </row>
    <row r="989" spans="1:10">
      <c r="A989" s="6">
        <v>1010995</v>
      </c>
      <c r="B989" s="6">
        <v>38002</v>
      </c>
      <c r="C989" s="6">
        <v>3</v>
      </c>
      <c r="D989" s="6">
        <v>5</v>
      </c>
      <c r="E989" s="6" t="s">
        <v>346</v>
      </c>
      <c r="F989" s="11" t="s">
        <v>62</v>
      </c>
      <c r="G989" s="11" t="s">
        <v>36</v>
      </c>
      <c r="H989" s="6">
        <v>0</v>
      </c>
      <c r="I989" s="11" t="str">
        <f t="shared" si="90"/>
        <v>162|12</v>
      </c>
      <c r="J989" s="6" t="s">
        <v>63</v>
      </c>
    </row>
    <row r="990" spans="1:10">
      <c r="A990" s="6">
        <v>1010996</v>
      </c>
      <c r="B990" s="6">
        <v>38002</v>
      </c>
      <c r="C990" s="6">
        <v>3</v>
      </c>
      <c r="D990" s="6">
        <v>6</v>
      </c>
      <c r="E990" s="6" t="s">
        <v>346</v>
      </c>
      <c r="F990" s="11" t="s">
        <v>62</v>
      </c>
      <c r="G990" s="11" t="s">
        <v>38</v>
      </c>
      <c r="H990" s="6">
        <v>130114</v>
      </c>
      <c r="I990" s="11" t="s">
        <v>347</v>
      </c>
      <c r="J990" s="6" t="s">
        <v>40</v>
      </c>
    </row>
    <row r="991" spans="1:10">
      <c r="A991" s="6">
        <v>1010997</v>
      </c>
      <c r="B991" s="6">
        <v>38002</v>
      </c>
      <c r="C991" s="6">
        <v>4</v>
      </c>
      <c r="D991" s="6">
        <v>0</v>
      </c>
      <c r="E991" s="6" t="s">
        <v>348</v>
      </c>
      <c r="F991" s="11" t="s">
        <v>62</v>
      </c>
      <c r="G991" s="11">
        <v>0</v>
      </c>
      <c r="H991" s="6">
        <v>0</v>
      </c>
      <c r="I991" s="11" t="str">
        <f t="shared" ref="I991:I996" si="91">I990</f>
        <v>162|16</v>
      </c>
      <c r="J991" s="6">
        <v>0</v>
      </c>
    </row>
    <row r="992" spans="1:10">
      <c r="A992" s="6">
        <v>1010998</v>
      </c>
      <c r="B992" s="6">
        <v>38002</v>
      </c>
      <c r="C992" s="6">
        <v>4</v>
      </c>
      <c r="D992" s="6">
        <v>1</v>
      </c>
      <c r="E992" s="6" t="s">
        <v>348</v>
      </c>
      <c r="F992" s="11" t="s">
        <v>66</v>
      </c>
      <c r="G992" s="11" t="s">
        <v>24</v>
      </c>
      <c r="H992" s="6">
        <v>0</v>
      </c>
      <c r="I992" s="11" t="str">
        <f t="shared" si="91"/>
        <v>162|16</v>
      </c>
      <c r="J992" s="6" t="s">
        <v>67</v>
      </c>
    </row>
    <row r="993" spans="1:10">
      <c r="A993" s="6">
        <v>1010999</v>
      </c>
      <c r="B993" s="6">
        <v>38002</v>
      </c>
      <c r="C993" s="6">
        <v>4</v>
      </c>
      <c r="D993" s="6">
        <v>2</v>
      </c>
      <c r="E993" s="6" t="s">
        <v>348</v>
      </c>
      <c r="F993" s="11" t="s">
        <v>68</v>
      </c>
      <c r="G993" s="11" t="s">
        <v>27</v>
      </c>
      <c r="H993" s="6">
        <v>0</v>
      </c>
      <c r="I993" s="11" t="str">
        <f t="shared" si="91"/>
        <v>162|16</v>
      </c>
      <c r="J993" s="6" t="s">
        <v>69</v>
      </c>
    </row>
    <row r="994" spans="1:10">
      <c r="A994" s="6">
        <v>1011000</v>
      </c>
      <c r="B994" s="6">
        <v>38002</v>
      </c>
      <c r="C994" s="6">
        <v>4</v>
      </c>
      <c r="D994" s="6">
        <v>3</v>
      </c>
      <c r="E994" s="6" t="s">
        <v>348</v>
      </c>
      <c r="F994" s="11" t="s">
        <v>70</v>
      </c>
      <c r="G994" s="11" t="s">
        <v>30</v>
      </c>
      <c r="H994" s="6">
        <v>0</v>
      </c>
      <c r="I994" s="11" t="str">
        <f t="shared" si="91"/>
        <v>162|16</v>
      </c>
      <c r="J994" s="6" t="s">
        <v>71</v>
      </c>
    </row>
    <row r="995" spans="1:10">
      <c r="A995" s="6">
        <v>1011001</v>
      </c>
      <c r="B995" s="6">
        <v>38002</v>
      </c>
      <c r="C995" s="6">
        <v>4</v>
      </c>
      <c r="D995" s="6">
        <v>4</v>
      </c>
      <c r="E995" s="6" t="s">
        <v>348</v>
      </c>
      <c r="F995" s="11" t="s">
        <v>72</v>
      </c>
      <c r="G995" s="11" t="s">
        <v>33</v>
      </c>
      <c r="H995" s="6">
        <v>0</v>
      </c>
      <c r="I995" s="11" t="str">
        <f t="shared" si="91"/>
        <v>162|16</v>
      </c>
      <c r="J995" s="6" t="s">
        <v>73</v>
      </c>
    </row>
    <row r="996" spans="1:10">
      <c r="A996" s="6">
        <v>1011002</v>
      </c>
      <c r="B996" s="6">
        <v>38002</v>
      </c>
      <c r="C996" s="6">
        <v>4</v>
      </c>
      <c r="D996" s="6">
        <v>5</v>
      </c>
      <c r="E996" s="6" t="s">
        <v>348</v>
      </c>
      <c r="F996" s="11" t="s">
        <v>74</v>
      </c>
      <c r="G996" s="11" t="s">
        <v>36</v>
      </c>
      <c r="H996" s="6">
        <v>0</v>
      </c>
      <c r="I996" s="11" t="str">
        <f t="shared" si="91"/>
        <v>162|16</v>
      </c>
      <c r="J996" s="6" t="s">
        <v>75</v>
      </c>
    </row>
    <row r="997" spans="1:10">
      <c r="A997" s="6">
        <v>1011003</v>
      </c>
      <c r="B997" s="6">
        <v>38002</v>
      </c>
      <c r="C997" s="6">
        <v>4</v>
      </c>
      <c r="D997" s="6">
        <v>6</v>
      </c>
      <c r="E997" s="6" t="s">
        <v>348</v>
      </c>
      <c r="F997" s="11" t="s">
        <v>74</v>
      </c>
      <c r="G997" s="11" t="s">
        <v>38</v>
      </c>
      <c r="H997" s="6">
        <v>130115</v>
      </c>
      <c r="I997" s="11" t="s">
        <v>349</v>
      </c>
      <c r="J997" s="6" t="s">
        <v>40</v>
      </c>
    </row>
    <row r="998" spans="1:10">
      <c r="A998" s="6">
        <v>1011004</v>
      </c>
      <c r="B998" s="6">
        <v>38002</v>
      </c>
      <c r="C998" s="6">
        <v>5</v>
      </c>
      <c r="D998" s="6">
        <v>0</v>
      </c>
      <c r="E998" s="6" t="s">
        <v>350</v>
      </c>
      <c r="F998" s="11" t="s">
        <v>74</v>
      </c>
      <c r="G998" s="11">
        <v>0</v>
      </c>
      <c r="H998" s="6">
        <v>0</v>
      </c>
      <c r="I998" s="11" t="str">
        <f t="shared" ref="I998:I1003" si="92">I997</f>
        <v>162|20</v>
      </c>
      <c r="J998" s="6">
        <v>0</v>
      </c>
    </row>
    <row r="999" spans="1:10">
      <c r="A999" s="6">
        <v>1011005</v>
      </c>
      <c r="B999" s="6">
        <v>38002</v>
      </c>
      <c r="C999" s="6">
        <v>5</v>
      </c>
      <c r="D999" s="6">
        <v>1</v>
      </c>
      <c r="E999" s="6" t="s">
        <v>350</v>
      </c>
      <c r="F999" s="11" t="s">
        <v>78</v>
      </c>
      <c r="G999" s="11" t="s">
        <v>24</v>
      </c>
      <c r="H999" s="6">
        <v>0</v>
      </c>
      <c r="I999" s="11" t="str">
        <f t="shared" si="92"/>
        <v>162|20</v>
      </c>
      <c r="J999" s="6" t="s">
        <v>79</v>
      </c>
    </row>
    <row r="1000" spans="1:10">
      <c r="A1000" s="6">
        <v>1011006</v>
      </c>
      <c r="B1000" s="6">
        <v>38002</v>
      </c>
      <c r="C1000" s="6">
        <v>5</v>
      </c>
      <c r="D1000" s="6">
        <v>2</v>
      </c>
      <c r="E1000" s="6" t="s">
        <v>350</v>
      </c>
      <c r="F1000" s="11" t="s">
        <v>80</v>
      </c>
      <c r="G1000" s="11" t="s">
        <v>27</v>
      </c>
      <c r="H1000" s="6">
        <v>0</v>
      </c>
      <c r="I1000" s="11" t="str">
        <f t="shared" si="92"/>
        <v>162|20</v>
      </c>
      <c r="J1000" s="6" t="s">
        <v>81</v>
      </c>
    </row>
    <row r="1001" spans="1:10">
      <c r="A1001" s="6">
        <v>1011007</v>
      </c>
      <c r="B1001" s="6">
        <v>38002</v>
      </c>
      <c r="C1001" s="6">
        <v>5</v>
      </c>
      <c r="D1001" s="6">
        <v>3</v>
      </c>
      <c r="E1001" s="6" t="s">
        <v>350</v>
      </c>
      <c r="F1001" s="11" t="s">
        <v>82</v>
      </c>
      <c r="G1001" s="11" t="s">
        <v>30</v>
      </c>
      <c r="H1001" s="6">
        <v>0</v>
      </c>
      <c r="I1001" s="11" t="str">
        <f t="shared" si="92"/>
        <v>162|20</v>
      </c>
      <c r="J1001" s="6" t="s">
        <v>83</v>
      </c>
    </row>
    <row r="1002" spans="1:10">
      <c r="A1002" s="6">
        <v>1011008</v>
      </c>
      <c r="B1002" s="6">
        <v>38002</v>
      </c>
      <c r="C1002" s="6">
        <v>5</v>
      </c>
      <c r="D1002" s="6">
        <v>4</v>
      </c>
      <c r="E1002" s="6" t="s">
        <v>350</v>
      </c>
      <c r="F1002" s="11" t="s">
        <v>84</v>
      </c>
      <c r="G1002" s="11" t="s">
        <v>33</v>
      </c>
      <c r="H1002" s="6">
        <v>0</v>
      </c>
      <c r="I1002" s="11" t="str">
        <f t="shared" si="92"/>
        <v>162|20</v>
      </c>
      <c r="J1002" s="6" t="s">
        <v>85</v>
      </c>
    </row>
    <row r="1003" spans="1:10">
      <c r="A1003" s="6">
        <v>1011009</v>
      </c>
      <c r="B1003" s="6">
        <v>38002</v>
      </c>
      <c r="C1003" s="6">
        <v>5</v>
      </c>
      <c r="D1003" s="6">
        <v>5</v>
      </c>
      <c r="E1003" s="6" t="s">
        <v>350</v>
      </c>
      <c r="F1003" s="11" t="s">
        <v>86</v>
      </c>
      <c r="G1003" s="11" t="s">
        <v>36</v>
      </c>
      <c r="H1003" s="6">
        <v>0</v>
      </c>
      <c r="I1003" s="11" t="str">
        <f t="shared" si="92"/>
        <v>162|20</v>
      </c>
      <c r="J1003" s="6" t="s">
        <v>87</v>
      </c>
    </row>
    <row r="1004" spans="1:10">
      <c r="A1004" s="6">
        <v>1011010</v>
      </c>
      <c r="B1004" s="6">
        <v>38002</v>
      </c>
      <c r="C1004" s="6">
        <v>5</v>
      </c>
      <c r="D1004" s="6">
        <v>6</v>
      </c>
      <c r="E1004" s="6" t="s">
        <v>350</v>
      </c>
      <c r="F1004" s="11" t="s">
        <v>86</v>
      </c>
      <c r="G1004" s="11" t="s">
        <v>38</v>
      </c>
      <c r="H1004" s="6">
        <v>130116</v>
      </c>
      <c r="I1004" s="11" t="s">
        <v>351</v>
      </c>
      <c r="J1004" s="6" t="s">
        <v>40</v>
      </c>
    </row>
    <row r="1005" spans="1:10">
      <c r="A1005" s="6">
        <v>1011011</v>
      </c>
      <c r="B1005" s="6">
        <v>38002</v>
      </c>
      <c r="C1005" s="6">
        <v>6</v>
      </c>
      <c r="D1005" s="6">
        <v>0</v>
      </c>
      <c r="E1005" s="6" t="s">
        <v>350</v>
      </c>
      <c r="F1005" s="11" t="s">
        <v>86</v>
      </c>
      <c r="G1005" s="11">
        <v>0</v>
      </c>
      <c r="H1005" s="6">
        <v>0</v>
      </c>
      <c r="I1005" s="11" t="str">
        <f t="shared" ref="I1005:I1010" si="93">I1004</f>
        <v>162|25</v>
      </c>
      <c r="J1005" s="6">
        <v>0</v>
      </c>
    </row>
    <row r="1006" spans="1:10">
      <c r="A1006" s="6">
        <v>1011012</v>
      </c>
      <c r="B1006" s="6">
        <v>38002</v>
      </c>
      <c r="C1006" s="6">
        <v>6</v>
      </c>
      <c r="D1006" s="6">
        <v>1</v>
      </c>
      <c r="E1006" s="6" t="s">
        <v>350</v>
      </c>
      <c r="F1006" s="11" t="s">
        <v>89</v>
      </c>
      <c r="G1006" s="11" t="s">
        <v>24</v>
      </c>
      <c r="H1006" s="6">
        <v>0</v>
      </c>
      <c r="I1006" s="11" t="str">
        <f t="shared" si="93"/>
        <v>162|25</v>
      </c>
      <c r="J1006" s="6" t="s">
        <v>90</v>
      </c>
    </row>
    <row r="1007" spans="1:10">
      <c r="A1007" s="6">
        <v>1011013</v>
      </c>
      <c r="B1007" s="6">
        <v>38002</v>
      </c>
      <c r="C1007" s="6">
        <v>6</v>
      </c>
      <c r="D1007" s="6">
        <v>2</v>
      </c>
      <c r="E1007" s="6" t="s">
        <v>350</v>
      </c>
      <c r="F1007" s="11" t="s">
        <v>91</v>
      </c>
      <c r="G1007" s="11" t="s">
        <v>27</v>
      </c>
      <c r="H1007" s="6">
        <v>0</v>
      </c>
      <c r="I1007" s="11" t="str">
        <f t="shared" si="93"/>
        <v>162|25</v>
      </c>
      <c r="J1007" s="6" t="s">
        <v>92</v>
      </c>
    </row>
    <row r="1008" spans="1:10">
      <c r="A1008" s="6">
        <v>1011014</v>
      </c>
      <c r="B1008" s="6">
        <v>38002</v>
      </c>
      <c r="C1008" s="6">
        <v>6</v>
      </c>
      <c r="D1008" s="6">
        <v>3</v>
      </c>
      <c r="E1008" s="6" t="s">
        <v>350</v>
      </c>
      <c r="F1008" s="11" t="s">
        <v>93</v>
      </c>
      <c r="G1008" s="11" t="s">
        <v>30</v>
      </c>
      <c r="H1008" s="6">
        <v>0</v>
      </c>
      <c r="I1008" s="11" t="str">
        <f t="shared" si="93"/>
        <v>162|25</v>
      </c>
      <c r="J1008" s="6" t="s">
        <v>94</v>
      </c>
    </row>
    <row r="1009" spans="1:10">
      <c r="A1009" s="6">
        <v>1011015</v>
      </c>
      <c r="B1009" s="6">
        <v>38002</v>
      </c>
      <c r="C1009" s="6">
        <v>6</v>
      </c>
      <c r="D1009" s="6">
        <v>4</v>
      </c>
      <c r="E1009" s="6" t="s">
        <v>350</v>
      </c>
      <c r="F1009" s="11" t="s">
        <v>95</v>
      </c>
      <c r="G1009" s="11" t="s">
        <v>33</v>
      </c>
      <c r="H1009" s="6">
        <v>0</v>
      </c>
      <c r="I1009" s="11" t="str">
        <f t="shared" si="93"/>
        <v>162|25</v>
      </c>
      <c r="J1009" s="6" t="s">
        <v>96</v>
      </c>
    </row>
    <row r="1010" spans="1:10">
      <c r="A1010" s="6">
        <v>1011016</v>
      </c>
      <c r="B1010" s="6">
        <v>38002</v>
      </c>
      <c r="C1010" s="6">
        <v>6</v>
      </c>
      <c r="D1010" s="6">
        <v>5</v>
      </c>
      <c r="E1010" s="6" t="s">
        <v>350</v>
      </c>
      <c r="F1010" s="11" t="s">
        <v>97</v>
      </c>
      <c r="G1010" s="11" t="s">
        <v>36</v>
      </c>
      <c r="H1010" s="6">
        <v>0</v>
      </c>
      <c r="I1010" s="11" t="str">
        <f t="shared" si="93"/>
        <v>162|25</v>
      </c>
      <c r="J1010" s="6" t="s">
        <v>98</v>
      </c>
    </row>
    <row r="1011" spans="1:10">
      <c r="A1011" s="6">
        <v>1011017</v>
      </c>
      <c r="B1011" s="6">
        <v>38002</v>
      </c>
      <c r="C1011" s="6">
        <v>6</v>
      </c>
      <c r="D1011" s="6">
        <v>6</v>
      </c>
      <c r="E1011" s="6">
        <v>0</v>
      </c>
      <c r="F1011" s="11" t="s">
        <v>97</v>
      </c>
      <c r="G1011" s="11" t="s">
        <v>38</v>
      </c>
      <c r="H1011" s="6">
        <v>130117</v>
      </c>
      <c r="I1011" s="11" t="s">
        <v>352</v>
      </c>
      <c r="J1011" s="6" t="s">
        <v>40</v>
      </c>
    </row>
  </sheetData>
  <autoFilter ref="A3:M1011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1"/>
  <sheetViews>
    <sheetView topLeftCell="C146" workbookViewId="0">
      <selection activeCell="T4" sqref="T4:T1011"/>
    </sheetView>
  </sheetViews>
  <sheetFormatPr defaultColWidth="9" defaultRowHeight="13.5"/>
  <cols>
    <col min="1" max="1" width="9.25"/>
    <col min="5" max="5" width="13.375" customWidth="1"/>
    <col min="6" max="6" width="13.25" customWidth="1"/>
    <col min="7" max="7" width="13.375" customWidth="1"/>
    <col min="9" max="9" width="28.625" customWidth="1"/>
    <col min="13" max="13" width="9.25"/>
    <col min="15" max="16" width="9.25" style="8"/>
    <col min="17" max="19" width="9" style="8"/>
  </cols>
  <sheetData>
    <row r="1" s="6" customFormat="1" ht="16.5" spans="1:19">
      <c r="A1" s="9" t="s">
        <v>0</v>
      </c>
      <c r="B1" s="4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7</v>
      </c>
      <c r="H1" s="9" t="s">
        <v>8</v>
      </c>
      <c r="I1" s="9" t="s">
        <v>9</v>
      </c>
      <c r="J1" s="9"/>
      <c r="M1" s="6" t="s">
        <v>4</v>
      </c>
      <c r="O1" s="13" t="s">
        <v>353</v>
      </c>
      <c r="P1" s="13"/>
      <c r="Q1" s="13"/>
      <c r="R1" s="13"/>
      <c r="S1" s="13"/>
    </row>
    <row r="2" s="6" customFormat="1" ht="16.5" spans="1:19">
      <c r="A2" s="9" t="s">
        <v>10</v>
      </c>
      <c r="B2" s="9" t="s">
        <v>10</v>
      </c>
      <c r="C2" s="9" t="s">
        <v>10</v>
      </c>
      <c r="D2" s="9" t="s">
        <v>10</v>
      </c>
      <c r="E2" s="9" t="s">
        <v>11</v>
      </c>
      <c r="F2" s="9" t="s">
        <v>11</v>
      </c>
      <c r="G2" s="9" t="s">
        <v>10</v>
      </c>
      <c r="H2" s="9" t="s">
        <v>11</v>
      </c>
      <c r="I2" s="9" t="s">
        <v>11</v>
      </c>
      <c r="J2" s="9"/>
      <c r="M2" s="6" t="s">
        <v>11</v>
      </c>
      <c r="O2" s="13">
        <v>1</v>
      </c>
      <c r="P2" s="13">
        <v>2</v>
      </c>
      <c r="Q2" s="13">
        <v>3</v>
      </c>
      <c r="R2" s="13">
        <v>4</v>
      </c>
      <c r="S2" s="13">
        <v>5</v>
      </c>
    </row>
    <row r="3" s="6" customFormat="1" ht="53" customHeight="1" spans="1:19">
      <c r="A3" s="9" t="s">
        <v>0</v>
      </c>
      <c r="B3" s="9" t="s">
        <v>12</v>
      </c>
      <c r="C3" s="9" t="s">
        <v>13</v>
      </c>
      <c r="D3" s="9" t="s">
        <v>14</v>
      </c>
      <c r="E3" s="9" t="s">
        <v>15</v>
      </c>
      <c r="F3" s="10" t="s">
        <v>16</v>
      </c>
      <c r="G3" s="9" t="s">
        <v>18</v>
      </c>
      <c r="H3" s="9" t="s">
        <v>19</v>
      </c>
      <c r="I3" s="9" t="s">
        <v>20</v>
      </c>
      <c r="J3" s="9"/>
      <c r="K3" s="6" t="s">
        <v>354</v>
      </c>
      <c r="M3" s="6" t="s">
        <v>15</v>
      </c>
      <c r="O3" s="13"/>
      <c r="P3" s="13" t="s">
        <v>355</v>
      </c>
      <c r="Q3" s="13"/>
      <c r="R3" s="13"/>
      <c r="S3" s="13"/>
    </row>
    <row r="4" s="6" customFormat="1" ht="20" customHeight="1" spans="1:20">
      <c r="A4" s="6">
        <v>1010010</v>
      </c>
      <c r="B4" s="6">
        <v>11001</v>
      </c>
      <c r="C4" s="6">
        <v>1</v>
      </c>
      <c r="D4" s="6">
        <v>0</v>
      </c>
      <c r="E4" s="6" t="str">
        <f>K4&amp;$K$3&amp;L4</f>
        <v>101001:2</v>
      </c>
      <c r="F4" s="11" t="s">
        <v>356</v>
      </c>
      <c r="G4" s="6">
        <v>0</v>
      </c>
      <c r="H4" s="6">
        <v>0</v>
      </c>
      <c r="I4" s="6" t="s">
        <v>25</v>
      </c>
      <c r="J4" s="9"/>
      <c r="K4" s="6" t="str">
        <f>LEFT(M4,6)</f>
        <v>101001</v>
      </c>
      <c r="L4" s="4">
        <v>2</v>
      </c>
      <c r="M4" s="6" t="s">
        <v>357</v>
      </c>
      <c r="O4" s="13">
        <v>1</v>
      </c>
      <c r="P4" s="13">
        <f>O4</f>
        <v>1</v>
      </c>
      <c r="Q4" s="13">
        <f>P4</f>
        <v>1</v>
      </c>
      <c r="R4" s="13">
        <f>P4</f>
        <v>1</v>
      </c>
      <c r="S4" s="13">
        <f>R4</f>
        <v>1</v>
      </c>
      <c r="T4" s="6" t="str">
        <f>$O$2&amp;$P$3&amp;O4&amp;$O$1&amp;$P$2&amp;$P$3&amp;P4&amp;$O$1&amp;$Q$2&amp;$P$3&amp;Q4&amp;$O$1&amp;$R$2&amp;$P$3&amp;R4&amp;$O$1&amp;$S$2&amp;$P$3&amp;S4</f>
        <v>1|1#2|1#3|1#4|1#5|1</v>
      </c>
    </row>
    <row r="5" s="6" customFormat="1" ht="16.5" spans="1:20">
      <c r="A5" s="6">
        <v>1010011</v>
      </c>
      <c r="B5" s="6">
        <v>11001</v>
      </c>
      <c r="C5" s="6">
        <v>1</v>
      </c>
      <c r="D5" s="6">
        <v>1</v>
      </c>
      <c r="E5" s="6" t="str">
        <f>K5&amp;$K$3&amp;L5</f>
        <v>101001:2</v>
      </c>
      <c r="F5" s="11" t="s">
        <v>358</v>
      </c>
      <c r="G5" s="6">
        <v>0</v>
      </c>
      <c r="H5" s="6">
        <v>0</v>
      </c>
      <c r="I5" s="6" t="s">
        <v>28</v>
      </c>
      <c r="K5" s="6" t="str">
        <f t="shared" ref="K5:K68" si="0">LEFT(M5,6)</f>
        <v>101001</v>
      </c>
      <c r="L5" s="4">
        <v>2</v>
      </c>
      <c r="M5" s="6" t="s">
        <v>357</v>
      </c>
      <c r="O5" s="13" t="str">
        <f t="shared" ref="O4:O9" si="1">RIGHT(F5,LEN(F5)-2)</f>
        <v>1.05</v>
      </c>
      <c r="P5" s="13">
        <v>1</v>
      </c>
      <c r="Q5" s="13">
        <f>Q4</f>
        <v>1</v>
      </c>
      <c r="R5" s="13">
        <f>R4</f>
        <v>1</v>
      </c>
      <c r="S5" s="13">
        <f>S4</f>
        <v>1</v>
      </c>
      <c r="T5" s="6" t="str">
        <f t="shared" ref="T5:T68" si="2">$O$2&amp;$P$3&amp;O5&amp;$O$1&amp;$P$2&amp;$P$3&amp;P5&amp;$O$1&amp;$Q$2&amp;$P$3&amp;Q5&amp;$O$1&amp;$R$2&amp;$P$3&amp;R5&amp;$O$1&amp;$S$2&amp;$P$3&amp;S5</f>
        <v>1|1.05#2|1#3|1#4|1#5|1</v>
      </c>
    </row>
    <row r="6" s="6" customFormat="1" ht="16.5" spans="1:20">
      <c r="A6" s="6">
        <v>1010012</v>
      </c>
      <c r="B6" s="6">
        <v>11001</v>
      </c>
      <c r="C6" s="6">
        <v>1</v>
      </c>
      <c r="D6" s="6">
        <v>2</v>
      </c>
      <c r="E6" s="6" t="str">
        <f t="shared" ref="E6:E69" si="3">K6&amp;$K$3&amp;L6</f>
        <v>101001:2</v>
      </c>
      <c r="F6" s="11" t="s">
        <v>359</v>
      </c>
      <c r="G6" s="6">
        <v>0</v>
      </c>
      <c r="H6" s="6">
        <v>0</v>
      </c>
      <c r="I6" s="6" t="s">
        <v>31</v>
      </c>
      <c r="K6" s="6" t="str">
        <f t="shared" si="0"/>
        <v>101001</v>
      </c>
      <c r="L6" s="4">
        <v>2</v>
      </c>
      <c r="M6" s="6" t="s">
        <v>357</v>
      </c>
      <c r="O6" s="13" t="str">
        <f t="shared" si="1"/>
        <v>1.05</v>
      </c>
      <c r="P6" s="13" t="str">
        <f t="shared" ref="P5:P9" si="4">O6</f>
        <v>1.05</v>
      </c>
      <c r="Q6" s="13">
        <v>1</v>
      </c>
      <c r="R6" s="13">
        <f>R5</f>
        <v>1</v>
      </c>
      <c r="S6" s="13">
        <f>S5</f>
        <v>1</v>
      </c>
      <c r="T6" s="6" t="str">
        <f t="shared" si="2"/>
        <v>1|1.05#2|1.05#3|1#4|1#5|1</v>
      </c>
    </row>
    <row r="7" s="6" customFormat="1" ht="16.5" spans="1:20">
      <c r="A7" s="6">
        <v>1010013</v>
      </c>
      <c r="B7" s="6">
        <v>11001</v>
      </c>
      <c r="C7" s="6">
        <v>1</v>
      </c>
      <c r="D7" s="6">
        <v>3</v>
      </c>
      <c r="E7" s="6" t="str">
        <f t="shared" si="3"/>
        <v>101001:3</v>
      </c>
      <c r="F7" s="11" t="s">
        <v>360</v>
      </c>
      <c r="G7" s="6">
        <v>0</v>
      </c>
      <c r="H7" s="6">
        <v>0</v>
      </c>
      <c r="I7" s="6" t="s">
        <v>34</v>
      </c>
      <c r="K7" s="6" t="str">
        <f t="shared" si="0"/>
        <v>101001</v>
      </c>
      <c r="L7" s="4">
        <v>3</v>
      </c>
      <c r="M7" s="6" t="s">
        <v>357</v>
      </c>
      <c r="O7" s="13" t="str">
        <f t="shared" si="1"/>
        <v>1.05</v>
      </c>
      <c r="P7" s="13" t="str">
        <f t="shared" si="4"/>
        <v>1.05</v>
      </c>
      <c r="Q7" s="13" t="str">
        <f t="shared" ref="Q4:Q9" si="5">P7</f>
        <v>1.05</v>
      </c>
      <c r="R7" s="13">
        <v>1</v>
      </c>
      <c r="S7" s="13">
        <f t="shared" ref="S7:S14" si="6">S6</f>
        <v>1</v>
      </c>
      <c r="T7" s="6" t="str">
        <f t="shared" si="2"/>
        <v>1|1.05#2|1.05#3|1.05#4|1#5|1</v>
      </c>
    </row>
    <row r="8" s="6" customFormat="1" ht="16.5" spans="1:20">
      <c r="A8" s="6">
        <v>1010014</v>
      </c>
      <c r="B8" s="6">
        <v>11001</v>
      </c>
      <c r="C8" s="6">
        <v>1</v>
      </c>
      <c r="D8" s="6">
        <v>4</v>
      </c>
      <c r="E8" s="6" t="str">
        <f t="shared" si="3"/>
        <v>101001:3</v>
      </c>
      <c r="F8" s="11" t="s">
        <v>361</v>
      </c>
      <c r="G8" s="6">
        <v>0</v>
      </c>
      <c r="H8" s="6">
        <v>0</v>
      </c>
      <c r="I8" s="6" t="s">
        <v>37</v>
      </c>
      <c r="K8" s="6" t="str">
        <f t="shared" si="0"/>
        <v>101001</v>
      </c>
      <c r="L8" s="4">
        <v>3</v>
      </c>
      <c r="M8" s="6" t="s">
        <v>357</v>
      </c>
      <c r="O8" s="13" t="str">
        <f t="shared" si="1"/>
        <v>1.05</v>
      </c>
      <c r="P8" s="13" t="str">
        <f t="shared" si="4"/>
        <v>1.05</v>
      </c>
      <c r="Q8" s="13" t="str">
        <f t="shared" si="5"/>
        <v>1.05</v>
      </c>
      <c r="R8" s="13" t="str">
        <f>Q8</f>
        <v>1.05</v>
      </c>
      <c r="S8" s="13">
        <v>1</v>
      </c>
      <c r="T8" s="6" t="str">
        <f t="shared" si="2"/>
        <v>1|1.05#2|1.05#3|1.05#4|1.05#5|1</v>
      </c>
    </row>
    <row r="9" s="6" customFormat="1" ht="16.5" spans="1:20">
      <c r="A9" s="6">
        <v>1010015</v>
      </c>
      <c r="B9" s="6">
        <v>11001</v>
      </c>
      <c r="C9" s="6">
        <v>1</v>
      </c>
      <c r="D9" s="6">
        <v>5</v>
      </c>
      <c r="E9" s="6" t="str">
        <f t="shared" si="3"/>
        <v>101001:3</v>
      </c>
      <c r="F9" s="11" t="s">
        <v>362</v>
      </c>
      <c r="G9" s="6">
        <v>11002</v>
      </c>
      <c r="H9" s="6">
        <v>0</v>
      </c>
      <c r="I9" s="6" t="s">
        <v>40</v>
      </c>
      <c r="K9" s="6" t="str">
        <f t="shared" si="0"/>
        <v>101001</v>
      </c>
      <c r="L9" s="4">
        <v>3</v>
      </c>
      <c r="M9" s="6" t="s">
        <v>363</v>
      </c>
      <c r="O9" s="13" t="str">
        <f t="shared" si="1"/>
        <v>1.05</v>
      </c>
      <c r="P9" s="13" t="str">
        <f t="shared" si="4"/>
        <v>1.05</v>
      </c>
      <c r="Q9" s="13" t="str">
        <f t="shared" si="5"/>
        <v>1.05</v>
      </c>
      <c r="R9" s="13" t="str">
        <f>Q9</f>
        <v>1.05</v>
      </c>
      <c r="S9" s="13" t="str">
        <f>R9</f>
        <v>1.05</v>
      </c>
      <c r="T9" s="6" t="str">
        <f t="shared" si="2"/>
        <v>1|1.05#2|1.05#3|1.05#4|1.05#5|1.05</v>
      </c>
    </row>
    <row r="10" s="6" customFormat="1" ht="16.5" spans="1:20">
      <c r="A10" s="6">
        <v>1010016</v>
      </c>
      <c r="B10" s="6">
        <v>11001</v>
      </c>
      <c r="C10" s="6">
        <v>1</v>
      </c>
      <c r="D10" s="6">
        <v>6</v>
      </c>
      <c r="E10" s="6" t="str">
        <f t="shared" si="3"/>
        <v>101001:5</v>
      </c>
      <c r="F10" s="11">
        <v>0</v>
      </c>
      <c r="G10" s="6">
        <v>0</v>
      </c>
      <c r="H10" s="6">
        <v>0</v>
      </c>
      <c r="I10" s="6">
        <v>0</v>
      </c>
      <c r="K10" s="6" t="str">
        <f t="shared" si="0"/>
        <v>101001</v>
      </c>
      <c r="L10" s="13">
        <v>5</v>
      </c>
      <c r="M10" s="6" t="str">
        <f>M9</f>
        <v>101001:5</v>
      </c>
      <c r="O10" s="13" t="str">
        <f>O9</f>
        <v>1.05</v>
      </c>
      <c r="P10" s="13" t="str">
        <f>P9</f>
        <v>1.05</v>
      </c>
      <c r="Q10" s="13" t="str">
        <f>Q9</f>
        <v>1.05</v>
      </c>
      <c r="R10" s="13" t="str">
        <f>R9</f>
        <v>1.05</v>
      </c>
      <c r="S10" s="13" t="str">
        <f t="shared" si="6"/>
        <v>1.05</v>
      </c>
      <c r="T10" s="6" t="str">
        <f t="shared" si="2"/>
        <v>1|1.05#2|1.05#3|1.05#4|1.05#5|1.05</v>
      </c>
    </row>
    <row r="11" s="7" customFormat="1" ht="16.5" spans="1:20">
      <c r="A11" s="7">
        <v>1010017</v>
      </c>
      <c r="B11" s="7">
        <v>11001</v>
      </c>
      <c r="C11" s="7">
        <v>2</v>
      </c>
      <c r="D11" s="7">
        <v>0</v>
      </c>
      <c r="E11" s="7" t="str">
        <f t="shared" si="3"/>
        <v>101001:5</v>
      </c>
      <c r="F11" s="12" t="s">
        <v>364</v>
      </c>
      <c r="G11" s="7">
        <v>0</v>
      </c>
      <c r="H11" s="7">
        <v>0</v>
      </c>
      <c r="I11" s="7" t="s">
        <v>43</v>
      </c>
      <c r="K11" s="7" t="str">
        <f t="shared" si="0"/>
        <v>101001</v>
      </c>
      <c r="L11" s="14">
        <v>5</v>
      </c>
      <c r="M11" s="7" t="s">
        <v>365</v>
      </c>
      <c r="O11" s="15" t="str">
        <f>O10</f>
        <v>1.05</v>
      </c>
      <c r="P11" s="15" t="str">
        <f t="shared" ref="P11:S11" si="7">O11</f>
        <v>1.05</v>
      </c>
      <c r="Q11" s="15" t="str">
        <f t="shared" si="7"/>
        <v>1.05</v>
      </c>
      <c r="R11" s="15" t="str">
        <f>P11</f>
        <v>1.05</v>
      </c>
      <c r="S11" s="15" t="str">
        <f t="shared" si="7"/>
        <v>1.05</v>
      </c>
      <c r="T11" s="6" t="str">
        <f t="shared" si="2"/>
        <v>1|1.05#2|1.05#3|1.05#4|1.05#5|1.05</v>
      </c>
    </row>
    <row r="12" s="6" customFormat="1" ht="16.5" spans="1:20">
      <c r="A12" s="6">
        <v>1010018</v>
      </c>
      <c r="B12" s="6">
        <v>11001</v>
      </c>
      <c r="C12" s="6">
        <v>2</v>
      </c>
      <c r="D12" s="6">
        <v>1</v>
      </c>
      <c r="E12" s="6" t="str">
        <f t="shared" si="3"/>
        <v>101001:5</v>
      </c>
      <c r="F12" s="11" t="s">
        <v>366</v>
      </c>
      <c r="G12" s="6">
        <v>0</v>
      </c>
      <c r="H12" s="6">
        <v>0</v>
      </c>
      <c r="I12" s="6" t="s">
        <v>45</v>
      </c>
      <c r="K12" s="6" t="str">
        <f t="shared" si="0"/>
        <v>101001</v>
      </c>
      <c r="L12" s="4">
        <v>5</v>
      </c>
      <c r="M12" s="6" t="s">
        <v>365</v>
      </c>
      <c r="O12" s="13" t="str">
        <f t="shared" ref="O11:O16" si="8">RIGHT(F12,LEN(F12)-2)</f>
        <v>1.1</v>
      </c>
      <c r="P12" s="13">
        <v>1.05</v>
      </c>
      <c r="Q12" s="13" t="str">
        <f>Q11</f>
        <v>1.05</v>
      </c>
      <c r="R12" s="13" t="str">
        <f>R11</f>
        <v>1.05</v>
      </c>
      <c r="S12" s="13" t="str">
        <f t="shared" si="6"/>
        <v>1.05</v>
      </c>
      <c r="T12" s="6" t="str">
        <f t="shared" si="2"/>
        <v>1|1.1#2|1.05#3|1.05#4|1.05#5|1.05</v>
      </c>
    </row>
    <row r="13" s="6" customFormat="1" ht="16.5" spans="1:20">
      <c r="A13" s="6">
        <v>1010019</v>
      </c>
      <c r="B13" s="6">
        <v>11001</v>
      </c>
      <c r="C13" s="6">
        <v>2</v>
      </c>
      <c r="D13" s="6">
        <v>2</v>
      </c>
      <c r="E13" s="6" t="str">
        <f t="shared" si="3"/>
        <v>101001:5</v>
      </c>
      <c r="F13" s="11" t="s">
        <v>367</v>
      </c>
      <c r="G13" s="6">
        <v>0</v>
      </c>
      <c r="H13" s="6">
        <v>0</v>
      </c>
      <c r="I13" s="6" t="s">
        <v>47</v>
      </c>
      <c r="K13" s="6" t="str">
        <f t="shared" si="0"/>
        <v>101001</v>
      </c>
      <c r="L13" s="4">
        <v>5</v>
      </c>
      <c r="M13" s="6" t="s">
        <v>365</v>
      </c>
      <c r="O13" s="13" t="str">
        <f t="shared" si="8"/>
        <v>1.1</v>
      </c>
      <c r="P13" s="13" t="str">
        <f t="shared" ref="P12:P16" si="9">O13</f>
        <v>1.1</v>
      </c>
      <c r="Q13" s="13">
        <v>1.05</v>
      </c>
      <c r="R13" s="13" t="str">
        <f>R12</f>
        <v>1.05</v>
      </c>
      <c r="S13" s="13" t="str">
        <f t="shared" si="6"/>
        <v>1.05</v>
      </c>
      <c r="T13" s="6" t="str">
        <f t="shared" si="2"/>
        <v>1|1.1#2|1.1#3|1.05#4|1.05#5|1.05</v>
      </c>
    </row>
    <row r="14" s="6" customFormat="1" ht="16.5" spans="1:20">
      <c r="A14" s="6">
        <v>1010020</v>
      </c>
      <c r="B14" s="6">
        <v>11001</v>
      </c>
      <c r="C14" s="6">
        <v>2</v>
      </c>
      <c r="D14" s="6">
        <v>3</v>
      </c>
      <c r="E14" s="6" t="str">
        <f t="shared" si="3"/>
        <v>101001:6</v>
      </c>
      <c r="F14" s="11" t="s">
        <v>368</v>
      </c>
      <c r="G14" s="6">
        <v>0</v>
      </c>
      <c r="H14" s="6">
        <v>0</v>
      </c>
      <c r="I14" s="6" t="s">
        <v>49</v>
      </c>
      <c r="K14" s="6" t="str">
        <f t="shared" si="0"/>
        <v>101001</v>
      </c>
      <c r="L14" s="4">
        <v>6</v>
      </c>
      <c r="M14" s="6" t="s">
        <v>365</v>
      </c>
      <c r="O14" s="13" t="str">
        <f t="shared" si="8"/>
        <v>1.1</v>
      </c>
      <c r="P14" s="13" t="str">
        <f t="shared" si="9"/>
        <v>1.1</v>
      </c>
      <c r="Q14" s="13" t="str">
        <f t="shared" ref="Q13:Q16" si="10">P14</f>
        <v>1.1</v>
      </c>
      <c r="R14" s="13">
        <v>1.05</v>
      </c>
      <c r="S14" s="13" t="str">
        <f t="shared" si="6"/>
        <v>1.05</v>
      </c>
      <c r="T14" s="6" t="str">
        <f t="shared" si="2"/>
        <v>1|1.1#2|1.1#3|1.1#4|1.05#5|1.05</v>
      </c>
    </row>
    <row r="15" s="6" customFormat="1" ht="16.5" spans="1:20">
      <c r="A15" s="6">
        <v>1010021</v>
      </c>
      <c r="B15" s="6">
        <v>11001</v>
      </c>
      <c r="C15" s="6">
        <v>2</v>
      </c>
      <c r="D15" s="6">
        <v>4</v>
      </c>
      <c r="E15" s="6" t="str">
        <f t="shared" si="3"/>
        <v>101001:6</v>
      </c>
      <c r="F15" s="11" t="s">
        <v>369</v>
      </c>
      <c r="G15" s="6">
        <v>0</v>
      </c>
      <c r="H15" s="6">
        <v>0</v>
      </c>
      <c r="I15" s="6" t="s">
        <v>51</v>
      </c>
      <c r="K15" s="6" t="str">
        <f t="shared" si="0"/>
        <v>101001</v>
      </c>
      <c r="L15" s="4">
        <v>6</v>
      </c>
      <c r="M15" s="6" t="s">
        <v>365</v>
      </c>
      <c r="O15" s="13" t="str">
        <f t="shared" si="8"/>
        <v>1.1</v>
      </c>
      <c r="P15" s="13" t="str">
        <f t="shared" si="9"/>
        <v>1.1</v>
      </c>
      <c r="Q15" s="13" t="str">
        <f t="shared" si="10"/>
        <v>1.1</v>
      </c>
      <c r="R15" s="13" t="str">
        <f t="shared" ref="R14:R16" si="11">Q15</f>
        <v>1.1</v>
      </c>
      <c r="S15" s="13">
        <v>1.05</v>
      </c>
      <c r="T15" s="6" t="str">
        <f t="shared" si="2"/>
        <v>1|1.1#2|1.1#3|1.1#4|1.1#5|1.05</v>
      </c>
    </row>
    <row r="16" s="6" customFormat="1" ht="16.5" spans="1:20">
      <c r="A16" s="6">
        <v>1010022</v>
      </c>
      <c r="B16" s="6">
        <v>11001</v>
      </c>
      <c r="C16" s="6">
        <v>2</v>
      </c>
      <c r="D16" s="6">
        <v>5</v>
      </c>
      <c r="E16" s="6" t="str">
        <f t="shared" si="3"/>
        <v>101001:6</v>
      </c>
      <c r="F16" s="11" t="s">
        <v>370</v>
      </c>
      <c r="G16" s="6">
        <v>11002</v>
      </c>
      <c r="H16" s="6">
        <v>0</v>
      </c>
      <c r="I16" s="6" t="s">
        <v>40</v>
      </c>
      <c r="K16" s="6" t="str">
        <f t="shared" si="0"/>
        <v>101001</v>
      </c>
      <c r="L16" s="4">
        <v>6</v>
      </c>
      <c r="M16" s="6" t="s">
        <v>21</v>
      </c>
      <c r="O16" s="13" t="str">
        <f t="shared" si="8"/>
        <v>1.1</v>
      </c>
      <c r="P16" s="13" t="str">
        <f t="shared" si="9"/>
        <v>1.1</v>
      </c>
      <c r="Q16" s="13" t="str">
        <f t="shared" si="10"/>
        <v>1.1</v>
      </c>
      <c r="R16" s="13" t="str">
        <f t="shared" si="11"/>
        <v>1.1</v>
      </c>
      <c r="S16" s="13" t="str">
        <f>R16</f>
        <v>1.1</v>
      </c>
      <c r="T16" s="6" t="str">
        <f t="shared" si="2"/>
        <v>1|1.1#2|1.1#3|1.1#4|1.1#5|1.1</v>
      </c>
    </row>
    <row r="17" s="6" customFormat="1" ht="16.5" spans="1:20">
      <c r="A17" s="6">
        <v>1010023</v>
      </c>
      <c r="B17" s="6">
        <v>11001</v>
      </c>
      <c r="C17" s="6">
        <v>2</v>
      </c>
      <c r="D17" s="6">
        <v>6</v>
      </c>
      <c r="E17" s="6" t="str">
        <f t="shared" si="3"/>
        <v>101001:7</v>
      </c>
      <c r="F17" s="11">
        <v>0</v>
      </c>
      <c r="G17" s="6">
        <v>0</v>
      </c>
      <c r="H17" s="6">
        <v>0</v>
      </c>
      <c r="I17" s="6">
        <v>0</v>
      </c>
      <c r="K17" s="6" t="str">
        <f t="shared" si="0"/>
        <v>101001</v>
      </c>
      <c r="L17" s="13">
        <v>7</v>
      </c>
      <c r="M17" s="6" t="str">
        <f>M16</f>
        <v>101001:20</v>
      </c>
      <c r="O17" s="13" t="str">
        <f>O16</f>
        <v>1.1</v>
      </c>
      <c r="P17" s="13" t="str">
        <f>P16</f>
        <v>1.1</v>
      </c>
      <c r="Q17" s="13" t="str">
        <f t="shared" ref="Q17:Q20" si="12">Q16</f>
        <v>1.1</v>
      </c>
      <c r="R17" s="13" t="str">
        <f t="shared" ref="R17:R21" si="13">R16</f>
        <v>1.1</v>
      </c>
      <c r="S17" s="13" t="str">
        <f t="shared" ref="S17:S22" si="14">S16</f>
        <v>1.1</v>
      </c>
      <c r="T17" s="6" t="str">
        <f t="shared" si="2"/>
        <v>1|1.1#2|1.1#3|1.1#4|1.1#5|1.1</v>
      </c>
    </row>
    <row r="18" s="7" customFormat="1" ht="16.5" spans="1:20">
      <c r="A18" s="7">
        <v>1010024</v>
      </c>
      <c r="B18" s="7">
        <v>11001</v>
      </c>
      <c r="C18" s="7">
        <v>3</v>
      </c>
      <c r="D18" s="7">
        <v>0</v>
      </c>
      <c r="E18" s="7" t="str">
        <f t="shared" si="3"/>
        <v>101001:9</v>
      </c>
      <c r="F18" s="12" t="s">
        <v>371</v>
      </c>
      <c r="G18" s="7">
        <v>0</v>
      </c>
      <c r="H18" s="7">
        <v>0</v>
      </c>
      <c r="I18" s="7" t="s">
        <v>55</v>
      </c>
      <c r="K18" s="7" t="str">
        <f t="shared" si="0"/>
        <v>101001</v>
      </c>
      <c r="L18" s="14">
        <v>9</v>
      </c>
      <c r="M18" s="7" t="s">
        <v>372</v>
      </c>
      <c r="O18" s="15" t="str">
        <f>O17</f>
        <v>1.1</v>
      </c>
      <c r="P18" s="15" t="str">
        <f t="shared" ref="P18:S18" si="15">O18</f>
        <v>1.1</v>
      </c>
      <c r="Q18" s="15" t="str">
        <f t="shared" si="15"/>
        <v>1.1</v>
      </c>
      <c r="R18" s="15" t="str">
        <f>P18</f>
        <v>1.1</v>
      </c>
      <c r="S18" s="15" t="str">
        <f t="shared" si="15"/>
        <v>1.1</v>
      </c>
      <c r="T18" s="6" t="str">
        <f t="shared" si="2"/>
        <v>1|1.1#2|1.1#3|1.1#4|1.1#5|1.1</v>
      </c>
    </row>
    <row r="19" s="6" customFormat="1" ht="16.5" spans="1:20">
      <c r="A19" s="6">
        <v>1010025</v>
      </c>
      <c r="B19" s="6">
        <v>11001</v>
      </c>
      <c r="C19" s="6">
        <v>3</v>
      </c>
      <c r="D19" s="6">
        <v>1</v>
      </c>
      <c r="E19" s="6" t="str">
        <f t="shared" si="3"/>
        <v>101001:9</v>
      </c>
      <c r="F19" s="11" t="s">
        <v>373</v>
      </c>
      <c r="G19" s="6">
        <v>0</v>
      </c>
      <c r="H19" s="6">
        <v>0</v>
      </c>
      <c r="I19" s="6" t="s">
        <v>57</v>
      </c>
      <c r="K19" s="6" t="str">
        <f t="shared" si="0"/>
        <v>101001</v>
      </c>
      <c r="L19" s="4">
        <v>9</v>
      </c>
      <c r="M19" s="6" t="s">
        <v>372</v>
      </c>
      <c r="O19" s="13" t="str">
        <f t="shared" ref="O18:O23" si="16">RIGHT(F19,LEN(F19)-2)</f>
        <v>1.15</v>
      </c>
      <c r="P19" s="13" t="str">
        <f>P18</f>
        <v>1.1</v>
      </c>
      <c r="Q19" s="13" t="str">
        <f t="shared" si="12"/>
        <v>1.1</v>
      </c>
      <c r="R19" s="13" t="str">
        <f t="shared" si="13"/>
        <v>1.1</v>
      </c>
      <c r="S19" s="13" t="str">
        <f t="shared" si="14"/>
        <v>1.1</v>
      </c>
      <c r="T19" s="6" t="str">
        <f t="shared" si="2"/>
        <v>1|1.15#2|1.1#3|1.1#4|1.1#5|1.1</v>
      </c>
    </row>
    <row r="20" s="6" customFormat="1" ht="16.5" spans="1:20">
      <c r="A20" s="6">
        <v>1010026</v>
      </c>
      <c r="B20" s="6">
        <v>11001</v>
      </c>
      <c r="C20" s="6">
        <v>3</v>
      </c>
      <c r="D20" s="6">
        <v>2</v>
      </c>
      <c r="E20" s="6" t="str">
        <f t="shared" si="3"/>
        <v>101001:9</v>
      </c>
      <c r="F20" s="11" t="s">
        <v>374</v>
      </c>
      <c r="G20" s="6">
        <v>0</v>
      </c>
      <c r="H20" s="6">
        <v>0</v>
      </c>
      <c r="I20" s="6" t="s">
        <v>59</v>
      </c>
      <c r="K20" s="6" t="str">
        <f t="shared" si="0"/>
        <v>101001</v>
      </c>
      <c r="L20" s="4">
        <v>9</v>
      </c>
      <c r="M20" s="6" t="s">
        <v>372</v>
      </c>
      <c r="O20" s="13" t="str">
        <f t="shared" si="16"/>
        <v>1.15</v>
      </c>
      <c r="P20" s="13" t="str">
        <f t="shared" ref="P19:P23" si="17">O20</f>
        <v>1.15</v>
      </c>
      <c r="Q20" s="13" t="str">
        <f t="shared" si="12"/>
        <v>1.1</v>
      </c>
      <c r="R20" s="13" t="str">
        <f t="shared" si="13"/>
        <v>1.1</v>
      </c>
      <c r="S20" s="13" t="str">
        <f t="shared" si="14"/>
        <v>1.1</v>
      </c>
      <c r="T20" s="6" t="str">
        <f t="shared" si="2"/>
        <v>1|1.15#2|1.15#3|1.1#4|1.1#5|1.1</v>
      </c>
    </row>
    <row r="21" s="6" customFormat="1" ht="16.5" spans="1:20">
      <c r="A21" s="6">
        <v>1010027</v>
      </c>
      <c r="B21" s="6">
        <v>11001</v>
      </c>
      <c r="C21" s="6">
        <v>3</v>
      </c>
      <c r="D21" s="6">
        <v>3</v>
      </c>
      <c r="E21" s="6" t="str">
        <f t="shared" si="3"/>
        <v>101001:11</v>
      </c>
      <c r="F21" s="11" t="s">
        <v>375</v>
      </c>
      <c r="G21" s="6">
        <v>0</v>
      </c>
      <c r="H21" s="6">
        <v>0</v>
      </c>
      <c r="I21" s="6" t="s">
        <v>61</v>
      </c>
      <c r="K21" s="6" t="str">
        <f t="shared" si="0"/>
        <v>101001</v>
      </c>
      <c r="L21" s="4">
        <v>11</v>
      </c>
      <c r="M21" s="6" t="s">
        <v>372</v>
      </c>
      <c r="O21" s="13" t="str">
        <f t="shared" si="16"/>
        <v>1.15</v>
      </c>
      <c r="P21" s="13" t="str">
        <f t="shared" si="17"/>
        <v>1.15</v>
      </c>
      <c r="Q21" s="13" t="str">
        <f t="shared" ref="Q20:Q23" si="18">P21</f>
        <v>1.15</v>
      </c>
      <c r="R21" s="13" t="str">
        <f t="shared" si="13"/>
        <v>1.1</v>
      </c>
      <c r="S21" s="13" t="str">
        <f t="shared" si="14"/>
        <v>1.1</v>
      </c>
      <c r="T21" s="6" t="str">
        <f t="shared" si="2"/>
        <v>1|1.15#2|1.15#3|1.15#4|1.1#5|1.1</v>
      </c>
    </row>
    <row r="22" s="6" customFormat="1" ht="16.5" spans="1:20">
      <c r="A22" s="6">
        <v>1010028</v>
      </c>
      <c r="B22" s="6">
        <v>11001</v>
      </c>
      <c r="C22" s="6">
        <v>3</v>
      </c>
      <c r="D22" s="6">
        <v>4</v>
      </c>
      <c r="E22" s="6" t="str">
        <f t="shared" si="3"/>
        <v>101001:11</v>
      </c>
      <c r="F22" s="11" t="s">
        <v>376</v>
      </c>
      <c r="G22" s="6">
        <v>0</v>
      </c>
      <c r="H22" s="6">
        <v>0</v>
      </c>
      <c r="I22" s="6" t="s">
        <v>63</v>
      </c>
      <c r="K22" s="6" t="str">
        <f t="shared" si="0"/>
        <v>101001</v>
      </c>
      <c r="L22" s="4">
        <v>11</v>
      </c>
      <c r="M22" s="6" t="s">
        <v>372</v>
      </c>
      <c r="O22" s="13" t="str">
        <f t="shared" si="16"/>
        <v>1.15</v>
      </c>
      <c r="P22" s="13" t="str">
        <f t="shared" si="17"/>
        <v>1.15</v>
      </c>
      <c r="Q22" s="13" t="str">
        <f t="shared" si="18"/>
        <v>1.15</v>
      </c>
      <c r="R22" s="13" t="str">
        <f t="shared" ref="R21:R23" si="19">Q22</f>
        <v>1.15</v>
      </c>
      <c r="S22" s="13" t="str">
        <f t="shared" si="14"/>
        <v>1.1</v>
      </c>
      <c r="T22" s="6" t="str">
        <f t="shared" si="2"/>
        <v>1|1.15#2|1.15#3|1.15#4|1.15#5|1.1</v>
      </c>
    </row>
    <row r="23" s="6" customFormat="1" ht="16.5" spans="1:20">
      <c r="A23" s="6">
        <v>1010029</v>
      </c>
      <c r="B23" s="6">
        <v>11001</v>
      </c>
      <c r="C23" s="6">
        <v>3</v>
      </c>
      <c r="D23" s="6">
        <v>5</v>
      </c>
      <c r="E23" s="6" t="str">
        <f t="shared" si="3"/>
        <v>101001:11</v>
      </c>
      <c r="F23" s="11" t="s">
        <v>377</v>
      </c>
      <c r="G23" s="6">
        <v>11002</v>
      </c>
      <c r="H23" s="6">
        <v>0</v>
      </c>
      <c r="I23" s="6" t="s">
        <v>40</v>
      </c>
      <c r="K23" s="6" t="str">
        <f t="shared" si="0"/>
        <v>101001</v>
      </c>
      <c r="L23" s="4">
        <v>11</v>
      </c>
      <c r="M23" s="6" t="s">
        <v>378</v>
      </c>
      <c r="O23" s="13" t="str">
        <f t="shared" si="16"/>
        <v>1.15</v>
      </c>
      <c r="P23" s="13" t="str">
        <f t="shared" si="17"/>
        <v>1.15</v>
      </c>
      <c r="Q23" s="13" t="str">
        <f t="shared" si="18"/>
        <v>1.15</v>
      </c>
      <c r="R23" s="13" t="str">
        <f t="shared" si="19"/>
        <v>1.15</v>
      </c>
      <c r="S23" s="13" t="str">
        <f>R23</f>
        <v>1.15</v>
      </c>
      <c r="T23" s="6" t="str">
        <f t="shared" si="2"/>
        <v>1|1.15#2|1.15#3|1.15#4|1.15#5|1.15</v>
      </c>
    </row>
    <row r="24" s="6" customFormat="1" ht="16.5" spans="1:20">
      <c r="A24" s="6">
        <v>1010030</v>
      </c>
      <c r="B24" s="6">
        <v>11001</v>
      </c>
      <c r="C24" s="6">
        <v>3</v>
      </c>
      <c r="D24" s="6">
        <v>6</v>
      </c>
      <c r="E24" s="6" t="str">
        <f t="shared" si="3"/>
        <v>101001:30</v>
      </c>
      <c r="F24" s="11">
        <v>0</v>
      </c>
      <c r="G24" s="6">
        <v>0</v>
      </c>
      <c r="H24" s="6">
        <v>0</v>
      </c>
      <c r="I24" s="6">
        <v>0</v>
      </c>
      <c r="K24" s="6" t="str">
        <f t="shared" si="0"/>
        <v>101001</v>
      </c>
      <c r="L24" s="13">
        <v>30</v>
      </c>
      <c r="M24" s="6" t="str">
        <f>M23</f>
        <v>101001:30</v>
      </c>
      <c r="O24" s="13" t="str">
        <f>O23</f>
        <v>1.15</v>
      </c>
      <c r="P24" s="13" t="str">
        <f>P23</f>
        <v>1.15</v>
      </c>
      <c r="Q24" s="13" t="str">
        <f t="shared" ref="Q24:Q27" si="20">Q23</f>
        <v>1.15</v>
      </c>
      <c r="R24" s="13" t="str">
        <f t="shared" ref="R24:R28" si="21">R23</f>
        <v>1.15</v>
      </c>
      <c r="S24" s="13" t="str">
        <f t="shared" ref="S24:S29" si="22">S23</f>
        <v>1.15</v>
      </c>
      <c r="T24" s="6" t="str">
        <f t="shared" si="2"/>
        <v>1|1.15#2|1.15#3|1.15#4|1.15#5|1.15</v>
      </c>
    </row>
    <row r="25" s="7" customFormat="1" ht="16.5" spans="1:20">
      <c r="A25" s="7">
        <v>1010031</v>
      </c>
      <c r="B25" s="7">
        <v>11001</v>
      </c>
      <c r="C25" s="7">
        <v>4</v>
      </c>
      <c r="D25" s="7">
        <v>0</v>
      </c>
      <c r="E25" s="7" t="str">
        <f t="shared" si="3"/>
        <v>101001:13</v>
      </c>
      <c r="F25" s="12" t="s">
        <v>379</v>
      </c>
      <c r="G25" s="7">
        <v>0</v>
      </c>
      <c r="H25" s="7">
        <v>0</v>
      </c>
      <c r="I25" s="7" t="s">
        <v>67</v>
      </c>
      <c r="K25" s="7" t="str">
        <f t="shared" si="0"/>
        <v>101001</v>
      </c>
      <c r="L25" s="14">
        <v>13</v>
      </c>
      <c r="M25" s="7" t="s">
        <v>380</v>
      </c>
      <c r="O25" s="15" t="str">
        <f>O24</f>
        <v>1.15</v>
      </c>
      <c r="P25" s="15" t="str">
        <f t="shared" ref="P25:S25" si="23">O25</f>
        <v>1.15</v>
      </c>
      <c r="Q25" s="15" t="str">
        <f t="shared" si="23"/>
        <v>1.15</v>
      </c>
      <c r="R25" s="15" t="str">
        <f>P25</f>
        <v>1.15</v>
      </c>
      <c r="S25" s="15" t="str">
        <f t="shared" si="23"/>
        <v>1.15</v>
      </c>
      <c r="T25" s="6" t="str">
        <f t="shared" si="2"/>
        <v>1|1.15#2|1.15#3|1.15#4|1.15#5|1.15</v>
      </c>
    </row>
    <row r="26" s="6" customFormat="1" ht="16.5" spans="1:20">
      <c r="A26" s="6">
        <v>1010032</v>
      </c>
      <c r="B26" s="6">
        <v>11001</v>
      </c>
      <c r="C26" s="6">
        <v>4</v>
      </c>
      <c r="D26" s="6">
        <v>1</v>
      </c>
      <c r="E26" s="6" t="str">
        <f t="shared" si="3"/>
        <v>101001:13</v>
      </c>
      <c r="F26" s="11" t="s">
        <v>381</v>
      </c>
      <c r="G26" s="6">
        <v>0</v>
      </c>
      <c r="H26" s="6">
        <v>0</v>
      </c>
      <c r="I26" s="6" t="s">
        <v>69</v>
      </c>
      <c r="K26" s="6" t="str">
        <f t="shared" si="0"/>
        <v>101001</v>
      </c>
      <c r="L26" s="4">
        <v>13</v>
      </c>
      <c r="M26" s="6" t="s">
        <v>380</v>
      </c>
      <c r="O26" s="13" t="str">
        <f t="shared" ref="O25:O30" si="24">RIGHT(F26,LEN(F26)-2)</f>
        <v>1.2</v>
      </c>
      <c r="P26" s="13" t="str">
        <f>P25</f>
        <v>1.15</v>
      </c>
      <c r="Q26" s="13" t="str">
        <f t="shared" si="20"/>
        <v>1.15</v>
      </c>
      <c r="R26" s="13" t="str">
        <f t="shared" si="21"/>
        <v>1.15</v>
      </c>
      <c r="S26" s="13" t="str">
        <f t="shared" si="22"/>
        <v>1.15</v>
      </c>
      <c r="T26" s="6" t="str">
        <f t="shared" si="2"/>
        <v>1|1.2#2|1.15#3|1.15#4|1.15#5|1.15</v>
      </c>
    </row>
    <row r="27" s="6" customFormat="1" ht="16.5" spans="1:20">
      <c r="A27" s="6">
        <v>1010033</v>
      </c>
      <c r="B27" s="6">
        <v>11001</v>
      </c>
      <c r="C27" s="6">
        <v>4</v>
      </c>
      <c r="D27" s="6">
        <v>2</v>
      </c>
      <c r="E27" s="6" t="str">
        <f t="shared" si="3"/>
        <v>101001:13</v>
      </c>
      <c r="F27" s="11" t="s">
        <v>382</v>
      </c>
      <c r="G27" s="6">
        <v>0</v>
      </c>
      <c r="H27" s="6">
        <v>0</v>
      </c>
      <c r="I27" s="6" t="s">
        <v>71</v>
      </c>
      <c r="K27" s="6" t="str">
        <f t="shared" si="0"/>
        <v>101001</v>
      </c>
      <c r="L27" s="4">
        <v>13</v>
      </c>
      <c r="M27" s="6" t="s">
        <v>380</v>
      </c>
      <c r="O27" s="13" t="str">
        <f t="shared" si="24"/>
        <v>1.2</v>
      </c>
      <c r="P27" s="13" t="str">
        <f t="shared" ref="P26:P30" si="25">O27</f>
        <v>1.2</v>
      </c>
      <c r="Q27" s="13" t="str">
        <f t="shared" si="20"/>
        <v>1.15</v>
      </c>
      <c r="R27" s="13" t="str">
        <f t="shared" si="21"/>
        <v>1.15</v>
      </c>
      <c r="S27" s="13" t="str">
        <f t="shared" si="22"/>
        <v>1.15</v>
      </c>
      <c r="T27" s="6" t="str">
        <f t="shared" si="2"/>
        <v>1|1.2#2|1.2#3|1.15#4|1.15#5|1.15</v>
      </c>
    </row>
    <row r="28" s="6" customFormat="1" ht="16.5" spans="1:20">
      <c r="A28" s="6">
        <v>1010034</v>
      </c>
      <c r="B28" s="6">
        <v>11001</v>
      </c>
      <c r="C28" s="6">
        <v>4</v>
      </c>
      <c r="D28" s="6">
        <v>3</v>
      </c>
      <c r="E28" s="6" t="str">
        <f t="shared" si="3"/>
        <v>101001:17</v>
      </c>
      <c r="F28" s="11" t="s">
        <v>383</v>
      </c>
      <c r="G28" s="6">
        <v>0</v>
      </c>
      <c r="H28" s="6">
        <v>0</v>
      </c>
      <c r="I28" s="6" t="s">
        <v>73</v>
      </c>
      <c r="K28" s="6" t="str">
        <f t="shared" si="0"/>
        <v>101001</v>
      </c>
      <c r="L28" s="4">
        <v>17</v>
      </c>
      <c r="M28" s="6" t="s">
        <v>380</v>
      </c>
      <c r="O28" s="13" t="str">
        <f t="shared" si="24"/>
        <v>1.2</v>
      </c>
      <c r="P28" s="13" t="str">
        <f t="shared" si="25"/>
        <v>1.2</v>
      </c>
      <c r="Q28" s="13" t="str">
        <f t="shared" ref="Q27:Q30" si="26">P28</f>
        <v>1.2</v>
      </c>
      <c r="R28" s="13" t="str">
        <f t="shared" si="21"/>
        <v>1.15</v>
      </c>
      <c r="S28" s="13" t="str">
        <f t="shared" si="22"/>
        <v>1.15</v>
      </c>
      <c r="T28" s="6" t="str">
        <f t="shared" si="2"/>
        <v>1|1.2#2|1.2#3|1.2#4|1.15#5|1.15</v>
      </c>
    </row>
    <row r="29" s="6" customFormat="1" ht="16.5" spans="1:20">
      <c r="A29" s="6">
        <v>1010035</v>
      </c>
      <c r="B29" s="6">
        <v>11001</v>
      </c>
      <c r="C29" s="6">
        <v>4</v>
      </c>
      <c r="D29" s="6">
        <v>4</v>
      </c>
      <c r="E29" s="6" t="str">
        <f t="shared" si="3"/>
        <v>101001:17</v>
      </c>
      <c r="F29" s="11" t="s">
        <v>384</v>
      </c>
      <c r="G29" s="6">
        <v>0</v>
      </c>
      <c r="H29" s="6">
        <v>0</v>
      </c>
      <c r="I29" s="6" t="s">
        <v>75</v>
      </c>
      <c r="K29" s="6" t="str">
        <f t="shared" si="0"/>
        <v>101001</v>
      </c>
      <c r="L29" s="4">
        <v>17</v>
      </c>
      <c r="M29" s="6" t="s">
        <v>380</v>
      </c>
      <c r="O29" s="13" t="str">
        <f t="shared" si="24"/>
        <v>1.2</v>
      </c>
      <c r="P29" s="13" t="str">
        <f t="shared" si="25"/>
        <v>1.2</v>
      </c>
      <c r="Q29" s="13" t="str">
        <f t="shared" si="26"/>
        <v>1.2</v>
      </c>
      <c r="R29" s="13" t="str">
        <f t="shared" ref="R28:R30" si="27">Q29</f>
        <v>1.2</v>
      </c>
      <c r="S29" s="13" t="str">
        <f t="shared" si="22"/>
        <v>1.15</v>
      </c>
      <c r="T29" s="6" t="str">
        <f t="shared" si="2"/>
        <v>1|1.2#2|1.2#3|1.2#4|1.2#5|1.15</v>
      </c>
    </row>
    <row r="30" s="6" customFormat="1" ht="16.5" spans="1:20">
      <c r="A30" s="6">
        <v>1010036</v>
      </c>
      <c r="B30" s="6">
        <v>11001</v>
      </c>
      <c r="C30" s="6">
        <v>4</v>
      </c>
      <c r="D30" s="6">
        <v>5</v>
      </c>
      <c r="E30" s="6" t="str">
        <f t="shared" si="3"/>
        <v>101001:17</v>
      </c>
      <c r="F30" s="11" t="s">
        <v>385</v>
      </c>
      <c r="G30" s="6">
        <v>11002</v>
      </c>
      <c r="H30" s="6">
        <v>0</v>
      </c>
      <c r="I30" s="6" t="s">
        <v>40</v>
      </c>
      <c r="K30" s="6" t="str">
        <f t="shared" si="0"/>
        <v>101001</v>
      </c>
      <c r="L30" s="4">
        <v>17</v>
      </c>
      <c r="M30" s="6" t="s">
        <v>41</v>
      </c>
      <c r="O30" s="13" t="str">
        <f t="shared" ref="O30:O37" si="28">RIGHT(F30,LEN(F30)-2)</f>
        <v>1.2</v>
      </c>
      <c r="P30" s="13" t="str">
        <f t="shared" si="25"/>
        <v>1.2</v>
      </c>
      <c r="Q30" s="13" t="str">
        <f t="shared" si="26"/>
        <v>1.2</v>
      </c>
      <c r="R30" s="13" t="str">
        <f t="shared" si="27"/>
        <v>1.2</v>
      </c>
      <c r="S30" s="13" t="str">
        <f>R30</f>
        <v>1.2</v>
      </c>
      <c r="T30" s="6" t="str">
        <f t="shared" si="2"/>
        <v>1|1.2#2|1.2#3|1.2#4|1.2#5|1.2</v>
      </c>
    </row>
    <row r="31" s="6" customFormat="1" ht="16.5" spans="1:20">
      <c r="A31" s="6">
        <v>1010037</v>
      </c>
      <c r="B31" s="6">
        <v>11001</v>
      </c>
      <c r="C31" s="6">
        <v>4</v>
      </c>
      <c r="D31" s="6">
        <v>6</v>
      </c>
      <c r="E31" s="6" t="str">
        <f t="shared" si="3"/>
        <v>101001:60</v>
      </c>
      <c r="F31" s="11">
        <v>0</v>
      </c>
      <c r="G31" s="6">
        <v>0</v>
      </c>
      <c r="H31" s="6">
        <v>0</v>
      </c>
      <c r="I31" s="6">
        <v>0</v>
      </c>
      <c r="K31" s="6" t="str">
        <f t="shared" si="0"/>
        <v>101001</v>
      </c>
      <c r="L31" s="13">
        <v>60</v>
      </c>
      <c r="M31" s="6" t="str">
        <f>M30</f>
        <v>101001:40</v>
      </c>
      <c r="O31" s="13" t="str">
        <f>O30</f>
        <v>1.2</v>
      </c>
      <c r="P31" s="13" t="str">
        <f>P30</f>
        <v>1.2</v>
      </c>
      <c r="Q31" s="13" t="str">
        <f t="shared" ref="Q31:Q34" si="29">Q30</f>
        <v>1.2</v>
      </c>
      <c r="R31" s="13" t="str">
        <f t="shared" ref="R31:R35" si="30">R30</f>
        <v>1.2</v>
      </c>
      <c r="S31" s="13" t="str">
        <f t="shared" ref="S31:S36" si="31">S30</f>
        <v>1.2</v>
      </c>
      <c r="T31" s="6" t="str">
        <f t="shared" si="2"/>
        <v>1|1.2#2|1.2#3|1.2#4|1.2#5|1.2</v>
      </c>
    </row>
    <row r="32" s="7" customFormat="1" ht="16.5" spans="1:20">
      <c r="A32" s="7">
        <v>1010038</v>
      </c>
      <c r="B32" s="7">
        <v>11001</v>
      </c>
      <c r="C32" s="7">
        <v>5</v>
      </c>
      <c r="D32" s="7">
        <v>0</v>
      </c>
      <c r="E32" s="7" t="str">
        <f t="shared" si="3"/>
        <v>101001:18</v>
      </c>
      <c r="F32" s="12" t="s">
        <v>386</v>
      </c>
      <c r="G32" s="7">
        <v>0</v>
      </c>
      <c r="H32" s="7">
        <v>0</v>
      </c>
      <c r="I32" s="7" t="s">
        <v>79</v>
      </c>
      <c r="K32" s="7" t="str">
        <f t="shared" si="0"/>
        <v>101001</v>
      </c>
      <c r="L32" s="14">
        <v>18</v>
      </c>
      <c r="M32" s="7" t="s">
        <v>387</v>
      </c>
      <c r="O32" s="15" t="str">
        <f>O31</f>
        <v>1.2</v>
      </c>
      <c r="P32" s="15" t="str">
        <f t="shared" ref="P32:S32" si="32">O32</f>
        <v>1.2</v>
      </c>
      <c r="Q32" s="15" t="str">
        <f t="shared" si="32"/>
        <v>1.2</v>
      </c>
      <c r="R32" s="15" t="str">
        <f>P32</f>
        <v>1.2</v>
      </c>
      <c r="S32" s="15" t="str">
        <f t="shared" si="32"/>
        <v>1.2</v>
      </c>
      <c r="T32" s="6" t="str">
        <f t="shared" si="2"/>
        <v>1|1.2#2|1.2#3|1.2#4|1.2#5|1.2</v>
      </c>
    </row>
    <row r="33" s="6" customFormat="1" ht="16.5" spans="1:20">
      <c r="A33" s="6">
        <v>1010039</v>
      </c>
      <c r="B33" s="6">
        <v>11001</v>
      </c>
      <c r="C33" s="6">
        <v>5</v>
      </c>
      <c r="D33" s="6">
        <v>1</v>
      </c>
      <c r="E33" s="6" t="str">
        <f t="shared" si="3"/>
        <v>101001:18</v>
      </c>
      <c r="F33" s="11" t="s">
        <v>388</v>
      </c>
      <c r="G33" s="6">
        <v>0</v>
      </c>
      <c r="H33" s="6">
        <v>0</v>
      </c>
      <c r="I33" s="6" t="s">
        <v>81</v>
      </c>
      <c r="K33" s="6" t="str">
        <f t="shared" si="0"/>
        <v>101001</v>
      </c>
      <c r="L33" s="4">
        <v>18</v>
      </c>
      <c r="M33" s="6" t="s">
        <v>387</v>
      </c>
      <c r="O33" s="13" t="str">
        <f t="shared" si="28"/>
        <v>1.3</v>
      </c>
      <c r="P33" s="13" t="str">
        <f>P32</f>
        <v>1.2</v>
      </c>
      <c r="Q33" s="13" t="str">
        <f t="shared" si="29"/>
        <v>1.2</v>
      </c>
      <c r="R33" s="13" t="str">
        <f t="shared" si="30"/>
        <v>1.2</v>
      </c>
      <c r="S33" s="13" t="str">
        <f t="shared" si="31"/>
        <v>1.2</v>
      </c>
      <c r="T33" s="6" t="str">
        <f t="shared" si="2"/>
        <v>1|1.3#2|1.2#3|1.2#4|1.2#5|1.2</v>
      </c>
    </row>
    <row r="34" s="6" customFormat="1" ht="16.5" spans="1:20">
      <c r="A34" s="6">
        <v>1010040</v>
      </c>
      <c r="B34" s="6">
        <v>11001</v>
      </c>
      <c r="C34" s="6">
        <v>5</v>
      </c>
      <c r="D34" s="6">
        <v>2</v>
      </c>
      <c r="E34" s="6" t="str">
        <f t="shared" si="3"/>
        <v>101001:18</v>
      </c>
      <c r="F34" s="11" t="s">
        <v>389</v>
      </c>
      <c r="G34" s="6">
        <v>0</v>
      </c>
      <c r="H34" s="6">
        <v>0</v>
      </c>
      <c r="I34" s="6" t="s">
        <v>83</v>
      </c>
      <c r="K34" s="6" t="str">
        <f t="shared" si="0"/>
        <v>101001</v>
      </c>
      <c r="L34" s="4">
        <v>18</v>
      </c>
      <c r="M34" s="6" t="s">
        <v>387</v>
      </c>
      <c r="O34" s="13" t="str">
        <f t="shared" si="28"/>
        <v>1.3</v>
      </c>
      <c r="P34" s="13" t="str">
        <f t="shared" ref="P33:P37" si="33">O34</f>
        <v>1.3</v>
      </c>
      <c r="Q34" s="13" t="str">
        <f t="shared" si="29"/>
        <v>1.2</v>
      </c>
      <c r="R34" s="13" t="str">
        <f t="shared" si="30"/>
        <v>1.2</v>
      </c>
      <c r="S34" s="13" t="str">
        <f t="shared" si="31"/>
        <v>1.2</v>
      </c>
      <c r="T34" s="6" t="str">
        <f t="shared" si="2"/>
        <v>1|1.3#2|1.3#3|1.2#4|1.2#5|1.2</v>
      </c>
    </row>
    <row r="35" s="6" customFormat="1" ht="16.5" spans="1:20">
      <c r="A35" s="6">
        <v>1010041</v>
      </c>
      <c r="B35" s="6">
        <v>11001</v>
      </c>
      <c r="C35" s="6">
        <v>5</v>
      </c>
      <c r="D35" s="6">
        <v>3</v>
      </c>
      <c r="E35" s="6" t="str">
        <f t="shared" si="3"/>
        <v>101001:22</v>
      </c>
      <c r="F35" s="11" t="s">
        <v>390</v>
      </c>
      <c r="G35" s="6">
        <v>0</v>
      </c>
      <c r="H35" s="6">
        <v>0</v>
      </c>
      <c r="I35" s="6" t="s">
        <v>85</v>
      </c>
      <c r="K35" s="6" t="str">
        <f t="shared" si="0"/>
        <v>101001</v>
      </c>
      <c r="L35" s="4">
        <v>22</v>
      </c>
      <c r="M35" s="6" t="s">
        <v>387</v>
      </c>
      <c r="O35" s="13" t="str">
        <f t="shared" si="28"/>
        <v>1.3</v>
      </c>
      <c r="P35" s="13" t="str">
        <f t="shared" si="33"/>
        <v>1.3</v>
      </c>
      <c r="Q35" s="13" t="str">
        <f t="shared" ref="Q34:Q37" si="34">P35</f>
        <v>1.3</v>
      </c>
      <c r="R35" s="13" t="str">
        <f t="shared" si="30"/>
        <v>1.2</v>
      </c>
      <c r="S35" s="13" t="str">
        <f t="shared" si="31"/>
        <v>1.2</v>
      </c>
      <c r="T35" s="6" t="str">
        <f t="shared" si="2"/>
        <v>1|1.3#2|1.3#3|1.3#4|1.2#5|1.2</v>
      </c>
    </row>
    <row r="36" s="6" customFormat="1" ht="16.5" spans="1:20">
      <c r="A36" s="6">
        <v>1010042</v>
      </c>
      <c r="B36" s="6">
        <v>11001</v>
      </c>
      <c r="C36" s="6">
        <v>5</v>
      </c>
      <c r="D36" s="6">
        <v>4</v>
      </c>
      <c r="E36" s="6" t="str">
        <f t="shared" si="3"/>
        <v>101001:22</v>
      </c>
      <c r="F36" s="11" t="s">
        <v>391</v>
      </c>
      <c r="G36" s="6">
        <v>0</v>
      </c>
      <c r="H36" s="6">
        <v>0</v>
      </c>
      <c r="I36" s="6" t="s">
        <v>87</v>
      </c>
      <c r="K36" s="6" t="str">
        <f t="shared" si="0"/>
        <v>101001</v>
      </c>
      <c r="L36" s="4">
        <v>22</v>
      </c>
      <c r="M36" s="6" t="s">
        <v>387</v>
      </c>
      <c r="O36" s="13" t="str">
        <f t="shared" si="28"/>
        <v>1.3</v>
      </c>
      <c r="P36" s="13" t="str">
        <f t="shared" si="33"/>
        <v>1.3</v>
      </c>
      <c r="Q36" s="13" t="str">
        <f t="shared" si="34"/>
        <v>1.3</v>
      </c>
      <c r="R36" s="13" t="str">
        <f t="shared" ref="R35:R37" si="35">Q36</f>
        <v>1.3</v>
      </c>
      <c r="S36" s="13" t="str">
        <f t="shared" si="31"/>
        <v>1.2</v>
      </c>
      <c r="T36" s="6" t="str">
        <f t="shared" si="2"/>
        <v>1|1.3#2|1.3#3|1.3#4|1.3#5|1.2</v>
      </c>
    </row>
    <row r="37" s="6" customFormat="1" ht="16.5" spans="1:20">
      <c r="A37" s="6">
        <v>1010043</v>
      </c>
      <c r="B37" s="6">
        <v>11001</v>
      </c>
      <c r="C37" s="6">
        <v>5</v>
      </c>
      <c r="D37" s="6">
        <v>5</v>
      </c>
      <c r="E37" s="6" t="str">
        <f t="shared" si="3"/>
        <v>101001:22</v>
      </c>
      <c r="F37" s="11" t="s">
        <v>392</v>
      </c>
      <c r="G37" s="6">
        <v>11002</v>
      </c>
      <c r="H37" s="6">
        <v>0</v>
      </c>
      <c r="I37" s="6" t="s">
        <v>40</v>
      </c>
      <c r="K37" s="6" t="str">
        <f t="shared" si="0"/>
        <v>101001</v>
      </c>
      <c r="L37" s="4">
        <v>22</v>
      </c>
      <c r="M37" s="6" t="s">
        <v>393</v>
      </c>
      <c r="O37" s="13" t="str">
        <f t="shared" si="28"/>
        <v>1.3</v>
      </c>
      <c r="P37" s="13" t="str">
        <f t="shared" si="33"/>
        <v>1.3</v>
      </c>
      <c r="Q37" s="13" t="str">
        <f t="shared" si="34"/>
        <v>1.3</v>
      </c>
      <c r="R37" s="13" t="str">
        <f t="shared" si="35"/>
        <v>1.3</v>
      </c>
      <c r="S37" s="13" t="str">
        <f>R37</f>
        <v>1.3</v>
      </c>
      <c r="T37" s="6" t="str">
        <f t="shared" si="2"/>
        <v>1|1.3#2|1.3#3|1.3#4|1.3#5|1.3</v>
      </c>
    </row>
    <row r="38" s="6" customFormat="1" ht="16.5" spans="1:20">
      <c r="A38" s="6">
        <v>1010044</v>
      </c>
      <c r="B38" s="6">
        <v>11001</v>
      </c>
      <c r="C38" s="6">
        <v>5</v>
      </c>
      <c r="D38" s="6">
        <v>6</v>
      </c>
      <c r="E38" s="6" t="str">
        <f t="shared" si="3"/>
        <v>101001:60</v>
      </c>
      <c r="F38" s="11">
        <v>0</v>
      </c>
      <c r="G38" s="6">
        <v>0</v>
      </c>
      <c r="H38" s="6">
        <v>0</v>
      </c>
      <c r="I38" s="6">
        <v>0</v>
      </c>
      <c r="K38" s="6" t="str">
        <f t="shared" si="0"/>
        <v>101001</v>
      </c>
      <c r="L38" s="13">
        <v>60</v>
      </c>
      <c r="M38" s="6" t="str">
        <f>M37</f>
        <v>101001:60</v>
      </c>
      <c r="O38" s="13" t="str">
        <f>O37</f>
        <v>1.3</v>
      </c>
      <c r="P38" s="13" t="str">
        <f>P37</f>
        <v>1.3</v>
      </c>
      <c r="Q38" s="13" t="str">
        <f t="shared" ref="Q38:Q41" si="36">Q37</f>
        <v>1.3</v>
      </c>
      <c r="R38" s="13" t="str">
        <f t="shared" ref="R38:R42" si="37">R37</f>
        <v>1.3</v>
      </c>
      <c r="S38" s="13" t="str">
        <f t="shared" ref="S38:S43" si="38">S37</f>
        <v>1.3</v>
      </c>
      <c r="T38" s="6" t="str">
        <f t="shared" si="2"/>
        <v>1|1.3#2|1.3#3|1.3#4|1.3#5|1.3</v>
      </c>
    </row>
    <row r="39" s="7" customFormat="1" ht="16.5" spans="1:20">
      <c r="A39" s="7">
        <v>1010045</v>
      </c>
      <c r="B39" s="7">
        <v>11001</v>
      </c>
      <c r="C39" s="7">
        <v>6</v>
      </c>
      <c r="D39" s="7">
        <v>0</v>
      </c>
      <c r="E39" s="7" t="str">
        <f t="shared" si="3"/>
        <v>101001:24</v>
      </c>
      <c r="F39" s="12" t="s">
        <v>394</v>
      </c>
      <c r="G39" s="7">
        <v>0</v>
      </c>
      <c r="H39" s="7">
        <v>0</v>
      </c>
      <c r="I39" s="7" t="s">
        <v>90</v>
      </c>
      <c r="K39" s="7" t="str">
        <f t="shared" si="0"/>
        <v>101001</v>
      </c>
      <c r="L39" s="14">
        <v>24</v>
      </c>
      <c r="M39" s="7" t="s">
        <v>395</v>
      </c>
      <c r="O39" s="15" t="str">
        <f>O38</f>
        <v>1.3</v>
      </c>
      <c r="P39" s="15" t="str">
        <f t="shared" ref="P39:S39" si="39">O39</f>
        <v>1.3</v>
      </c>
      <c r="Q39" s="15" t="str">
        <f t="shared" si="39"/>
        <v>1.3</v>
      </c>
      <c r="R39" s="15" t="str">
        <f>P39</f>
        <v>1.3</v>
      </c>
      <c r="S39" s="15" t="str">
        <f t="shared" si="39"/>
        <v>1.3</v>
      </c>
      <c r="T39" s="6" t="str">
        <f t="shared" si="2"/>
        <v>1|1.3#2|1.3#3|1.3#4|1.3#5|1.3</v>
      </c>
    </row>
    <row r="40" s="6" customFormat="1" ht="16.5" spans="1:20">
      <c r="A40" s="6">
        <v>1010046</v>
      </c>
      <c r="B40" s="6">
        <v>11001</v>
      </c>
      <c r="C40" s="6">
        <v>6</v>
      </c>
      <c r="D40" s="6">
        <v>1</v>
      </c>
      <c r="E40" s="6" t="str">
        <f t="shared" si="3"/>
        <v>101001:24</v>
      </c>
      <c r="F40" s="11" t="s">
        <v>396</v>
      </c>
      <c r="G40" s="6">
        <v>0</v>
      </c>
      <c r="H40" s="6">
        <v>0</v>
      </c>
      <c r="I40" s="6" t="s">
        <v>92</v>
      </c>
      <c r="K40" s="6" t="str">
        <f t="shared" si="0"/>
        <v>101001</v>
      </c>
      <c r="L40" s="4">
        <v>24</v>
      </c>
      <c r="M40" s="6" t="s">
        <v>395</v>
      </c>
      <c r="O40" s="13" t="str">
        <f t="shared" ref="O39:O44" si="40">RIGHT(F40,LEN(F40)-2)</f>
        <v>1.4</v>
      </c>
      <c r="P40" s="13" t="str">
        <f>P39</f>
        <v>1.3</v>
      </c>
      <c r="Q40" s="13" t="str">
        <f t="shared" si="36"/>
        <v>1.3</v>
      </c>
      <c r="R40" s="13" t="str">
        <f t="shared" si="37"/>
        <v>1.3</v>
      </c>
      <c r="S40" s="13" t="str">
        <f t="shared" si="38"/>
        <v>1.3</v>
      </c>
      <c r="T40" s="6" t="str">
        <f t="shared" si="2"/>
        <v>1|1.4#2|1.3#3|1.3#4|1.3#5|1.3</v>
      </c>
    </row>
    <row r="41" s="6" customFormat="1" ht="16.5" spans="1:20">
      <c r="A41" s="6">
        <v>1010047</v>
      </c>
      <c r="B41" s="6">
        <v>11001</v>
      </c>
      <c r="C41" s="6">
        <v>6</v>
      </c>
      <c r="D41" s="6">
        <v>2</v>
      </c>
      <c r="E41" s="6" t="str">
        <f t="shared" si="3"/>
        <v>101001:24</v>
      </c>
      <c r="F41" s="11" t="s">
        <v>397</v>
      </c>
      <c r="G41" s="6">
        <v>0</v>
      </c>
      <c r="H41" s="6">
        <v>0</v>
      </c>
      <c r="I41" s="6" t="s">
        <v>94</v>
      </c>
      <c r="K41" s="6" t="str">
        <f t="shared" si="0"/>
        <v>101001</v>
      </c>
      <c r="L41" s="4">
        <v>24</v>
      </c>
      <c r="M41" s="6" t="s">
        <v>395</v>
      </c>
      <c r="O41" s="13" t="str">
        <f t="shared" si="40"/>
        <v>1.4</v>
      </c>
      <c r="P41" s="13" t="str">
        <f t="shared" ref="P40:P44" si="41">O41</f>
        <v>1.4</v>
      </c>
      <c r="Q41" s="13" t="str">
        <f t="shared" si="36"/>
        <v>1.3</v>
      </c>
      <c r="R41" s="13" t="str">
        <f t="shared" si="37"/>
        <v>1.3</v>
      </c>
      <c r="S41" s="13" t="str">
        <f t="shared" si="38"/>
        <v>1.3</v>
      </c>
      <c r="T41" s="6" t="str">
        <f t="shared" si="2"/>
        <v>1|1.4#2|1.4#3|1.3#4|1.3#5|1.3</v>
      </c>
    </row>
    <row r="42" s="6" customFormat="1" ht="16.5" spans="1:20">
      <c r="A42" s="6">
        <v>1010048</v>
      </c>
      <c r="B42" s="6">
        <v>11001</v>
      </c>
      <c r="C42" s="6">
        <v>6</v>
      </c>
      <c r="D42" s="6">
        <v>3</v>
      </c>
      <c r="E42" s="6" t="str">
        <f t="shared" si="3"/>
        <v>101001:24</v>
      </c>
      <c r="F42" s="11" t="s">
        <v>398</v>
      </c>
      <c r="G42" s="6">
        <v>0</v>
      </c>
      <c r="H42" s="6">
        <v>0</v>
      </c>
      <c r="I42" s="6" t="s">
        <v>96</v>
      </c>
      <c r="K42" s="6" t="str">
        <f t="shared" si="0"/>
        <v>101001</v>
      </c>
      <c r="L42" s="4">
        <v>24</v>
      </c>
      <c r="M42" s="6" t="s">
        <v>395</v>
      </c>
      <c r="O42" s="13" t="str">
        <f t="shared" si="40"/>
        <v>1.4</v>
      </c>
      <c r="P42" s="13" t="str">
        <f t="shared" si="41"/>
        <v>1.4</v>
      </c>
      <c r="Q42" s="13" t="str">
        <f t="shared" ref="Q41:Q44" si="42">P42</f>
        <v>1.4</v>
      </c>
      <c r="R42" s="13" t="str">
        <f t="shared" si="37"/>
        <v>1.3</v>
      </c>
      <c r="S42" s="13" t="str">
        <f t="shared" si="38"/>
        <v>1.3</v>
      </c>
      <c r="T42" s="6" t="str">
        <f t="shared" si="2"/>
        <v>1|1.4#2|1.4#3|1.4#4|1.3#5|1.3</v>
      </c>
    </row>
    <row r="43" s="6" customFormat="1" ht="16.5" spans="1:20">
      <c r="A43" s="6">
        <v>1010049</v>
      </c>
      <c r="B43" s="6">
        <v>11001</v>
      </c>
      <c r="C43" s="6">
        <v>6</v>
      </c>
      <c r="D43" s="6">
        <v>4</v>
      </c>
      <c r="E43" s="6" t="str">
        <f t="shared" si="3"/>
        <v>101001:24</v>
      </c>
      <c r="F43" s="11" t="s">
        <v>399</v>
      </c>
      <c r="G43" s="6">
        <v>0</v>
      </c>
      <c r="H43" s="6">
        <v>0</v>
      </c>
      <c r="I43" s="6" t="s">
        <v>98</v>
      </c>
      <c r="K43" s="6" t="str">
        <f t="shared" si="0"/>
        <v>101001</v>
      </c>
      <c r="L43" s="4">
        <v>24</v>
      </c>
      <c r="M43" s="6" t="s">
        <v>395</v>
      </c>
      <c r="O43" s="13" t="str">
        <f t="shared" si="40"/>
        <v>1.4</v>
      </c>
      <c r="P43" s="13" t="str">
        <f t="shared" si="41"/>
        <v>1.4</v>
      </c>
      <c r="Q43" s="13" t="str">
        <f t="shared" si="42"/>
        <v>1.4</v>
      </c>
      <c r="R43" s="13" t="str">
        <f t="shared" ref="R42:R44" si="43">Q43</f>
        <v>1.4</v>
      </c>
      <c r="S43" s="13" t="str">
        <f t="shared" si="38"/>
        <v>1.3</v>
      </c>
      <c r="T43" s="6" t="str">
        <f t="shared" si="2"/>
        <v>1|1.4#2|1.4#3|1.4#4|1.4#5|1.3</v>
      </c>
    </row>
    <row r="44" s="6" customFormat="1" ht="16.5" spans="1:20">
      <c r="A44" s="6">
        <v>1010050</v>
      </c>
      <c r="B44" s="6">
        <v>11001</v>
      </c>
      <c r="C44" s="6">
        <v>6</v>
      </c>
      <c r="D44" s="6">
        <v>5</v>
      </c>
      <c r="E44" s="6" t="str">
        <f t="shared" si="3"/>
        <v>101001:60</v>
      </c>
      <c r="F44" s="11" t="s">
        <v>400</v>
      </c>
      <c r="G44" s="6">
        <v>11002</v>
      </c>
      <c r="H44" s="6">
        <v>0</v>
      </c>
      <c r="I44" s="6" t="s">
        <v>40</v>
      </c>
      <c r="K44" s="6" t="str">
        <f t="shared" si="0"/>
        <v>101001</v>
      </c>
      <c r="L44" s="4">
        <v>60</v>
      </c>
      <c r="M44" s="6" t="s">
        <v>393</v>
      </c>
      <c r="O44" s="13" t="str">
        <f t="shared" si="40"/>
        <v>1.4</v>
      </c>
      <c r="P44" s="13" t="str">
        <f t="shared" si="41"/>
        <v>1.4</v>
      </c>
      <c r="Q44" s="13" t="str">
        <f t="shared" si="42"/>
        <v>1.4</v>
      </c>
      <c r="R44" s="13" t="str">
        <f t="shared" si="43"/>
        <v>1.4</v>
      </c>
      <c r="S44" s="13" t="str">
        <f>R44</f>
        <v>1.4</v>
      </c>
      <c r="T44" s="6" t="str">
        <f t="shared" si="2"/>
        <v>1|1.4#2|1.4#3|1.4#4|1.4#5|1.4</v>
      </c>
    </row>
    <row r="45" s="6" customFormat="1" ht="16.5" spans="1:20">
      <c r="A45" s="6">
        <v>1010051</v>
      </c>
      <c r="B45" s="6">
        <v>11001</v>
      </c>
      <c r="C45" s="6">
        <v>6</v>
      </c>
      <c r="D45" s="6">
        <v>6</v>
      </c>
      <c r="E45" s="6" t="str">
        <f t="shared" si="3"/>
        <v>101001:0</v>
      </c>
      <c r="F45" s="11">
        <v>0</v>
      </c>
      <c r="G45" s="6">
        <v>0</v>
      </c>
      <c r="H45" s="6">
        <v>0</v>
      </c>
      <c r="I45" s="6">
        <v>0</v>
      </c>
      <c r="K45" s="6" t="str">
        <f t="shared" si="0"/>
        <v>101001</v>
      </c>
      <c r="L45" s="4">
        <v>0</v>
      </c>
      <c r="M45" s="6" t="str">
        <f>M44</f>
        <v>101001:60</v>
      </c>
      <c r="O45" s="13" t="str">
        <f>O44</f>
        <v>1.4</v>
      </c>
      <c r="P45" s="13" t="str">
        <f>P44</f>
        <v>1.4</v>
      </c>
      <c r="Q45" s="13" t="str">
        <f>Q44</f>
        <v>1.4</v>
      </c>
      <c r="R45" s="13" t="str">
        <f>R44</f>
        <v>1.4</v>
      </c>
      <c r="S45" s="13" t="str">
        <f t="shared" ref="S45:S49" si="44">S44</f>
        <v>1.4</v>
      </c>
      <c r="T45" s="6" t="str">
        <f t="shared" si="2"/>
        <v>1|1.4#2|1.4#3|1.4#4|1.4#5|1.4</v>
      </c>
    </row>
    <row r="46" s="7" customFormat="1" ht="16.5" spans="1:20">
      <c r="A46" s="7">
        <v>1010052</v>
      </c>
      <c r="B46" s="7">
        <v>12001</v>
      </c>
      <c r="C46" s="7">
        <v>1</v>
      </c>
      <c r="D46" s="7">
        <v>0</v>
      </c>
      <c r="E46" s="7" t="str">
        <f t="shared" si="3"/>
        <v>102001:2</v>
      </c>
      <c r="F46" s="12" t="s">
        <v>356</v>
      </c>
      <c r="G46" s="7">
        <v>0</v>
      </c>
      <c r="H46" s="7">
        <v>0</v>
      </c>
      <c r="I46" s="7" t="s">
        <v>25</v>
      </c>
      <c r="K46" s="7" t="str">
        <f t="shared" si="0"/>
        <v>102001</v>
      </c>
      <c r="L46" s="14">
        <v>2</v>
      </c>
      <c r="M46" s="7" t="s">
        <v>401</v>
      </c>
      <c r="O46" s="13">
        <v>1</v>
      </c>
      <c r="P46" s="13">
        <f t="shared" ref="P46:S46" si="45">O46</f>
        <v>1</v>
      </c>
      <c r="Q46" s="13">
        <f t="shared" si="45"/>
        <v>1</v>
      </c>
      <c r="R46" s="13">
        <f>P46</f>
        <v>1</v>
      </c>
      <c r="S46" s="13">
        <f t="shared" si="45"/>
        <v>1</v>
      </c>
      <c r="T46" s="6" t="str">
        <f t="shared" si="2"/>
        <v>1|1#2|1#3|1#4|1#5|1</v>
      </c>
    </row>
    <row r="47" s="6" customFormat="1" ht="16.5" spans="1:20">
      <c r="A47" s="6">
        <v>1010053</v>
      </c>
      <c r="B47" s="6">
        <v>12001</v>
      </c>
      <c r="C47" s="6">
        <v>1</v>
      </c>
      <c r="D47" s="6">
        <v>1</v>
      </c>
      <c r="E47" s="6" t="str">
        <f t="shared" si="3"/>
        <v>102001:2</v>
      </c>
      <c r="F47" s="11" t="s">
        <v>358</v>
      </c>
      <c r="G47" s="6">
        <v>0</v>
      </c>
      <c r="H47" s="6">
        <v>0</v>
      </c>
      <c r="I47" s="6" t="s">
        <v>28</v>
      </c>
      <c r="K47" s="6" t="str">
        <f t="shared" si="0"/>
        <v>102001</v>
      </c>
      <c r="L47" s="4">
        <v>2</v>
      </c>
      <c r="M47" s="6" t="s">
        <v>401</v>
      </c>
      <c r="O47" s="13" t="str">
        <f t="shared" ref="O47:O51" si="46">RIGHT(F47,LEN(F47)-2)</f>
        <v>1.05</v>
      </c>
      <c r="P47" s="13">
        <v>1</v>
      </c>
      <c r="Q47" s="13">
        <f t="shared" ref="Q47:S47" si="47">Q46</f>
        <v>1</v>
      </c>
      <c r="R47" s="13">
        <f t="shared" si="47"/>
        <v>1</v>
      </c>
      <c r="S47" s="13">
        <f t="shared" si="47"/>
        <v>1</v>
      </c>
      <c r="T47" s="6" t="str">
        <f t="shared" si="2"/>
        <v>1|1.05#2|1#3|1#4|1#5|1</v>
      </c>
    </row>
    <row r="48" s="6" customFormat="1" ht="16.5" spans="1:20">
      <c r="A48" s="6">
        <v>1010054</v>
      </c>
      <c r="B48" s="6">
        <v>12001</v>
      </c>
      <c r="C48" s="6">
        <v>1</v>
      </c>
      <c r="D48" s="6">
        <v>2</v>
      </c>
      <c r="E48" s="6" t="str">
        <f t="shared" si="3"/>
        <v>102001:2</v>
      </c>
      <c r="F48" s="11" t="s">
        <v>359</v>
      </c>
      <c r="G48" s="6">
        <v>0</v>
      </c>
      <c r="H48" s="6">
        <v>0</v>
      </c>
      <c r="I48" s="6" t="s">
        <v>31</v>
      </c>
      <c r="K48" s="6" t="str">
        <f t="shared" si="0"/>
        <v>102001</v>
      </c>
      <c r="L48" s="4">
        <v>2</v>
      </c>
      <c r="M48" s="6" t="s">
        <v>401</v>
      </c>
      <c r="O48" s="13" t="str">
        <f t="shared" si="46"/>
        <v>1.05</v>
      </c>
      <c r="P48" s="13" t="str">
        <f t="shared" ref="P48:P51" si="48">O48</f>
        <v>1.05</v>
      </c>
      <c r="Q48" s="13">
        <v>1</v>
      </c>
      <c r="R48" s="13">
        <f>R47</f>
        <v>1</v>
      </c>
      <c r="S48" s="13">
        <f t="shared" si="44"/>
        <v>1</v>
      </c>
      <c r="T48" s="6" t="str">
        <f t="shared" si="2"/>
        <v>1|1.05#2|1.05#3|1#4|1#5|1</v>
      </c>
    </row>
    <row r="49" s="6" customFormat="1" ht="16.5" spans="1:20">
      <c r="A49" s="6">
        <v>1010055</v>
      </c>
      <c r="B49" s="6">
        <v>12001</v>
      </c>
      <c r="C49" s="6">
        <v>1</v>
      </c>
      <c r="D49" s="6">
        <v>3</v>
      </c>
      <c r="E49" s="6" t="str">
        <f t="shared" si="3"/>
        <v>102001:3</v>
      </c>
      <c r="F49" s="11" t="s">
        <v>360</v>
      </c>
      <c r="G49" s="6">
        <v>0</v>
      </c>
      <c r="H49" s="6">
        <v>0</v>
      </c>
      <c r="I49" s="6" t="s">
        <v>34</v>
      </c>
      <c r="K49" s="6" t="str">
        <f t="shared" si="0"/>
        <v>102001</v>
      </c>
      <c r="L49" s="4">
        <v>3</v>
      </c>
      <c r="M49" s="6" t="s">
        <v>401</v>
      </c>
      <c r="O49" s="13" t="str">
        <f t="shared" si="46"/>
        <v>1.05</v>
      </c>
      <c r="P49" s="13" t="str">
        <f t="shared" si="48"/>
        <v>1.05</v>
      </c>
      <c r="Q49" s="13" t="str">
        <f t="shared" ref="Q49:Q51" si="49">P49</f>
        <v>1.05</v>
      </c>
      <c r="R49" s="13">
        <v>1</v>
      </c>
      <c r="S49" s="13">
        <f t="shared" si="44"/>
        <v>1</v>
      </c>
      <c r="T49" s="6" t="str">
        <f t="shared" si="2"/>
        <v>1|1.05#2|1.05#3|1.05#4|1#5|1</v>
      </c>
    </row>
    <row r="50" s="6" customFormat="1" ht="16.5" spans="1:20">
      <c r="A50" s="6">
        <v>1010056</v>
      </c>
      <c r="B50" s="6">
        <v>12001</v>
      </c>
      <c r="C50" s="6">
        <v>1</v>
      </c>
      <c r="D50" s="6">
        <v>4</v>
      </c>
      <c r="E50" s="6" t="str">
        <f t="shared" si="3"/>
        <v>102001:3</v>
      </c>
      <c r="F50" s="11" t="s">
        <v>361</v>
      </c>
      <c r="G50" s="6">
        <v>0</v>
      </c>
      <c r="H50" s="6">
        <v>0</v>
      </c>
      <c r="I50" s="6" t="s">
        <v>37</v>
      </c>
      <c r="K50" s="6" t="str">
        <f t="shared" si="0"/>
        <v>102001</v>
      </c>
      <c r="L50" s="4">
        <v>3</v>
      </c>
      <c r="M50" s="6" t="s">
        <v>401</v>
      </c>
      <c r="O50" s="13" t="str">
        <f t="shared" si="46"/>
        <v>1.05</v>
      </c>
      <c r="P50" s="13" t="str">
        <f t="shared" si="48"/>
        <v>1.05</v>
      </c>
      <c r="Q50" s="13" t="str">
        <f t="shared" si="49"/>
        <v>1.05</v>
      </c>
      <c r="R50" s="13" t="str">
        <f>Q50</f>
        <v>1.05</v>
      </c>
      <c r="S50" s="13">
        <v>1</v>
      </c>
      <c r="T50" s="6" t="str">
        <f t="shared" si="2"/>
        <v>1|1.05#2|1.05#3|1.05#4|1.05#5|1</v>
      </c>
    </row>
    <row r="51" s="6" customFormat="1" ht="16.5" spans="1:20">
      <c r="A51" s="6">
        <v>1010057</v>
      </c>
      <c r="B51" s="6">
        <v>12001</v>
      </c>
      <c r="C51" s="6">
        <v>1</v>
      </c>
      <c r="D51" s="6">
        <v>5</v>
      </c>
      <c r="E51" s="6" t="str">
        <f t="shared" si="3"/>
        <v>102001:3</v>
      </c>
      <c r="F51" s="11" t="s">
        <v>362</v>
      </c>
      <c r="G51" s="6">
        <v>11002</v>
      </c>
      <c r="H51" s="6">
        <v>0</v>
      </c>
      <c r="I51" s="6" t="s">
        <v>40</v>
      </c>
      <c r="K51" s="6" t="str">
        <f t="shared" si="0"/>
        <v>102001</v>
      </c>
      <c r="L51" s="4">
        <v>3</v>
      </c>
      <c r="M51" s="6" t="s">
        <v>402</v>
      </c>
      <c r="O51" s="13" t="str">
        <f t="shared" si="46"/>
        <v>1.05</v>
      </c>
      <c r="P51" s="13" t="str">
        <f t="shared" si="48"/>
        <v>1.05</v>
      </c>
      <c r="Q51" s="13" t="str">
        <f t="shared" si="49"/>
        <v>1.05</v>
      </c>
      <c r="R51" s="13" t="str">
        <f>Q51</f>
        <v>1.05</v>
      </c>
      <c r="S51" s="13" t="str">
        <f>R51</f>
        <v>1.05</v>
      </c>
      <c r="T51" s="6" t="str">
        <f t="shared" si="2"/>
        <v>1|1.05#2|1.05#3|1.05#4|1.05#5|1.05</v>
      </c>
    </row>
    <row r="52" s="6" customFormat="1" ht="16.5" spans="1:20">
      <c r="A52" s="6">
        <v>1010058</v>
      </c>
      <c r="B52" s="6">
        <v>12001</v>
      </c>
      <c r="C52" s="6">
        <v>1</v>
      </c>
      <c r="D52" s="6">
        <v>6</v>
      </c>
      <c r="E52" s="6" t="str">
        <f t="shared" si="3"/>
        <v>102001:5</v>
      </c>
      <c r="F52" s="11">
        <v>0</v>
      </c>
      <c r="G52" s="6">
        <v>0</v>
      </c>
      <c r="H52" s="6">
        <v>0</v>
      </c>
      <c r="I52" s="6">
        <v>0</v>
      </c>
      <c r="K52" s="6" t="str">
        <f t="shared" si="0"/>
        <v>102001</v>
      </c>
      <c r="L52" s="13">
        <v>5</v>
      </c>
      <c r="M52" s="6" t="str">
        <f t="shared" ref="M52:S52" si="50">M51</f>
        <v>102001:5</v>
      </c>
      <c r="O52" s="13" t="str">
        <f t="shared" si="50"/>
        <v>1.05</v>
      </c>
      <c r="P52" s="13" t="str">
        <f t="shared" si="50"/>
        <v>1.05</v>
      </c>
      <c r="Q52" s="13" t="str">
        <f t="shared" si="50"/>
        <v>1.05</v>
      </c>
      <c r="R52" s="13" t="str">
        <f t="shared" si="50"/>
        <v>1.05</v>
      </c>
      <c r="S52" s="13" t="str">
        <f t="shared" si="50"/>
        <v>1.05</v>
      </c>
      <c r="T52" s="6" t="str">
        <f t="shared" si="2"/>
        <v>1|1.05#2|1.05#3|1.05#4|1.05#5|1.05</v>
      </c>
    </row>
    <row r="53" s="6" customFormat="1" ht="16.5" spans="1:20">
      <c r="A53" s="6">
        <v>1010059</v>
      </c>
      <c r="B53" s="6">
        <v>12001</v>
      </c>
      <c r="C53" s="6">
        <v>2</v>
      </c>
      <c r="D53" s="6">
        <v>0</v>
      </c>
      <c r="E53" s="6" t="str">
        <f t="shared" si="3"/>
        <v>102001:5</v>
      </c>
      <c r="F53" s="11" t="s">
        <v>364</v>
      </c>
      <c r="G53" s="6">
        <v>0</v>
      </c>
      <c r="H53" s="6">
        <v>0</v>
      </c>
      <c r="I53" s="6" t="s">
        <v>43</v>
      </c>
      <c r="K53" s="6" t="str">
        <f t="shared" si="0"/>
        <v>102001</v>
      </c>
      <c r="L53" s="4">
        <v>5</v>
      </c>
      <c r="M53" s="6" t="s">
        <v>403</v>
      </c>
      <c r="O53" s="15" t="str">
        <f>O52</f>
        <v>1.05</v>
      </c>
      <c r="P53" s="15" t="str">
        <f t="shared" ref="P53:S53" si="51">O53</f>
        <v>1.05</v>
      </c>
      <c r="Q53" s="15" t="str">
        <f t="shared" si="51"/>
        <v>1.05</v>
      </c>
      <c r="R53" s="15" t="str">
        <f>P53</f>
        <v>1.05</v>
      </c>
      <c r="S53" s="15" t="str">
        <f t="shared" si="51"/>
        <v>1.05</v>
      </c>
      <c r="T53" s="6" t="str">
        <f t="shared" si="2"/>
        <v>1|1.05#2|1.05#3|1.05#4|1.05#5|1.05</v>
      </c>
    </row>
    <row r="54" s="6" customFormat="1" ht="16.5" spans="1:20">
      <c r="A54" s="6">
        <v>1010060</v>
      </c>
      <c r="B54" s="6">
        <v>12001</v>
      </c>
      <c r="C54" s="6">
        <v>2</v>
      </c>
      <c r="D54" s="6">
        <v>1</v>
      </c>
      <c r="E54" s="6" t="str">
        <f t="shared" si="3"/>
        <v>102001:5</v>
      </c>
      <c r="F54" s="11" t="s">
        <v>366</v>
      </c>
      <c r="G54" s="6">
        <v>0</v>
      </c>
      <c r="H54" s="6">
        <v>0</v>
      </c>
      <c r="I54" s="6" t="s">
        <v>45</v>
      </c>
      <c r="K54" s="6" t="str">
        <f t="shared" si="0"/>
        <v>102001</v>
      </c>
      <c r="L54" s="4">
        <v>5</v>
      </c>
      <c r="M54" s="6" t="s">
        <v>403</v>
      </c>
      <c r="O54" s="13" t="str">
        <f t="shared" ref="O54:O58" si="52">RIGHT(F54,LEN(F54)-2)</f>
        <v>1.1</v>
      </c>
      <c r="P54" s="13">
        <v>1.05</v>
      </c>
      <c r="Q54" s="13" t="str">
        <f t="shared" ref="Q54:S54" si="53">Q53</f>
        <v>1.05</v>
      </c>
      <c r="R54" s="13" t="str">
        <f t="shared" si="53"/>
        <v>1.05</v>
      </c>
      <c r="S54" s="13" t="str">
        <f t="shared" si="53"/>
        <v>1.05</v>
      </c>
      <c r="T54" s="6" t="str">
        <f t="shared" si="2"/>
        <v>1|1.1#2|1.05#3|1.05#4|1.05#5|1.05</v>
      </c>
    </row>
    <row r="55" s="6" customFormat="1" ht="16.5" spans="1:20">
      <c r="A55" s="6">
        <v>1010061</v>
      </c>
      <c r="B55" s="6">
        <v>12001</v>
      </c>
      <c r="C55" s="6">
        <v>2</v>
      </c>
      <c r="D55" s="6">
        <v>2</v>
      </c>
      <c r="E55" s="6" t="str">
        <f t="shared" si="3"/>
        <v>102001:5</v>
      </c>
      <c r="F55" s="11" t="s">
        <v>367</v>
      </c>
      <c r="G55" s="6">
        <v>0</v>
      </c>
      <c r="H55" s="6">
        <v>0</v>
      </c>
      <c r="I55" s="6" t="s">
        <v>47</v>
      </c>
      <c r="K55" s="6" t="str">
        <f t="shared" si="0"/>
        <v>102001</v>
      </c>
      <c r="L55" s="4">
        <v>5</v>
      </c>
      <c r="M55" s="6" t="s">
        <v>403</v>
      </c>
      <c r="O55" s="13" t="str">
        <f t="shared" si="52"/>
        <v>1.1</v>
      </c>
      <c r="P55" s="13" t="str">
        <f t="shared" ref="P55:P58" si="54">O55</f>
        <v>1.1</v>
      </c>
      <c r="Q55" s="13">
        <v>1.05</v>
      </c>
      <c r="R55" s="13" t="str">
        <f>R54</f>
        <v>1.05</v>
      </c>
      <c r="S55" s="13" t="str">
        <f>S54</f>
        <v>1.05</v>
      </c>
      <c r="T55" s="6" t="str">
        <f t="shared" si="2"/>
        <v>1|1.1#2|1.1#3|1.05#4|1.05#5|1.05</v>
      </c>
    </row>
    <row r="56" s="6" customFormat="1" ht="16.5" spans="1:20">
      <c r="A56" s="6">
        <v>1010062</v>
      </c>
      <c r="B56" s="6">
        <v>12001</v>
      </c>
      <c r="C56" s="6">
        <v>2</v>
      </c>
      <c r="D56" s="6">
        <v>3</v>
      </c>
      <c r="E56" s="6" t="str">
        <f t="shared" si="3"/>
        <v>102001:6</v>
      </c>
      <c r="F56" s="11" t="s">
        <v>368</v>
      </c>
      <c r="G56" s="6">
        <v>0</v>
      </c>
      <c r="H56" s="6">
        <v>0</v>
      </c>
      <c r="I56" s="6" t="s">
        <v>49</v>
      </c>
      <c r="K56" s="6" t="str">
        <f t="shared" si="0"/>
        <v>102001</v>
      </c>
      <c r="L56" s="4">
        <v>6</v>
      </c>
      <c r="M56" s="6" t="s">
        <v>403</v>
      </c>
      <c r="O56" s="13" t="str">
        <f t="shared" si="52"/>
        <v>1.1</v>
      </c>
      <c r="P56" s="13" t="str">
        <f t="shared" si="54"/>
        <v>1.1</v>
      </c>
      <c r="Q56" s="13" t="str">
        <f t="shared" ref="Q56:Q58" si="55">P56</f>
        <v>1.1</v>
      </c>
      <c r="R56" s="13">
        <v>1.05</v>
      </c>
      <c r="S56" s="13" t="str">
        <f>S55</f>
        <v>1.05</v>
      </c>
      <c r="T56" s="6" t="str">
        <f t="shared" si="2"/>
        <v>1|1.1#2|1.1#3|1.1#4|1.05#5|1.05</v>
      </c>
    </row>
    <row r="57" s="6" customFormat="1" ht="16.5" spans="1:20">
      <c r="A57" s="6">
        <v>1010063</v>
      </c>
      <c r="B57" s="6">
        <v>12001</v>
      </c>
      <c r="C57" s="6">
        <v>2</v>
      </c>
      <c r="D57" s="6">
        <v>4</v>
      </c>
      <c r="E57" s="6" t="str">
        <f t="shared" si="3"/>
        <v>102001:6</v>
      </c>
      <c r="F57" s="11" t="s">
        <v>369</v>
      </c>
      <c r="G57" s="6">
        <v>0</v>
      </c>
      <c r="H57" s="6">
        <v>0</v>
      </c>
      <c r="I57" s="6" t="s">
        <v>51</v>
      </c>
      <c r="K57" s="6" t="str">
        <f t="shared" si="0"/>
        <v>102001</v>
      </c>
      <c r="L57" s="4">
        <v>6</v>
      </c>
      <c r="M57" s="6" t="s">
        <v>403</v>
      </c>
      <c r="O57" s="13" t="str">
        <f t="shared" si="52"/>
        <v>1.1</v>
      </c>
      <c r="P57" s="13" t="str">
        <f t="shared" si="54"/>
        <v>1.1</v>
      </c>
      <c r="Q57" s="13" t="str">
        <f t="shared" si="55"/>
        <v>1.1</v>
      </c>
      <c r="R57" s="13" t="str">
        <f>Q57</f>
        <v>1.1</v>
      </c>
      <c r="S57" s="13">
        <v>1.05</v>
      </c>
      <c r="T57" s="6" t="str">
        <f t="shared" si="2"/>
        <v>1|1.1#2|1.1#3|1.1#4|1.1#5|1.05</v>
      </c>
    </row>
    <row r="58" s="6" customFormat="1" ht="16.5" spans="1:20">
      <c r="A58" s="6">
        <v>1010064</v>
      </c>
      <c r="B58" s="6">
        <v>12001</v>
      </c>
      <c r="C58" s="6">
        <v>2</v>
      </c>
      <c r="D58" s="6">
        <v>5</v>
      </c>
      <c r="E58" s="6" t="str">
        <f t="shared" si="3"/>
        <v>102001:6</v>
      </c>
      <c r="F58" s="11" t="s">
        <v>370</v>
      </c>
      <c r="G58" s="6">
        <v>11002</v>
      </c>
      <c r="H58" s="6">
        <v>0</v>
      </c>
      <c r="I58" s="6" t="s">
        <v>40</v>
      </c>
      <c r="K58" s="6" t="str">
        <f t="shared" si="0"/>
        <v>102001</v>
      </c>
      <c r="L58" s="4">
        <v>6</v>
      </c>
      <c r="M58" s="6" t="s">
        <v>100</v>
      </c>
      <c r="O58" s="13" t="str">
        <f t="shared" si="52"/>
        <v>1.1</v>
      </c>
      <c r="P58" s="13" t="str">
        <f t="shared" si="54"/>
        <v>1.1</v>
      </c>
      <c r="Q58" s="13" t="str">
        <f t="shared" si="55"/>
        <v>1.1</v>
      </c>
      <c r="R58" s="13" t="str">
        <f>Q58</f>
        <v>1.1</v>
      </c>
      <c r="S58" s="13" t="str">
        <f>R58</f>
        <v>1.1</v>
      </c>
      <c r="T58" s="6" t="str">
        <f t="shared" si="2"/>
        <v>1|1.1#2|1.1#3|1.1#4|1.1#5|1.1</v>
      </c>
    </row>
    <row r="59" s="6" customFormat="1" ht="16.5" spans="1:20">
      <c r="A59" s="6">
        <v>1010065</v>
      </c>
      <c r="B59" s="6">
        <v>12001</v>
      </c>
      <c r="C59" s="6">
        <v>2</v>
      </c>
      <c r="D59" s="6">
        <v>6</v>
      </c>
      <c r="E59" s="6" t="str">
        <f t="shared" si="3"/>
        <v>102001:7</v>
      </c>
      <c r="F59" s="11">
        <v>0</v>
      </c>
      <c r="G59" s="6">
        <v>0</v>
      </c>
      <c r="H59" s="6">
        <v>0</v>
      </c>
      <c r="I59" s="6">
        <v>0</v>
      </c>
      <c r="K59" s="6" t="str">
        <f t="shared" si="0"/>
        <v>102001</v>
      </c>
      <c r="L59" s="13">
        <v>7</v>
      </c>
      <c r="M59" s="6" t="str">
        <f t="shared" ref="M59:S59" si="56">M58</f>
        <v>102001:20</v>
      </c>
      <c r="O59" s="13" t="str">
        <f t="shared" si="56"/>
        <v>1.1</v>
      </c>
      <c r="P59" s="13" t="str">
        <f t="shared" si="56"/>
        <v>1.1</v>
      </c>
      <c r="Q59" s="13" t="str">
        <f t="shared" si="56"/>
        <v>1.1</v>
      </c>
      <c r="R59" s="13" t="str">
        <f t="shared" si="56"/>
        <v>1.1</v>
      </c>
      <c r="S59" s="13" t="str">
        <f t="shared" si="56"/>
        <v>1.1</v>
      </c>
      <c r="T59" s="6" t="str">
        <f t="shared" si="2"/>
        <v>1|1.1#2|1.1#3|1.1#4|1.1#5|1.1</v>
      </c>
    </row>
    <row r="60" s="6" customFormat="1" ht="16.5" spans="1:20">
      <c r="A60" s="6">
        <v>1010066</v>
      </c>
      <c r="B60" s="6">
        <v>12001</v>
      </c>
      <c r="C60" s="6">
        <v>3</v>
      </c>
      <c r="D60" s="6">
        <v>0</v>
      </c>
      <c r="E60" s="6" t="str">
        <f t="shared" si="3"/>
        <v>102001:9</v>
      </c>
      <c r="F60" s="11" t="s">
        <v>371</v>
      </c>
      <c r="G60" s="6">
        <v>0</v>
      </c>
      <c r="H60" s="6">
        <v>0</v>
      </c>
      <c r="I60" s="6" t="s">
        <v>55</v>
      </c>
      <c r="K60" s="6" t="str">
        <f t="shared" si="0"/>
        <v>102001</v>
      </c>
      <c r="L60" s="4">
        <v>9</v>
      </c>
      <c r="M60" s="6" t="s">
        <v>404</v>
      </c>
      <c r="O60" s="15" t="str">
        <f>O59</f>
        <v>1.1</v>
      </c>
      <c r="P60" s="15" t="str">
        <f t="shared" ref="P60:S60" si="57">O60</f>
        <v>1.1</v>
      </c>
      <c r="Q60" s="15" t="str">
        <f t="shared" si="57"/>
        <v>1.1</v>
      </c>
      <c r="R60" s="15" t="str">
        <f>P60</f>
        <v>1.1</v>
      </c>
      <c r="S60" s="15" t="str">
        <f t="shared" si="57"/>
        <v>1.1</v>
      </c>
      <c r="T60" s="6" t="str">
        <f t="shared" si="2"/>
        <v>1|1.1#2|1.1#3|1.1#4|1.1#5|1.1</v>
      </c>
    </row>
    <row r="61" s="6" customFormat="1" ht="16.5" spans="1:20">
      <c r="A61" s="6">
        <v>1010067</v>
      </c>
      <c r="B61" s="6">
        <v>12001</v>
      </c>
      <c r="C61" s="6">
        <v>3</v>
      </c>
      <c r="D61" s="6">
        <v>1</v>
      </c>
      <c r="E61" s="6" t="str">
        <f t="shared" si="3"/>
        <v>102001:9</v>
      </c>
      <c r="F61" s="11" t="s">
        <v>373</v>
      </c>
      <c r="G61" s="6">
        <v>0</v>
      </c>
      <c r="H61" s="6">
        <v>0</v>
      </c>
      <c r="I61" s="6" t="s">
        <v>57</v>
      </c>
      <c r="K61" s="6" t="str">
        <f t="shared" si="0"/>
        <v>102001</v>
      </c>
      <c r="L61" s="4">
        <v>9</v>
      </c>
      <c r="M61" s="6" t="s">
        <v>404</v>
      </c>
      <c r="O61" s="13" t="str">
        <f t="shared" ref="O61:O65" si="58">RIGHT(F61,LEN(F61)-2)</f>
        <v>1.15</v>
      </c>
      <c r="P61" s="13" t="str">
        <f t="shared" ref="P61:S61" si="59">P60</f>
        <v>1.1</v>
      </c>
      <c r="Q61" s="13" t="str">
        <f t="shared" si="59"/>
        <v>1.1</v>
      </c>
      <c r="R61" s="13" t="str">
        <f t="shared" si="59"/>
        <v>1.1</v>
      </c>
      <c r="S61" s="13" t="str">
        <f t="shared" si="59"/>
        <v>1.1</v>
      </c>
      <c r="T61" s="6" t="str">
        <f t="shared" si="2"/>
        <v>1|1.15#2|1.1#3|1.1#4|1.1#5|1.1</v>
      </c>
    </row>
    <row r="62" s="6" customFormat="1" ht="16.5" spans="1:20">
      <c r="A62" s="6">
        <v>1010068</v>
      </c>
      <c r="B62" s="6">
        <v>12001</v>
      </c>
      <c r="C62" s="6">
        <v>3</v>
      </c>
      <c r="D62" s="6">
        <v>2</v>
      </c>
      <c r="E62" s="6" t="str">
        <f t="shared" si="3"/>
        <v>102001:9</v>
      </c>
      <c r="F62" s="11" t="s">
        <v>374</v>
      </c>
      <c r="G62" s="6">
        <v>0</v>
      </c>
      <c r="H62" s="6">
        <v>0</v>
      </c>
      <c r="I62" s="6" t="s">
        <v>59</v>
      </c>
      <c r="K62" s="6" t="str">
        <f t="shared" si="0"/>
        <v>102001</v>
      </c>
      <c r="L62" s="4">
        <v>9</v>
      </c>
      <c r="M62" s="6" t="s">
        <v>404</v>
      </c>
      <c r="O62" s="13" t="str">
        <f t="shared" si="58"/>
        <v>1.15</v>
      </c>
      <c r="P62" s="13" t="str">
        <f t="shared" ref="P62:P65" si="60">O62</f>
        <v>1.15</v>
      </c>
      <c r="Q62" s="13" t="str">
        <f t="shared" ref="Q62:S62" si="61">Q61</f>
        <v>1.1</v>
      </c>
      <c r="R62" s="13" t="str">
        <f t="shared" si="61"/>
        <v>1.1</v>
      </c>
      <c r="S62" s="13" t="str">
        <f t="shared" si="61"/>
        <v>1.1</v>
      </c>
      <c r="T62" s="6" t="str">
        <f t="shared" si="2"/>
        <v>1|1.15#2|1.15#3|1.1#4|1.1#5|1.1</v>
      </c>
    </row>
    <row r="63" s="6" customFormat="1" ht="16.5" spans="1:20">
      <c r="A63" s="6">
        <v>1010069</v>
      </c>
      <c r="B63" s="6">
        <v>12001</v>
      </c>
      <c r="C63" s="6">
        <v>3</v>
      </c>
      <c r="D63" s="6">
        <v>3</v>
      </c>
      <c r="E63" s="6" t="str">
        <f t="shared" si="3"/>
        <v>102001:11</v>
      </c>
      <c r="F63" s="11" t="s">
        <v>375</v>
      </c>
      <c r="G63" s="6">
        <v>0</v>
      </c>
      <c r="H63" s="6">
        <v>0</v>
      </c>
      <c r="I63" s="6" t="s">
        <v>61</v>
      </c>
      <c r="K63" s="6" t="str">
        <f t="shared" si="0"/>
        <v>102001</v>
      </c>
      <c r="L63" s="4">
        <v>11</v>
      </c>
      <c r="M63" s="6" t="s">
        <v>404</v>
      </c>
      <c r="O63" s="13" t="str">
        <f t="shared" si="58"/>
        <v>1.15</v>
      </c>
      <c r="P63" s="13" t="str">
        <f t="shared" si="60"/>
        <v>1.15</v>
      </c>
      <c r="Q63" s="13" t="str">
        <f t="shared" ref="Q63:Q65" si="62">P63</f>
        <v>1.15</v>
      </c>
      <c r="R63" s="13" t="str">
        <f>R62</f>
        <v>1.1</v>
      </c>
      <c r="S63" s="13" t="str">
        <f>S62</f>
        <v>1.1</v>
      </c>
      <c r="T63" s="6" t="str">
        <f t="shared" si="2"/>
        <v>1|1.15#2|1.15#3|1.15#4|1.1#5|1.1</v>
      </c>
    </row>
    <row r="64" s="6" customFormat="1" ht="16.5" spans="1:20">
      <c r="A64" s="6">
        <v>1010070</v>
      </c>
      <c r="B64" s="6">
        <v>12001</v>
      </c>
      <c r="C64" s="6">
        <v>3</v>
      </c>
      <c r="D64" s="6">
        <v>4</v>
      </c>
      <c r="E64" s="6" t="str">
        <f t="shared" si="3"/>
        <v>102001:11</v>
      </c>
      <c r="F64" s="11" t="s">
        <v>376</v>
      </c>
      <c r="G64" s="6">
        <v>0</v>
      </c>
      <c r="H64" s="6">
        <v>0</v>
      </c>
      <c r="I64" s="6" t="s">
        <v>63</v>
      </c>
      <c r="K64" s="6" t="str">
        <f t="shared" si="0"/>
        <v>102001</v>
      </c>
      <c r="L64" s="4">
        <v>11</v>
      </c>
      <c r="M64" s="6" t="s">
        <v>404</v>
      </c>
      <c r="O64" s="13" t="str">
        <f t="shared" si="58"/>
        <v>1.15</v>
      </c>
      <c r="P64" s="13" t="str">
        <f t="shared" si="60"/>
        <v>1.15</v>
      </c>
      <c r="Q64" s="13" t="str">
        <f t="shared" si="62"/>
        <v>1.15</v>
      </c>
      <c r="R64" s="13" t="str">
        <f>Q64</f>
        <v>1.15</v>
      </c>
      <c r="S64" s="13" t="str">
        <f>S63</f>
        <v>1.1</v>
      </c>
      <c r="T64" s="6" t="str">
        <f t="shared" si="2"/>
        <v>1|1.15#2|1.15#3|1.15#4|1.15#5|1.1</v>
      </c>
    </row>
    <row r="65" s="6" customFormat="1" ht="16.5" spans="1:20">
      <c r="A65" s="6">
        <v>1010071</v>
      </c>
      <c r="B65" s="6">
        <v>12001</v>
      </c>
      <c r="C65" s="6">
        <v>3</v>
      </c>
      <c r="D65" s="6">
        <v>5</v>
      </c>
      <c r="E65" s="6" t="str">
        <f t="shared" si="3"/>
        <v>102001:11</v>
      </c>
      <c r="F65" s="11" t="s">
        <v>377</v>
      </c>
      <c r="G65" s="6">
        <v>11002</v>
      </c>
      <c r="H65" s="6">
        <v>0</v>
      </c>
      <c r="I65" s="6" t="s">
        <v>40</v>
      </c>
      <c r="K65" s="6" t="str">
        <f t="shared" si="0"/>
        <v>102001</v>
      </c>
      <c r="L65" s="4">
        <v>11</v>
      </c>
      <c r="M65" s="6" t="s">
        <v>405</v>
      </c>
      <c r="O65" s="13" t="str">
        <f t="shared" si="58"/>
        <v>1.15</v>
      </c>
      <c r="P65" s="13" t="str">
        <f t="shared" si="60"/>
        <v>1.15</v>
      </c>
      <c r="Q65" s="13" t="str">
        <f t="shared" si="62"/>
        <v>1.15</v>
      </c>
      <c r="R65" s="13" t="str">
        <f>Q65</f>
        <v>1.15</v>
      </c>
      <c r="S65" s="13" t="str">
        <f>R65</f>
        <v>1.15</v>
      </c>
      <c r="T65" s="6" t="str">
        <f t="shared" si="2"/>
        <v>1|1.15#2|1.15#3|1.15#4|1.15#5|1.15</v>
      </c>
    </row>
    <row r="66" s="6" customFormat="1" ht="16.5" spans="1:20">
      <c r="A66" s="6">
        <v>1010072</v>
      </c>
      <c r="B66" s="6">
        <v>12001</v>
      </c>
      <c r="C66" s="6">
        <v>3</v>
      </c>
      <c r="D66" s="6">
        <v>6</v>
      </c>
      <c r="E66" s="6" t="str">
        <f t="shared" si="3"/>
        <v>102001:30</v>
      </c>
      <c r="F66" s="11">
        <v>0</v>
      </c>
      <c r="G66" s="6">
        <v>0</v>
      </c>
      <c r="H66" s="6">
        <v>0</v>
      </c>
      <c r="I66" s="6">
        <v>0</v>
      </c>
      <c r="K66" s="6" t="str">
        <f t="shared" si="0"/>
        <v>102001</v>
      </c>
      <c r="L66" s="13">
        <v>30</v>
      </c>
      <c r="M66" s="6" t="str">
        <f t="shared" ref="M66:S66" si="63">M65</f>
        <v>102001:30</v>
      </c>
      <c r="O66" s="13" t="str">
        <f t="shared" si="63"/>
        <v>1.15</v>
      </c>
      <c r="P66" s="13" t="str">
        <f t="shared" si="63"/>
        <v>1.15</v>
      </c>
      <c r="Q66" s="13" t="str">
        <f t="shared" si="63"/>
        <v>1.15</v>
      </c>
      <c r="R66" s="13" t="str">
        <f t="shared" si="63"/>
        <v>1.15</v>
      </c>
      <c r="S66" s="13" t="str">
        <f t="shared" si="63"/>
        <v>1.15</v>
      </c>
      <c r="T66" s="6" t="str">
        <f t="shared" si="2"/>
        <v>1|1.15#2|1.15#3|1.15#4|1.15#5|1.15</v>
      </c>
    </row>
    <row r="67" s="6" customFormat="1" ht="16.5" spans="1:20">
      <c r="A67" s="6">
        <v>1010073</v>
      </c>
      <c r="B67" s="6">
        <v>12001</v>
      </c>
      <c r="C67" s="6">
        <v>4</v>
      </c>
      <c r="D67" s="6">
        <v>0</v>
      </c>
      <c r="E67" s="6" t="str">
        <f t="shared" si="3"/>
        <v>102001:13</v>
      </c>
      <c r="F67" s="11" t="s">
        <v>379</v>
      </c>
      <c r="G67" s="6">
        <v>0</v>
      </c>
      <c r="H67" s="6">
        <v>0</v>
      </c>
      <c r="I67" s="6" t="s">
        <v>67</v>
      </c>
      <c r="K67" s="6" t="str">
        <f t="shared" si="0"/>
        <v>102001</v>
      </c>
      <c r="L67" s="4">
        <v>13</v>
      </c>
      <c r="M67" s="6" t="s">
        <v>406</v>
      </c>
      <c r="O67" s="15" t="str">
        <f>O66</f>
        <v>1.15</v>
      </c>
      <c r="P67" s="15" t="str">
        <f t="shared" ref="P67:S67" si="64">O67</f>
        <v>1.15</v>
      </c>
      <c r="Q67" s="15" t="str">
        <f t="shared" si="64"/>
        <v>1.15</v>
      </c>
      <c r="R67" s="15" t="str">
        <f>P67</f>
        <v>1.15</v>
      </c>
      <c r="S67" s="15" t="str">
        <f t="shared" si="64"/>
        <v>1.15</v>
      </c>
      <c r="T67" s="6" t="str">
        <f t="shared" si="2"/>
        <v>1|1.15#2|1.15#3|1.15#4|1.15#5|1.15</v>
      </c>
    </row>
    <row r="68" s="6" customFormat="1" ht="16.5" spans="1:20">
      <c r="A68" s="6">
        <v>1010074</v>
      </c>
      <c r="B68" s="6">
        <v>12001</v>
      </c>
      <c r="C68" s="6">
        <v>4</v>
      </c>
      <c r="D68" s="6">
        <v>1</v>
      </c>
      <c r="E68" s="6" t="str">
        <f t="shared" si="3"/>
        <v>102001:13</v>
      </c>
      <c r="F68" s="11" t="s">
        <v>381</v>
      </c>
      <c r="G68" s="6">
        <v>0</v>
      </c>
      <c r="H68" s="6">
        <v>0</v>
      </c>
      <c r="I68" s="6" t="s">
        <v>69</v>
      </c>
      <c r="K68" s="6" t="str">
        <f t="shared" si="0"/>
        <v>102001</v>
      </c>
      <c r="L68" s="4">
        <v>13</v>
      </c>
      <c r="M68" s="6" t="s">
        <v>406</v>
      </c>
      <c r="O68" s="13" t="str">
        <f t="shared" ref="O68:O72" si="65">RIGHT(F68,LEN(F68)-2)</f>
        <v>1.2</v>
      </c>
      <c r="P68" s="13" t="str">
        <f t="shared" ref="P68:S68" si="66">P67</f>
        <v>1.15</v>
      </c>
      <c r="Q68" s="13" t="str">
        <f t="shared" si="66"/>
        <v>1.15</v>
      </c>
      <c r="R68" s="13" t="str">
        <f t="shared" si="66"/>
        <v>1.15</v>
      </c>
      <c r="S68" s="13" t="str">
        <f t="shared" si="66"/>
        <v>1.15</v>
      </c>
      <c r="T68" s="6" t="str">
        <f t="shared" si="2"/>
        <v>1|1.2#2|1.15#3|1.15#4|1.15#5|1.15</v>
      </c>
    </row>
    <row r="69" s="6" customFormat="1" ht="16.5" spans="1:20">
      <c r="A69" s="6">
        <v>1010075</v>
      </c>
      <c r="B69" s="6">
        <v>12001</v>
      </c>
      <c r="C69" s="6">
        <v>4</v>
      </c>
      <c r="D69" s="6">
        <v>2</v>
      </c>
      <c r="E69" s="6" t="str">
        <f t="shared" si="3"/>
        <v>102001:13</v>
      </c>
      <c r="F69" s="11" t="s">
        <v>382</v>
      </c>
      <c r="G69" s="6">
        <v>0</v>
      </c>
      <c r="H69" s="6">
        <v>0</v>
      </c>
      <c r="I69" s="6" t="s">
        <v>71</v>
      </c>
      <c r="K69" s="6" t="str">
        <f t="shared" ref="K69:K132" si="67">LEFT(M69,6)</f>
        <v>102001</v>
      </c>
      <c r="L69" s="4">
        <v>13</v>
      </c>
      <c r="M69" s="6" t="s">
        <v>406</v>
      </c>
      <c r="O69" s="13" t="str">
        <f t="shared" si="65"/>
        <v>1.2</v>
      </c>
      <c r="P69" s="13" t="str">
        <f t="shared" ref="P69:P72" si="68">O69</f>
        <v>1.2</v>
      </c>
      <c r="Q69" s="13" t="str">
        <f t="shared" ref="Q69:S69" si="69">Q68</f>
        <v>1.15</v>
      </c>
      <c r="R69" s="13" t="str">
        <f t="shared" si="69"/>
        <v>1.15</v>
      </c>
      <c r="S69" s="13" t="str">
        <f t="shared" si="69"/>
        <v>1.15</v>
      </c>
      <c r="T69" s="6" t="str">
        <f t="shared" ref="T69:T132" si="70">$O$2&amp;$P$3&amp;O69&amp;$O$1&amp;$P$2&amp;$P$3&amp;P69&amp;$O$1&amp;$Q$2&amp;$P$3&amp;Q69&amp;$O$1&amp;$R$2&amp;$P$3&amp;R69&amp;$O$1&amp;$S$2&amp;$P$3&amp;S69</f>
        <v>1|1.2#2|1.2#3|1.15#4|1.15#5|1.15</v>
      </c>
    </row>
    <row r="70" s="6" customFormat="1" ht="16.5" spans="1:20">
      <c r="A70" s="6">
        <v>1010076</v>
      </c>
      <c r="B70" s="6">
        <v>12001</v>
      </c>
      <c r="C70" s="6">
        <v>4</v>
      </c>
      <c r="D70" s="6">
        <v>3</v>
      </c>
      <c r="E70" s="6" t="str">
        <f t="shared" ref="E70:E133" si="71">K70&amp;$K$3&amp;L70</f>
        <v>102001:17</v>
      </c>
      <c r="F70" s="11" t="s">
        <v>383</v>
      </c>
      <c r="G70" s="6">
        <v>0</v>
      </c>
      <c r="H70" s="6">
        <v>0</v>
      </c>
      <c r="I70" s="6" t="s">
        <v>73</v>
      </c>
      <c r="K70" s="6" t="str">
        <f t="shared" si="67"/>
        <v>102001</v>
      </c>
      <c r="L70" s="4">
        <v>17</v>
      </c>
      <c r="M70" s="6" t="s">
        <v>406</v>
      </c>
      <c r="O70" s="13" t="str">
        <f t="shared" si="65"/>
        <v>1.2</v>
      </c>
      <c r="P70" s="13" t="str">
        <f t="shared" si="68"/>
        <v>1.2</v>
      </c>
      <c r="Q70" s="13" t="str">
        <f t="shared" ref="Q70:Q72" si="72">P70</f>
        <v>1.2</v>
      </c>
      <c r="R70" s="13" t="str">
        <f>R69</f>
        <v>1.15</v>
      </c>
      <c r="S70" s="13" t="str">
        <f>S69</f>
        <v>1.15</v>
      </c>
      <c r="T70" s="6" t="str">
        <f t="shared" si="70"/>
        <v>1|1.2#2|1.2#3|1.2#4|1.15#5|1.15</v>
      </c>
    </row>
    <row r="71" s="6" customFormat="1" ht="16.5" spans="1:20">
      <c r="A71" s="6">
        <v>1010077</v>
      </c>
      <c r="B71" s="6">
        <v>12001</v>
      </c>
      <c r="C71" s="6">
        <v>4</v>
      </c>
      <c r="D71" s="6">
        <v>4</v>
      </c>
      <c r="E71" s="6" t="str">
        <f t="shared" si="71"/>
        <v>102001:17</v>
      </c>
      <c r="F71" s="11" t="s">
        <v>384</v>
      </c>
      <c r="G71" s="6">
        <v>0</v>
      </c>
      <c r="H71" s="6">
        <v>0</v>
      </c>
      <c r="I71" s="6" t="s">
        <v>75</v>
      </c>
      <c r="K71" s="6" t="str">
        <f t="shared" si="67"/>
        <v>102001</v>
      </c>
      <c r="L71" s="4">
        <v>17</v>
      </c>
      <c r="M71" s="6" t="s">
        <v>406</v>
      </c>
      <c r="O71" s="13" t="str">
        <f t="shared" si="65"/>
        <v>1.2</v>
      </c>
      <c r="P71" s="13" t="str">
        <f t="shared" si="68"/>
        <v>1.2</v>
      </c>
      <c r="Q71" s="13" t="str">
        <f t="shared" si="72"/>
        <v>1.2</v>
      </c>
      <c r="R71" s="13" t="str">
        <f>Q71</f>
        <v>1.2</v>
      </c>
      <c r="S71" s="13" t="str">
        <f>S70</f>
        <v>1.15</v>
      </c>
      <c r="T71" s="6" t="str">
        <f t="shared" si="70"/>
        <v>1|1.2#2|1.2#3|1.2#4|1.2#5|1.15</v>
      </c>
    </row>
    <row r="72" s="6" customFormat="1" ht="16.5" spans="1:20">
      <c r="A72" s="6">
        <v>1010078</v>
      </c>
      <c r="B72" s="6">
        <v>12001</v>
      </c>
      <c r="C72" s="6">
        <v>4</v>
      </c>
      <c r="D72" s="6">
        <v>5</v>
      </c>
      <c r="E72" s="6" t="str">
        <f t="shared" si="71"/>
        <v>102001:17</v>
      </c>
      <c r="F72" s="11" t="s">
        <v>385</v>
      </c>
      <c r="G72" s="6">
        <v>0</v>
      </c>
      <c r="H72" s="6">
        <v>0</v>
      </c>
      <c r="I72" s="6" t="s">
        <v>40</v>
      </c>
      <c r="K72" s="6" t="str">
        <f t="shared" si="67"/>
        <v>102001</v>
      </c>
      <c r="L72" s="4">
        <v>17</v>
      </c>
      <c r="M72" s="6" t="s">
        <v>102</v>
      </c>
      <c r="O72" s="13" t="str">
        <f t="shared" si="65"/>
        <v>1.2</v>
      </c>
      <c r="P72" s="13" t="str">
        <f t="shared" si="68"/>
        <v>1.2</v>
      </c>
      <c r="Q72" s="13" t="str">
        <f t="shared" si="72"/>
        <v>1.2</v>
      </c>
      <c r="R72" s="13" t="str">
        <f>Q72</f>
        <v>1.2</v>
      </c>
      <c r="S72" s="13" t="str">
        <f>R72</f>
        <v>1.2</v>
      </c>
      <c r="T72" s="6" t="str">
        <f t="shared" si="70"/>
        <v>1|1.2#2|1.2#3|1.2#4|1.2#5|1.2</v>
      </c>
    </row>
    <row r="73" s="6" customFormat="1" ht="16.5" spans="1:20">
      <c r="A73" s="6">
        <v>1010079</v>
      </c>
      <c r="B73" s="6">
        <v>12001</v>
      </c>
      <c r="C73" s="6">
        <v>4</v>
      </c>
      <c r="D73" s="6">
        <v>6</v>
      </c>
      <c r="E73" s="6" t="str">
        <f t="shared" si="71"/>
        <v>102001:60</v>
      </c>
      <c r="F73" s="11">
        <v>0</v>
      </c>
      <c r="G73" s="6">
        <v>11015</v>
      </c>
      <c r="H73" s="6" t="s">
        <v>407</v>
      </c>
      <c r="I73" s="6">
        <v>0</v>
      </c>
      <c r="K73" s="6" t="str">
        <f t="shared" si="67"/>
        <v>102001</v>
      </c>
      <c r="L73" s="13">
        <v>60</v>
      </c>
      <c r="M73" s="6" t="str">
        <f t="shared" ref="M73:S73" si="73">M72</f>
        <v>102001:40</v>
      </c>
      <c r="O73" s="13" t="str">
        <f t="shared" si="73"/>
        <v>1.2</v>
      </c>
      <c r="P73" s="13" t="str">
        <f t="shared" si="73"/>
        <v>1.2</v>
      </c>
      <c r="Q73" s="13" t="str">
        <f t="shared" si="73"/>
        <v>1.2</v>
      </c>
      <c r="R73" s="13" t="str">
        <f t="shared" si="73"/>
        <v>1.2</v>
      </c>
      <c r="S73" s="13" t="str">
        <f t="shared" si="73"/>
        <v>1.2</v>
      </c>
      <c r="T73" s="6" t="str">
        <f t="shared" si="70"/>
        <v>1|1.2#2|1.2#3|1.2#4|1.2#5|1.2</v>
      </c>
    </row>
    <row r="74" s="6" customFormat="1" ht="16.5" spans="1:20">
      <c r="A74" s="6">
        <v>1010080</v>
      </c>
      <c r="B74" s="6">
        <v>12001</v>
      </c>
      <c r="C74" s="6">
        <v>5</v>
      </c>
      <c r="D74" s="6">
        <v>0</v>
      </c>
      <c r="E74" s="6" t="str">
        <f t="shared" si="71"/>
        <v>102001:18</v>
      </c>
      <c r="F74" s="11" t="s">
        <v>386</v>
      </c>
      <c r="G74" s="6">
        <v>0</v>
      </c>
      <c r="H74" s="6">
        <v>0</v>
      </c>
      <c r="I74" s="6" t="s">
        <v>79</v>
      </c>
      <c r="K74" s="6" t="str">
        <f t="shared" si="67"/>
        <v>102001</v>
      </c>
      <c r="L74" s="4">
        <v>18</v>
      </c>
      <c r="M74" s="6" t="s">
        <v>408</v>
      </c>
      <c r="O74" s="15" t="str">
        <f>O73</f>
        <v>1.2</v>
      </c>
      <c r="P74" s="15" t="str">
        <f t="shared" ref="P74:S74" si="74">O74</f>
        <v>1.2</v>
      </c>
      <c r="Q74" s="15" t="str">
        <f t="shared" si="74"/>
        <v>1.2</v>
      </c>
      <c r="R74" s="15" t="str">
        <f>P74</f>
        <v>1.2</v>
      </c>
      <c r="S74" s="15" t="str">
        <f t="shared" si="74"/>
        <v>1.2</v>
      </c>
      <c r="T74" s="6" t="str">
        <f t="shared" si="70"/>
        <v>1|1.2#2|1.2#3|1.2#4|1.2#5|1.2</v>
      </c>
    </row>
    <row r="75" s="6" customFormat="1" ht="16.5" spans="1:20">
      <c r="A75" s="6">
        <v>1010081</v>
      </c>
      <c r="B75" s="6">
        <v>12001</v>
      </c>
      <c r="C75" s="6">
        <v>5</v>
      </c>
      <c r="D75" s="6">
        <v>1</v>
      </c>
      <c r="E75" s="6" t="str">
        <f t="shared" si="71"/>
        <v>102001:18</v>
      </c>
      <c r="F75" s="11" t="s">
        <v>388</v>
      </c>
      <c r="G75" s="6">
        <v>0</v>
      </c>
      <c r="H75" s="6">
        <v>0</v>
      </c>
      <c r="I75" s="6" t="s">
        <v>81</v>
      </c>
      <c r="K75" s="6" t="str">
        <f t="shared" si="67"/>
        <v>102001</v>
      </c>
      <c r="L75" s="4">
        <v>18</v>
      </c>
      <c r="M75" s="6" t="s">
        <v>408</v>
      </c>
      <c r="O75" s="13" t="str">
        <f t="shared" ref="O75:O79" si="75">RIGHT(F75,LEN(F75)-2)</f>
        <v>1.3</v>
      </c>
      <c r="P75" s="13" t="str">
        <f t="shared" ref="P75:S75" si="76">P74</f>
        <v>1.2</v>
      </c>
      <c r="Q75" s="13" t="str">
        <f t="shared" si="76"/>
        <v>1.2</v>
      </c>
      <c r="R75" s="13" t="str">
        <f t="shared" si="76"/>
        <v>1.2</v>
      </c>
      <c r="S75" s="13" t="str">
        <f t="shared" si="76"/>
        <v>1.2</v>
      </c>
      <c r="T75" s="6" t="str">
        <f t="shared" si="70"/>
        <v>1|1.3#2|1.2#3|1.2#4|1.2#5|1.2</v>
      </c>
    </row>
    <row r="76" s="6" customFormat="1" ht="16.5" spans="1:20">
      <c r="A76" s="6">
        <v>1010082</v>
      </c>
      <c r="B76" s="6">
        <v>12001</v>
      </c>
      <c r="C76" s="6">
        <v>5</v>
      </c>
      <c r="D76" s="6">
        <v>2</v>
      </c>
      <c r="E76" s="6" t="str">
        <f t="shared" si="71"/>
        <v>102001:18</v>
      </c>
      <c r="F76" s="11" t="s">
        <v>389</v>
      </c>
      <c r="G76" s="6">
        <v>0</v>
      </c>
      <c r="H76" s="6">
        <v>0</v>
      </c>
      <c r="I76" s="6" t="s">
        <v>83</v>
      </c>
      <c r="K76" s="6" t="str">
        <f t="shared" si="67"/>
        <v>102001</v>
      </c>
      <c r="L76" s="4">
        <v>18</v>
      </c>
      <c r="M76" s="6" t="s">
        <v>408</v>
      </c>
      <c r="O76" s="13" t="str">
        <f t="shared" si="75"/>
        <v>1.3</v>
      </c>
      <c r="P76" s="13" t="str">
        <f t="shared" ref="P76:P79" si="77">O76</f>
        <v>1.3</v>
      </c>
      <c r="Q76" s="13" t="str">
        <f t="shared" ref="Q76:S76" si="78">Q75</f>
        <v>1.2</v>
      </c>
      <c r="R76" s="13" t="str">
        <f t="shared" si="78"/>
        <v>1.2</v>
      </c>
      <c r="S76" s="13" t="str">
        <f t="shared" si="78"/>
        <v>1.2</v>
      </c>
      <c r="T76" s="6" t="str">
        <f t="shared" si="70"/>
        <v>1|1.3#2|1.3#3|1.2#4|1.2#5|1.2</v>
      </c>
    </row>
    <row r="77" s="6" customFormat="1" ht="16.5" spans="1:20">
      <c r="A77" s="6">
        <v>1010083</v>
      </c>
      <c r="B77" s="6">
        <v>12001</v>
      </c>
      <c r="C77" s="6">
        <v>5</v>
      </c>
      <c r="D77" s="6">
        <v>3</v>
      </c>
      <c r="E77" s="6" t="str">
        <f t="shared" si="71"/>
        <v>102001:22</v>
      </c>
      <c r="F77" s="11" t="s">
        <v>390</v>
      </c>
      <c r="G77" s="6">
        <v>0</v>
      </c>
      <c r="H77" s="6">
        <v>0</v>
      </c>
      <c r="I77" s="6" t="s">
        <v>85</v>
      </c>
      <c r="K77" s="6" t="str">
        <f t="shared" si="67"/>
        <v>102001</v>
      </c>
      <c r="L77" s="4">
        <v>22</v>
      </c>
      <c r="M77" s="6" t="s">
        <v>408</v>
      </c>
      <c r="O77" s="13" t="str">
        <f t="shared" si="75"/>
        <v>1.3</v>
      </c>
      <c r="P77" s="13" t="str">
        <f t="shared" si="77"/>
        <v>1.3</v>
      </c>
      <c r="Q77" s="13" t="str">
        <f t="shared" ref="Q77:Q79" si="79">P77</f>
        <v>1.3</v>
      </c>
      <c r="R77" s="13" t="str">
        <f>R76</f>
        <v>1.2</v>
      </c>
      <c r="S77" s="13" t="str">
        <f>S76</f>
        <v>1.2</v>
      </c>
      <c r="T77" s="6" t="str">
        <f t="shared" si="70"/>
        <v>1|1.3#2|1.3#3|1.3#4|1.2#5|1.2</v>
      </c>
    </row>
    <row r="78" s="6" customFormat="1" ht="16.5" spans="1:20">
      <c r="A78" s="6">
        <v>1010084</v>
      </c>
      <c r="B78" s="6">
        <v>12001</v>
      </c>
      <c r="C78" s="6">
        <v>5</v>
      </c>
      <c r="D78" s="6">
        <v>4</v>
      </c>
      <c r="E78" s="6" t="str">
        <f t="shared" si="71"/>
        <v>102001:22</v>
      </c>
      <c r="F78" s="11" t="s">
        <v>391</v>
      </c>
      <c r="G78" s="6">
        <v>0</v>
      </c>
      <c r="H78" s="6">
        <v>0</v>
      </c>
      <c r="I78" s="6" t="s">
        <v>87</v>
      </c>
      <c r="K78" s="6" t="str">
        <f t="shared" si="67"/>
        <v>102001</v>
      </c>
      <c r="L78" s="4">
        <v>22</v>
      </c>
      <c r="M78" s="6" t="s">
        <v>408</v>
      </c>
      <c r="O78" s="13" t="str">
        <f t="shared" si="75"/>
        <v>1.3</v>
      </c>
      <c r="P78" s="13" t="str">
        <f t="shared" si="77"/>
        <v>1.3</v>
      </c>
      <c r="Q78" s="13" t="str">
        <f t="shared" si="79"/>
        <v>1.3</v>
      </c>
      <c r="R78" s="13" t="str">
        <f>Q78</f>
        <v>1.3</v>
      </c>
      <c r="S78" s="13" t="str">
        <f>S77</f>
        <v>1.2</v>
      </c>
      <c r="T78" s="6" t="str">
        <f t="shared" si="70"/>
        <v>1|1.3#2|1.3#3|1.3#4|1.3#5|1.2</v>
      </c>
    </row>
    <row r="79" s="6" customFormat="1" ht="16.5" spans="1:20">
      <c r="A79" s="6">
        <v>1010085</v>
      </c>
      <c r="B79" s="6">
        <v>12001</v>
      </c>
      <c r="C79" s="6">
        <v>5</v>
      </c>
      <c r="D79" s="6">
        <v>5</v>
      </c>
      <c r="E79" s="6" t="str">
        <f t="shared" si="71"/>
        <v>102001:22</v>
      </c>
      <c r="F79" s="11" t="s">
        <v>392</v>
      </c>
      <c r="G79" s="6">
        <v>11002</v>
      </c>
      <c r="H79" s="6">
        <v>0</v>
      </c>
      <c r="I79" s="6" t="s">
        <v>40</v>
      </c>
      <c r="K79" s="6" t="str">
        <f t="shared" si="67"/>
        <v>102001</v>
      </c>
      <c r="L79" s="4">
        <v>22</v>
      </c>
      <c r="M79" s="6" t="s">
        <v>409</v>
      </c>
      <c r="O79" s="13" t="str">
        <f t="shared" si="75"/>
        <v>1.3</v>
      </c>
      <c r="P79" s="13" t="str">
        <f t="shared" si="77"/>
        <v>1.3</v>
      </c>
      <c r="Q79" s="13" t="str">
        <f t="shared" si="79"/>
        <v>1.3</v>
      </c>
      <c r="R79" s="13" t="str">
        <f>Q79</f>
        <v>1.3</v>
      </c>
      <c r="S79" s="13" t="str">
        <f>R79</f>
        <v>1.3</v>
      </c>
      <c r="T79" s="6" t="str">
        <f t="shared" si="70"/>
        <v>1|1.3#2|1.3#3|1.3#4|1.3#5|1.3</v>
      </c>
    </row>
    <row r="80" s="6" customFormat="1" ht="16.5" spans="1:20">
      <c r="A80" s="6">
        <v>1010086</v>
      </c>
      <c r="B80" s="6">
        <v>12001</v>
      </c>
      <c r="C80" s="6">
        <v>5</v>
      </c>
      <c r="D80" s="6">
        <v>6</v>
      </c>
      <c r="E80" s="6" t="str">
        <f t="shared" si="71"/>
        <v>102001:60</v>
      </c>
      <c r="F80" s="11">
        <v>0</v>
      </c>
      <c r="G80" s="6">
        <v>0</v>
      </c>
      <c r="H80" s="6">
        <v>0</v>
      </c>
      <c r="I80" s="6">
        <v>0</v>
      </c>
      <c r="K80" s="6" t="str">
        <f t="shared" si="67"/>
        <v>102001</v>
      </c>
      <c r="L80" s="13">
        <v>60</v>
      </c>
      <c r="M80" s="6" t="str">
        <f t="shared" ref="M80:S80" si="80">M79</f>
        <v>102001:60</v>
      </c>
      <c r="O80" s="13" t="str">
        <f t="shared" si="80"/>
        <v>1.3</v>
      </c>
      <c r="P80" s="13" t="str">
        <f t="shared" si="80"/>
        <v>1.3</v>
      </c>
      <c r="Q80" s="13" t="str">
        <f t="shared" si="80"/>
        <v>1.3</v>
      </c>
      <c r="R80" s="13" t="str">
        <f t="shared" si="80"/>
        <v>1.3</v>
      </c>
      <c r="S80" s="13" t="str">
        <f t="shared" si="80"/>
        <v>1.3</v>
      </c>
      <c r="T80" s="6" t="str">
        <f t="shared" si="70"/>
        <v>1|1.3#2|1.3#3|1.3#4|1.3#5|1.3</v>
      </c>
    </row>
    <row r="81" s="6" customFormat="1" ht="16.5" spans="1:20">
      <c r="A81" s="6">
        <v>1010087</v>
      </c>
      <c r="B81" s="6">
        <v>12001</v>
      </c>
      <c r="C81" s="6">
        <v>6</v>
      </c>
      <c r="D81" s="6">
        <v>0</v>
      </c>
      <c r="E81" s="6" t="str">
        <f t="shared" si="71"/>
        <v>102001:24</v>
      </c>
      <c r="F81" s="11" t="s">
        <v>394</v>
      </c>
      <c r="G81" s="6">
        <v>0</v>
      </c>
      <c r="H81" s="6">
        <v>0</v>
      </c>
      <c r="I81" s="6" t="s">
        <v>90</v>
      </c>
      <c r="K81" s="6" t="str">
        <f t="shared" si="67"/>
        <v>102001</v>
      </c>
      <c r="L81" s="4">
        <v>24</v>
      </c>
      <c r="M81" s="6" t="s">
        <v>410</v>
      </c>
      <c r="O81" s="15" t="str">
        <f>O80</f>
        <v>1.3</v>
      </c>
      <c r="P81" s="15" t="str">
        <f t="shared" ref="P81:S81" si="81">O81</f>
        <v>1.3</v>
      </c>
      <c r="Q81" s="15" t="str">
        <f t="shared" si="81"/>
        <v>1.3</v>
      </c>
      <c r="R81" s="15" t="str">
        <f>P81</f>
        <v>1.3</v>
      </c>
      <c r="S81" s="15" t="str">
        <f t="shared" si="81"/>
        <v>1.3</v>
      </c>
      <c r="T81" s="6" t="str">
        <f t="shared" si="70"/>
        <v>1|1.3#2|1.3#3|1.3#4|1.3#5|1.3</v>
      </c>
    </row>
    <row r="82" s="6" customFormat="1" ht="16.5" spans="1:20">
      <c r="A82" s="6">
        <v>1010088</v>
      </c>
      <c r="B82" s="6">
        <v>12001</v>
      </c>
      <c r="C82" s="6">
        <v>6</v>
      </c>
      <c r="D82" s="6">
        <v>1</v>
      </c>
      <c r="E82" s="6" t="str">
        <f t="shared" si="71"/>
        <v>102001:24</v>
      </c>
      <c r="F82" s="11" t="s">
        <v>396</v>
      </c>
      <c r="G82" s="6">
        <v>0</v>
      </c>
      <c r="H82" s="6">
        <v>0</v>
      </c>
      <c r="I82" s="6" t="s">
        <v>92</v>
      </c>
      <c r="K82" s="6" t="str">
        <f t="shared" si="67"/>
        <v>102001</v>
      </c>
      <c r="L82" s="4">
        <v>24</v>
      </c>
      <c r="M82" s="6" t="s">
        <v>410</v>
      </c>
      <c r="O82" s="13" t="str">
        <f t="shared" ref="O82:O86" si="82">RIGHT(F82,LEN(F82)-2)</f>
        <v>1.4</v>
      </c>
      <c r="P82" s="13" t="str">
        <f t="shared" ref="P82:S82" si="83">P81</f>
        <v>1.3</v>
      </c>
      <c r="Q82" s="13" t="str">
        <f t="shared" si="83"/>
        <v>1.3</v>
      </c>
      <c r="R82" s="13" t="str">
        <f t="shared" si="83"/>
        <v>1.3</v>
      </c>
      <c r="S82" s="13" t="str">
        <f t="shared" si="83"/>
        <v>1.3</v>
      </c>
      <c r="T82" s="6" t="str">
        <f t="shared" si="70"/>
        <v>1|1.4#2|1.3#3|1.3#4|1.3#5|1.3</v>
      </c>
    </row>
    <row r="83" s="6" customFormat="1" ht="16.5" spans="1:20">
      <c r="A83" s="6">
        <v>1010089</v>
      </c>
      <c r="B83" s="6">
        <v>12001</v>
      </c>
      <c r="C83" s="6">
        <v>6</v>
      </c>
      <c r="D83" s="6">
        <v>2</v>
      </c>
      <c r="E83" s="6" t="str">
        <f t="shared" si="71"/>
        <v>102001:24</v>
      </c>
      <c r="F83" s="11" t="s">
        <v>397</v>
      </c>
      <c r="G83" s="6">
        <v>0</v>
      </c>
      <c r="H83" s="6">
        <v>0</v>
      </c>
      <c r="I83" s="6" t="s">
        <v>94</v>
      </c>
      <c r="K83" s="6" t="str">
        <f t="shared" si="67"/>
        <v>102001</v>
      </c>
      <c r="L83" s="4">
        <v>24</v>
      </c>
      <c r="M83" s="6" t="s">
        <v>410</v>
      </c>
      <c r="O83" s="13" t="str">
        <f t="shared" si="82"/>
        <v>1.4</v>
      </c>
      <c r="P83" s="13" t="str">
        <f t="shared" ref="P83:P86" si="84">O83</f>
        <v>1.4</v>
      </c>
      <c r="Q83" s="13" t="str">
        <f t="shared" ref="Q83:S83" si="85">Q82</f>
        <v>1.3</v>
      </c>
      <c r="R83" s="13" t="str">
        <f t="shared" si="85"/>
        <v>1.3</v>
      </c>
      <c r="S83" s="13" t="str">
        <f t="shared" si="85"/>
        <v>1.3</v>
      </c>
      <c r="T83" s="6" t="str">
        <f t="shared" si="70"/>
        <v>1|1.4#2|1.4#3|1.3#4|1.3#5|1.3</v>
      </c>
    </row>
    <row r="84" s="6" customFormat="1" ht="16.5" spans="1:20">
      <c r="A84" s="6">
        <v>1010090</v>
      </c>
      <c r="B84" s="6">
        <v>12001</v>
      </c>
      <c r="C84" s="6">
        <v>6</v>
      </c>
      <c r="D84" s="6">
        <v>3</v>
      </c>
      <c r="E84" s="6" t="str">
        <f t="shared" si="71"/>
        <v>102001:24</v>
      </c>
      <c r="F84" s="11" t="s">
        <v>398</v>
      </c>
      <c r="G84" s="6">
        <v>0</v>
      </c>
      <c r="H84" s="6">
        <v>0</v>
      </c>
      <c r="I84" s="6" t="s">
        <v>96</v>
      </c>
      <c r="K84" s="6" t="str">
        <f t="shared" si="67"/>
        <v>102001</v>
      </c>
      <c r="L84" s="4">
        <v>24</v>
      </c>
      <c r="M84" s="6" t="s">
        <v>410</v>
      </c>
      <c r="O84" s="13" t="str">
        <f t="shared" si="82"/>
        <v>1.4</v>
      </c>
      <c r="P84" s="13" t="str">
        <f t="shared" si="84"/>
        <v>1.4</v>
      </c>
      <c r="Q84" s="13" t="str">
        <f t="shared" ref="Q84:Q86" si="86">P84</f>
        <v>1.4</v>
      </c>
      <c r="R84" s="13" t="str">
        <f>R83</f>
        <v>1.3</v>
      </c>
      <c r="S84" s="13" t="str">
        <f t="shared" ref="S84:S91" si="87">S83</f>
        <v>1.3</v>
      </c>
      <c r="T84" s="6" t="str">
        <f t="shared" si="70"/>
        <v>1|1.4#2|1.4#3|1.4#4|1.3#5|1.3</v>
      </c>
    </row>
    <row r="85" s="6" customFormat="1" ht="16.5" spans="1:20">
      <c r="A85" s="6">
        <v>1010091</v>
      </c>
      <c r="B85" s="6">
        <v>12001</v>
      </c>
      <c r="C85" s="6">
        <v>6</v>
      </c>
      <c r="D85" s="6">
        <v>4</v>
      </c>
      <c r="E85" s="6" t="str">
        <f t="shared" si="71"/>
        <v>102001:24</v>
      </c>
      <c r="F85" s="11" t="s">
        <v>399</v>
      </c>
      <c r="G85" s="6">
        <v>0</v>
      </c>
      <c r="H85" s="6">
        <v>0</v>
      </c>
      <c r="I85" s="6" t="s">
        <v>98</v>
      </c>
      <c r="K85" s="6" t="str">
        <f t="shared" si="67"/>
        <v>102001</v>
      </c>
      <c r="L85" s="4">
        <v>24</v>
      </c>
      <c r="M85" s="6" t="s">
        <v>410</v>
      </c>
      <c r="O85" s="13" t="str">
        <f t="shared" si="82"/>
        <v>1.4</v>
      </c>
      <c r="P85" s="13" t="str">
        <f t="shared" si="84"/>
        <v>1.4</v>
      </c>
      <c r="Q85" s="13" t="str">
        <f t="shared" si="86"/>
        <v>1.4</v>
      </c>
      <c r="R85" s="13" t="str">
        <f>Q85</f>
        <v>1.4</v>
      </c>
      <c r="S85" s="13" t="str">
        <f t="shared" si="87"/>
        <v>1.3</v>
      </c>
      <c r="T85" s="6" t="str">
        <f t="shared" si="70"/>
        <v>1|1.4#2|1.4#3|1.4#4|1.4#5|1.3</v>
      </c>
    </row>
    <row r="86" s="6" customFormat="1" ht="16.5" spans="1:20">
      <c r="A86" s="6">
        <v>1010092</v>
      </c>
      <c r="B86" s="6">
        <v>12001</v>
      </c>
      <c r="C86" s="6">
        <v>6</v>
      </c>
      <c r="D86" s="6">
        <v>5</v>
      </c>
      <c r="E86" s="6" t="str">
        <f t="shared" si="71"/>
        <v>102001:60</v>
      </c>
      <c r="F86" s="11" t="s">
        <v>400</v>
      </c>
      <c r="G86" s="6">
        <v>11002</v>
      </c>
      <c r="H86" s="6">
        <v>0</v>
      </c>
      <c r="I86" s="6" t="s">
        <v>40</v>
      </c>
      <c r="K86" s="6" t="str">
        <f t="shared" si="67"/>
        <v>102001</v>
      </c>
      <c r="L86" s="4">
        <v>60</v>
      </c>
      <c r="M86" s="6" t="s">
        <v>409</v>
      </c>
      <c r="O86" s="13" t="str">
        <f t="shared" si="82"/>
        <v>1.4</v>
      </c>
      <c r="P86" s="13" t="str">
        <f t="shared" si="84"/>
        <v>1.4</v>
      </c>
      <c r="Q86" s="13" t="str">
        <f t="shared" si="86"/>
        <v>1.4</v>
      </c>
      <c r="R86" s="13" t="str">
        <f>Q86</f>
        <v>1.4</v>
      </c>
      <c r="S86" s="13" t="str">
        <f>R86</f>
        <v>1.4</v>
      </c>
      <c r="T86" s="6" t="str">
        <f t="shared" si="70"/>
        <v>1|1.4#2|1.4#3|1.4#4|1.4#5|1.4</v>
      </c>
    </row>
    <row r="87" s="6" customFormat="1" ht="16.5" spans="1:20">
      <c r="A87" s="6">
        <v>1010093</v>
      </c>
      <c r="B87" s="6">
        <v>12001</v>
      </c>
      <c r="C87" s="6">
        <v>6</v>
      </c>
      <c r="D87" s="6">
        <v>6</v>
      </c>
      <c r="E87" s="6" t="str">
        <f t="shared" si="71"/>
        <v>102001:0</v>
      </c>
      <c r="F87" s="11">
        <v>0</v>
      </c>
      <c r="G87" s="6">
        <v>0</v>
      </c>
      <c r="H87" s="6">
        <v>0</v>
      </c>
      <c r="I87" s="6">
        <v>0</v>
      </c>
      <c r="K87" s="6" t="str">
        <f t="shared" si="67"/>
        <v>102001</v>
      </c>
      <c r="L87" s="4">
        <v>0</v>
      </c>
      <c r="M87" s="6" t="str">
        <f t="shared" ref="M87:S87" si="88">M86</f>
        <v>102001:60</v>
      </c>
      <c r="O87" s="13" t="str">
        <f t="shared" si="88"/>
        <v>1.4</v>
      </c>
      <c r="P87" s="13" t="str">
        <f t="shared" si="88"/>
        <v>1.4</v>
      </c>
      <c r="Q87" s="13" t="str">
        <f t="shared" si="88"/>
        <v>1.4</v>
      </c>
      <c r="R87" s="13" t="str">
        <f t="shared" si="88"/>
        <v>1.4</v>
      </c>
      <c r="S87" s="13" t="str">
        <f t="shared" si="88"/>
        <v>1.4</v>
      </c>
      <c r="T87" s="6" t="str">
        <f t="shared" si="70"/>
        <v>1|1.4#2|1.4#3|1.4#4|1.4#5|1.4</v>
      </c>
    </row>
    <row r="88" s="6" customFormat="1" ht="16.5" spans="1:20">
      <c r="A88" s="6">
        <v>1010094</v>
      </c>
      <c r="B88" s="16">
        <v>13001</v>
      </c>
      <c r="C88" s="6">
        <v>1</v>
      </c>
      <c r="D88" s="6">
        <v>0</v>
      </c>
      <c r="E88" s="6" t="str">
        <f t="shared" si="71"/>
        <v>103001:2</v>
      </c>
      <c r="F88" s="11" t="s">
        <v>356</v>
      </c>
      <c r="G88" s="6">
        <v>0</v>
      </c>
      <c r="H88" s="6">
        <v>0</v>
      </c>
      <c r="I88" s="6" t="s">
        <v>25</v>
      </c>
      <c r="K88" s="6" t="str">
        <f t="shared" si="67"/>
        <v>103001</v>
      </c>
      <c r="L88" s="4">
        <v>2</v>
      </c>
      <c r="M88" s="6" t="s">
        <v>411</v>
      </c>
      <c r="O88" s="13">
        <v>1</v>
      </c>
      <c r="P88" s="13">
        <f t="shared" ref="P88:S88" si="89">O88</f>
        <v>1</v>
      </c>
      <c r="Q88" s="13">
        <f t="shared" si="89"/>
        <v>1</v>
      </c>
      <c r="R88" s="13">
        <f>P88</f>
        <v>1</v>
      </c>
      <c r="S88" s="13">
        <f t="shared" si="89"/>
        <v>1</v>
      </c>
      <c r="T88" s="6" t="str">
        <f t="shared" si="70"/>
        <v>1|1#2|1#3|1#4|1#5|1</v>
      </c>
    </row>
    <row r="89" s="6" customFormat="1" ht="16.5" spans="1:20">
      <c r="A89" s="6">
        <v>1010095</v>
      </c>
      <c r="B89" s="16">
        <v>13001</v>
      </c>
      <c r="C89" s="6">
        <v>1</v>
      </c>
      <c r="D89" s="6">
        <v>1</v>
      </c>
      <c r="E89" s="6" t="str">
        <f t="shared" si="71"/>
        <v>103001:2</v>
      </c>
      <c r="F89" s="11" t="s">
        <v>358</v>
      </c>
      <c r="G89" s="6">
        <v>0</v>
      </c>
      <c r="H89" s="6">
        <v>0</v>
      </c>
      <c r="I89" s="6" t="s">
        <v>28</v>
      </c>
      <c r="K89" s="6" t="str">
        <f t="shared" si="67"/>
        <v>103001</v>
      </c>
      <c r="L89" s="4">
        <v>2</v>
      </c>
      <c r="M89" s="6" t="s">
        <v>411</v>
      </c>
      <c r="O89" s="13" t="str">
        <f t="shared" ref="O89:O93" si="90">RIGHT(F89,LEN(F89)-2)</f>
        <v>1.05</v>
      </c>
      <c r="P89" s="13">
        <v>1</v>
      </c>
      <c r="Q89" s="13">
        <f>Q88</f>
        <v>1</v>
      </c>
      <c r="R89" s="13">
        <f>R88</f>
        <v>1</v>
      </c>
      <c r="S89" s="13">
        <f t="shared" si="87"/>
        <v>1</v>
      </c>
      <c r="T89" s="6" t="str">
        <f t="shared" si="70"/>
        <v>1|1.05#2|1#3|1#4|1#5|1</v>
      </c>
    </row>
    <row r="90" s="6" customFormat="1" ht="16.5" spans="1:20">
      <c r="A90" s="6">
        <v>1010096</v>
      </c>
      <c r="B90" s="16">
        <v>13001</v>
      </c>
      <c r="C90" s="6">
        <v>1</v>
      </c>
      <c r="D90" s="6">
        <v>2</v>
      </c>
      <c r="E90" s="6" t="str">
        <f t="shared" si="71"/>
        <v>103001:2</v>
      </c>
      <c r="F90" s="11" t="s">
        <v>359</v>
      </c>
      <c r="G90" s="6">
        <v>0</v>
      </c>
      <c r="H90" s="6">
        <v>0</v>
      </c>
      <c r="I90" s="6" t="s">
        <v>31</v>
      </c>
      <c r="K90" s="6" t="str">
        <f t="shared" si="67"/>
        <v>103001</v>
      </c>
      <c r="L90" s="4">
        <v>2</v>
      </c>
      <c r="M90" s="6" t="s">
        <v>411</v>
      </c>
      <c r="O90" s="13" t="str">
        <f t="shared" si="90"/>
        <v>1.05</v>
      </c>
      <c r="P90" s="13" t="str">
        <f t="shared" ref="P90:P93" si="91">O90</f>
        <v>1.05</v>
      </c>
      <c r="Q90" s="13">
        <v>1</v>
      </c>
      <c r="R90" s="13">
        <f>R89</f>
        <v>1</v>
      </c>
      <c r="S90" s="13">
        <f t="shared" si="87"/>
        <v>1</v>
      </c>
      <c r="T90" s="6" t="str">
        <f t="shared" si="70"/>
        <v>1|1.05#2|1.05#3|1#4|1#5|1</v>
      </c>
    </row>
    <row r="91" s="6" customFormat="1" ht="16.5" spans="1:20">
      <c r="A91" s="6">
        <v>1010097</v>
      </c>
      <c r="B91" s="16">
        <v>13001</v>
      </c>
      <c r="C91" s="6">
        <v>1</v>
      </c>
      <c r="D91" s="6">
        <v>3</v>
      </c>
      <c r="E91" s="6" t="str">
        <f t="shared" si="71"/>
        <v>103001:3</v>
      </c>
      <c r="F91" s="11" t="s">
        <v>360</v>
      </c>
      <c r="G91" s="6">
        <v>0</v>
      </c>
      <c r="H91" s="6">
        <v>0</v>
      </c>
      <c r="I91" s="6" t="s">
        <v>34</v>
      </c>
      <c r="K91" s="6" t="str">
        <f t="shared" si="67"/>
        <v>103001</v>
      </c>
      <c r="L91" s="4">
        <v>3</v>
      </c>
      <c r="M91" s="6" t="s">
        <v>411</v>
      </c>
      <c r="O91" s="13" t="str">
        <f t="shared" si="90"/>
        <v>1.05</v>
      </c>
      <c r="P91" s="13" t="str">
        <f t="shared" si="91"/>
        <v>1.05</v>
      </c>
      <c r="Q91" s="13" t="str">
        <f t="shared" ref="Q91:Q93" si="92">P91</f>
        <v>1.05</v>
      </c>
      <c r="R91" s="13">
        <v>1</v>
      </c>
      <c r="S91" s="13">
        <f t="shared" si="87"/>
        <v>1</v>
      </c>
      <c r="T91" s="6" t="str">
        <f t="shared" si="70"/>
        <v>1|1.05#2|1.05#3|1.05#4|1#5|1</v>
      </c>
    </row>
    <row r="92" s="6" customFormat="1" ht="16.5" spans="1:20">
      <c r="A92" s="6">
        <v>1010098</v>
      </c>
      <c r="B92" s="16">
        <v>13001</v>
      </c>
      <c r="C92" s="6">
        <v>1</v>
      </c>
      <c r="D92" s="6">
        <v>4</v>
      </c>
      <c r="E92" s="6" t="str">
        <f t="shared" si="71"/>
        <v>103001:3</v>
      </c>
      <c r="F92" s="11" t="s">
        <v>361</v>
      </c>
      <c r="G92" s="6">
        <v>0</v>
      </c>
      <c r="H92" s="6">
        <v>0</v>
      </c>
      <c r="I92" s="6" t="s">
        <v>37</v>
      </c>
      <c r="K92" s="6" t="str">
        <f t="shared" si="67"/>
        <v>103001</v>
      </c>
      <c r="L92" s="4">
        <v>3</v>
      </c>
      <c r="M92" s="6" t="s">
        <v>411</v>
      </c>
      <c r="O92" s="13" t="str">
        <f t="shared" si="90"/>
        <v>1.05</v>
      </c>
      <c r="P92" s="13" t="str">
        <f t="shared" si="91"/>
        <v>1.05</v>
      </c>
      <c r="Q92" s="13" t="str">
        <f t="shared" si="92"/>
        <v>1.05</v>
      </c>
      <c r="R92" s="13" t="str">
        <f>Q92</f>
        <v>1.05</v>
      </c>
      <c r="S92" s="13">
        <v>1</v>
      </c>
      <c r="T92" s="6" t="str">
        <f t="shared" si="70"/>
        <v>1|1.05#2|1.05#3|1.05#4|1.05#5|1</v>
      </c>
    </row>
    <row r="93" s="6" customFormat="1" ht="16.5" spans="1:20">
      <c r="A93" s="6">
        <v>1010099</v>
      </c>
      <c r="B93" s="16">
        <v>13001</v>
      </c>
      <c r="C93" s="6">
        <v>1</v>
      </c>
      <c r="D93" s="6">
        <v>5</v>
      </c>
      <c r="E93" s="6" t="str">
        <f t="shared" si="71"/>
        <v>103001:3</v>
      </c>
      <c r="F93" s="11" t="s">
        <v>362</v>
      </c>
      <c r="G93" s="6">
        <v>11002</v>
      </c>
      <c r="H93" s="6">
        <v>0</v>
      </c>
      <c r="I93" s="6" t="s">
        <v>40</v>
      </c>
      <c r="K93" s="6" t="str">
        <f t="shared" si="67"/>
        <v>103001</v>
      </c>
      <c r="L93" s="4">
        <v>3</v>
      </c>
      <c r="M93" s="6" t="s">
        <v>412</v>
      </c>
      <c r="O93" s="13" t="str">
        <f t="shared" si="90"/>
        <v>1.05</v>
      </c>
      <c r="P93" s="13" t="str">
        <f t="shared" si="91"/>
        <v>1.05</v>
      </c>
      <c r="Q93" s="13" t="str">
        <f t="shared" si="92"/>
        <v>1.05</v>
      </c>
      <c r="R93" s="13" t="str">
        <f>Q93</f>
        <v>1.05</v>
      </c>
      <c r="S93" s="13" t="str">
        <f>R93</f>
        <v>1.05</v>
      </c>
      <c r="T93" s="6" t="str">
        <f t="shared" si="70"/>
        <v>1|1.05#2|1.05#3|1.05#4|1.05#5|1.05</v>
      </c>
    </row>
    <row r="94" s="6" customFormat="1" ht="16.5" spans="1:20">
      <c r="A94" s="6">
        <v>1010100</v>
      </c>
      <c r="B94" s="16">
        <v>13001</v>
      </c>
      <c r="C94" s="6">
        <v>1</v>
      </c>
      <c r="D94" s="6">
        <v>6</v>
      </c>
      <c r="E94" s="6" t="str">
        <f t="shared" si="71"/>
        <v>103001:5</v>
      </c>
      <c r="F94" s="11">
        <v>0</v>
      </c>
      <c r="G94" s="6">
        <v>0</v>
      </c>
      <c r="H94" s="6">
        <v>0</v>
      </c>
      <c r="I94" s="6">
        <v>0</v>
      </c>
      <c r="K94" s="6" t="str">
        <f t="shared" si="67"/>
        <v>103001</v>
      </c>
      <c r="L94" s="13">
        <v>5</v>
      </c>
      <c r="M94" s="6" t="str">
        <f t="shared" ref="M94:S94" si="93">M93</f>
        <v>103001:5</v>
      </c>
      <c r="O94" s="13" t="str">
        <f t="shared" si="93"/>
        <v>1.05</v>
      </c>
      <c r="P94" s="13" t="str">
        <f t="shared" si="93"/>
        <v>1.05</v>
      </c>
      <c r="Q94" s="13" t="str">
        <f t="shared" si="93"/>
        <v>1.05</v>
      </c>
      <c r="R94" s="13" t="str">
        <f t="shared" si="93"/>
        <v>1.05</v>
      </c>
      <c r="S94" s="13" t="str">
        <f t="shared" si="93"/>
        <v>1.05</v>
      </c>
      <c r="T94" s="6" t="str">
        <f t="shared" si="70"/>
        <v>1|1.05#2|1.05#3|1.05#4|1.05#5|1.05</v>
      </c>
    </row>
    <row r="95" s="6" customFormat="1" ht="16.5" spans="1:20">
      <c r="A95" s="6">
        <v>1010101</v>
      </c>
      <c r="B95" s="16">
        <v>13001</v>
      </c>
      <c r="C95" s="6">
        <v>2</v>
      </c>
      <c r="D95" s="6">
        <v>0</v>
      </c>
      <c r="E95" s="6" t="str">
        <f t="shared" si="71"/>
        <v>103001:5</v>
      </c>
      <c r="F95" s="11" t="s">
        <v>364</v>
      </c>
      <c r="G95" s="6">
        <v>0</v>
      </c>
      <c r="H95" s="6">
        <v>0</v>
      </c>
      <c r="I95" s="6" t="s">
        <v>43</v>
      </c>
      <c r="K95" s="6" t="str">
        <f t="shared" si="67"/>
        <v>103001</v>
      </c>
      <c r="L95" s="4">
        <v>5</v>
      </c>
      <c r="M95" s="6" t="s">
        <v>413</v>
      </c>
      <c r="O95" s="15" t="str">
        <f>O94</f>
        <v>1.05</v>
      </c>
      <c r="P95" s="15" t="str">
        <f t="shared" ref="P95:S95" si="94">O95</f>
        <v>1.05</v>
      </c>
      <c r="Q95" s="15" t="str">
        <f t="shared" si="94"/>
        <v>1.05</v>
      </c>
      <c r="R95" s="15" t="str">
        <f>P95</f>
        <v>1.05</v>
      </c>
      <c r="S95" s="15" t="str">
        <f t="shared" si="94"/>
        <v>1.05</v>
      </c>
      <c r="T95" s="6" t="str">
        <f t="shared" si="70"/>
        <v>1|1.05#2|1.05#3|1.05#4|1.05#5|1.05</v>
      </c>
    </row>
    <row r="96" s="6" customFormat="1" ht="16.5" spans="1:20">
      <c r="A96" s="6">
        <v>1010102</v>
      </c>
      <c r="B96" s="16">
        <v>13001</v>
      </c>
      <c r="C96" s="6">
        <v>2</v>
      </c>
      <c r="D96" s="6">
        <v>1</v>
      </c>
      <c r="E96" s="6" t="str">
        <f t="shared" si="71"/>
        <v>103001:5</v>
      </c>
      <c r="F96" s="11" t="s">
        <v>366</v>
      </c>
      <c r="G96" s="6">
        <v>0</v>
      </c>
      <c r="H96" s="6">
        <v>0</v>
      </c>
      <c r="I96" s="6" t="s">
        <v>45</v>
      </c>
      <c r="K96" s="6" t="str">
        <f t="shared" si="67"/>
        <v>103001</v>
      </c>
      <c r="L96" s="4">
        <v>5</v>
      </c>
      <c r="M96" s="6" t="s">
        <v>413</v>
      </c>
      <c r="O96" s="13" t="str">
        <f t="shared" ref="O96:O100" si="95">RIGHT(F96,LEN(F96)-2)</f>
        <v>1.1</v>
      </c>
      <c r="P96" s="13">
        <v>1.05</v>
      </c>
      <c r="Q96" s="13" t="str">
        <f t="shared" ref="Q96:S96" si="96">Q95</f>
        <v>1.05</v>
      </c>
      <c r="R96" s="13" t="str">
        <f t="shared" si="96"/>
        <v>1.05</v>
      </c>
      <c r="S96" s="13" t="str">
        <f t="shared" si="96"/>
        <v>1.05</v>
      </c>
      <c r="T96" s="6" t="str">
        <f t="shared" si="70"/>
        <v>1|1.1#2|1.05#3|1.05#4|1.05#5|1.05</v>
      </c>
    </row>
    <row r="97" s="6" customFormat="1" ht="16.5" spans="1:20">
      <c r="A97" s="6">
        <v>1010103</v>
      </c>
      <c r="B97" s="16">
        <v>13001</v>
      </c>
      <c r="C97" s="6">
        <v>2</v>
      </c>
      <c r="D97" s="6">
        <v>2</v>
      </c>
      <c r="E97" s="6" t="str">
        <f t="shared" si="71"/>
        <v>103001:5</v>
      </c>
      <c r="F97" s="11" t="s">
        <v>367</v>
      </c>
      <c r="G97" s="6">
        <v>0</v>
      </c>
      <c r="H97" s="6">
        <v>0</v>
      </c>
      <c r="I97" s="6" t="s">
        <v>47</v>
      </c>
      <c r="K97" s="6" t="str">
        <f t="shared" si="67"/>
        <v>103001</v>
      </c>
      <c r="L97" s="4">
        <v>5</v>
      </c>
      <c r="M97" s="6" t="s">
        <v>413</v>
      </c>
      <c r="O97" s="13" t="str">
        <f t="shared" si="95"/>
        <v>1.1</v>
      </c>
      <c r="P97" s="13" t="str">
        <f t="shared" ref="P97:P100" si="97">O97</f>
        <v>1.1</v>
      </c>
      <c r="Q97" s="13">
        <v>1.05</v>
      </c>
      <c r="R97" s="13" t="str">
        <f>R96</f>
        <v>1.05</v>
      </c>
      <c r="S97" s="13" t="str">
        <f>S96</f>
        <v>1.05</v>
      </c>
      <c r="T97" s="6" t="str">
        <f t="shared" si="70"/>
        <v>1|1.1#2|1.1#3|1.05#4|1.05#5|1.05</v>
      </c>
    </row>
    <row r="98" s="6" customFormat="1" ht="16.5" spans="1:20">
      <c r="A98" s="6">
        <v>1010104</v>
      </c>
      <c r="B98" s="16">
        <v>13001</v>
      </c>
      <c r="C98" s="6">
        <v>2</v>
      </c>
      <c r="D98" s="6">
        <v>3</v>
      </c>
      <c r="E98" s="6" t="str">
        <f t="shared" si="71"/>
        <v>103001:6</v>
      </c>
      <c r="F98" s="11" t="s">
        <v>368</v>
      </c>
      <c r="G98" s="6">
        <v>0</v>
      </c>
      <c r="H98" s="6">
        <v>0</v>
      </c>
      <c r="I98" s="6" t="s">
        <v>49</v>
      </c>
      <c r="K98" s="6" t="str">
        <f t="shared" si="67"/>
        <v>103001</v>
      </c>
      <c r="L98" s="4">
        <v>6</v>
      </c>
      <c r="M98" s="6" t="s">
        <v>413</v>
      </c>
      <c r="O98" s="13" t="str">
        <f t="shared" si="95"/>
        <v>1.1</v>
      </c>
      <c r="P98" s="13" t="str">
        <f t="shared" si="97"/>
        <v>1.1</v>
      </c>
      <c r="Q98" s="13" t="str">
        <f t="shared" ref="Q98:Q100" si="98">P98</f>
        <v>1.1</v>
      </c>
      <c r="R98" s="13">
        <v>1.05</v>
      </c>
      <c r="S98" s="13" t="str">
        <f>S97</f>
        <v>1.05</v>
      </c>
      <c r="T98" s="6" t="str">
        <f t="shared" si="70"/>
        <v>1|1.1#2|1.1#3|1.1#4|1.05#5|1.05</v>
      </c>
    </row>
    <row r="99" s="6" customFormat="1" ht="16.5" spans="1:20">
      <c r="A99" s="6">
        <v>1010105</v>
      </c>
      <c r="B99" s="16">
        <v>13001</v>
      </c>
      <c r="C99" s="6">
        <v>2</v>
      </c>
      <c r="D99" s="6">
        <v>4</v>
      </c>
      <c r="E99" s="6" t="str">
        <f t="shared" si="71"/>
        <v>103001:6</v>
      </c>
      <c r="F99" s="11" t="s">
        <v>369</v>
      </c>
      <c r="G99" s="6">
        <v>0</v>
      </c>
      <c r="H99" s="6">
        <v>0</v>
      </c>
      <c r="I99" s="6" t="s">
        <v>51</v>
      </c>
      <c r="K99" s="6" t="str">
        <f t="shared" si="67"/>
        <v>103001</v>
      </c>
      <c r="L99" s="4">
        <v>6</v>
      </c>
      <c r="M99" s="6" t="s">
        <v>413</v>
      </c>
      <c r="O99" s="13" t="str">
        <f t="shared" si="95"/>
        <v>1.1</v>
      </c>
      <c r="P99" s="13" t="str">
        <f t="shared" si="97"/>
        <v>1.1</v>
      </c>
      <c r="Q99" s="13" t="str">
        <f t="shared" si="98"/>
        <v>1.1</v>
      </c>
      <c r="R99" s="13" t="str">
        <f>Q99</f>
        <v>1.1</v>
      </c>
      <c r="S99" s="13">
        <v>1.05</v>
      </c>
      <c r="T99" s="6" t="str">
        <f t="shared" si="70"/>
        <v>1|1.1#2|1.1#3|1.1#4|1.1#5|1.05</v>
      </c>
    </row>
    <row r="100" s="6" customFormat="1" ht="16.5" spans="1:20">
      <c r="A100" s="6">
        <v>1010106</v>
      </c>
      <c r="B100" s="16">
        <v>13001</v>
      </c>
      <c r="C100" s="6">
        <v>2</v>
      </c>
      <c r="D100" s="6">
        <v>5</v>
      </c>
      <c r="E100" s="6" t="str">
        <f t="shared" si="71"/>
        <v>103001:6</v>
      </c>
      <c r="F100" s="11" t="s">
        <v>370</v>
      </c>
      <c r="G100" s="6">
        <v>11002</v>
      </c>
      <c r="H100" s="6">
        <v>0</v>
      </c>
      <c r="I100" s="6" t="s">
        <v>40</v>
      </c>
      <c r="K100" s="6" t="str">
        <f t="shared" si="67"/>
        <v>103001</v>
      </c>
      <c r="L100" s="4">
        <v>6</v>
      </c>
      <c r="M100" s="6" t="s">
        <v>111</v>
      </c>
      <c r="O100" s="13" t="str">
        <f t="shared" si="95"/>
        <v>1.1</v>
      </c>
      <c r="P100" s="13" t="str">
        <f t="shared" si="97"/>
        <v>1.1</v>
      </c>
      <c r="Q100" s="13" t="str">
        <f t="shared" si="98"/>
        <v>1.1</v>
      </c>
      <c r="R100" s="13" t="str">
        <f>Q100</f>
        <v>1.1</v>
      </c>
      <c r="S100" s="13" t="str">
        <f>R100</f>
        <v>1.1</v>
      </c>
      <c r="T100" s="6" t="str">
        <f t="shared" si="70"/>
        <v>1|1.1#2|1.1#3|1.1#4|1.1#5|1.1</v>
      </c>
    </row>
    <row r="101" s="6" customFormat="1" ht="16.5" spans="1:20">
      <c r="A101" s="6">
        <v>1010107</v>
      </c>
      <c r="B101" s="16">
        <v>13001</v>
      </c>
      <c r="C101" s="6">
        <v>2</v>
      </c>
      <c r="D101" s="6">
        <v>6</v>
      </c>
      <c r="E101" s="6" t="str">
        <f t="shared" si="71"/>
        <v>103001:7</v>
      </c>
      <c r="F101" s="11">
        <v>0</v>
      </c>
      <c r="G101" s="6">
        <v>0</v>
      </c>
      <c r="H101" s="6">
        <v>0</v>
      </c>
      <c r="I101" s="6">
        <v>0</v>
      </c>
      <c r="K101" s="6" t="str">
        <f t="shared" si="67"/>
        <v>103001</v>
      </c>
      <c r="L101" s="13">
        <v>7</v>
      </c>
      <c r="M101" s="6" t="str">
        <f t="shared" ref="M101:S101" si="99">M100</f>
        <v>103001:20</v>
      </c>
      <c r="O101" s="13" t="str">
        <f t="shared" si="99"/>
        <v>1.1</v>
      </c>
      <c r="P101" s="13" t="str">
        <f t="shared" si="99"/>
        <v>1.1</v>
      </c>
      <c r="Q101" s="13" t="str">
        <f t="shared" si="99"/>
        <v>1.1</v>
      </c>
      <c r="R101" s="13" t="str">
        <f t="shared" si="99"/>
        <v>1.1</v>
      </c>
      <c r="S101" s="13" t="str">
        <f t="shared" si="99"/>
        <v>1.1</v>
      </c>
      <c r="T101" s="6" t="str">
        <f t="shared" si="70"/>
        <v>1|1.1#2|1.1#3|1.1#4|1.1#5|1.1</v>
      </c>
    </row>
    <row r="102" s="6" customFormat="1" ht="16.5" spans="1:20">
      <c r="A102" s="6">
        <v>1010108</v>
      </c>
      <c r="B102" s="16">
        <v>13001</v>
      </c>
      <c r="C102" s="6">
        <v>3</v>
      </c>
      <c r="D102" s="6">
        <v>0</v>
      </c>
      <c r="E102" s="6" t="str">
        <f t="shared" si="71"/>
        <v>103001:9</v>
      </c>
      <c r="F102" s="11" t="s">
        <v>371</v>
      </c>
      <c r="G102" s="6">
        <v>0</v>
      </c>
      <c r="H102" s="6">
        <v>0</v>
      </c>
      <c r="I102" s="6" t="s">
        <v>55</v>
      </c>
      <c r="K102" s="6" t="str">
        <f t="shared" si="67"/>
        <v>103001</v>
      </c>
      <c r="L102" s="4">
        <v>9</v>
      </c>
      <c r="M102" s="6" t="s">
        <v>414</v>
      </c>
      <c r="O102" s="15" t="str">
        <f>O101</f>
        <v>1.1</v>
      </c>
      <c r="P102" s="15" t="str">
        <f t="shared" ref="P102:S102" si="100">O102</f>
        <v>1.1</v>
      </c>
      <c r="Q102" s="15" t="str">
        <f t="shared" si="100"/>
        <v>1.1</v>
      </c>
      <c r="R102" s="15" t="str">
        <f>P102</f>
        <v>1.1</v>
      </c>
      <c r="S102" s="15" t="str">
        <f t="shared" si="100"/>
        <v>1.1</v>
      </c>
      <c r="T102" s="6" t="str">
        <f t="shared" si="70"/>
        <v>1|1.1#2|1.1#3|1.1#4|1.1#5|1.1</v>
      </c>
    </row>
    <row r="103" s="6" customFormat="1" ht="16.5" spans="1:20">
      <c r="A103" s="6">
        <v>1010109</v>
      </c>
      <c r="B103" s="16">
        <v>13001</v>
      </c>
      <c r="C103" s="6">
        <v>3</v>
      </c>
      <c r="D103" s="6">
        <v>1</v>
      </c>
      <c r="E103" s="6" t="str">
        <f t="shared" si="71"/>
        <v>103001:9</v>
      </c>
      <c r="F103" s="11" t="s">
        <v>373</v>
      </c>
      <c r="G103" s="6">
        <v>0</v>
      </c>
      <c r="H103" s="6">
        <v>0</v>
      </c>
      <c r="I103" s="6" t="s">
        <v>57</v>
      </c>
      <c r="K103" s="6" t="str">
        <f t="shared" si="67"/>
        <v>103001</v>
      </c>
      <c r="L103" s="4">
        <v>9</v>
      </c>
      <c r="M103" s="6" t="s">
        <v>414</v>
      </c>
      <c r="O103" s="13" t="str">
        <f t="shared" ref="O103:O107" si="101">RIGHT(F103,LEN(F103)-2)</f>
        <v>1.15</v>
      </c>
      <c r="P103" s="13" t="str">
        <f t="shared" ref="P103:S103" si="102">P102</f>
        <v>1.1</v>
      </c>
      <c r="Q103" s="13" t="str">
        <f t="shared" si="102"/>
        <v>1.1</v>
      </c>
      <c r="R103" s="13" t="str">
        <f t="shared" si="102"/>
        <v>1.1</v>
      </c>
      <c r="S103" s="13" t="str">
        <f t="shared" si="102"/>
        <v>1.1</v>
      </c>
      <c r="T103" s="6" t="str">
        <f t="shared" si="70"/>
        <v>1|1.15#2|1.1#3|1.1#4|1.1#5|1.1</v>
      </c>
    </row>
    <row r="104" s="6" customFormat="1" ht="16.5" spans="1:20">
      <c r="A104" s="6">
        <v>1010110</v>
      </c>
      <c r="B104" s="16">
        <v>13001</v>
      </c>
      <c r="C104" s="6">
        <v>3</v>
      </c>
      <c r="D104" s="6">
        <v>2</v>
      </c>
      <c r="E104" s="6" t="str">
        <f t="shared" si="71"/>
        <v>103001:9</v>
      </c>
      <c r="F104" s="11" t="s">
        <v>374</v>
      </c>
      <c r="G104" s="6">
        <v>0</v>
      </c>
      <c r="H104" s="6">
        <v>0</v>
      </c>
      <c r="I104" s="6" t="s">
        <v>59</v>
      </c>
      <c r="K104" s="6" t="str">
        <f t="shared" si="67"/>
        <v>103001</v>
      </c>
      <c r="L104" s="4">
        <v>9</v>
      </c>
      <c r="M104" s="6" t="s">
        <v>414</v>
      </c>
      <c r="O104" s="13" t="str">
        <f t="shared" si="101"/>
        <v>1.15</v>
      </c>
      <c r="P104" s="13" t="str">
        <f t="shared" ref="P104:P107" si="103">O104</f>
        <v>1.15</v>
      </c>
      <c r="Q104" s="13" t="str">
        <f t="shared" ref="Q104:S104" si="104">Q103</f>
        <v>1.1</v>
      </c>
      <c r="R104" s="13" t="str">
        <f t="shared" si="104"/>
        <v>1.1</v>
      </c>
      <c r="S104" s="13" t="str">
        <f t="shared" si="104"/>
        <v>1.1</v>
      </c>
      <c r="T104" s="6" t="str">
        <f t="shared" si="70"/>
        <v>1|1.15#2|1.15#3|1.1#4|1.1#5|1.1</v>
      </c>
    </row>
    <row r="105" s="6" customFormat="1" ht="16.5" spans="1:20">
      <c r="A105" s="6">
        <v>1010111</v>
      </c>
      <c r="B105" s="16">
        <v>13001</v>
      </c>
      <c r="C105" s="6">
        <v>3</v>
      </c>
      <c r="D105" s="6">
        <v>3</v>
      </c>
      <c r="E105" s="6" t="str">
        <f t="shared" si="71"/>
        <v>103001:11</v>
      </c>
      <c r="F105" s="11" t="s">
        <v>375</v>
      </c>
      <c r="G105" s="6">
        <v>0</v>
      </c>
      <c r="H105" s="6">
        <v>0</v>
      </c>
      <c r="I105" s="6" t="s">
        <v>61</v>
      </c>
      <c r="K105" s="6" t="str">
        <f t="shared" si="67"/>
        <v>103001</v>
      </c>
      <c r="L105" s="4">
        <v>11</v>
      </c>
      <c r="M105" s="6" t="s">
        <v>414</v>
      </c>
      <c r="O105" s="13" t="str">
        <f t="shared" si="101"/>
        <v>1.15</v>
      </c>
      <c r="P105" s="13" t="str">
        <f t="shared" si="103"/>
        <v>1.15</v>
      </c>
      <c r="Q105" s="13" t="str">
        <f t="shared" ref="Q105:Q107" si="105">P105</f>
        <v>1.15</v>
      </c>
      <c r="R105" s="13" t="str">
        <f>R104</f>
        <v>1.1</v>
      </c>
      <c r="S105" s="13" t="str">
        <f>S104</f>
        <v>1.1</v>
      </c>
      <c r="T105" s="6" t="str">
        <f t="shared" si="70"/>
        <v>1|1.15#2|1.15#3|1.15#4|1.1#5|1.1</v>
      </c>
    </row>
    <row r="106" s="6" customFormat="1" ht="16.5" spans="1:20">
      <c r="A106" s="6">
        <v>1010112</v>
      </c>
      <c r="B106" s="16">
        <v>13001</v>
      </c>
      <c r="C106" s="6">
        <v>3</v>
      </c>
      <c r="D106" s="6">
        <v>4</v>
      </c>
      <c r="E106" s="6" t="str">
        <f t="shared" si="71"/>
        <v>103001:11</v>
      </c>
      <c r="F106" s="11" t="s">
        <v>376</v>
      </c>
      <c r="G106" s="6">
        <v>0</v>
      </c>
      <c r="H106" s="6">
        <v>0</v>
      </c>
      <c r="I106" s="6" t="s">
        <v>63</v>
      </c>
      <c r="K106" s="6" t="str">
        <f t="shared" si="67"/>
        <v>103001</v>
      </c>
      <c r="L106" s="4">
        <v>11</v>
      </c>
      <c r="M106" s="6" t="s">
        <v>414</v>
      </c>
      <c r="O106" s="13" t="str">
        <f t="shared" si="101"/>
        <v>1.15</v>
      </c>
      <c r="P106" s="13" t="str">
        <f t="shared" si="103"/>
        <v>1.15</v>
      </c>
      <c r="Q106" s="13" t="str">
        <f t="shared" si="105"/>
        <v>1.15</v>
      </c>
      <c r="R106" s="13" t="str">
        <f>Q106</f>
        <v>1.15</v>
      </c>
      <c r="S106" s="13" t="str">
        <f>S105</f>
        <v>1.1</v>
      </c>
      <c r="T106" s="6" t="str">
        <f t="shared" si="70"/>
        <v>1|1.15#2|1.15#3|1.15#4|1.15#5|1.1</v>
      </c>
    </row>
    <row r="107" s="6" customFormat="1" ht="16.5" spans="1:20">
      <c r="A107" s="6">
        <v>1010113</v>
      </c>
      <c r="B107" s="16">
        <v>13001</v>
      </c>
      <c r="C107" s="6">
        <v>3</v>
      </c>
      <c r="D107" s="6">
        <v>5</v>
      </c>
      <c r="E107" s="6" t="str">
        <f t="shared" si="71"/>
        <v>103001:11</v>
      </c>
      <c r="F107" s="11" t="s">
        <v>377</v>
      </c>
      <c r="G107" s="6">
        <v>11002</v>
      </c>
      <c r="H107" s="6">
        <v>0</v>
      </c>
      <c r="I107" s="6" t="s">
        <v>40</v>
      </c>
      <c r="K107" s="6" t="str">
        <f t="shared" si="67"/>
        <v>103001</v>
      </c>
      <c r="L107" s="4">
        <v>11</v>
      </c>
      <c r="M107" s="6" t="s">
        <v>415</v>
      </c>
      <c r="O107" s="13" t="str">
        <f t="shared" si="101"/>
        <v>1.15</v>
      </c>
      <c r="P107" s="13" t="str">
        <f t="shared" si="103"/>
        <v>1.15</v>
      </c>
      <c r="Q107" s="13" t="str">
        <f t="shared" si="105"/>
        <v>1.15</v>
      </c>
      <c r="R107" s="13" t="str">
        <f>Q107</f>
        <v>1.15</v>
      </c>
      <c r="S107" s="13" t="str">
        <f>R107</f>
        <v>1.15</v>
      </c>
      <c r="T107" s="6" t="str">
        <f t="shared" si="70"/>
        <v>1|1.15#2|1.15#3|1.15#4|1.15#5|1.15</v>
      </c>
    </row>
    <row r="108" s="6" customFormat="1" ht="16.5" spans="1:20">
      <c r="A108" s="6">
        <v>1010114</v>
      </c>
      <c r="B108" s="16">
        <v>13001</v>
      </c>
      <c r="C108" s="6">
        <v>3</v>
      </c>
      <c r="D108" s="6">
        <v>6</v>
      </c>
      <c r="E108" s="6" t="str">
        <f t="shared" si="71"/>
        <v>103001:30</v>
      </c>
      <c r="F108" s="11">
        <v>0</v>
      </c>
      <c r="G108" s="6">
        <v>0</v>
      </c>
      <c r="H108" s="6">
        <v>0</v>
      </c>
      <c r="I108" s="6">
        <v>0</v>
      </c>
      <c r="K108" s="6" t="str">
        <f t="shared" si="67"/>
        <v>103001</v>
      </c>
      <c r="L108" s="13">
        <v>30</v>
      </c>
      <c r="M108" s="6" t="str">
        <f t="shared" ref="M108:S108" si="106">M107</f>
        <v>103001:30</v>
      </c>
      <c r="O108" s="13" t="str">
        <f t="shared" si="106"/>
        <v>1.15</v>
      </c>
      <c r="P108" s="13" t="str">
        <f t="shared" si="106"/>
        <v>1.15</v>
      </c>
      <c r="Q108" s="13" t="str">
        <f t="shared" si="106"/>
        <v>1.15</v>
      </c>
      <c r="R108" s="13" t="str">
        <f t="shared" si="106"/>
        <v>1.15</v>
      </c>
      <c r="S108" s="13" t="str">
        <f t="shared" si="106"/>
        <v>1.15</v>
      </c>
      <c r="T108" s="6" t="str">
        <f t="shared" si="70"/>
        <v>1|1.15#2|1.15#3|1.15#4|1.15#5|1.15</v>
      </c>
    </row>
    <row r="109" s="6" customFormat="1" ht="16.5" spans="1:20">
      <c r="A109" s="6">
        <v>1010115</v>
      </c>
      <c r="B109" s="16">
        <v>13001</v>
      </c>
      <c r="C109" s="6">
        <v>4</v>
      </c>
      <c r="D109" s="6">
        <v>0</v>
      </c>
      <c r="E109" s="6" t="str">
        <f t="shared" si="71"/>
        <v>103001:13</v>
      </c>
      <c r="F109" s="11" t="s">
        <v>379</v>
      </c>
      <c r="G109" s="6">
        <v>0</v>
      </c>
      <c r="H109" s="6">
        <v>0</v>
      </c>
      <c r="I109" s="6" t="s">
        <v>67</v>
      </c>
      <c r="K109" s="6" t="str">
        <f t="shared" si="67"/>
        <v>103001</v>
      </c>
      <c r="L109" s="4">
        <v>13</v>
      </c>
      <c r="M109" s="6" t="s">
        <v>416</v>
      </c>
      <c r="O109" s="15" t="str">
        <f>O108</f>
        <v>1.15</v>
      </c>
      <c r="P109" s="15" t="str">
        <f t="shared" ref="P109:S109" si="107">O109</f>
        <v>1.15</v>
      </c>
      <c r="Q109" s="15" t="str">
        <f t="shared" si="107"/>
        <v>1.15</v>
      </c>
      <c r="R109" s="15" t="str">
        <f>P109</f>
        <v>1.15</v>
      </c>
      <c r="S109" s="15" t="str">
        <f t="shared" si="107"/>
        <v>1.15</v>
      </c>
      <c r="T109" s="6" t="str">
        <f t="shared" si="70"/>
        <v>1|1.15#2|1.15#3|1.15#4|1.15#5|1.15</v>
      </c>
    </row>
    <row r="110" s="6" customFormat="1" ht="16.5" spans="1:20">
      <c r="A110" s="6">
        <v>1010116</v>
      </c>
      <c r="B110" s="16">
        <v>13001</v>
      </c>
      <c r="C110" s="6">
        <v>4</v>
      </c>
      <c r="D110" s="6">
        <v>1</v>
      </c>
      <c r="E110" s="6" t="str">
        <f t="shared" si="71"/>
        <v>103001:13</v>
      </c>
      <c r="F110" s="11" t="s">
        <v>381</v>
      </c>
      <c r="G110" s="6">
        <v>0</v>
      </c>
      <c r="H110" s="6">
        <v>0</v>
      </c>
      <c r="I110" s="6" t="s">
        <v>69</v>
      </c>
      <c r="K110" s="6" t="str">
        <f t="shared" si="67"/>
        <v>103001</v>
      </c>
      <c r="L110" s="4">
        <v>13</v>
      </c>
      <c r="M110" s="6" t="s">
        <v>416</v>
      </c>
      <c r="O110" s="13" t="str">
        <f t="shared" ref="O110:O114" si="108">RIGHT(F110,LEN(F110)-2)</f>
        <v>1.2</v>
      </c>
      <c r="P110" s="13" t="str">
        <f t="shared" ref="P110:S110" si="109">P109</f>
        <v>1.15</v>
      </c>
      <c r="Q110" s="13" t="str">
        <f t="shared" si="109"/>
        <v>1.15</v>
      </c>
      <c r="R110" s="13" t="str">
        <f t="shared" si="109"/>
        <v>1.15</v>
      </c>
      <c r="S110" s="13" t="str">
        <f t="shared" si="109"/>
        <v>1.15</v>
      </c>
      <c r="T110" s="6" t="str">
        <f t="shared" si="70"/>
        <v>1|1.2#2|1.15#3|1.15#4|1.15#5|1.15</v>
      </c>
    </row>
    <row r="111" s="6" customFormat="1" ht="16.5" spans="1:20">
      <c r="A111" s="6">
        <v>1010117</v>
      </c>
      <c r="B111" s="16">
        <v>13001</v>
      </c>
      <c r="C111" s="6">
        <v>4</v>
      </c>
      <c r="D111" s="6">
        <v>2</v>
      </c>
      <c r="E111" s="6" t="str">
        <f t="shared" si="71"/>
        <v>103001:13</v>
      </c>
      <c r="F111" s="11" t="s">
        <v>382</v>
      </c>
      <c r="G111" s="6">
        <v>0</v>
      </c>
      <c r="H111" s="6">
        <v>0</v>
      </c>
      <c r="I111" s="6" t="s">
        <v>71</v>
      </c>
      <c r="K111" s="6" t="str">
        <f t="shared" si="67"/>
        <v>103001</v>
      </c>
      <c r="L111" s="4">
        <v>13</v>
      </c>
      <c r="M111" s="6" t="s">
        <v>416</v>
      </c>
      <c r="O111" s="13" t="str">
        <f t="shared" si="108"/>
        <v>1.2</v>
      </c>
      <c r="P111" s="13" t="str">
        <f t="shared" ref="P111:P114" si="110">O111</f>
        <v>1.2</v>
      </c>
      <c r="Q111" s="13" t="str">
        <f t="shared" ref="Q111:S111" si="111">Q110</f>
        <v>1.15</v>
      </c>
      <c r="R111" s="13" t="str">
        <f t="shared" si="111"/>
        <v>1.15</v>
      </c>
      <c r="S111" s="13" t="str">
        <f t="shared" si="111"/>
        <v>1.15</v>
      </c>
      <c r="T111" s="6" t="str">
        <f t="shared" si="70"/>
        <v>1|1.2#2|1.2#3|1.15#4|1.15#5|1.15</v>
      </c>
    </row>
    <row r="112" s="6" customFormat="1" ht="16.5" spans="1:20">
      <c r="A112" s="6">
        <v>1010118</v>
      </c>
      <c r="B112" s="16">
        <v>13001</v>
      </c>
      <c r="C112" s="6">
        <v>4</v>
      </c>
      <c r="D112" s="6">
        <v>3</v>
      </c>
      <c r="E112" s="6" t="str">
        <f t="shared" si="71"/>
        <v>103001:17</v>
      </c>
      <c r="F112" s="11" t="s">
        <v>383</v>
      </c>
      <c r="G112" s="6">
        <v>0</v>
      </c>
      <c r="H112" s="6">
        <v>0</v>
      </c>
      <c r="I112" s="6" t="s">
        <v>73</v>
      </c>
      <c r="K112" s="6" t="str">
        <f t="shared" si="67"/>
        <v>103001</v>
      </c>
      <c r="L112" s="4">
        <v>17</v>
      </c>
      <c r="M112" s="6" t="s">
        <v>416</v>
      </c>
      <c r="O112" s="13" t="str">
        <f t="shared" si="108"/>
        <v>1.2</v>
      </c>
      <c r="P112" s="13" t="str">
        <f t="shared" si="110"/>
        <v>1.2</v>
      </c>
      <c r="Q112" s="13" t="str">
        <f t="shared" ref="Q112:Q114" si="112">P112</f>
        <v>1.2</v>
      </c>
      <c r="R112" s="13" t="str">
        <f>R111</f>
        <v>1.15</v>
      </c>
      <c r="S112" s="13" t="str">
        <f>S111</f>
        <v>1.15</v>
      </c>
      <c r="T112" s="6" t="str">
        <f t="shared" si="70"/>
        <v>1|1.2#2|1.2#3|1.2#4|1.15#5|1.15</v>
      </c>
    </row>
    <row r="113" s="6" customFormat="1" ht="16.5" spans="1:20">
      <c r="A113" s="6">
        <v>1010119</v>
      </c>
      <c r="B113" s="16">
        <v>13001</v>
      </c>
      <c r="C113" s="6">
        <v>4</v>
      </c>
      <c r="D113" s="6">
        <v>4</v>
      </c>
      <c r="E113" s="6" t="str">
        <f t="shared" si="71"/>
        <v>103001:17</v>
      </c>
      <c r="F113" s="11" t="s">
        <v>384</v>
      </c>
      <c r="G113" s="6">
        <v>0</v>
      </c>
      <c r="H113" s="6">
        <v>0</v>
      </c>
      <c r="I113" s="6" t="s">
        <v>75</v>
      </c>
      <c r="K113" s="6" t="str">
        <f t="shared" si="67"/>
        <v>103001</v>
      </c>
      <c r="L113" s="4">
        <v>17</v>
      </c>
      <c r="M113" s="6" t="s">
        <v>416</v>
      </c>
      <c r="O113" s="13" t="str">
        <f t="shared" si="108"/>
        <v>1.2</v>
      </c>
      <c r="P113" s="13" t="str">
        <f t="shared" si="110"/>
        <v>1.2</v>
      </c>
      <c r="Q113" s="13" t="str">
        <f t="shared" si="112"/>
        <v>1.2</v>
      </c>
      <c r="R113" s="13" t="str">
        <f>Q113</f>
        <v>1.2</v>
      </c>
      <c r="S113" s="13" t="str">
        <f>S112</f>
        <v>1.15</v>
      </c>
      <c r="T113" s="6" t="str">
        <f t="shared" si="70"/>
        <v>1|1.2#2|1.2#3|1.2#4|1.2#5|1.15</v>
      </c>
    </row>
    <row r="114" s="6" customFormat="1" ht="16.5" spans="1:20">
      <c r="A114" s="6">
        <v>1010120</v>
      </c>
      <c r="B114" s="16">
        <v>13001</v>
      </c>
      <c r="C114" s="6">
        <v>4</v>
      </c>
      <c r="D114" s="6">
        <v>5</v>
      </c>
      <c r="E114" s="6" t="str">
        <f t="shared" si="71"/>
        <v>103001:17</v>
      </c>
      <c r="F114" s="11" t="s">
        <v>385</v>
      </c>
      <c r="G114" s="6">
        <v>11002</v>
      </c>
      <c r="H114" s="6">
        <v>0</v>
      </c>
      <c r="I114" s="6" t="s">
        <v>40</v>
      </c>
      <c r="K114" s="6" t="str">
        <f t="shared" si="67"/>
        <v>103001</v>
      </c>
      <c r="L114" s="4">
        <v>17</v>
      </c>
      <c r="M114" s="6" t="s">
        <v>113</v>
      </c>
      <c r="O114" s="13" t="str">
        <f t="shared" si="108"/>
        <v>1.2</v>
      </c>
      <c r="P114" s="13" t="str">
        <f t="shared" si="110"/>
        <v>1.2</v>
      </c>
      <c r="Q114" s="13" t="str">
        <f t="shared" si="112"/>
        <v>1.2</v>
      </c>
      <c r="R114" s="13" t="str">
        <f>Q114</f>
        <v>1.2</v>
      </c>
      <c r="S114" s="13" t="str">
        <f>R114</f>
        <v>1.2</v>
      </c>
      <c r="T114" s="6" t="str">
        <f t="shared" si="70"/>
        <v>1|1.2#2|1.2#3|1.2#4|1.2#5|1.2</v>
      </c>
    </row>
    <row r="115" s="6" customFormat="1" ht="16.5" spans="1:20">
      <c r="A115" s="6">
        <v>1010121</v>
      </c>
      <c r="B115" s="16">
        <v>13001</v>
      </c>
      <c r="C115" s="6">
        <v>4</v>
      </c>
      <c r="D115" s="6">
        <v>6</v>
      </c>
      <c r="E115" s="6" t="str">
        <f t="shared" si="71"/>
        <v>103001:60</v>
      </c>
      <c r="F115" s="11">
        <v>0</v>
      </c>
      <c r="G115" s="6">
        <v>0</v>
      </c>
      <c r="H115" s="6">
        <v>0</v>
      </c>
      <c r="I115" s="6">
        <v>0</v>
      </c>
      <c r="K115" s="6" t="str">
        <f t="shared" si="67"/>
        <v>103001</v>
      </c>
      <c r="L115" s="13">
        <v>60</v>
      </c>
      <c r="M115" s="6" t="str">
        <f t="shared" ref="M115:S115" si="113">M114</f>
        <v>103001:40</v>
      </c>
      <c r="O115" s="13" t="str">
        <f t="shared" si="113"/>
        <v>1.2</v>
      </c>
      <c r="P115" s="13" t="str">
        <f t="shared" si="113"/>
        <v>1.2</v>
      </c>
      <c r="Q115" s="13" t="str">
        <f t="shared" si="113"/>
        <v>1.2</v>
      </c>
      <c r="R115" s="13" t="str">
        <f t="shared" si="113"/>
        <v>1.2</v>
      </c>
      <c r="S115" s="13" t="str">
        <f t="shared" si="113"/>
        <v>1.2</v>
      </c>
      <c r="T115" s="6" t="str">
        <f t="shared" si="70"/>
        <v>1|1.2#2|1.2#3|1.2#4|1.2#5|1.2</v>
      </c>
    </row>
    <row r="116" s="6" customFormat="1" ht="16.5" spans="1:20">
      <c r="A116" s="6">
        <v>1010122</v>
      </c>
      <c r="B116" s="16">
        <v>13001</v>
      </c>
      <c r="C116" s="6">
        <v>5</v>
      </c>
      <c r="D116" s="6">
        <v>0</v>
      </c>
      <c r="E116" s="6" t="str">
        <f t="shared" si="71"/>
        <v>103001:18</v>
      </c>
      <c r="F116" s="11" t="s">
        <v>386</v>
      </c>
      <c r="G116" s="6">
        <v>0</v>
      </c>
      <c r="H116" s="6">
        <v>0</v>
      </c>
      <c r="I116" s="6" t="s">
        <v>79</v>
      </c>
      <c r="K116" s="6" t="str">
        <f t="shared" si="67"/>
        <v>103001</v>
      </c>
      <c r="L116" s="4">
        <v>18</v>
      </c>
      <c r="M116" s="6" t="s">
        <v>417</v>
      </c>
      <c r="O116" s="15" t="str">
        <f>O115</f>
        <v>1.2</v>
      </c>
      <c r="P116" s="15" t="str">
        <f t="shared" ref="P116:S116" si="114">O116</f>
        <v>1.2</v>
      </c>
      <c r="Q116" s="15" t="str">
        <f t="shared" si="114"/>
        <v>1.2</v>
      </c>
      <c r="R116" s="15" t="str">
        <f>P116</f>
        <v>1.2</v>
      </c>
      <c r="S116" s="15" t="str">
        <f t="shared" si="114"/>
        <v>1.2</v>
      </c>
      <c r="T116" s="6" t="str">
        <f t="shared" si="70"/>
        <v>1|1.2#2|1.2#3|1.2#4|1.2#5|1.2</v>
      </c>
    </row>
    <row r="117" s="6" customFormat="1" ht="16.5" spans="1:20">
      <c r="A117" s="6">
        <v>1010123</v>
      </c>
      <c r="B117" s="16">
        <v>13001</v>
      </c>
      <c r="C117" s="6">
        <v>5</v>
      </c>
      <c r="D117" s="6">
        <v>1</v>
      </c>
      <c r="E117" s="6" t="str">
        <f t="shared" si="71"/>
        <v>103001:18</v>
      </c>
      <c r="F117" s="11" t="s">
        <v>388</v>
      </c>
      <c r="G117" s="6">
        <v>0</v>
      </c>
      <c r="H117" s="6">
        <v>0</v>
      </c>
      <c r="I117" s="6" t="s">
        <v>81</v>
      </c>
      <c r="K117" s="6" t="str">
        <f t="shared" si="67"/>
        <v>103001</v>
      </c>
      <c r="L117" s="4">
        <v>18</v>
      </c>
      <c r="M117" s="6" t="s">
        <v>417</v>
      </c>
      <c r="O117" s="13" t="str">
        <f t="shared" ref="O117:O121" si="115">RIGHT(F117,LEN(F117)-2)</f>
        <v>1.3</v>
      </c>
      <c r="P117" s="13" t="str">
        <f t="shared" ref="P117:S117" si="116">P116</f>
        <v>1.2</v>
      </c>
      <c r="Q117" s="13" t="str">
        <f t="shared" si="116"/>
        <v>1.2</v>
      </c>
      <c r="R117" s="13" t="str">
        <f t="shared" si="116"/>
        <v>1.2</v>
      </c>
      <c r="S117" s="13" t="str">
        <f t="shared" si="116"/>
        <v>1.2</v>
      </c>
      <c r="T117" s="6" t="str">
        <f t="shared" si="70"/>
        <v>1|1.3#2|1.2#3|1.2#4|1.2#5|1.2</v>
      </c>
    </row>
    <row r="118" s="6" customFormat="1" ht="16.5" spans="1:20">
      <c r="A118" s="6">
        <v>1010124</v>
      </c>
      <c r="B118" s="16">
        <v>13001</v>
      </c>
      <c r="C118" s="6">
        <v>5</v>
      </c>
      <c r="D118" s="6">
        <v>2</v>
      </c>
      <c r="E118" s="6" t="str">
        <f t="shared" si="71"/>
        <v>103001:18</v>
      </c>
      <c r="F118" s="11" t="s">
        <v>389</v>
      </c>
      <c r="G118" s="6">
        <v>0</v>
      </c>
      <c r="H118" s="6">
        <v>0</v>
      </c>
      <c r="I118" s="6" t="s">
        <v>83</v>
      </c>
      <c r="K118" s="6" t="str">
        <f t="shared" si="67"/>
        <v>103001</v>
      </c>
      <c r="L118" s="4">
        <v>18</v>
      </c>
      <c r="M118" s="6" t="s">
        <v>417</v>
      </c>
      <c r="O118" s="13" t="str">
        <f t="shared" si="115"/>
        <v>1.3</v>
      </c>
      <c r="P118" s="13" t="str">
        <f t="shared" ref="P118:P121" si="117">O118</f>
        <v>1.3</v>
      </c>
      <c r="Q118" s="13" t="str">
        <f t="shared" ref="Q118:S118" si="118">Q117</f>
        <v>1.2</v>
      </c>
      <c r="R118" s="13" t="str">
        <f t="shared" si="118"/>
        <v>1.2</v>
      </c>
      <c r="S118" s="13" t="str">
        <f t="shared" si="118"/>
        <v>1.2</v>
      </c>
      <c r="T118" s="6" t="str">
        <f t="shared" si="70"/>
        <v>1|1.3#2|1.3#3|1.2#4|1.2#5|1.2</v>
      </c>
    </row>
    <row r="119" s="6" customFormat="1" ht="16.5" spans="1:20">
      <c r="A119" s="6">
        <v>1010125</v>
      </c>
      <c r="B119" s="16">
        <v>13001</v>
      </c>
      <c r="C119" s="6">
        <v>5</v>
      </c>
      <c r="D119" s="6">
        <v>3</v>
      </c>
      <c r="E119" s="6" t="str">
        <f t="shared" si="71"/>
        <v>103001:22</v>
      </c>
      <c r="F119" s="11" t="s">
        <v>390</v>
      </c>
      <c r="G119" s="6">
        <v>0</v>
      </c>
      <c r="H119" s="6">
        <v>0</v>
      </c>
      <c r="I119" s="6" t="s">
        <v>85</v>
      </c>
      <c r="K119" s="6" t="str">
        <f t="shared" si="67"/>
        <v>103001</v>
      </c>
      <c r="L119" s="4">
        <v>22</v>
      </c>
      <c r="M119" s="6" t="s">
        <v>417</v>
      </c>
      <c r="O119" s="13" t="str">
        <f t="shared" si="115"/>
        <v>1.3</v>
      </c>
      <c r="P119" s="13" t="str">
        <f t="shared" si="117"/>
        <v>1.3</v>
      </c>
      <c r="Q119" s="13" t="str">
        <f t="shared" ref="Q119:Q121" si="119">P119</f>
        <v>1.3</v>
      </c>
      <c r="R119" s="13" t="str">
        <f>R118</f>
        <v>1.2</v>
      </c>
      <c r="S119" s="13" t="str">
        <f>S118</f>
        <v>1.2</v>
      </c>
      <c r="T119" s="6" t="str">
        <f t="shared" si="70"/>
        <v>1|1.3#2|1.3#3|1.3#4|1.2#5|1.2</v>
      </c>
    </row>
    <row r="120" s="6" customFormat="1" ht="16.5" spans="1:20">
      <c r="A120" s="6">
        <v>1010126</v>
      </c>
      <c r="B120" s="16">
        <v>13001</v>
      </c>
      <c r="C120" s="6">
        <v>5</v>
      </c>
      <c r="D120" s="6">
        <v>4</v>
      </c>
      <c r="E120" s="6" t="str">
        <f t="shared" si="71"/>
        <v>103001:22</v>
      </c>
      <c r="F120" s="11" t="s">
        <v>391</v>
      </c>
      <c r="G120" s="6">
        <v>0</v>
      </c>
      <c r="H120" s="6">
        <v>0</v>
      </c>
      <c r="I120" s="6" t="s">
        <v>87</v>
      </c>
      <c r="K120" s="6" t="str">
        <f t="shared" si="67"/>
        <v>103001</v>
      </c>
      <c r="L120" s="4">
        <v>22</v>
      </c>
      <c r="M120" s="6" t="s">
        <v>417</v>
      </c>
      <c r="O120" s="13" t="str">
        <f t="shared" si="115"/>
        <v>1.3</v>
      </c>
      <c r="P120" s="13" t="str">
        <f t="shared" si="117"/>
        <v>1.3</v>
      </c>
      <c r="Q120" s="13" t="str">
        <f t="shared" si="119"/>
        <v>1.3</v>
      </c>
      <c r="R120" s="13" t="str">
        <f>Q120</f>
        <v>1.3</v>
      </c>
      <c r="S120" s="13" t="str">
        <f>S119</f>
        <v>1.2</v>
      </c>
      <c r="T120" s="6" t="str">
        <f t="shared" si="70"/>
        <v>1|1.3#2|1.3#3|1.3#4|1.3#5|1.2</v>
      </c>
    </row>
    <row r="121" s="6" customFormat="1" ht="16.5" spans="1:20">
      <c r="A121" s="6">
        <v>1010127</v>
      </c>
      <c r="B121" s="16">
        <v>13001</v>
      </c>
      <c r="C121" s="6">
        <v>5</v>
      </c>
      <c r="D121" s="6">
        <v>5</v>
      </c>
      <c r="E121" s="6" t="str">
        <f t="shared" si="71"/>
        <v>103001:22</v>
      </c>
      <c r="F121" s="11" t="s">
        <v>392</v>
      </c>
      <c r="G121" s="6">
        <v>0</v>
      </c>
      <c r="H121" s="6">
        <v>0</v>
      </c>
      <c r="I121" s="6" t="s">
        <v>40</v>
      </c>
      <c r="K121" s="6" t="str">
        <f t="shared" si="67"/>
        <v>103001</v>
      </c>
      <c r="L121" s="4">
        <v>22</v>
      </c>
      <c r="M121" s="6" t="s">
        <v>418</v>
      </c>
      <c r="O121" s="13" t="str">
        <f t="shared" si="115"/>
        <v>1.3</v>
      </c>
      <c r="P121" s="13" t="str">
        <f t="shared" si="117"/>
        <v>1.3</v>
      </c>
      <c r="Q121" s="13" t="str">
        <f t="shared" si="119"/>
        <v>1.3</v>
      </c>
      <c r="R121" s="13" t="str">
        <f>Q121</f>
        <v>1.3</v>
      </c>
      <c r="S121" s="13" t="str">
        <f>R121</f>
        <v>1.3</v>
      </c>
      <c r="T121" s="6" t="str">
        <f t="shared" si="70"/>
        <v>1|1.3#2|1.3#3|1.3#4|1.3#5|1.3</v>
      </c>
    </row>
    <row r="122" s="6" customFormat="1" ht="16.5" spans="1:20">
      <c r="A122" s="6">
        <v>1010128</v>
      </c>
      <c r="B122" s="16">
        <v>13001</v>
      </c>
      <c r="C122" s="6">
        <v>5</v>
      </c>
      <c r="D122" s="6">
        <v>6</v>
      </c>
      <c r="E122" s="6" t="str">
        <f t="shared" si="71"/>
        <v>103001:60</v>
      </c>
      <c r="F122" s="11">
        <v>0</v>
      </c>
      <c r="G122" s="6">
        <v>11026</v>
      </c>
      <c r="H122" s="6" t="s">
        <v>407</v>
      </c>
      <c r="I122" s="6">
        <v>0</v>
      </c>
      <c r="K122" s="6" t="str">
        <f t="shared" si="67"/>
        <v>103001</v>
      </c>
      <c r="L122" s="13">
        <v>60</v>
      </c>
      <c r="M122" s="6" t="s">
        <v>419</v>
      </c>
      <c r="O122" s="13" t="str">
        <f t="shared" ref="O122:S122" si="120">O121</f>
        <v>1.3</v>
      </c>
      <c r="P122" s="13" t="str">
        <f t="shared" si="120"/>
        <v>1.3</v>
      </c>
      <c r="Q122" s="13" t="str">
        <f t="shared" si="120"/>
        <v>1.3</v>
      </c>
      <c r="R122" s="13" t="str">
        <f t="shared" si="120"/>
        <v>1.3</v>
      </c>
      <c r="S122" s="13" t="str">
        <f t="shared" si="120"/>
        <v>1.3</v>
      </c>
      <c r="T122" s="6" t="str">
        <f t="shared" si="70"/>
        <v>1|1.3#2|1.3#3|1.3#4|1.3#5|1.3</v>
      </c>
    </row>
    <row r="123" s="6" customFormat="1" ht="16.5" spans="1:20">
      <c r="A123" s="6">
        <v>1010129</v>
      </c>
      <c r="B123" s="16">
        <v>13001</v>
      </c>
      <c r="C123" s="6">
        <v>6</v>
      </c>
      <c r="D123" s="6">
        <v>0</v>
      </c>
      <c r="E123" s="6" t="str">
        <f t="shared" si="71"/>
        <v>103001:24</v>
      </c>
      <c r="F123" s="11" t="s">
        <v>394</v>
      </c>
      <c r="G123" s="6">
        <v>0</v>
      </c>
      <c r="H123" s="6">
        <v>0</v>
      </c>
      <c r="I123" s="6" t="s">
        <v>90</v>
      </c>
      <c r="K123" s="6" t="str">
        <f t="shared" si="67"/>
        <v>103001</v>
      </c>
      <c r="L123" s="4">
        <v>24</v>
      </c>
      <c r="M123" s="6" t="s">
        <v>420</v>
      </c>
      <c r="O123" s="15" t="str">
        <f>O122</f>
        <v>1.3</v>
      </c>
      <c r="P123" s="15" t="str">
        <f t="shared" ref="P123:S123" si="121">O123</f>
        <v>1.3</v>
      </c>
      <c r="Q123" s="15" t="str">
        <f t="shared" si="121"/>
        <v>1.3</v>
      </c>
      <c r="R123" s="15" t="str">
        <f>P123</f>
        <v>1.3</v>
      </c>
      <c r="S123" s="15" t="str">
        <f t="shared" si="121"/>
        <v>1.3</v>
      </c>
      <c r="T123" s="6" t="str">
        <f t="shared" si="70"/>
        <v>1|1.3#2|1.3#3|1.3#4|1.3#5|1.3</v>
      </c>
    </row>
    <row r="124" s="6" customFormat="1" ht="16.5" spans="1:20">
      <c r="A124" s="6">
        <v>1010130</v>
      </c>
      <c r="B124" s="16">
        <v>13001</v>
      </c>
      <c r="C124" s="6">
        <v>6</v>
      </c>
      <c r="D124" s="6">
        <v>1</v>
      </c>
      <c r="E124" s="6" t="str">
        <f t="shared" si="71"/>
        <v>103001:24</v>
      </c>
      <c r="F124" s="11" t="s">
        <v>396</v>
      </c>
      <c r="G124" s="6">
        <v>0</v>
      </c>
      <c r="H124" s="6">
        <v>0</v>
      </c>
      <c r="I124" s="6" t="s">
        <v>92</v>
      </c>
      <c r="K124" s="6" t="str">
        <f t="shared" si="67"/>
        <v>103001</v>
      </c>
      <c r="L124" s="4">
        <v>24</v>
      </c>
      <c r="M124" s="6" t="s">
        <v>420</v>
      </c>
      <c r="O124" s="13" t="str">
        <f t="shared" ref="O124:O128" si="122">RIGHT(F124,LEN(F124)-2)</f>
        <v>1.4</v>
      </c>
      <c r="P124" s="13" t="str">
        <f t="shared" ref="P124:S124" si="123">P123</f>
        <v>1.3</v>
      </c>
      <c r="Q124" s="13" t="str">
        <f t="shared" si="123"/>
        <v>1.3</v>
      </c>
      <c r="R124" s="13" t="str">
        <f t="shared" si="123"/>
        <v>1.3</v>
      </c>
      <c r="S124" s="13" t="str">
        <f t="shared" si="123"/>
        <v>1.3</v>
      </c>
      <c r="T124" s="6" t="str">
        <f t="shared" si="70"/>
        <v>1|1.4#2|1.3#3|1.3#4|1.3#5|1.3</v>
      </c>
    </row>
    <row r="125" s="6" customFormat="1" ht="16.5" spans="1:20">
      <c r="A125" s="6">
        <v>1010131</v>
      </c>
      <c r="B125" s="16">
        <v>13001</v>
      </c>
      <c r="C125" s="6">
        <v>6</v>
      </c>
      <c r="D125" s="6">
        <v>2</v>
      </c>
      <c r="E125" s="6" t="str">
        <f t="shared" si="71"/>
        <v>103001:24</v>
      </c>
      <c r="F125" s="11" t="s">
        <v>397</v>
      </c>
      <c r="G125" s="6">
        <v>0</v>
      </c>
      <c r="H125" s="6">
        <v>0</v>
      </c>
      <c r="I125" s="6" t="s">
        <v>94</v>
      </c>
      <c r="K125" s="6" t="str">
        <f t="shared" si="67"/>
        <v>103001</v>
      </c>
      <c r="L125" s="4">
        <v>24</v>
      </c>
      <c r="M125" s="6" t="s">
        <v>420</v>
      </c>
      <c r="O125" s="13" t="str">
        <f t="shared" si="122"/>
        <v>1.4</v>
      </c>
      <c r="P125" s="13" t="str">
        <f t="shared" ref="P125:P128" si="124">O125</f>
        <v>1.4</v>
      </c>
      <c r="Q125" s="13" t="str">
        <f t="shared" ref="Q125:S125" si="125">Q124</f>
        <v>1.3</v>
      </c>
      <c r="R125" s="13" t="str">
        <f t="shared" si="125"/>
        <v>1.3</v>
      </c>
      <c r="S125" s="13" t="str">
        <f t="shared" si="125"/>
        <v>1.3</v>
      </c>
      <c r="T125" s="6" t="str">
        <f t="shared" si="70"/>
        <v>1|1.4#2|1.4#3|1.3#4|1.3#5|1.3</v>
      </c>
    </row>
    <row r="126" s="6" customFormat="1" ht="16.5" spans="1:20">
      <c r="A126" s="6">
        <v>1010132</v>
      </c>
      <c r="B126" s="16">
        <v>13001</v>
      </c>
      <c r="C126" s="6">
        <v>6</v>
      </c>
      <c r="D126" s="6">
        <v>3</v>
      </c>
      <c r="E126" s="6" t="str">
        <f t="shared" si="71"/>
        <v>103001:24</v>
      </c>
      <c r="F126" s="11" t="s">
        <v>398</v>
      </c>
      <c r="G126" s="6">
        <v>0</v>
      </c>
      <c r="H126" s="6">
        <v>0</v>
      </c>
      <c r="I126" s="6" t="s">
        <v>96</v>
      </c>
      <c r="K126" s="6" t="str">
        <f t="shared" si="67"/>
        <v>103001</v>
      </c>
      <c r="L126" s="4">
        <v>24</v>
      </c>
      <c r="M126" s="6" t="s">
        <v>420</v>
      </c>
      <c r="O126" s="13" t="str">
        <f t="shared" si="122"/>
        <v>1.4</v>
      </c>
      <c r="P126" s="13" t="str">
        <f t="shared" si="124"/>
        <v>1.4</v>
      </c>
      <c r="Q126" s="13" t="str">
        <f t="shared" ref="Q126:Q128" si="126">P126</f>
        <v>1.4</v>
      </c>
      <c r="R126" s="13" t="str">
        <f>R125</f>
        <v>1.3</v>
      </c>
      <c r="S126" s="13" t="str">
        <f t="shared" ref="S126:S133" si="127">S125</f>
        <v>1.3</v>
      </c>
      <c r="T126" s="6" t="str">
        <f t="shared" si="70"/>
        <v>1|1.4#2|1.4#3|1.4#4|1.3#5|1.3</v>
      </c>
    </row>
    <row r="127" s="6" customFormat="1" ht="16.5" spans="1:20">
      <c r="A127" s="6">
        <v>1010133</v>
      </c>
      <c r="B127" s="16">
        <v>13001</v>
      </c>
      <c r="C127" s="6">
        <v>6</v>
      </c>
      <c r="D127" s="6">
        <v>4</v>
      </c>
      <c r="E127" s="6" t="str">
        <f t="shared" si="71"/>
        <v>103001:24</v>
      </c>
      <c r="F127" s="11" t="s">
        <v>399</v>
      </c>
      <c r="G127" s="6">
        <v>0</v>
      </c>
      <c r="H127" s="6">
        <v>0</v>
      </c>
      <c r="I127" s="6" t="s">
        <v>98</v>
      </c>
      <c r="K127" s="6" t="str">
        <f t="shared" si="67"/>
        <v>103001</v>
      </c>
      <c r="L127" s="4">
        <v>24</v>
      </c>
      <c r="M127" s="6" t="s">
        <v>420</v>
      </c>
      <c r="O127" s="13" t="str">
        <f t="shared" si="122"/>
        <v>1.4</v>
      </c>
      <c r="P127" s="13" t="str">
        <f t="shared" si="124"/>
        <v>1.4</v>
      </c>
      <c r="Q127" s="13" t="str">
        <f t="shared" si="126"/>
        <v>1.4</v>
      </c>
      <c r="R127" s="13" t="str">
        <f>Q127</f>
        <v>1.4</v>
      </c>
      <c r="S127" s="13" t="str">
        <f t="shared" si="127"/>
        <v>1.3</v>
      </c>
      <c r="T127" s="6" t="str">
        <f t="shared" si="70"/>
        <v>1|1.4#2|1.4#3|1.4#4|1.4#5|1.3</v>
      </c>
    </row>
    <row r="128" s="6" customFormat="1" ht="16.5" spans="1:20">
      <c r="A128" s="6">
        <v>1010134</v>
      </c>
      <c r="B128" s="16">
        <v>13001</v>
      </c>
      <c r="C128" s="6">
        <v>6</v>
      </c>
      <c r="D128" s="6">
        <v>5</v>
      </c>
      <c r="E128" s="6" t="str">
        <f t="shared" si="71"/>
        <v>103001:60</v>
      </c>
      <c r="F128" s="11" t="s">
        <v>400</v>
      </c>
      <c r="G128" s="6">
        <v>0</v>
      </c>
      <c r="H128" s="6">
        <v>0</v>
      </c>
      <c r="I128" s="6" t="s">
        <v>40</v>
      </c>
      <c r="K128" s="6" t="str">
        <f t="shared" si="67"/>
        <v>103001</v>
      </c>
      <c r="L128" s="4">
        <v>60</v>
      </c>
      <c r="M128" s="6" t="s">
        <v>418</v>
      </c>
      <c r="O128" s="13" t="str">
        <f t="shared" si="122"/>
        <v>1.4</v>
      </c>
      <c r="P128" s="13" t="str">
        <f t="shared" si="124"/>
        <v>1.4</v>
      </c>
      <c r="Q128" s="13" t="str">
        <f t="shared" si="126"/>
        <v>1.4</v>
      </c>
      <c r="R128" s="13" t="str">
        <f>Q128</f>
        <v>1.4</v>
      </c>
      <c r="S128" s="13" t="str">
        <f>R128</f>
        <v>1.4</v>
      </c>
      <c r="T128" s="6" t="str">
        <f t="shared" si="70"/>
        <v>1|1.4#2|1.4#3|1.4#4|1.4#5|1.4</v>
      </c>
    </row>
    <row r="129" s="6" customFormat="1" ht="16.5" spans="1:20">
      <c r="A129" s="6">
        <v>1010135</v>
      </c>
      <c r="B129" s="16">
        <v>13001</v>
      </c>
      <c r="C129" s="6">
        <v>6</v>
      </c>
      <c r="D129" s="6">
        <v>6</v>
      </c>
      <c r="E129" s="6" t="str">
        <f t="shared" si="71"/>
        <v>103001:0</v>
      </c>
      <c r="F129" s="11">
        <v>0</v>
      </c>
      <c r="G129" s="6">
        <v>11027</v>
      </c>
      <c r="H129" s="6" t="s">
        <v>407</v>
      </c>
      <c r="I129" s="6">
        <v>0</v>
      </c>
      <c r="K129" s="6" t="str">
        <f t="shared" si="67"/>
        <v>103001</v>
      </c>
      <c r="L129" s="4">
        <v>0</v>
      </c>
      <c r="M129" s="6" t="s">
        <v>419</v>
      </c>
      <c r="O129" s="13" t="str">
        <f t="shared" ref="O129:S129" si="128">O128</f>
        <v>1.4</v>
      </c>
      <c r="P129" s="13" t="str">
        <f t="shared" si="128"/>
        <v>1.4</v>
      </c>
      <c r="Q129" s="13" t="str">
        <f t="shared" si="128"/>
        <v>1.4</v>
      </c>
      <c r="R129" s="13" t="str">
        <f t="shared" si="128"/>
        <v>1.4</v>
      </c>
      <c r="S129" s="13" t="str">
        <f t="shared" si="128"/>
        <v>1.4</v>
      </c>
      <c r="T129" s="6" t="str">
        <f t="shared" si="70"/>
        <v>1|1.4#2|1.4#3|1.4#4|1.4#5|1.4</v>
      </c>
    </row>
    <row r="130" s="6" customFormat="1" ht="16.5" spans="1:20">
      <c r="A130" s="6">
        <v>1010136</v>
      </c>
      <c r="B130" s="6">
        <v>14001</v>
      </c>
      <c r="C130" s="6">
        <v>1</v>
      </c>
      <c r="D130" s="6">
        <v>0</v>
      </c>
      <c r="E130" s="6" t="str">
        <f t="shared" si="71"/>
        <v>104001:2</v>
      </c>
      <c r="F130" s="11" t="s">
        <v>356</v>
      </c>
      <c r="G130" s="6">
        <v>0</v>
      </c>
      <c r="H130" s="6">
        <v>0</v>
      </c>
      <c r="I130" s="6" t="s">
        <v>25</v>
      </c>
      <c r="K130" s="6" t="str">
        <f t="shared" si="67"/>
        <v>104001</v>
      </c>
      <c r="L130" s="4">
        <v>2</v>
      </c>
      <c r="M130" s="6" t="s">
        <v>421</v>
      </c>
      <c r="O130" s="13">
        <v>1</v>
      </c>
      <c r="P130" s="13">
        <f t="shared" ref="P130:S130" si="129">O130</f>
        <v>1</v>
      </c>
      <c r="Q130" s="13">
        <f t="shared" si="129"/>
        <v>1</v>
      </c>
      <c r="R130" s="13">
        <f>P130</f>
        <v>1</v>
      </c>
      <c r="S130" s="13">
        <f t="shared" si="129"/>
        <v>1</v>
      </c>
      <c r="T130" s="6" t="str">
        <f t="shared" si="70"/>
        <v>1|1#2|1#3|1#4|1#5|1</v>
      </c>
    </row>
    <row r="131" s="6" customFormat="1" ht="16.5" spans="1:20">
      <c r="A131" s="6">
        <v>1010137</v>
      </c>
      <c r="B131" s="6">
        <v>14001</v>
      </c>
      <c r="C131" s="6">
        <v>1</v>
      </c>
      <c r="D131" s="6">
        <v>1</v>
      </c>
      <c r="E131" s="6" t="str">
        <f t="shared" si="71"/>
        <v>104001:2</v>
      </c>
      <c r="F131" s="11" t="s">
        <v>358</v>
      </c>
      <c r="G131" s="6">
        <v>0</v>
      </c>
      <c r="H131" s="6">
        <v>0</v>
      </c>
      <c r="I131" s="6" t="s">
        <v>28</v>
      </c>
      <c r="K131" s="6" t="str">
        <f t="shared" si="67"/>
        <v>104001</v>
      </c>
      <c r="L131" s="4">
        <v>2</v>
      </c>
      <c r="M131" s="6" t="s">
        <v>421</v>
      </c>
      <c r="O131" s="13" t="str">
        <f t="shared" ref="O131:O135" si="130">RIGHT(F131,LEN(F131)-2)</f>
        <v>1.05</v>
      </c>
      <c r="P131" s="13">
        <v>1</v>
      </c>
      <c r="Q131" s="13">
        <f>Q130</f>
        <v>1</v>
      </c>
      <c r="R131" s="13">
        <f>R130</f>
        <v>1</v>
      </c>
      <c r="S131" s="13">
        <f t="shared" si="127"/>
        <v>1</v>
      </c>
      <c r="T131" s="6" t="str">
        <f t="shared" si="70"/>
        <v>1|1.05#2|1#3|1#4|1#5|1</v>
      </c>
    </row>
    <row r="132" s="6" customFormat="1" ht="16.5" spans="1:20">
      <c r="A132" s="6">
        <v>1010138</v>
      </c>
      <c r="B132" s="6">
        <v>14001</v>
      </c>
      <c r="C132" s="6">
        <v>1</v>
      </c>
      <c r="D132" s="6">
        <v>2</v>
      </c>
      <c r="E132" s="6" t="str">
        <f t="shared" si="71"/>
        <v>104001:2</v>
      </c>
      <c r="F132" s="11" t="s">
        <v>359</v>
      </c>
      <c r="G132" s="6">
        <v>0</v>
      </c>
      <c r="H132" s="6">
        <v>0</v>
      </c>
      <c r="I132" s="6" t="s">
        <v>31</v>
      </c>
      <c r="K132" s="6" t="str">
        <f t="shared" si="67"/>
        <v>104001</v>
      </c>
      <c r="L132" s="4">
        <v>2</v>
      </c>
      <c r="M132" s="6" t="s">
        <v>421</v>
      </c>
      <c r="O132" s="13" t="str">
        <f t="shared" si="130"/>
        <v>1.05</v>
      </c>
      <c r="P132" s="13" t="str">
        <f t="shared" ref="P132:P135" si="131">O132</f>
        <v>1.05</v>
      </c>
      <c r="Q132" s="13">
        <v>1</v>
      </c>
      <c r="R132" s="13">
        <f>R131</f>
        <v>1</v>
      </c>
      <c r="S132" s="13">
        <f t="shared" si="127"/>
        <v>1</v>
      </c>
      <c r="T132" s="6" t="str">
        <f t="shared" si="70"/>
        <v>1|1.05#2|1.05#3|1#4|1#5|1</v>
      </c>
    </row>
    <row r="133" s="6" customFormat="1" ht="16.5" spans="1:20">
      <c r="A133" s="6">
        <v>1010139</v>
      </c>
      <c r="B133" s="6">
        <v>14001</v>
      </c>
      <c r="C133" s="6">
        <v>1</v>
      </c>
      <c r="D133" s="6">
        <v>3</v>
      </c>
      <c r="E133" s="6" t="str">
        <f t="shared" si="71"/>
        <v>104001:3</v>
      </c>
      <c r="F133" s="11" t="s">
        <v>360</v>
      </c>
      <c r="G133" s="6">
        <v>0</v>
      </c>
      <c r="H133" s="6">
        <v>0</v>
      </c>
      <c r="I133" s="6" t="s">
        <v>34</v>
      </c>
      <c r="K133" s="6" t="str">
        <f t="shared" ref="K133:K196" si="132">LEFT(M133,6)</f>
        <v>104001</v>
      </c>
      <c r="L133" s="4">
        <v>3</v>
      </c>
      <c r="M133" s="6" t="s">
        <v>421</v>
      </c>
      <c r="O133" s="13" t="str">
        <f t="shared" si="130"/>
        <v>1.05</v>
      </c>
      <c r="P133" s="13" t="str">
        <f t="shared" si="131"/>
        <v>1.05</v>
      </c>
      <c r="Q133" s="13" t="str">
        <f t="shared" ref="Q133:Q135" si="133">P133</f>
        <v>1.05</v>
      </c>
      <c r="R133" s="13">
        <v>1</v>
      </c>
      <c r="S133" s="13">
        <f t="shared" si="127"/>
        <v>1</v>
      </c>
      <c r="T133" s="6" t="str">
        <f t="shared" ref="T133:T196" si="134">$O$2&amp;$P$3&amp;O133&amp;$O$1&amp;$P$2&amp;$P$3&amp;P133&amp;$O$1&amp;$Q$2&amp;$P$3&amp;Q133&amp;$O$1&amp;$R$2&amp;$P$3&amp;R133&amp;$O$1&amp;$S$2&amp;$P$3&amp;S133</f>
        <v>1|1.05#2|1.05#3|1.05#4|1#5|1</v>
      </c>
    </row>
    <row r="134" s="6" customFormat="1" ht="16.5" spans="1:20">
      <c r="A134" s="6">
        <v>1010140</v>
      </c>
      <c r="B134" s="6">
        <v>14001</v>
      </c>
      <c r="C134" s="6">
        <v>1</v>
      </c>
      <c r="D134" s="6">
        <v>4</v>
      </c>
      <c r="E134" s="6" t="str">
        <f t="shared" ref="E134:E197" si="135">K134&amp;$K$3&amp;L134</f>
        <v>104001:3</v>
      </c>
      <c r="F134" s="11" t="s">
        <v>361</v>
      </c>
      <c r="G134" s="6">
        <v>0</v>
      </c>
      <c r="H134" s="6">
        <v>0</v>
      </c>
      <c r="I134" s="6" t="s">
        <v>37</v>
      </c>
      <c r="K134" s="6" t="str">
        <f t="shared" si="132"/>
        <v>104001</v>
      </c>
      <c r="L134" s="4">
        <v>3</v>
      </c>
      <c r="M134" s="6" t="s">
        <v>421</v>
      </c>
      <c r="O134" s="13" t="str">
        <f t="shared" si="130"/>
        <v>1.05</v>
      </c>
      <c r="P134" s="13" t="str">
        <f t="shared" si="131"/>
        <v>1.05</v>
      </c>
      <c r="Q134" s="13" t="str">
        <f t="shared" si="133"/>
        <v>1.05</v>
      </c>
      <c r="R134" s="13" t="str">
        <f>Q134</f>
        <v>1.05</v>
      </c>
      <c r="S134" s="13">
        <v>1</v>
      </c>
      <c r="T134" s="6" t="str">
        <f t="shared" si="134"/>
        <v>1|1.05#2|1.05#3|1.05#4|1.05#5|1</v>
      </c>
    </row>
    <row r="135" s="6" customFormat="1" ht="16.5" spans="1:20">
      <c r="A135" s="6">
        <v>1010141</v>
      </c>
      <c r="B135" s="6">
        <v>14001</v>
      </c>
      <c r="C135" s="6">
        <v>1</v>
      </c>
      <c r="D135" s="6">
        <v>5</v>
      </c>
      <c r="E135" s="6" t="str">
        <f t="shared" si="135"/>
        <v>104001:3</v>
      </c>
      <c r="F135" s="11" t="s">
        <v>362</v>
      </c>
      <c r="G135" s="6">
        <v>0</v>
      </c>
      <c r="H135" s="6">
        <v>0</v>
      </c>
      <c r="I135" s="6" t="s">
        <v>40</v>
      </c>
      <c r="K135" s="6" t="str">
        <f t="shared" si="132"/>
        <v>104001</v>
      </c>
      <c r="L135" s="4">
        <v>3</v>
      </c>
      <c r="M135" s="6" t="s">
        <v>422</v>
      </c>
      <c r="O135" s="13" t="str">
        <f t="shared" si="130"/>
        <v>1.05</v>
      </c>
      <c r="P135" s="13" t="str">
        <f t="shared" si="131"/>
        <v>1.05</v>
      </c>
      <c r="Q135" s="13" t="str">
        <f t="shared" si="133"/>
        <v>1.05</v>
      </c>
      <c r="R135" s="13" t="str">
        <f>Q135</f>
        <v>1.05</v>
      </c>
      <c r="S135" s="13" t="str">
        <f>R135</f>
        <v>1.05</v>
      </c>
      <c r="T135" s="6" t="str">
        <f t="shared" si="134"/>
        <v>1|1.05#2|1.05#3|1.05#4|1.05#5|1.05</v>
      </c>
    </row>
    <row r="136" s="6" customFormat="1" ht="16.5" spans="1:20">
      <c r="A136" s="6">
        <v>1010142</v>
      </c>
      <c r="B136" s="6">
        <v>14001</v>
      </c>
      <c r="C136" s="6">
        <v>1</v>
      </c>
      <c r="D136" s="6">
        <v>6</v>
      </c>
      <c r="E136" s="6" t="str">
        <f t="shared" si="135"/>
        <v>104001:5</v>
      </c>
      <c r="F136" s="11">
        <v>0</v>
      </c>
      <c r="G136" s="6">
        <v>11028</v>
      </c>
      <c r="H136" s="6" t="s">
        <v>407</v>
      </c>
      <c r="I136" s="6">
        <v>0</v>
      </c>
      <c r="K136" s="6" t="str">
        <f t="shared" si="132"/>
        <v>104001</v>
      </c>
      <c r="L136" s="13">
        <v>5</v>
      </c>
      <c r="M136" s="6" t="s">
        <v>423</v>
      </c>
      <c r="O136" s="13" t="str">
        <f t="shared" ref="O136:S136" si="136">O135</f>
        <v>1.05</v>
      </c>
      <c r="P136" s="13" t="str">
        <f t="shared" si="136"/>
        <v>1.05</v>
      </c>
      <c r="Q136" s="13" t="str">
        <f t="shared" si="136"/>
        <v>1.05</v>
      </c>
      <c r="R136" s="13" t="str">
        <f t="shared" si="136"/>
        <v>1.05</v>
      </c>
      <c r="S136" s="13" t="str">
        <f t="shared" si="136"/>
        <v>1.05</v>
      </c>
      <c r="T136" s="6" t="str">
        <f t="shared" si="134"/>
        <v>1|1.05#2|1.05#3|1.05#4|1.05#5|1.05</v>
      </c>
    </row>
    <row r="137" s="6" customFormat="1" ht="16.5" spans="1:20">
      <c r="A137" s="6">
        <v>1010143</v>
      </c>
      <c r="B137" s="6">
        <v>14001</v>
      </c>
      <c r="C137" s="6">
        <v>2</v>
      </c>
      <c r="D137" s="6">
        <v>0</v>
      </c>
      <c r="E137" s="6" t="str">
        <f t="shared" si="135"/>
        <v>104001:5</v>
      </c>
      <c r="F137" s="11" t="s">
        <v>364</v>
      </c>
      <c r="G137" s="6">
        <v>0</v>
      </c>
      <c r="H137" s="6">
        <v>0</v>
      </c>
      <c r="I137" s="6" t="s">
        <v>43</v>
      </c>
      <c r="K137" s="6" t="str">
        <f t="shared" si="132"/>
        <v>104001</v>
      </c>
      <c r="L137" s="4">
        <v>5</v>
      </c>
      <c r="M137" s="6" t="s">
        <v>424</v>
      </c>
      <c r="O137" s="15" t="str">
        <f>O136</f>
        <v>1.05</v>
      </c>
      <c r="P137" s="15" t="str">
        <f t="shared" ref="P137:S137" si="137">O137</f>
        <v>1.05</v>
      </c>
      <c r="Q137" s="15" t="str">
        <f t="shared" si="137"/>
        <v>1.05</v>
      </c>
      <c r="R137" s="15" t="str">
        <f>P137</f>
        <v>1.05</v>
      </c>
      <c r="S137" s="15" t="str">
        <f t="shared" si="137"/>
        <v>1.05</v>
      </c>
      <c r="T137" s="6" t="str">
        <f t="shared" si="134"/>
        <v>1|1.05#2|1.05#3|1.05#4|1.05#5|1.05</v>
      </c>
    </row>
    <row r="138" s="6" customFormat="1" ht="16.5" spans="1:20">
      <c r="A138" s="6">
        <v>1010144</v>
      </c>
      <c r="B138" s="6">
        <v>14001</v>
      </c>
      <c r="C138" s="6">
        <v>2</v>
      </c>
      <c r="D138" s="6">
        <v>1</v>
      </c>
      <c r="E138" s="6" t="str">
        <f t="shared" si="135"/>
        <v>104001:5</v>
      </c>
      <c r="F138" s="11" t="s">
        <v>366</v>
      </c>
      <c r="G138" s="6">
        <v>0</v>
      </c>
      <c r="H138" s="6">
        <v>0</v>
      </c>
      <c r="I138" s="6" t="s">
        <v>45</v>
      </c>
      <c r="K138" s="6" t="str">
        <f t="shared" si="132"/>
        <v>104001</v>
      </c>
      <c r="L138" s="4">
        <v>5</v>
      </c>
      <c r="M138" s="6" t="s">
        <v>424</v>
      </c>
      <c r="O138" s="13" t="str">
        <f t="shared" ref="O138:O142" si="138">RIGHT(F138,LEN(F138)-2)</f>
        <v>1.1</v>
      </c>
      <c r="P138" s="13">
        <v>1.05</v>
      </c>
      <c r="Q138" s="13" t="str">
        <f t="shared" ref="Q138:S138" si="139">Q137</f>
        <v>1.05</v>
      </c>
      <c r="R138" s="13" t="str">
        <f t="shared" si="139"/>
        <v>1.05</v>
      </c>
      <c r="S138" s="13" t="str">
        <f t="shared" si="139"/>
        <v>1.05</v>
      </c>
      <c r="T138" s="6" t="str">
        <f t="shared" si="134"/>
        <v>1|1.1#2|1.05#3|1.05#4|1.05#5|1.05</v>
      </c>
    </row>
    <row r="139" s="6" customFormat="1" ht="16.5" spans="1:20">
      <c r="A139" s="6">
        <v>1010145</v>
      </c>
      <c r="B139" s="6">
        <v>14001</v>
      </c>
      <c r="C139" s="6">
        <v>2</v>
      </c>
      <c r="D139" s="6">
        <v>2</v>
      </c>
      <c r="E139" s="6" t="str">
        <f t="shared" si="135"/>
        <v>104001:5</v>
      </c>
      <c r="F139" s="11" t="s">
        <v>367</v>
      </c>
      <c r="G139" s="6">
        <v>0</v>
      </c>
      <c r="H139" s="6">
        <v>0</v>
      </c>
      <c r="I139" s="6" t="s">
        <v>47</v>
      </c>
      <c r="K139" s="6" t="str">
        <f t="shared" si="132"/>
        <v>104001</v>
      </c>
      <c r="L139" s="4">
        <v>5</v>
      </c>
      <c r="M139" s="6" t="s">
        <v>424</v>
      </c>
      <c r="O139" s="13" t="str">
        <f t="shared" si="138"/>
        <v>1.1</v>
      </c>
      <c r="P139" s="13" t="str">
        <f t="shared" ref="P139:P142" si="140">O139</f>
        <v>1.1</v>
      </c>
      <c r="Q139" s="13">
        <v>1.05</v>
      </c>
      <c r="R139" s="13" t="str">
        <f>R138</f>
        <v>1.05</v>
      </c>
      <c r="S139" s="13" t="str">
        <f>S138</f>
        <v>1.05</v>
      </c>
      <c r="T139" s="6" t="str">
        <f t="shared" si="134"/>
        <v>1|1.1#2|1.1#3|1.05#4|1.05#5|1.05</v>
      </c>
    </row>
    <row r="140" s="6" customFormat="1" ht="16.5" spans="1:20">
      <c r="A140" s="6">
        <v>1010146</v>
      </c>
      <c r="B140" s="6">
        <v>14001</v>
      </c>
      <c r="C140" s="6">
        <v>2</v>
      </c>
      <c r="D140" s="6">
        <v>3</v>
      </c>
      <c r="E140" s="6" t="str">
        <f t="shared" si="135"/>
        <v>104001:6</v>
      </c>
      <c r="F140" s="11" t="s">
        <v>368</v>
      </c>
      <c r="G140" s="6">
        <v>0</v>
      </c>
      <c r="H140" s="6">
        <v>0</v>
      </c>
      <c r="I140" s="6" t="s">
        <v>49</v>
      </c>
      <c r="K140" s="6" t="str">
        <f t="shared" si="132"/>
        <v>104001</v>
      </c>
      <c r="L140" s="4">
        <v>6</v>
      </c>
      <c r="M140" s="6" t="s">
        <v>424</v>
      </c>
      <c r="O140" s="13" t="str">
        <f t="shared" si="138"/>
        <v>1.1</v>
      </c>
      <c r="P140" s="13" t="str">
        <f t="shared" si="140"/>
        <v>1.1</v>
      </c>
      <c r="Q140" s="13" t="str">
        <f t="shared" ref="Q140:Q142" si="141">P140</f>
        <v>1.1</v>
      </c>
      <c r="R140" s="13">
        <v>1.05</v>
      </c>
      <c r="S140" s="13" t="str">
        <f>S139</f>
        <v>1.05</v>
      </c>
      <c r="T140" s="6" t="str">
        <f t="shared" si="134"/>
        <v>1|1.1#2|1.1#3|1.1#4|1.05#5|1.05</v>
      </c>
    </row>
    <row r="141" s="6" customFormat="1" ht="16.5" spans="1:20">
      <c r="A141" s="6">
        <v>1010147</v>
      </c>
      <c r="B141" s="6">
        <v>14001</v>
      </c>
      <c r="C141" s="6">
        <v>2</v>
      </c>
      <c r="D141" s="6">
        <v>4</v>
      </c>
      <c r="E141" s="6" t="str">
        <f t="shared" si="135"/>
        <v>104001:6</v>
      </c>
      <c r="F141" s="11" t="s">
        <v>369</v>
      </c>
      <c r="G141" s="6">
        <v>0</v>
      </c>
      <c r="H141" s="6">
        <v>0</v>
      </c>
      <c r="I141" s="6" t="s">
        <v>51</v>
      </c>
      <c r="K141" s="6" t="str">
        <f t="shared" si="132"/>
        <v>104001</v>
      </c>
      <c r="L141" s="4">
        <v>6</v>
      </c>
      <c r="M141" s="6" t="s">
        <v>424</v>
      </c>
      <c r="O141" s="13" t="str">
        <f t="shared" si="138"/>
        <v>1.1</v>
      </c>
      <c r="P141" s="13" t="str">
        <f t="shared" si="140"/>
        <v>1.1</v>
      </c>
      <c r="Q141" s="13" t="str">
        <f t="shared" si="141"/>
        <v>1.1</v>
      </c>
      <c r="R141" s="13" t="str">
        <f>Q141</f>
        <v>1.1</v>
      </c>
      <c r="S141" s="13">
        <v>1.05</v>
      </c>
      <c r="T141" s="6" t="str">
        <f t="shared" si="134"/>
        <v>1|1.1#2|1.1#3|1.1#4|1.1#5|1.05</v>
      </c>
    </row>
    <row r="142" s="6" customFormat="1" ht="16.5" spans="1:20">
      <c r="A142" s="6">
        <v>1010148</v>
      </c>
      <c r="B142" s="6">
        <v>14001</v>
      </c>
      <c r="C142" s="6">
        <v>2</v>
      </c>
      <c r="D142" s="6">
        <v>5</v>
      </c>
      <c r="E142" s="6" t="str">
        <f t="shared" si="135"/>
        <v>104001:6</v>
      </c>
      <c r="F142" s="11" t="s">
        <v>370</v>
      </c>
      <c r="G142" s="6">
        <v>0</v>
      </c>
      <c r="H142" s="6">
        <v>0</v>
      </c>
      <c r="I142" s="6" t="s">
        <v>40</v>
      </c>
      <c r="K142" s="6" t="str">
        <f t="shared" si="132"/>
        <v>104001</v>
      </c>
      <c r="L142" s="4">
        <v>6</v>
      </c>
      <c r="M142" s="6" t="s">
        <v>122</v>
      </c>
      <c r="O142" s="13" t="str">
        <f t="shared" si="138"/>
        <v>1.1</v>
      </c>
      <c r="P142" s="13" t="str">
        <f t="shared" si="140"/>
        <v>1.1</v>
      </c>
      <c r="Q142" s="13" t="str">
        <f t="shared" si="141"/>
        <v>1.1</v>
      </c>
      <c r="R142" s="13" t="str">
        <f>Q142</f>
        <v>1.1</v>
      </c>
      <c r="S142" s="13" t="str">
        <f>R142</f>
        <v>1.1</v>
      </c>
      <c r="T142" s="6" t="str">
        <f t="shared" si="134"/>
        <v>1|1.1#2|1.1#3|1.1#4|1.1#5|1.1</v>
      </c>
    </row>
    <row r="143" s="6" customFormat="1" ht="16.5" spans="1:20">
      <c r="A143" s="6">
        <v>1010149</v>
      </c>
      <c r="B143" s="6">
        <v>14001</v>
      </c>
      <c r="C143" s="6">
        <v>2</v>
      </c>
      <c r="D143" s="6">
        <v>6</v>
      </c>
      <c r="E143" s="6" t="str">
        <f t="shared" si="135"/>
        <v>104001:7</v>
      </c>
      <c r="F143" s="11">
        <v>0</v>
      </c>
      <c r="G143" s="6">
        <v>11002</v>
      </c>
      <c r="H143" s="6" t="s">
        <v>407</v>
      </c>
      <c r="I143" s="6">
        <v>0</v>
      </c>
      <c r="K143" s="6" t="str">
        <f t="shared" si="132"/>
        <v>104001</v>
      </c>
      <c r="L143" s="13">
        <v>7</v>
      </c>
      <c r="M143" s="6" t="s">
        <v>423</v>
      </c>
      <c r="O143" s="13" t="str">
        <f t="shared" ref="O143:S143" si="142">O142</f>
        <v>1.1</v>
      </c>
      <c r="P143" s="13" t="str">
        <f t="shared" si="142"/>
        <v>1.1</v>
      </c>
      <c r="Q143" s="13" t="str">
        <f t="shared" si="142"/>
        <v>1.1</v>
      </c>
      <c r="R143" s="13" t="str">
        <f t="shared" si="142"/>
        <v>1.1</v>
      </c>
      <c r="S143" s="13" t="str">
        <f t="shared" si="142"/>
        <v>1.1</v>
      </c>
      <c r="T143" s="6" t="str">
        <f t="shared" si="134"/>
        <v>1|1.1#2|1.1#3|1.1#4|1.1#5|1.1</v>
      </c>
    </row>
    <row r="144" s="6" customFormat="1" ht="16.5" spans="1:20">
      <c r="A144" s="6">
        <v>1010150</v>
      </c>
      <c r="B144" s="6">
        <v>14001</v>
      </c>
      <c r="C144" s="6">
        <v>3</v>
      </c>
      <c r="D144" s="6">
        <v>0</v>
      </c>
      <c r="E144" s="6" t="str">
        <f t="shared" si="135"/>
        <v>104001:9</v>
      </c>
      <c r="F144" s="11" t="s">
        <v>371</v>
      </c>
      <c r="G144" s="6">
        <v>0</v>
      </c>
      <c r="H144" s="6">
        <v>0</v>
      </c>
      <c r="I144" s="6" t="s">
        <v>55</v>
      </c>
      <c r="K144" s="6" t="str">
        <f t="shared" si="132"/>
        <v>104001</v>
      </c>
      <c r="L144" s="4">
        <v>9</v>
      </c>
      <c r="M144" s="6" t="s">
        <v>425</v>
      </c>
      <c r="O144" s="15" t="str">
        <f>O143</f>
        <v>1.1</v>
      </c>
      <c r="P144" s="15" t="str">
        <f t="shared" ref="P144:S144" si="143">O144</f>
        <v>1.1</v>
      </c>
      <c r="Q144" s="15" t="str">
        <f t="shared" si="143"/>
        <v>1.1</v>
      </c>
      <c r="R144" s="15" t="str">
        <f>P144</f>
        <v>1.1</v>
      </c>
      <c r="S144" s="15" t="str">
        <f t="shared" si="143"/>
        <v>1.1</v>
      </c>
      <c r="T144" s="6" t="str">
        <f t="shared" si="134"/>
        <v>1|1.1#2|1.1#3|1.1#4|1.1#5|1.1</v>
      </c>
    </row>
    <row r="145" s="6" customFormat="1" ht="16.5" spans="1:20">
      <c r="A145" s="6">
        <v>1010151</v>
      </c>
      <c r="B145" s="6">
        <v>14001</v>
      </c>
      <c r="C145" s="6">
        <v>3</v>
      </c>
      <c r="D145" s="6">
        <v>1</v>
      </c>
      <c r="E145" s="6" t="str">
        <f t="shared" si="135"/>
        <v>104001:9</v>
      </c>
      <c r="F145" s="11" t="s">
        <v>373</v>
      </c>
      <c r="G145" s="6">
        <v>0</v>
      </c>
      <c r="H145" s="6">
        <v>0</v>
      </c>
      <c r="I145" s="6" t="s">
        <v>57</v>
      </c>
      <c r="K145" s="6" t="str">
        <f t="shared" si="132"/>
        <v>104001</v>
      </c>
      <c r="L145" s="4">
        <v>9</v>
      </c>
      <c r="M145" s="6" t="s">
        <v>425</v>
      </c>
      <c r="O145" s="13" t="str">
        <f t="shared" ref="O145:O149" si="144">RIGHT(F145,LEN(F145)-2)</f>
        <v>1.15</v>
      </c>
      <c r="P145" s="13" t="str">
        <f t="shared" ref="P145:S145" si="145">P144</f>
        <v>1.1</v>
      </c>
      <c r="Q145" s="13" t="str">
        <f t="shared" si="145"/>
        <v>1.1</v>
      </c>
      <c r="R145" s="13" t="str">
        <f t="shared" si="145"/>
        <v>1.1</v>
      </c>
      <c r="S145" s="13" t="str">
        <f t="shared" si="145"/>
        <v>1.1</v>
      </c>
      <c r="T145" s="6" t="str">
        <f t="shared" si="134"/>
        <v>1|1.15#2|1.1#3|1.1#4|1.1#5|1.1</v>
      </c>
    </row>
    <row r="146" s="6" customFormat="1" ht="16.5" spans="1:20">
      <c r="A146" s="6">
        <v>1010152</v>
      </c>
      <c r="B146" s="6">
        <v>14001</v>
      </c>
      <c r="C146" s="6">
        <v>3</v>
      </c>
      <c r="D146" s="6">
        <v>2</v>
      </c>
      <c r="E146" s="6" t="str">
        <f t="shared" si="135"/>
        <v>104001:9</v>
      </c>
      <c r="F146" s="11" t="s">
        <v>374</v>
      </c>
      <c r="G146" s="6">
        <v>0</v>
      </c>
      <c r="H146" s="6">
        <v>0</v>
      </c>
      <c r="I146" s="6" t="s">
        <v>59</v>
      </c>
      <c r="K146" s="6" t="str">
        <f t="shared" si="132"/>
        <v>104001</v>
      </c>
      <c r="L146" s="4">
        <v>9</v>
      </c>
      <c r="M146" s="6" t="s">
        <v>425</v>
      </c>
      <c r="O146" s="13" t="str">
        <f t="shared" si="144"/>
        <v>1.15</v>
      </c>
      <c r="P146" s="13" t="str">
        <f t="shared" ref="P146:P149" si="146">O146</f>
        <v>1.15</v>
      </c>
      <c r="Q146" s="13" t="str">
        <f t="shared" ref="Q146:S146" si="147">Q145</f>
        <v>1.1</v>
      </c>
      <c r="R146" s="13" t="str">
        <f t="shared" si="147"/>
        <v>1.1</v>
      </c>
      <c r="S146" s="13" t="str">
        <f t="shared" si="147"/>
        <v>1.1</v>
      </c>
      <c r="T146" s="6" t="str">
        <f t="shared" si="134"/>
        <v>1|1.15#2|1.15#3|1.1#4|1.1#5|1.1</v>
      </c>
    </row>
    <row r="147" s="6" customFormat="1" ht="16.5" spans="1:20">
      <c r="A147" s="6">
        <v>1010153</v>
      </c>
      <c r="B147" s="6">
        <v>14001</v>
      </c>
      <c r="C147" s="6">
        <v>3</v>
      </c>
      <c r="D147" s="6">
        <v>3</v>
      </c>
      <c r="E147" s="6" t="str">
        <f t="shared" si="135"/>
        <v>104001:11</v>
      </c>
      <c r="F147" s="11" t="s">
        <v>375</v>
      </c>
      <c r="G147" s="6">
        <v>0</v>
      </c>
      <c r="H147" s="6">
        <v>0</v>
      </c>
      <c r="I147" s="6" t="s">
        <v>61</v>
      </c>
      <c r="K147" s="6" t="str">
        <f t="shared" si="132"/>
        <v>104001</v>
      </c>
      <c r="L147" s="4">
        <v>11</v>
      </c>
      <c r="M147" s="6" t="s">
        <v>425</v>
      </c>
      <c r="O147" s="13" t="str">
        <f t="shared" si="144"/>
        <v>1.15</v>
      </c>
      <c r="P147" s="13" t="str">
        <f t="shared" si="146"/>
        <v>1.15</v>
      </c>
      <c r="Q147" s="13" t="str">
        <f t="shared" ref="Q147:Q149" si="148">P147</f>
        <v>1.15</v>
      </c>
      <c r="R147" s="13" t="str">
        <f>R146</f>
        <v>1.1</v>
      </c>
      <c r="S147" s="13" t="str">
        <f>S146</f>
        <v>1.1</v>
      </c>
      <c r="T147" s="6" t="str">
        <f t="shared" si="134"/>
        <v>1|1.15#2|1.15#3|1.15#4|1.1#5|1.1</v>
      </c>
    </row>
    <row r="148" s="6" customFormat="1" ht="16.5" spans="1:20">
      <c r="A148" s="6">
        <v>1010154</v>
      </c>
      <c r="B148" s="6">
        <v>14001</v>
      </c>
      <c r="C148" s="6">
        <v>3</v>
      </c>
      <c r="D148" s="6">
        <v>4</v>
      </c>
      <c r="E148" s="6" t="str">
        <f t="shared" si="135"/>
        <v>104001:11</v>
      </c>
      <c r="F148" s="11" t="s">
        <v>376</v>
      </c>
      <c r="G148" s="6">
        <v>0</v>
      </c>
      <c r="H148" s="6">
        <v>0</v>
      </c>
      <c r="I148" s="6" t="s">
        <v>63</v>
      </c>
      <c r="K148" s="6" t="str">
        <f t="shared" si="132"/>
        <v>104001</v>
      </c>
      <c r="L148" s="4">
        <v>11</v>
      </c>
      <c r="M148" s="6" t="s">
        <v>425</v>
      </c>
      <c r="O148" s="13" t="str">
        <f t="shared" si="144"/>
        <v>1.15</v>
      </c>
      <c r="P148" s="13" t="str">
        <f t="shared" si="146"/>
        <v>1.15</v>
      </c>
      <c r="Q148" s="13" t="str">
        <f t="shared" si="148"/>
        <v>1.15</v>
      </c>
      <c r="R148" s="13" t="str">
        <f>Q148</f>
        <v>1.15</v>
      </c>
      <c r="S148" s="13" t="str">
        <f>S147</f>
        <v>1.1</v>
      </c>
      <c r="T148" s="6" t="str">
        <f t="shared" si="134"/>
        <v>1|1.15#2|1.15#3|1.15#4|1.15#5|1.1</v>
      </c>
    </row>
    <row r="149" s="6" customFormat="1" ht="16.5" spans="1:20">
      <c r="A149" s="6">
        <v>1010155</v>
      </c>
      <c r="B149" s="6">
        <v>14001</v>
      </c>
      <c r="C149" s="6">
        <v>3</v>
      </c>
      <c r="D149" s="6">
        <v>5</v>
      </c>
      <c r="E149" s="6" t="str">
        <f t="shared" si="135"/>
        <v>104001:11</v>
      </c>
      <c r="F149" s="11" t="s">
        <v>377</v>
      </c>
      <c r="G149" s="6">
        <v>0</v>
      </c>
      <c r="H149" s="6">
        <v>0</v>
      </c>
      <c r="I149" s="6" t="s">
        <v>40</v>
      </c>
      <c r="K149" s="6" t="str">
        <f t="shared" si="132"/>
        <v>104001</v>
      </c>
      <c r="L149" s="4">
        <v>11</v>
      </c>
      <c r="M149" s="6" t="s">
        <v>426</v>
      </c>
      <c r="O149" s="13" t="str">
        <f t="shared" si="144"/>
        <v>1.15</v>
      </c>
      <c r="P149" s="13" t="str">
        <f t="shared" si="146"/>
        <v>1.15</v>
      </c>
      <c r="Q149" s="13" t="str">
        <f t="shared" si="148"/>
        <v>1.15</v>
      </c>
      <c r="R149" s="13" t="str">
        <f>Q149</f>
        <v>1.15</v>
      </c>
      <c r="S149" s="13" t="str">
        <f>R149</f>
        <v>1.15</v>
      </c>
      <c r="T149" s="6" t="str">
        <f t="shared" si="134"/>
        <v>1|1.15#2|1.15#3|1.15#4|1.15#5|1.15</v>
      </c>
    </row>
    <row r="150" s="6" customFormat="1" ht="16.5" spans="1:20">
      <c r="A150" s="6">
        <v>1010156</v>
      </c>
      <c r="B150" s="6">
        <v>14001</v>
      </c>
      <c r="C150" s="6">
        <v>3</v>
      </c>
      <c r="D150" s="6">
        <v>6</v>
      </c>
      <c r="E150" s="6" t="str">
        <f t="shared" si="135"/>
        <v>104001:30</v>
      </c>
      <c r="F150" s="11">
        <v>0</v>
      </c>
      <c r="G150" s="6">
        <v>11002</v>
      </c>
      <c r="H150" s="6" t="s">
        <v>407</v>
      </c>
      <c r="I150" s="6">
        <v>0</v>
      </c>
      <c r="K150" s="6" t="str">
        <f t="shared" si="132"/>
        <v>104001</v>
      </c>
      <c r="L150" s="13">
        <v>30</v>
      </c>
      <c r="M150" s="6" t="s">
        <v>423</v>
      </c>
      <c r="O150" s="13" t="str">
        <f t="shared" ref="O150:S150" si="149">O149</f>
        <v>1.15</v>
      </c>
      <c r="P150" s="13" t="str">
        <f t="shared" si="149"/>
        <v>1.15</v>
      </c>
      <c r="Q150" s="13" t="str">
        <f t="shared" si="149"/>
        <v>1.15</v>
      </c>
      <c r="R150" s="13" t="str">
        <f t="shared" si="149"/>
        <v>1.15</v>
      </c>
      <c r="S150" s="13" t="str">
        <f t="shared" si="149"/>
        <v>1.15</v>
      </c>
      <c r="T150" s="6" t="str">
        <f t="shared" si="134"/>
        <v>1|1.15#2|1.15#3|1.15#4|1.15#5|1.15</v>
      </c>
    </row>
    <row r="151" s="6" customFormat="1" ht="16.5" spans="1:20">
      <c r="A151" s="6">
        <v>1010157</v>
      </c>
      <c r="B151" s="6">
        <v>14001</v>
      </c>
      <c r="C151" s="6">
        <v>4</v>
      </c>
      <c r="D151" s="6">
        <v>0</v>
      </c>
      <c r="E151" s="6" t="str">
        <f t="shared" si="135"/>
        <v>104001:13</v>
      </c>
      <c r="F151" s="11" t="s">
        <v>379</v>
      </c>
      <c r="G151" s="6">
        <v>0</v>
      </c>
      <c r="H151" s="6">
        <v>0</v>
      </c>
      <c r="I151" s="6" t="s">
        <v>67</v>
      </c>
      <c r="K151" s="6" t="str">
        <f t="shared" si="132"/>
        <v>104001</v>
      </c>
      <c r="L151" s="4">
        <v>13</v>
      </c>
      <c r="M151" s="6" t="s">
        <v>427</v>
      </c>
      <c r="O151" s="15" t="str">
        <f>O150</f>
        <v>1.15</v>
      </c>
      <c r="P151" s="15" t="str">
        <f t="shared" ref="P151:S151" si="150">O151</f>
        <v>1.15</v>
      </c>
      <c r="Q151" s="15" t="str">
        <f t="shared" si="150"/>
        <v>1.15</v>
      </c>
      <c r="R151" s="15" t="str">
        <f>P151</f>
        <v>1.15</v>
      </c>
      <c r="S151" s="15" t="str">
        <f t="shared" si="150"/>
        <v>1.15</v>
      </c>
      <c r="T151" s="6" t="str">
        <f t="shared" si="134"/>
        <v>1|1.15#2|1.15#3|1.15#4|1.15#5|1.15</v>
      </c>
    </row>
    <row r="152" s="6" customFormat="1" ht="16.5" spans="1:20">
      <c r="A152" s="6">
        <v>1010158</v>
      </c>
      <c r="B152" s="6">
        <v>14001</v>
      </c>
      <c r="C152" s="6">
        <v>4</v>
      </c>
      <c r="D152" s="6">
        <v>1</v>
      </c>
      <c r="E152" s="6" t="str">
        <f t="shared" si="135"/>
        <v>104001:13</v>
      </c>
      <c r="F152" s="11" t="s">
        <v>381</v>
      </c>
      <c r="G152" s="6">
        <v>0</v>
      </c>
      <c r="H152" s="6">
        <v>0</v>
      </c>
      <c r="I152" s="6" t="s">
        <v>69</v>
      </c>
      <c r="K152" s="6" t="str">
        <f t="shared" si="132"/>
        <v>104001</v>
      </c>
      <c r="L152" s="4">
        <v>13</v>
      </c>
      <c r="M152" s="6" t="s">
        <v>427</v>
      </c>
      <c r="O152" s="13" t="str">
        <f t="shared" ref="O152:O156" si="151">RIGHT(F152,LEN(F152)-2)</f>
        <v>1.2</v>
      </c>
      <c r="P152" s="13" t="str">
        <f t="shared" ref="P152:S152" si="152">P151</f>
        <v>1.15</v>
      </c>
      <c r="Q152" s="13" t="str">
        <f t="shared" si="152"/>
        <v>1.15</v>
      </c>
      <c r="R152" s="13" t="str">
        <f t="shared" si="152"/>
        <v>1.15</v>
      </c>
      <c r="S152" s="13" t="str">
        <f t="shared" si="152"/>
        <v>1.15</v>
      </c>
      <c r="T152" s="6" t="str">
        <f t="shared" si="134"/>
        <v>1|1.2#2|1.15#3|1.15#4|1.15#5|1.15</v>
      </c>
    </row>
    <row r="153" s="6" customFormat="1" ht="16.5" spans="1:20">
      <c r="A153" s="6">
        <v>1010159</v>
      </c>
      <c r="B153" s="6">
        <v>14001</v>
      </c>
      <c r="C153" s="6">
        <v>4</v>
      </c>
      <c r="D153" s="6">
        <v>2</v>
      </c>
      <c r="E153" s="6" t="str">
        <f t="shared" si="135"/>
        <v>104001:13</v>
      </c>
      <c r="F153" s="11" t="s">
        <v>382</v>
      </c>
      <c r="G153" s="6">
        <v>0</v>
      </c>
      <c r="H153" s="6">
        <v>0</v>
      </c>
      <c r="I153" s="6" t="s">
        <v>71</v>
      </c>
      <c r="K153" s="6" t="str">
        <f t="shared" si="132"/>
        <v>104001</v>
      </c>
      <c r="L153" s="4">
        <v>13</v>
      </c>
      <c r="M153" s="6" t="s">
        <v>427</v>
      </c>
      <c r="O153" s="13" t="str">
        <f t="shared" si="151"/>
        <v>1.2</v>
      </c>
      <c r="P153" s="13" t="str">
        <f t="shared" ref="P153:P156" si="153">O153</f>
        <v>1.2</v>
      </c>
      <c r="Q153" s="13" t="str">
        <f t="shared" ref="Q153:S153" si="154">Q152</f>
        <v>1.15</v>
      </c>
      <c r="R153" s="13" t="str">
        <f t="shared" si="154"/>
        <v>1.15</v>
      </c>
      <c r="S153" s="13" t="str">
        <f t="shared" si="154"/>
        <v>1.15</v>
      </c>
      <c r="T153" s="6" t="str">
        <f t="shared" si="134"/>
        <v>1|1.2#2|1.2#3|1.15#4|1.15#5|1.15</v>
      </c>
    </row>
    <row r="154" s="6" customFormat="1" ht="16.5" spans="1:20">
      <c r="A154" s="6">
        <v>1010160</v>
      </c>
      <c r="B154" s="6">
        <v>14001</v>
      </c>
      <c r="C154" s="6">
        <v>4</v>
      </c>
      <c r="D154" s="6">
        <v>3</v>
      </c>
      <c r="E154" s="6" t="str">
        <f t="shared" si="135"/>
        <v>104001:17</v>
      </c>
      <c r="F154" s="11" t="s">
        <v>383</v>
      </c>
      <c r="G154" s="6">
        <v>0</v>
      </c>
      <c r="H154" s="6">
        <v>0</v>
      </c>
      <c r="I154" s="6" t="s">
        <v>73</v>
      </c>
      <c r="K154" s="6" t="str">
        <f t="shared" si="132"/>
        <v>104001</v>
      </c>
      <c r="L154" s="4">
        <v>17</v>
      </c>
      <c r="M154" s="6" t="s">
        <v>427</v>
      </c>
      <c r="O154" s="13" t="str">
        <f t="shared" si="151"/>
        <v>1.2</v>
      </c>
      <c r="P154" s="13" t="str">
        <f t="shared" si="153"/>
        <v>1.2</v>
      </c>
      <c r="Q154" s="13" t="str">
        <f t="shared" ref="Q154:Q156" si="155">P154</f>
        <v>1.2</v>
      </c>
      <c r="R154" s="13" t="str">
        <f>R153</f>
        <v>1.15</v>
      </c>
      <c r="S154" s="13" t="str">
        <f>S153</f>
        <v>1.15</v>
      </c>
      <c r="T154" s="6" t="str">
        <f t="shared" si="134"/>
        <v>1|1.2#2|1.2#3|1.2#4|1.15#5|1.15</v>
      </c>
    </row>
    <row r="155" s="6" customFormat="1" ht="16.5" spans="1:20">
      <c r="A155" s="6">
        <v>1010161</v>
      </c>
      <c r="B155" s="6">
        <v>14001</v>
      </c>
      <c r="C155" s="6">
        <v>4</v>
      </c>
      <c r="D155" s="6">
        <v>4</v>
      </c>
      <c r="E155" s="6" t="str">
        <f t="shared" si="135"/>
        <v>104001:17</v>
      </c>
      <c r="F155" s="11" t="s">
        <v>384</v>
      </c>
      <c r="G155" s="6">
        <v>0</v>
      </c>
      <c r="H155" s="6">
        <v>0</v>
      </c>
      <c r="I155" s="6" t="s">
        <v>75</v>
      </c>
      <c r="K155" s="6" t="str">
        <f t="shared" si="132"/>
        <v>104001</v>
      </c>
      <c r="L155" s="4">
        <v>17</v>
      </c>
      <c r="M155" s="6" t="s">
        <v>427</v>
      </c>
      <c r="O155" s="13" t="str">
        <f t="shared" si="151"/>
        <v>1.2</v>
      </c>
      <c r="P155" s="13" t="str">
        <f t="shared" si="153"/>
        <v>1.2</v>
      </c>
      <c r="Q155" s="13" t="str">
        <f t="shared" si="155"/>
        <v>1.2</v>
      </c>
      <c r="R155" s="13" t="str">
        <f>Q155</f>
        <v>1.2</v>
      </c>
      <c r="S155" s="13" t="str">
        <f>S154</f>
        <v>1.15</v>
      </c>
      <c r="T155" s="6" t="str">
        <f t="shared" si="134"/>
        <v>1|1.2#2|1.2#3|1.2#4|1.2#5|1.15</v>
      </c>
    </row>
    <row r="156" s="6" customFormat="1" ht="16.5" spans="1:20">
      <c r="A156" s="6">
        <v>1010162</v>
      </c>
      <c r="B156" s="6">
        <v>14001</v>
      </c>
      <c r="C156" s="6">
        <v>4</v>
      </c>
      <c r="D156" s="6">
        <v>5</v>
      </c>
      <c r="E156" s="6" t="str">
        <f t="shared" si="135"/>
        <v>104001:17</v>
      </c>
      <c r="F156" s="11" t="s">
        <v>385</v>
      </c>
      <c r="G156" s="6">
        <v>0</v>
      </c>
      <c r="H156" s="6">
        <v>0</v>
      </c>
      <c r="I156" s="6" t="s">
        <v>40</v>
      </c>
      <c r="K156" s="6" t="str">
        <f t="shared" si="132"/>
        <v>104001</v>
      </c>
      <c r="L156" s="4">
        <v>17</v>
      </c>
      <c r="M156" s="6" t="s">
        <v>124</v>
      </c>
      <c r="O156" s="13" t="str">
        <f t="shared" si="151"/>
        <v>1.2</v>
      </c>
      <c r="P156" s="13" t="str">
        <f t="shared" si="153"/>
        <v>1.2</v>
      </c>
      <c r="Q156" s="13" t="str">
        <f t="shared" si="155"/>
        <v>1.2</v>
      </c>
      <c r="R156" s="13" t="str">
        <f>Q156</f>
        <v>1.2</v>
      </c>
      <c r="S156" s="13" t="str">
        <f>R156</f>
        <v>1.2</v>
      </c>
      <c r="T156" s="6" t="str">
        <f t="shared" si="134"/>
        <v>1|1.2#2|1.2#3|1.2#4|1.2#5|1.2</v>
      </c>
    </row>
    <row r="157" s="6" customFormat="1" ht="16.5" spans="1:20">
      <c r="A157" s="6">
        <v>1010163</v>
      </c>
      <c r="B157" s="6">
        <v>14001</v>
      </c>
      <c r="C157" s="6">
        <v>4</v>
      </c>
      <c r="D157" s="6">
        <v>6</v>
      </c>
      <c r="E157" s="6" t="str">
        <f t="shared" si="135"/>
        <v>104001:60</v>
      </c>
      <c r="F157" s="11">
        <v>0</v>
      </c>
      <c r="G157" s="6">
        <v>11002</v>
      </c>
      <c r="H157" s="6" t="s">
        <v>407</v>
      </c>
      <c r="I157" s="6">
        <v>0</v>
      </c>
      <c r="K157" s="6" t="str">
        <f t="shared" si="132"/>
        <v>104001</v>
      </c>
      <c r="L157" s="13">
        <v>60</v>
      </c>
      <c r="M157" s="6" t="s">
        <v>423</v>
      </c>
      <c r="O157" s="13" t="str">
        <f t="shared" ref="O157:S157" si="156">O156</f>
        <v>1.2</v>
      </c>
      <c r="P157" s="13" t="str">
        <f t="shared" si="156"/>
        <v>1.2</v>
      </c>
      <c r="Q157" s="13" t="str">
        <f t="shared" si="156"/>
        <v>1.2</v>
      </c>
      <c r="R157" s="13" t="str">
        <f t="shared" si="156"/>
        <v>1.2</v>
      </c>
      <c r="S157" s="13" t="str">
        <f t="shared" si="156"/>
        <v>1.2</v>
      </c>
      <c r="T157" s="6" t="str">
        <f t="shared" si="134"/>
        <v>1|1.2#2|1.2#3|1.2#4|1.2#5|1.2</v>
      </c>
    </row>
    <row r="158" s="6" customFormat="1" ht="16.5" spans="1:20">
      <c r="A158" s="6">
        <v>1010164</v>
      </c>
      <c r="B158" s="6">
        <v>14001</v>
      </c>
      <c r="C158" s="6">
        <v>5</v>
      </c>
      <c r="D158" s="6">
        <v>0</v>
      </c>
      <c r="E158" s="6" t="str">
        <f t="shared" si="135"/>
        <v>104001:18</v>
      </c>
      <c r="F158" s="11" t="s">
        <v>386</v>
      </c>
      <c r="G158" s="6">
        <v>0</v>
      </c>
      <c r="H158" s="6">
        <v>0</v>
      </c>
      <c r="I158" s="6" t="s">
        <v>79</v>
      </c>
      <c r="K158" s="6" t="str">
        <f t="shared" si="132"/>
        <v>104001</v>
      </c>
      <c r="L158" s="4">
        <v>18</v>
      </c>
      <c r="M158" s="6" t="s">
        <v>428</v>
      </c>
      <c r="O158" s="15" t="str">
        <f>O157</f>
        <v>1.2</v>
      </c>
      <c r="P158" s="15" t="str">
        <f t="shared" ref="P158:S158" si="157">O158</f>
        <v>1.2</v>
      </c>
      <c r="Q158" s="15" t="str">
        <f t="shared" si="157"/>
        <v>1.2</v>
      </c>
      <c r="R158" s="15" t="str">
        <f>P158</f>
        <v>1.2</v>
      </c>
      <c r="S158" s="15" t="str">
        <f t="shared" si="157"/>
        <v>1.2</v>
      </c>
      <c r="T158" s="6" t="str">
        <f t="shared" si="134"/>
        <v>1|1.2#2|1.2#3|1.2#4|1.2#5|1.2</v>
      </c>
    </row>
    <row r="159" s="6" customFormat="1" ht="16.5" spans="1:20">
      <c r="A159" s="6">
        <v>1010165</v>
      </c>
      <c r="B159" s="6">
        <v>14001</v>
      </c>
      <c r="C159" s="6">
        <v>5</v>
      </c>
      <c r="D159" s="6">
        <v>1</v>
      </c>
      <c r="E159" s="6" t="str">
        <f t="shared" si="135"/>
        <v>104001:18</v>
      </c>
      <c r="F159" s="11" t="s">
        <v>388</v>
      </c>
      <c r="G159" s="6">
        <v>0</v>
      </c>
      <c r="H159" s="6">
        <v>0</v>
      </c>
      <c r="I159" s="6" t="s">
        <v>81</v>
      </c>
      <c r="K159" s="6" t="str">
        <f t="shared" si="132"/>
        <v>104001</v>
      </c>
      <c r="L159" s="4">
        <v>18</v>
      </c>
      <c r="M159" s="6" t="s">
        <v>428</v>
      </c>
      <c r="O159" s="13" t="str">
        <f t="shared" ref="O159:O163" si="158">RIGHT(F159,LEN(F159)-2)</f>
        <v>1.3</v>
      </c>
      <c r="P159" s="13" t="str">
        <f t="shared" ref="P159:S159" si="159">P158</f>
        <v>1.2</v>
      </c>
      <c r="Q159" s="13" t="str">
        <f t="shared" si="159"/>
        <v>1.2</v>
      </c>
      <c r="R159" s="13" t="str">
        <f t="shared" si="159"/>
        <v>1.2</v>
      </c>
      <c r="S159" s="13" t="str">
        <f t="shared" si="159"/>
        <v>1.2</v>
      </c>
      <c r="T159" s="6" t="str">
        <f t="shared" si="134"/>
        <v>1|1.3#2|1.2#3|1.2#4|1.2#5|1.2</v>
      </c>
    </row>
    <row r="160" s="6" customFormat="1" ht="16.5" spans="1:20">
      <c r="A160" s="6">
        <v>1010166</v>
      </c>
      <c r="B160" s="6">
        <v>14001</v>
      </c>
      <c r="C160" s="6">
        <v>5</v>
      </c>
      <c r="D160" s="6">
        <v>2</v>
      </c>
      <c r="E160" s="6" t="str">
        <f t="shared" si="135"/>
        <v>104001:18</v>
      </c>
      <c r="F160" s="11" t="s">
        <v>389</v>
      </c>
      <c r="G160" s="6">
        <v>0</v>
      </c>
      <c r="H160" s="6">
        <v>0</v>
      </c>
      <c r="I160" s="6" t="s">
        <v>83</v>
      </c>
      <c r="K160" s="6" t="str">
        <f t="shared" si="132"/>
        <v>104001</v>
      </c>
      <c r="L160" s="4">
        <v>18</v>
      </c>
      <c r="M160" s="6" t="s">
        <v>428</v>
      </c>
      <c r="O160" s="13" t="str">
        <f t="shared" si="158"/>
        <v>1.3</v>
      </c>
      <c r="P160" s="13" t="str">
        <f t="shared" ref="P160:P163" si="160">O160</f>
        <v>1.3</v>
      </c>
      <c r="Q160" s="13" t="str">
        <f t="shared" ref="Q160:S160" si="161">Q159</f>
        <v>1.2</v>
      </c>
      <c r="R160" s="13" t="str">
        <f t="shared" si="161"/>
        <v>1.2</v>
      </c>
      <c r="S160" s="13" t="str">
        <f t="shared" si="161"/>
        <v>1.2</v>
      </c>
      <c r="T160" s="6" t="str">
        <f t="shared" si="134"/>
        <v>1|1.3#2|1.3#3|1.2#4|1.2#5|1.2</v>
      </c>
    </row>
    <row r="161" s="6" customFormat="1" ht="16.5" spans="1:20">
      <c r="A161" s="6">
        <v>1010167</v>
      </c>
      <c r="B161" s="6">
        <v>14001</v>
      </c>
      <c r="C161" s="6">
        <v>5</v>
      </c>
      <c r="D161" s="6">
        <v>3</v>
      </c>
      <c r="E161" s="6" t="str">
        <f t="shared" si="135"/>
        <v>104001:22</v>
      </c>
      <c r="F161" s="11" t="s">
        <v>390</v>
      </c>
      <c r="G161" s="6">
        <v>0</v>
      </c>
      <c r="H161" s="6">
        <v>0</v>
      </c>
      <c r="I161" s="6" t="s">
        <v>85</v>
      </c>
      <c r="K161" s="6" t="str">
        <f t="shared" si="132"/>
        <v>104001</v>
      </c>
      <c r="L161" s="4">
        <v>22</v>
      </c>
      <c r="M161" s="6" t="s">
        <v>428</v>
      </c>
      <c r="O161" s="13" t="str">
        <f t="shared" si="158"/>
        <v>1.3</v>
      </c>
      <c r="P161" s="13" t="str">
        <f t="shared" si="160"/>
        <v>1.3</v>
      </c>
      <c r="Q161" s="13" t="str">
        <f t="shared" ref="Q161:Q163" si="162">P161</f>
        <v>1.3</v>
      </c>
      <c r="R161" s="13" t="str">
        <f>R160</f>
        <v>1.2</v>
      </c>
      <c r="S161" s="13" t="str">
        <f>S160</f>
        <v>1.2</v>
      </c>
      <c r="T161" s="6" t="str">
        <f t="shared" si="134"/>
        <v>1|1.3#2|1.3#3|1.3#4|1.2#5|1.2</v>
      </c>
    </row>
    <row r="162" s="6" customFormat="1" ht="16.5" spans="1:20">
      <c r="A162" s="6">
        <v>1010168</v>
      </c>
      <c r="B162" s="6">
        <v>14001</v>
      </c>
      <c r="C162" s="6">
        <v>5</v>
      </c>
      <c r="D162" s="6">
        <v>4</v>
      </c>
      <c r="E162" s="6" t="str">
        <f t="shared" si="135"/>
        <v>104001:22</v>
      </c>
      <c r="F162" s="11" t="s">
        <v>391</v>
      </c>
      <c r="G162" s="6">
        <v>0</v>
      </c>
      <c r="H162" s="6">
        <v>0</v>
      </c>
      <c r="I162" s="6" t="s">
        <v>87</v>
      </c>
      <c r="K162" s="6" t="str">
        <f t="shared" si="132"/>
        <v>104001</v>
      </c>
      <c r="L162" s="4">
        <v>22</v>
      </c>
      <c r="M162" s="6" t="s">
        <v>428</v>
      </c>
      <c r="O162" s="13" t="str">
        <f t="shared" si="158"/>
        <v>1.3</v>
      </c>
      <c r="P162" s="13" t="str">
        <f t="shared" si="160"/>
        <v>1.3</v>
      </c>
      <c r="Q162" s="13" t="str">
        <f t="shared" si="162"/>
        <v>1.3</v>
      </c>
      <c r="R162" s="13" t="str">
        <f>Q162</f>
        <v>1.3</v>
      </c>
      <c r="S162" s="13" t="str">
        <f>S161</f>
        <v>1.2</v>
      </c>
      <c r="T162" s="6" t="str">
        <f t="shared" si="134"/>
        <v>1|1.3#2|1.3#3|1.3#4|1.3#5|1.2</v>
      </c>
    </row>
    <row r="163" s="6" customFormat="1" ht="16.5" spans="1:20">
      <c r="A163" s="6">
        <v>1010169</v>
      </c>
      <c r="B163" s="6">
        <v>14001</v>
      </c>
      <c r="C163" s="6">
        <v>5</v>
      </c>
      <c r="D163" s="6">
        <v>5</v>
      </c>
      <c r="E163" s="6" t="str">
        <f t="shared" si="135"/>
        <v>104001:22</v>
      </c>
      <c r="F163" s="11" t="s">
        <v>392</v>
      </c>
      <c r="G163" s="6">
        <v>0</v>
      </c>
      <c r="H163" s="6">
        <v>0</v>
      </c>
      <c r="I163" s="6" t="s">
        <v>40</v>
      </c>
      <c r="K163" s="6" t="str">
        <f t="shared" si="132"/>
        <v>104001</v>
      </c>
      <c r="L163" s="4">
        <v>22</v>
      </c>
      <c r="M163" s="6" t="s">
        <v>429</v>
      </c>
      <c r="O163" s="13" t="str">
        <f t="shared" si="158"/>
        <v>1.3</v>
      </c>
      <c r="P163" s="13" t="str">
        <f t="shared" si="160"/>
        <v>1.3</v>
      </c>
      <c r="Q163" s="13" t="str">
        <f t="shared" si="162"/>
        <v>1.3</v>
      </c>
      <c r="R163" s="13" t="str">
        <f>Q163</f>
        <v>1.3</v>
      </c>
      <c r="S163" s="13" t="str">
        <f>R163</f>
        <v>1.3</v>
      </c>
      <c r="T163" s="6" t="str">
        <f t="shared" si="134"/>
        <v>1|1.3#2|1.3#3|1.3#4|1.3#5|1.3</v>
      </c>
    </row>
    <row r="164" s="6" customFormat="1" ht="16.5" spans="1:20">
      <c r="A164" s="6">
        <v>1010170</v>
      </c>
      <c r="B164" s="6">
        <v>14001</v>
      </c>
      <c r="C164" s="6">
        <v>5</v>
      </c>
      <c r="D164" s="6">
        <v>6</v>
      </c>
      <c r="E164" s="6" t="str">
        <f t="shared" si="135"/>
        <v>104001:60</v>
      </c>
      <c r="F164" s="11">
        <v>0</v>
      </c>
      <c r="G164" s="6">
        <v>11002</v>
      </c>
      <c r="H164" s="6" t="s">
        <v>407</v>
      </c>
      <c r="I164" s="6">
        <v>0</v>
      </c>
      <c r="K164" s="6" t="str">
        <f t="shared" si="132"/>
        <v>104001</v>
      </c>
      <c r="L164" s="13">
        <v>60</v>
      </c>
      <c r="M164" s="6" t="s">
        <v>423</v>
      </c>
      <c r="O164" s="13" t="str">
        <f t="shared" ref="O164:S164" si="163">O163</f>
        <v>1.3</v>
      </c>
      <c r="P164" s="13" t="str">
        <f t="shared" si="163"/>
        <v>1.3</v>
      </c>
      <c r="Q164" s="13" t="str">
        <f t="shared" si="163"/>
        <v>1.3</v>
      </c>
      <c r="R164" s="13" t="str">
        <f t="shared" si="163"/>
        <v>1.3</v>
      </c>
      <c r="S164" s="13" t="str">
        <f t="shared" si="163"/>
        <v>1.3</v>
      </c>
      <c r="T164" s="6" t="str">
        <f t="shared" si="134"/>
        <v>1|1.3#2|1.3#3|1.3#4|1.3#5|1.3</v>
      </c>
    </row>
    <row r="165" s="6" customFormat="1" ht="16.5" spans="1:20">
      <c r="A165" s="6">
        <v>1010171</v>
      </c>
      <c r="B165" s="6">
        <v>14001</v>
      </c>
      <c r="C165" s="6">
        <v>6</v>
      </c>
      <c r="D165" s="6">
        <v>0</v>
      </c>
      <c r="E165" s="6" t="str">
        <f t="shared" si="135"/>
        <v>104001:24</v>
      </c>
      <c r="F165" s="11" t="s">
        <v>394</v>
      </c>
      <c r="G165" s="6">
        <v>0</v>
      </c>
      <c r="H165" s="6">
        <v>0</v>
      </c>
      <c r="I165" s="6" t="s">
        <v>90</v>
      </c>
      <c r="K165" s="6" t="str">
        <f t="shared" si="132"/>
        <v>104001</v>
      </c>
      <c r="L165" s="4">
        <v>24</v>
      </c>
      <c r="M165" s="6" t="s">
        <v>430</v>
      </c>
      <c r="O165" s="15" t="str">
        <f>O164</f>
        <v>1.3</v>
      </c>
      <c r="P165" s="15" t="str">
        <f t="shared" ref="P165:S165" si="164">O165</f>
        <v>1.3</v>
      </c>
      <c r="Q165" s="15" t="str">
        <f t="shared" si="164"/>
        <v>1.3</v>
      </c>
      <c r="R165" s="15" t="str">
        <f>P165</f>
        <v>1.3</v>
      </c>
      <c r="S165" s="15" t="str">
        <f t="shared" si="164"/>
        <v>1.3</v>
      </c>
      <c r="T165" s="6" t="str">
        <f t="shared" si="134"/>
        <v>1|1.3#2|1.3#3|1.3#4|1.3#5|1.3</v>
      </c>
    </row>
    <row r="166" s="6" customFormat="1" ht="16.5" spans="1:20">
      <c r="A166" s="6">
        <v>1010172</v>
      </c>
      <c r="B166" s="6">
        <v>14001</v>
      </c>
      <c r="C166" s="6">
        <v>6</v>
      </c>
      <c r="D166" s="6">
        <v>1</v>
      </c>
      <c r="E166" s="6" t="str">
        <f t="shared" si="135"/>
        <v>104001:24</v>
      </c>
      <c r="F166" s="11" t="s">
        <v>396</v>
      </c>
      <c r="G166" s="6">
        <v>0</v>
      </c>
      <c r="H166" s="6">
        <v>0</v>
      </c>
      <c r="I166" s="6" t="s">
        <v>92</v>
      </c>
      <c r="K166" s="6" t="str">
        <f t="shared" si="132"/>
        <v>104001</v>
      </c>
      <c r="L166" s="4">
        <v>24</v>
      </c>
      <c r="M166" s="6" t="s">
        <v>430</v>
      </c>
      <c r="O166" s="13" t="str">
        <f t="shared" ref="O166:O170" si="165">RIGHT(F166,LEN(F166)-2)</f>
        <v>1.4</v>
      </c>
      <c r="P166" s="13" t="str">
        <f t="shared" ref="P166:S166" si="166">P165</f>
        <v>1.3</v>
      </c>
      <c r="Q166" s="13" t="str">
        <f t="shared" si="166"/>
        <v>1.3</v>
      </c>
      <c r="R166" s="13" t="str">
        <f t="shared" si="166"/>
        <v>1.3</v>
      </c>
      <c r="S166" s="13" t="str">
        <f t="shared" si="166"/>
        <v>1.3</v>
      </c>
      <c r="T166" s="6" t="str">
        <f t="shared" si="134"/>
        <v>1|1.4#2|1.3#3|1.3#4|1.3#5|1.3</v>
      </c>
    </row>
    <row r="167" s="6" customFormat="1" ht="16.5" spans="1:20">
      <c r="A167" s="6">
        <v>1010173</v>
      </c>
      <c r="B167" s="6">
        <v>14001</v>
      </c>
      <c r="C167" s="6">
        <v>6</v>
      </c>
      <c r="D167" s="6">
        <v>2</v>
      </c>
      <c r="E167" s="6" t="str">
        <f t="shared" si="135"/>
        <v>104001:24</v>
      </c>
      <c r="F167" s="11" t="s">
        <v>397</v>
      </c>
      <c r="G167" s="6">
        <v>0</v>
      </c>
      <c r="H167" s="6">
        <v>0</v>
      </c>
      <c r="I167" s="6" t="s">
        <v>94</v>
      </c>
      <c r="K167" s="6" t="str">
        <f t="shared" si="132"/>
        <v>104001</v>
      </c>
      <c r="L167" s="4">
        <v>24</v>
      </c>
      <c r="M167" s="6" t="s">
        <v>430</v>
      </c>
      <c r="O167" s="13" t="str">
        <f t="shared" si="165"/>
        <v>1.4</v>
      </c>
      <c r="P167" s="13" t="str">
        <f t="shared" ref="P167:P170" si="167">O167</f>
        <v>1.4</v>
      </c>
      <c r="Q167" s="13" t="str">
        <f t="shared" ref="Q167:S167" si="168">Q166</f>
        <v>1.3</v>
      </c>
      <c r="R167" s="13" t="str">
        <f t="shared" si="168"/>
        <v>1.3</v>
      </c>
      <c r="S167" s="13" t="str">
        <f t="shared" si="168"/>
        <v>1.3</v>
      </c>
      <c r="T167" s="6" t="str">
        <f t="shared" si="134"/>
        <v>1|1.4#2|1.4#3|1.3#4|1.3#5|1.3</v>
      </c>
    </row>
    <row r="168" s="6" customFormat="1" ht="16.5" spans="1:20">
      <c r="A168" s="6">
        <v>1010174</v>
      </c>
      <c r="B168" s="6">
        <v>14001</v>
      </c>
      <c r="C168" s="6">
        <v>6</v>
      </c>
      <c r="D168" s="6">
        <v>3</v>
      </c>
      <c r="E168" s="6" t="str">
        <f t="shared" si="135"/>
        <v>104001:24</v>
      </c>
      <c r="F168" s="11" t="s">
        <v>398</v>
      </c>
      <c r="G168" s="6">
        <v>0</v>
      </c>
      <c r="H168" s="6">
        <v>0</v>
      </c>
      <c r="I168" s="6" t="s">
        <v>96</v>
      </c>
      <c r="K168" s="6" t="str">
        <f t="shared" si="132"/>
        <v>104001</v>
      </c>
      <c r="L168" s="4">
        <v>24</v>
      </c>
      <c r="M168" s="6" t="s">
        <v>430</v>
      </c>
      <c r="O168" s="13" t="str">
        <f t="shared" si="165"/>
        <v>1.4</v>
      </c>
      <c r="P168" s="13" t="str">
        <f t="shared" si="167"/>
        <v>1.4</v>
      </c>
      <c r="Q168" s="13" t="str">
        <f t="shared" ref="Q168:Q170" si="169">P168</f>
        <v>1.4</v>
      </c>
      <c r="R168" s="13" t="str">
        <f>R167</f>
        <v>1.3</v>
      </c>
      <c r="S168" s="13" t="str">
        <f t="shared" ref="S168:S175" si="170">S167</f>
        <v>1.3</v>
      </c>
      <c r="T168" s="6" t="str">
        <f t="shared" si="134"/>
        <v>1|1.4#2|1.4#3|1.4#4|1.3#5|1.3</v>
      </c>
    </row>
    <row r="169" s="6" customFormat="1" ht="16.5" spans="1:20">
      <c r="A169" s="6">
        <v>1010175</v>
      </c>
      <c r="B169" s="6">
        <v>14001</v>
      </c>
      <c r="C169" s="6">
        <v>6</v>
      </c>
      <c r="D169" s="6">
        <v>4</v>
      </c>
      <c r="E169" s="6" t="str">
        <f t="shared" si="135"/>
        <v>104001:24</v>
      </c>
      <c r="F169" s="11" t="s">
        <v>399</v>
      </c>
      <c r="G169" s="6">
        <v>0</v>
      </c>
      <c r="H169" s="6">
        <v>0</v>
      </c>
      <c r="I169" s="6" t="s">
        <v>98</v>
      </c>
      <c r="K169" s="6" t="str">
        <f t="shared" si="132"/>
        <v>104001</v>
      </c>
      <c r="L169" s="4">
        <v>24</v>
      </c>
      <c r="M169" s="6" t="s">
        <v>430</v>
      </c>
      <c r="O169" s="13" t="str">
        <f t="shared" si="165"/>
        <v>1.4</v>
      </c>
      <c r="P169" s="13" t="str">
        <f t="shared" si="167"/>
        <v>1.4</v>
      </c>
      <c r="Q169" s="13" t="str">
        <f t="shared" si="169"/>
        <v>1.4</v>
      </c>
      <c r="R169" s="13" t="str">
        <f>Q169</f>
        <v>1.4</v>
      </c>
      <c r="S169" s="13" t="str">
        <f t="shared" si="170"/>
        <v>1.3</v>
      </c>
      <c r="T169" s="6" t="str">
        <f t="shared" si="134"/>
        <v>1|1.4#2|1.4#3|1.4#4|1.4#5|1.3</v>
      </c>
    </row>
    <row r="170" s="6" customFormat="1" ht="16.5" spans="1:20">
      <c r="A170" s="6">
        <v>1010176</v>
      </c>
      <c r="B170" s="6">
        <v>14001</v>
      </c>
      <c r="C170" s="6">
        <v>6</v>
      </c>
      <c r="D170" s="6">
        <v>5</v>
      </c>
      <c r="E170" s="6" t="str">
        <f t="shared" si="135"/>
        <v>104001:60</v>
      </c>
      <c r="F170" s="11" t="s">
        <v>400</v>
      </c>
      <c r="G170" s="6">
        <v>0</v>
      </c>
      <c r="H170" s="6">
        <v>0</v>
      </c>
      <c r="I170" s="6" t="s">
        <v>40</v>
      </c>
      <c r="K170" s="6" t="str">
        <f t="shared" si="132"/>
        <v>104001</v>
      </c>
      <c r="L170" s="4">
        <v>60</v>
      </c>
      <c r="M170" s="6" t="s">
        <v>429</v>
      </c>
      <c r="O170" s="13" t="str">
        <f t="shared" si="165"/>
        <v>1.4</v>
      </c>
      <c r="P170" s="13" t="str">
        <f t="shared" si="167"/>
        <v>1.4</v>
      </c>
      <c r="Q170" s="13" t="str">
        <f t="shared" si="169"/>
        <v>1.4</v>
      </c>
      <c r="R170" s="13" t="str">
        <f>Q170</f>
        <v>1.4</v>
      </c>
      <c r="S170" s="13" t="str">
        <f>R170</f>
        <v>1.4</v>
      </c>
      <c r="T170" s="6" t="str">
        <f t="shared" si="134"/>
        <v>1|1.4#2|1.4#3|1.4#4|1.4#5|1.4</v>
      </c>
    </row>
    <row r="171" s="6" customFormat="1" ht="16.5" spans="1:20">
      <c r="A171" s="6">
        <v>1010177</v>
      </c>
      <c r="B171" s="6">
        <v>14001</v>
      </c>
      <c r="C171" s="6">
        <v>6</v>
      </c>
      <c r="D171" s="6">
        <v>6</v>
      </c>
      <c r="E171" s="6" t="str">
        <f t="shared" si="135"/>
        <v>104001:0</v>
      </c>
      <c r="F171" s="11">
        <v>0</v>
      </c>
      <c r="G171" s="6">
        <v>11002</v>
      </c>
      <c r="H171" s="6" t="s">
        <v>407</v>
      </c>
      <c r="I171" s="6">
        <v>0</v>
      </c>
      <c r="K171" s="6" t="str">
        <f t="shared" si="132"/>
        <v>104001</v>
      </c>
      <c r="L171" s="4">
        <v>0</v>
      </c>
      <c r="M171" s="6" t="s">
        <v>423</v>
      </c>
      <c r="O171" s="13" t="str">
        <f t="shared" ref="O171:S171" si="171">O170</f>
        <v>1.4</v>
      </c>
      <c r="P171" s="13" t="str">
        <f t="shared" si="171"/>
        <v>1.4</v>
      </c>
      <c r="Q171" s="13" t="str">
        <f t="shared" si="171"/>
        <v>1.4</v>
      </c>
      <c r="R171" s="13" t="str">
        <f t="shared" si="171"/>
        <v>1.4</v>
      </c>
      <c r="S171" s="13" t="str">
        <f t="shared" si="171"/>
        <v>1.4</v>
      </c>
      <c r="T171" s="6" t="str">
        <f t="shared" si="134"/>
        <v>1|1.4#2|1.4#3|1.4#4|1.4#5|1.4</v>
      </c>
    </row>
    <row r="172" s="6" customFormat="1" ht="16.5" spans="1:20">
      <c r="A172" s="6">
        <v>1010178</v>
      </c>
      <c r="B172" s="6">
        <v>15001</v>
      </c>
      <c r="C172" s="6">
        <v>1</v>
      </c>
      <c r="D172" s="6">
        <v>0</v>
      </c>
      <c r="E172" s="6" t="str">
        <f t="shared" si="135"/>
        <v>105001:2</v>
      </c>
      <c r="F172" s="11" t="s">
        <v>356</v>
      </c>
      <c r="G172" s="6">
        <v>0</v>
      </c>
      <c r="H172" s="6">
        <v>0</v>
      </c>
      <c r="I172" s="6" t="s">
        <v>25</v>
      </c>
      <c r="K172" s="6" t="str">
        <f t="shared" si="132"/>
        <v>105001</v>
      </c>
      <c r="L172" s="4">
        <v>2</v>
      </c>
      <c r="M172" s="6" t="s">
        <v>431</v>
      </c>
      <c r="O172" s="13">
        <v>1</v>
      </c>
      <c r="P172" s="13">
        <f t="shared" ref="P172:S172" si="172">O172</f>
        <v>1</v>
      </c>
      <c r="Q172" s="13">
        <f t="shared" si="172"/>
        <v>1</v>
      </c>
      <c r="R172" s="13">
        <f>P172</f>
        <v>1</v>
      </c>
      <c r="S172" s="13">
        <f t="shared" si="172"/>
        <v>1</v>
      </c>
      <c r="T172" s="6" t="str">
        <f t="shared" si="134"/>
        <v>1|1#2|1#3|1#4|1#5|1</v>
      </c>
    </row>
    <row r="173" s="6" customFormat="1" ht="16.5" spans="1:20">
      <c r="A173" s="6">
        <v>1010179</v>
      </c>
      <c r="B173" s="6">
        <v>15001</v>
      </c>
      <c r="C173" s="6">
        <v>1</v>
      </c>
      <c r="D173" s="6">
        <v>1</v>
      </c>
      <c r="E173" s="6" t="str">
        <f t="shared" si="135"/>
        <v>105001:2</v>
      </c>
      <c r="F173" s="11" t="s">
        <v>358</v>
      </c>
      <c r="G173" s="6">
        <v>0</v>
      </c>
      <c r="H173" s="6">
        <v>0</v>
      </c>
      <c r="I173" s="6" t="s">
        <v>28</v>
      </c>
      <c r="K173" s="6" t="str">
        <f t="shared" si="132"/>
        <v>105001</v>
      </c>
      <c r="L173" s="4">
        <v>2</v>
      </c>
      <c r="M173" s="6" t="s">
        <v>431</v>
      </c>
      <c r="O173" s="13" t="str">
        <f t="shared" ref="O173:O177" si="173">RIGHT(F173,LEN(F173)-2)</f>
        <v>1.05</v>
      </c>
      <c r="P173" s="13">
        <v>1</v>
      </c>
      <c r="Q173" s="13">
        <f>Q172</f>
        <v>1</v>
      </c>
      <c r="R173" s="13">
        <f>R172</f>
        <v>1</v>
      </c>
      <c r="S173" s="13">
        <f t="shared" si="170"/>
        <v>1</v>
      </c>
      <c r="T173" s="6" t="str">
        <f t="shared" si="134"/>
        <v>1|1.05#2|1#3|1#4|1#5|1</v>
      </c>
    </row>
    <row r="174" s="6" customFormat="1" ht="16.5" spans="1:20">
      <c r="A174" s="6">
        <v>1010180</v>
      </c>
      <c r="B174" s="6">
        <v>15001</v>
      </c>
      <c r="C174" s="6">
        <v>1</v>
      </c>
      <c r="D174" s="6">
        <v>2</v>
      </c>
      <c r="E174" s="6" t="str">
        <f t="shared" si="135"/>
        <v>105001:2</v>
      </c>
      <c r="F174" s="11" t="s">
        <v>359</v>
      </c>
      <c r="G174" s="6">
        <v>0</v>
      </c>
      <c r="H174" s="6">
        <v>0</v>
      </c>
      <c r="I174" s="6" t="s">
        <v>31</v>
      </c>
      <c r="K174" s="6" t="str">
        <f t="shared" si="132"/>
        <v>105001</v>
      </c>
      <c r="L174" s="4">
        <v>2</v>
      </c>
      <c r="M174" s="6" t="s">
        <v>431</v>
      </c>
      <c r="O174" s="13" t="str">
        <f t="shared" si="173"/>
        <v>1.05</v>
      </c>
      <c r="P174" s="13" t="str">
        <f t="shared" ref="P174:P177" si="174">O174</f>
        <v>1.05</v>
      </c>
      <c r="Q174" s="13">
        <v>1</v>
      </c>
      <c r="R174" s="13">
        <f>R173</f>
        <v>1</v>
      </c>
      <c r="S174" s="13">
        <f t="shared" si="170"/>
        <v>1</v>
      </c>
      <c r="T174" s="6" t="str">
        <f t="shared" si="134"/>
        <v>1|1.05#2|1.05#3|1#4|1#5|1</v>
      </c>
    </row>
    <row r="175" s="6" customFormat="1" ht="16.5" spans="1:20">
      <c r="A175" s="6">
        <v>1010181</v>
      </c>
      <c r="B175" s="6">
        <v>15001</v>
      </c>
      <c r="C175" s="6">
        <v>1</v>
      </c>
      <c r="D175" s="6">
        <v>3</v>
      </c>
      <c r="E175" s="6" t="str">
        <f t="shared" si="135"/>
        <v>105001:3</v>
      </c>
      <c r="F175" s="11" t="s">
        <v>360</v>
      </c>
      <c r="G175" s="6">
        <v>0</v>
      </c>
      <c r="H175" s="6">
        <v>0</v>
      </c>
      <c r="I175" s="6" t="s">
        <v>34</v>
      </c>
      <c r="K175" s="6" t="str">
        <f t="shared" si="132"/>
        <v>105001</v>
      </c>
      <c r="L175" s="4">
        <v>3</v>
      </c>
      <c r="M175" s="6" t="s">
        <v>431</v>
      </c>
      <c r="O175" s="13" t="str">
        <f t="shared" si="173"/>
        <v>1.05</v>
      </c>
      <c r="P175" s="13" t="str">
        <f t="shared" si="174"/>
        <v>1.05</v>
      </c>
      <c r="Q175" s="13" t="str">
        <f t="shared" ref="Q175:Q177" si="175">P175</f>
        <v>1.05</v>
      </c>
      <c r="R175" s="13">
        <v>1</v>
      </c>
      <c r="S175" s="13">
        <f t="shared" si="170"/>
        <v>1</v>
      </c>
      <c r="T175" s="6" t="str">
        <f t="shared" si="134"/>
        <v>1|1.05#2|1.05#3|1.05#4|1#5|1</v>
      </c>
    </row>
    <row r="176" s="6" customFormat="1" ht="16.5" spans="1:20">
      <c r="A176" s="6">
        <v>1010182</v>
      </c>
      <c r="B176" s="6">
        <v>15001</v>
      </c>
      <c r="C176" s="6">
        <v>1</v>
      </c>
      <c r="D176" s="6">
        <v>4</v>
      </c>
      <c r="E176" s="6" t="str">
        <f t="shared" si="135"/>
        <v>105001:3</v>
      </c>
      <c r="F176" s="11" t="s">
        <v>361</v>
      </c>
      <c r="G176" s="6">
        <v>0</v>
      </c>
      <c r="H176" s="6">
        <v>0</v>
      </c>
      <c r="I176" s="6" t="s">
        <v>37</v>
      </c>
      <c r="K176" s="6" t="str">
        <f t="shared" si="132"/>
        <v>105001</v>
      </c>
      <c r="L176" s="4">
        <v>3</v>
      </c>
      <c r="M176" s="6" t="s">
        <v>431</v>
      </c>
      <c r="O176" s="13" t="str">
        <f t="shared" si="173"/>
        <v>1.05</v>
      </c>
      <c r="P176" s="13" t="str">
        <f t="shared" si="174"/>
        <v>1.05</v>
      </c>
      <c r="Q176" s="13" t="str">
        <f t="shared" si="175"/>
        <v>1.05</v>
      </c>
      <c r="R176" s="13" t="str">
        <f>Q176</f>
        <v>1.05</v>
      </c>
      <c r="S176" s="13">
        <v>1</v>
      </c>
      <c r="T176" s="6" t="str">
        <f t="shared" si="134"/>
        <v>1|1.05#2|1.05#3|1.05#4|1.05#5|1</v>
      </c>
    </row>
    <row r="177" s="6" customFormat="1" ht="16.5" spans="1:20">
      <c r="A177" s="6">
        <v>1010183</v>
      </c>
      <c r="B177" s="6">
        <v>15001</v>
      </c>
      <c r="C177" s="6">
        <v>1</v>
      </c>
      <c r="D177" s="6">
        <v>5</v>
      </c>
      <c r="E177" s="6" t="str">
        <f t="shared" si="135"/>
        <v>105001:3</v>
      </c>
      <c r="F177" s="11" t="s">
        <v>362</v>
      </c>
      <c r="G177" s="6">
        <v>0</v>
      </c>
      <c r="H177" s="6">
        <v>0</v>
      </c>
      <c r="I177" s="6" t="s">
        <v>40</v>
      </c>
      <c r="K177" s="6" t="str">
        <f t="shared" si="132"/>
        <v>105001</v>
      </c>
      <c r="L177" s="4">
        <v>3</v>
      </c>
      <c r="M177" s="6" t="s">
        <v>432</v>
      </c>
      <c r="O177" s="13" t="str">
        <f t="shared" si="173"/>
        <v>1.05</v>
      </c>
      <c r="P177" s="13" t="str">
        <f t="shared" si="174"/>
        <v>1.05</v>
      </c>
      <c r="Q177" s="13" t="str">
        <f t="shared" si="175"/>
        <v>1.05</v>
      </c>
      <c r="R177" s="13" t="str">
        <f>Q177</f>
        <v>1.05</v>
      </c>
      <c r="S177" s="13" t="str">
        <f>R177</f>
        <v>1.05</v>
      </c>
      <c r="T177" s="6" t="str">
        <f t="shared" si="134"/>
        <v>1|1.05#2|1.05#3|1.05#4|1.05#5|1.05</v>
      </c>
    </row>
    <row r="178" s="6" customFormat="1" ht="16.5" spans="1:20">
      <c r="A178" s="6">
        <v>1010184</v>
      </c>
      <c r="B178" s="6">
        <v>15001</v>
      </c>
      <c r="C178" s="6">
        <v>1</v>
      </c>
      <c r="D178" s="6">
        <v>6</v>
      </c>
      <c r="E178" s="6" t="str">
        <f t="shared" si="135"/>
        <v>105001:5</v>
      </c>
      <c r="F178" s="11">
        <v>0</v>
      </c>
      <c r="G178" s="6">
        <v>11002</v>
      </c>
      <c r="H178" s="6" t="s">
        <v>407</v>
      </c>
      <c r="I178" s="6">
        <v>0</v>
      </c>
      <c r="K178" s="6" t="str">
        <f t="shared" si="132"/>
        <v>105001</v>
      </c>
      <c r="L178" s="13">
        <v>5</v>
      </c>
      <c r="M178" s="6" t="s">
        <v>433</v>
      </c>
      <c r="O178" s="13" t="str">
        <f t="shared" ref="O178:S178" si="176">O177</f>
        <v>1.05</v>
      </c>
      <c r="P178" s="13" t="str">
        <f t="shared" si="176"/>
        <v>1.05</v>
      </c>
      <c r="Q178" s="13" t="str">
        <f t="shared" si="176"/>
        <v>1.05</v>
      </c>
      <c r="R178" s="13" t="str">
        <f t="shared" si="176"/>
        <v>1.05</v>
      </c>
      <c r="S178" s="13" t="str">
        <f t="shared" si="176"/>
        <v>1.05</v>
      </c>
      <c r="T178" s="6" t="str">
        <f t="shared" si="134"/>
        <v>1|1.05#2|1.05#3|1.05#4|1.05#5|1.05</v>
      </c>
    </row>
    <row r="179" s="6" customFormat="1" ht="16.5" spans="1:20">
      <c r="A179" s="6">
        <v>1010185</v>
      </c>
      <c r="B179" s="6">
        <v>15001</v>
      </c>
      <c r="C179" s="6">
        <v>2</v>
      </c>
      <c r="D179" s="6">
        <v>0</v>
      </c>
      <c r="E179" s="6" t="str">
        <f t="shared" si="135"/>
        <v>105001:5</v>
      </c>
      <c r="F179" s="11" t="s">
        <v>364</v>
      </c>
      <c r="G179" s="6">
        <v>0</v>
      </c>
      <c r="H179" s="6">
        <v>0</v>
      </c>
      <c r="I179" s="6" t="s">
        <v>43</v>
      </c>
      <c r="K179" s="6" t="str">
        <f t="shared" si="132"/>
        <v>105001</v>
      </c>
      <c r="L179" s="4">
        <v>5</v>
      </c>
      <c r="M179" s="6" t="s">
        <v>434</v>
      </c>
      <c r="O179" s="15" t="str">
        <f>O178</f>
        <v>1.05</v>
      </c>
      <c r="P179" s="15" t="str">
        <f t="shared" ref="P179:S179" si="177">O179</f>
        <v>1.05</v>
      </c>
      <c r="Q179" s="15" t="str">
        <f t="shared" si="177"/>
        <v>1.05</v>
      </c>
      <c r="R179" s="15" t="str">
        <f>P179</f>
        <v>1.05</v>
      </c>
      <c r="S179" s="15" t="str">
        <f t="shared" si="177"/>
        <v>1.05</v>
      </c>
      <c r="T179" s="6" t="str">
        <f t="shared" si="134"/>
        <v>1|1.05#2|1.05#3|1.05#4|1.05#5|1.05</v>
      </c>
    </row>
    <row r="180" s="6" customFormat="1" ht="16.5" spans="1:20">
      <c r="A180" s="6">
        <v>1010186</v>
      </c>
      <c r="B180" s="6">
        <v>15001</v>
      </c>
      <c r="C180" s="6">
        <v>2</v>
      </c>
      <c r="D180" s="6">
        <v>1</v>
      </c>
      <c r="E180" s="6" t="str">
        <f t="shared" si="135"/>
        <v>105001:5</v>
      </c>
      <c r="F180" s="11" t="s">
        <v>366</v>
      </c>
      <c r="G180" s="6">
        <v>0</v>
      </c>
      <c r="H180" s="6">
        <v>0</v>
      </c>
      <c r="I180" s="6" t="s">
        <v>45</v>
      </c>
      <c r="K180" s="6" t="str">
        <f t="shared" si="132"/>
        <v>105001</v>
      </c>
      <c r="L180" s="4">
        <v>5</v>
      </c>
      <c r="M180" s="6" t="s">
        <v>434</v>
      </c>
      <c r="O180" s="13" t="str">
        <f t="shared" ref="O180:O184" si="178">RIGHT(F180,LEN(F180)-2)</f>
        <v>1.1</v>
      </c>
      <c r="P180" s="13">
        <v>1.05</v>
      </c>
      <c r="Q180" s="13" t="str">
        <f t="shared" ref="Q180:S180" si="179">Q179</f>
        <v>1.05</v>
      </c>
      <c r="R180" s="13" t="str">
        <f t="shared" si="179"/>
        <v>1.05</v>
      </c>
      <c r="S180" s="13" t="str">
        <f t="shared" si="179"/>
        <v>1.05</v>
      </c>
      <c r="T180" s="6" t="str">
        <f t="shared" si="134"/>
        <v>1|1.1#2|1.05#3|1.05#4|1.05#5|1.05</v>
      </c>
    </row>
    <row r="181" s="6" customFormat="1" ht="16.5" spans="1:20">
      <c r="A181" s="6">
        <v>1010187</v>
      </c>
      <c r="B181" s="6">
        <v>15001</v>
      </c>
      <c r="C181" s="6">
        <v>2</v>
      </c>
      <c r="D181" s="6">
        <v>2</v>
      </c>
      <c r="E181" s="6" t="str">
        <f t="shared" si="135"/>
        <v>105001:5</v>
      </c>
      <c r="F181" s="11" t="s">
        <v>367</v>
      </c>
      <c r="G181" s="6">
        <v>0</v>
      </c>
      <c r="H181" s="6">
        <v>0</v>
      </c>
      <c r="I181" s="6" t="s">
        <v>47</v>
      </c>
      <c r="K181" s="6" t="str">
        <f t="shared" si="132"/>
        <v>105001</v>
      </c>
      <c r="L181" s="4">
        <v>5</v>
      </c>
      <c r="M181" s="6" t="s">
        <v>434</v>
      </c>
      <c r="O181" s="13" t="str">
        <f t="shared" si="178"/>
        <v>1.1</v>
      </c>
      <c r="P181" s="13" t="str">
        <f t="shared" ref="P181:P184" si="180">O181</f>
        <v>1.1</v>
      </c>
      <c r="Q181" s="13">
        <v>1.05</v>
      </c>
      <c r="R181" s="13" t="str">
        <f>R180</f>
        <v>1.05</v>
      </c>
      <c r="S181" s="13" t="str">
        <f>S180</f>
        <v>1.05</v>
      </c>
      <c r="T181" s="6" t="str">
        <f t="shared" si="134"/>
        <v>1|1.1#2|1.1#3|1.05#4|1.05#5|1.05</v>
      </c>
    </row>
    <row r="182" s="6" customFormat="1" ht="16.5" spans="1:20">
      <c r="A182" s="6">
        <v>1010188</v>
      </c>
      <c r="B182" s="6">
        <v>15001</v>
      </c>
      <c r="C182" s="6">
        <v>2</v>
      </c>
      <c r="D182" s="6">
        <v>3</v>
      </c>
      <c r="E182" s="6" t="str">
        <f t="shared" si="135"/>
        <v>105001:6</v>
      </c>
      <c r="F182" s="11" t="s">
        <v>368</v>
      </c>
      <c r="G182" s="6">
        <v>0</v>
      </c>
      <c r="H182" s="6">
        <v>0</v>
      </c>
      <c r="I182" s="6" t="s">
        <v>49</v>
      </c>
      <c r="K182" s="6" t="str">
        <f t="shared" si="132"/>
        <v>105001</v>
      </c>
      <c r="L182" s="4">
        <v>6</v>
      </c>
      <c r="M182" s="6" t="s">
        <v>434</v>
      </c>
      <c r="O182" s="13" t="str">
        <f t="shared" si="178"/>
        <v>1.1</v>
      </c>
      <c r="P182" s="13" t="str">
        <f t="shared" si="180"/>
        <v>1.1</v>
      </c>
      <c r="Q182" s="13" t="str">
        <f t="shared" ref="Q182:Q184" si="181">P182</f>
        <v>1.1</v>
      </c>
      <c r="R182" s="13">
        <v>1.05</v>
      </c>
      <c r="S182" s="13" t="str">
        <f>S181</f>
        <v>1.05</v>
      </c>
      <c r="T182" s="6" t="str">
        <f t="shared" si="134"/>
        <v>1|1.1#2|1.1#3|1.1#4|1.05#5|1.05</v>
      </c>
    </row>
    <row r="183" s="6" customFormat="1" ht="16.5" spans="1:20">
      <c r="A183" s="6">
        <v>1010189</v>
      </c>
      <c r="B183" s="6">
        <v>15001</v>
      </c>
      <c r="C183" s="6">
        <v>2</v>
      </c>
      <c r="D183" s="6">
        <v>4</v>
      </c>
      <c r="E183" s="6" t="str">
        <f t="shared" si="135"/>
        <v>105001:6</v>
      </c>
      <c r="F183" s="11" t="s">
        <v>369</v>
      </c>
      <c r="G183" s="6">
        <v>0</v>
      </c>
      <c r="H183" s="6">
        <v>0</v>
      </c>
      <c r="I183" s="6" t="s">
        <v>51</v>
      </c>
      <c r="K183" s="6" t="str">
        <f t="shared" si="132"/>
        <v>105001</v>
      </c>
      <c r="L183" s="4">
        <v>6</v>
      </c>
      <c r="M183" s="6" t="s">
        <v>434</v>
      </c>
      <c r="O183" s="13" t="str">
        <f t="shared" si="178"/>
        <v>1.1</v>
      </c>
      <c r="P183" s="13" t="str">
        <f t="shared" si="180"/>
        <v>1.1</v>
      </c>
      <c r="Q183" s="13" t="str">
        <f t="shared" si="181"/>
        <v>1.1</v>
      </c>
      <c r="R183" s="13" t="str">
        <f>Q183</f>
        <v>1.1</v>
      </c>
      <c r="S183" s="13">
        <v>1.05</v>
      </c>
      <c r="T183" s="6" t="str">
        <f t="shared" si="134"/>
        <v>1|1.1#2|1.1#3|1.1#4|1.1#5|1.05</v>
      </c>
    </row>
    <row r="184" s="6" customFormat="1" ht="16.5" spans="1:20">
      <c r="A184" s="6">
        <v>1010190</v>
      </c>
      <c r="B184" s="6">
        <v>15001</v>
      </c>
      <c r="C184" s="6">
        <v>2</v>
      </c>
      <c r="D184" s="6">
        <v>5</v>
      </c>
      <c r="E184" s="6" t="str">
        <f t="shared" si="135"/>
        <v>105001:6</v>
      </c>
      <c r="F184" s="11" t="s">
        <v>370</v>
      </c>
      <c r="G184" s="6">
        <v>0</v>
      </c>
      <c r="H184" s="6">
        <v>0</v>
      </c>
      <c r="I184" s="6" t="s">
        <v>40</v>
      </c>
      <c r="K184" s="6" t="str">
        <f t="shared" si="132"/>
        <v>105001</v>
      </c>
      <c r="L184" s="4">
        <v>6</v>
      </c>
      <c r="M184" s="6" t="s">
        <v>133</v>
      </c>
      <c r="O184" s="13" t="str">
        <f t="shared" si="178"/>
        <v>1.1</v>
      </c>
      <c r="P184" s="13" t="str">
        <f t="shared" si="180"/>
        <v>1.1</v>
      </c>
      <c r="Q184" s="13" t="str">
        <f t="shared" si="181"/>
        <v>1.1</v>
      </c>
      <c r="R184" s="13" t="str">
        <f>Q184</f>
        <v>1.1</v>
      </c>
      <c r="S184" s="13" t="str">
        <f>R184</f>
        <v>1.1</v>
      </c>
      <c r="T184" s="6" t="str">
        <f t="shared" si="134"/>
        <v>1|1.1#2|1.1#3|1.1#4|1.1#5|1.1</v>
      </c>
    </row>
    <row r="185" s="6" customFormat="1" ht="16.5" spans="1:20">
      <c r="A185" s="6">
        <v>1010191</v>
      </c>
      <c r="B185" s="6">
        <v>15001</v>
      </c>
      <c r="C185" s="6">
        <v>2</v>
      </c>
      <c r="D185" s="6">
        <v>6</v>
      </c>
      <c r="E185" s="6" t="str">
        <f t="shared" si="135"/>
        <v>105001:7</v>
      </c>
      <c r="F185" s="11">
        <v>0</v>
      </c>
      <c r="G185" s="6">
        <v>11002</v>
      </c>
      <c r="H185" s="6" t="s">
        <v>407</v>
      </c>
      <c r="I185" s="6">
        <v>0</v>
      </c>
      <c r="K185" s="6" t="str">
        <f t="shared" si="132"/>
        <v>105001</v>
      </c>
      <c r="L185" s="13">
        <v>7</v>
      </c>
      <c r="M185" s="6" t="s">
        <v>433</v>
      </c>
      <c r="O185" s="13" t="str">
        <f t="shared" ref="O185:S185" si="182">O184</f>
        <v>1.1</v>
      </c>
      <c r="P185" s="13" t="str">
        <f t="shared" si="182"/>
        <v>1.1</v>
      </c>
      <c r="Q185" s="13" t="str">
        <f t="shared" si="182"/>
        <v>1.1</v>
      </c>
      <c r="R185" s="13" t="str">
        <f t="shared" si="182"/>
        <v>1.1</v>
      </c>
      <c r="S185" s="13" t="str">
        <f t="shared" si="182"/>
        <v>1.1</v>
      </c>
      <c r="T185" s="6" t="str">
        <f t="shared" si="134"/>
        <v>1|1.1#2|1.1#3|1.1#4|1.1#5|1.1</v>
      </c>
    </row>
    <row r="186" s="6" customFormat="1" ht="16.5" spans="1:20">
      <c r="A186" s="6">
        <v>1010192</v>
      </c>
      <c r="B186" s="6">
        <v>15001</v>
      </c>
      <c r="C186" s="6">
        <v>3</v>
      </c>
      <c r="D186" s="6">
        <v>0</v>
      </c>
      <c r="E186" s="6" t="str">
        <f t="shared" si="135"/>
        <v>105001:9</v>
      </c>
      <c r="F186" s="11" t="s">
        <v>371</v>
      </c>
      <c r="G186" s="6">
        <v>0</v>
      </c>
      <c r="H186" s="6">
        <v>0</v>
      </c>
      <c r="I186" s="6" t="s">
        <v>55</v>
      </c>
      <c r="K186" s="6" t="str">
        <f t="shared" si="132"/>
        <v>105001</v>
      </c>
      <c r="L186" s="4">
        <v>9</v>
      </c>
      <c r="M186" s="6" t="s">
        <v>435</v>
      </c>
      <c r="O186" s="15" t="str">
        <f>O185</f>
        <v>1.1</v>
      </c>
      <c r="P186" s="15" t="str">
        <f t="shared" ref="P186:S186" si="183">O186</f>
        <v>1.1</v>
      </c>
      <c r="Q186" s="15" t="str">
        <f t="shared" si="183"/>
        <v>1.1</v>
      </c>
      <c r="R186" s="15" t="str">
        <f>P186</f>
        <v>1.1</v>
      </c>
      <c r="S186" s="15" t="str">
        <f t="shared" si="183"/>
        <v>1.1</v>
      </c>
      <c r="T186" s="6" t="str">
        <f t="shared" si="134"/>
        <v>1|1.1#2|1.1#3|1.1#4|1.1#5|1.1</v>
      </c>
    </row>
    <row r="187" s="6" customFormat="1" ht="16.5" spans="1:20">
      <c r="A187" s="6">
        <v>1010193</v>
      </c>
      <c r="B187" s="6">
        <v>15001</v>
      </c>
      <c r="C187" s="6">
        <v>3</v>
      </c>
      <c r="D187" s="6">
        <v>1</v>
      </c>
      <c r="E187" s="6" t="str">
        <f t="shared" si="135"/>
        <v>105001:9</v>
      </c>
      <c r="F187" s="11" t="s">
        <v>373</v>
      </c>
      <c r="G187" s="6">
        <v>0</v>
      </c>
      <c r="H187" s="6">
        <v>0</v>
      </c>
      <c r="I187" s="6" t="s">
        <v>57</v>
      </c>
      <c r="K187" s="6" t="str">
        <f t="shared" si="132"/>
        <v>105001</v>
      </c>
      <c r="L187" s="4">
        <v>9</v>
      </c>
      <c r="M187" s="6" t="s">
        <v>435</v>
      </c>
      <c r="O187" s="13" t="str">
        <f t="shared" ref="O187:O191" si="184">RIGHT(F187,LEN(F187)-2)</f>
        <v>1.15</v>
      </c>
      <c r="P187" s="13" t="str">
        <f t="shared" ref="P187:S187" si="185">P186</f>
        <v>1.1</v>
      </c>
      <c r="Q187" s="13" t="str">
        <f t="shared" si="185"/>
        <v>1.1</v>
      </c>
      <c r="R187" s="13" t="str">
        <f t="shared" si="185"/>
        <v>1.1</v>
      </c>
      <c r="S187" s="13" t="str">
        <f t="shared" si="185"/>
        <v>1.1</v>
      </c>
      <c r="T187" s="6" t="str">
        <f t="shared" si="134"/>
        <v>1|1.15#2|1.1#3|1.1#4|1.1#5|1.1</v>
      </c>
    </row>
    <row r="188" s="6" customFormat="1" ht="16.5" spans="1:20">
      <c r="A188" s="6">
        <v>1010194</v>
      </c>
      <c r="B188" s="6">
        <v>15001</v>
      </c>
      <c r="C188" s="6">
        <v>3</v>
      </c>
      <c r="D188" s="6">
        <v>2</v>
      </c>
      <c r="E188" s="6" t="str">
        <f t="shared" si="135"/>
        <v>105001:9</v>
      </c>
      <c r="F188" s="11" t="s">
        <v>374</v>
      </c>
      <c r="G188" s="6">
        <v>0</v>
      </c>
      <c r="H188" s="6">
        <v>0</v>
      </c>
      <c r="I188" s="6" t="s">
        <v>59</v>
      </c>
      <c r="K188" s="6" t="str">
        <f t="shared" si="132"/>
        <v>105001</v>
      </c>
      <c r="L188" s="4">
        <v>9</v>
      </c>
      <c r="M188" s="6" t="s">
        <v>435</v>
      </c>
      <c r="O188" s="13" t="str">
        <f t="shared" si="184"/>
        <v>1.15</v>
      </c>
      <c r="P188" s="13" t="str">
        <f t="shared" ref="P188:P191" si="186">O188</f>
        <v>1.15</v>
      </c>
      <c r="Q188" s="13" t="str">
        <f t="shared" ref="Q188:S188" si="187">Q187</f>
        <v>1.1</v>
      </c>
      <c r="R188" s="13" t="str">
        <f t="shared" si="187"/>
        <v>1.1</v>
      </c>
      <c r="S188" s="13" t="str">
        <f t="shared" si="187"/>
        <v>1.1</v>
      </c>
      <c r="T188" s="6" t="str">
        <f t="shared" si="134"/>
        <v>1|1.15#2|1.15#3|1.1#4|1.1#5|1.1</v>
      </c>
    </row>
    <row r="189" s="6" customFormat="1" ht="16.5" spans="1:20">
      <c r="A189" s="6">
        <v>1010195</v>
      </c>
      <c r="B189" s="6">
        <v>15001</v>
      </c>
      <c r="C189" s="6">
        <v>3</v>
      </c>
      <c r="D189" s="6">
        <v>3</v>
      </c>
      <c r="E189" s="6" t="str">
        <f t="shared" si="135"/>
        <v>105001:11</v>
      </c>
      <c r="F189" s="11" t="s">
        <v>375</v>
      </c>
      <c r="G189" s="6">
        <v>0</v>
      </c>
      <c r="H189" s="6">
        <v>0</v>
      </c>
      <c r="I189" s="6" t="s">
        <v>61</v>
      </c>
      <c r="K189" s="6" t="str">
        <f t="shared" si="132"/>
        <v>105001</v>
      </c>
      <c r="L189" s="4">
        <v>11</v>
      </c>
      <c r="M189" s="6" t="s">
        <v>435</v>
      </c>
      <c r="O189" s="13" t="str">
        <f t="shared" si="184"/>
        <v>1.15</v>
      </c>
      <c r="P189" s="13" t="str">
        <f t="shared" si="186"/>
        <v>1.15</v>
      </c>
      <c r="Q189" s="13" t="str">
        <f t="shared" ref="Q189:Q191" si="188">P189</f>
        <v>1.15</v>
      </c>
      <c r="R189" s="13" t="str">
        <f>R188</f>
        <v>1.1</v>
      </c>
      <c r="S189" s="13" t="str">
        <f>S188</f>
        <v>1.1</v>
      </c>
      <c r="T189" s="6" t="str">
        <f t="shared" si="134"/>
        <v>1|1.15#2|1.15#3|1.15#4|1.1#5|1.1</v>
      </c>
    </row>
    <row r="190" s="6" customFormat="1" ht="16.5" spans="1:20">
      <c r="A190" s="6">
        <v>1010196</v>
      </c>
      <c r="B190" s="6">
        <v>15001</v>
      </c>
      <c r="C190" s="6">
        <v>3</v>
      </c>
      <c r="D190" s="6">
        <v>4</v>
      </c>
      <c r="E190" s="6" t="str">
        <f t="shared" si="135"/>
        <v>105001:11</v>
      </c>
      <c r="F190" s="11" t="s">
        <v>376</v>
      </c>
      <c r="G190" s="6">
        <v>0</v>
      </c>
      <c r="H190" s="6">
        <v>0</v>
      </c>
      <c r="I190" s="6" t="s">
        <v>63</v>
      </c>
      <c r="K190" s="6" t="str">
        <f t="shared" si="132"/>
        <v>105001</v>
      </c>
      <c r="L190" s="4">
        <v>11</v>
      </c>
      <c r="M190" s="6" t="s">
        <v>435</v>
      </c>
      <c r="O190" s="13" t="str">
        <f t="shared" si="184"/>
        <v>1.15</v>
      </c>
      <c r="P190" s="13" t="str">
        <f t="shared" si="186"/>
        <v>1.15</v>
      </c>
      <c r="Q190" s="13" t="str">
        <f t="shared" si="188"/>
        <v>1.15</v>
      </c>
      <c r="R190" s="13" t="str">
        <f>Q190</f>
        <v>1.15</v>
      </c>
      <c r="S190" s="13" t="str">
        <f>S189</f>
        <v>1.1</v>
      </c>
      <c r="T190" s="6" t="str">
        <f t="shared" si="134"/>
        <v>1|1.15#2|1.15#3|1.15#4|1.15#5|1.1</v>
      </c>
    </row>
    <row r="191" s="6" customFormat="1" ht="16.5" spans="1:20">
      <c r="A191" s="6">
        <v>1010197</v>
      </c>
      <c r="B191" s="6">
        <v>15001</v>
      </c>
      <c r="C191" s="6">
        <v>3</v>
      </c>
      <c r="D191" s="6">
        <v>5</v>
      </c>
      <c r="E191" s="6" t="str">
        <f t="shared" si="135"/>
        <v>105001:11</v>
      </c>
      <c r="F191" s="11" t="s">
        <v>377</v>
      </c>
      <c r="G191" s="6">
        <v>0</v>
      </c>
      <c r="H191" s="6">
        <v>0</v>
      </c>
      <c r="I191" s="6" t="s">
        <v>40</v>
      </c>
      <c r="K191" s="6" t="str">
        <f t="shared" si="132"/>
        <v>105001</v>
      </c>
      <c r="L191" s="4">
        <v>11</v>
      </c>
      <c r="M191" s="6" t="s">
        <v>436</v>
      </c>
      <c r="O191" s="13" t="str">
        <f t="shared" si="184"/>
        <v>1.15</v>
      </c>
      <c r="P191" s="13" t="str">
        <f t="shared" si="186"/>
        <v>1.15</v>
      </c>
      <c r="Q191" s="13" t="str">
        <f t="shared" si="188"/>
        <v>1.15</v>
      </c>
      <c r="R191" s="13" t="str">
        <f>Q191</f>
        <v>1.15</v>
      </c>
      <c r="S191" s="13" t="str">
        <f>R191</f>
        <v>1.15</v>
      </c>
      <c r="T191" s="6" t="str">
        <f t="shared" si="134"/>
        <v>1|1.15#2|1.15#3|1.15#4|1.15#5|1.15</v>
      </c>
    </row>
    <row r="192" s="6" customFormat="1" ht="16.5" spans="1:20">
      <c r="A192" s="6">
        <v>1010198</v>
      </c>
      <c r="B192" s="6">
        <v>15001</v>
      </c>
      <c r="C192" s="6">
        <v>3</v>
      </c>
      <c r="D192" s="6">
        <v>6</v>
      </c>
      <c r="E192" s="6" t="str">
        <f t="shared" si="135"/>
        <v>105001:30</v>
      </c>
      <c r="F192" s="11">
        <v>0</v>
      </c>
      <c r="G192" s="6">
        <v>11002</v>
      </c>
      <c r="H192" s="6" t="s">
        <v>407</v>
      </c>
      <c r="I192" s="6">
        <v>0</v>
      </c>
      <c r="K192" s="6" t="str">
        <f t="shared" si="132"/>
        <v>105001</v>
      </c>
      <c r="L192" s="13">
        <v>30</v>
      </c>
      <c r="M192" s="6" t="s">
        <v>433</v>
      </c>
      <c r="O192" s="13" t="str">
        <f t="shared" ref="O192:S192" si="189">O191</f>
        <v>1.15</v>
      </c>
      <c r="P192" s="13" t="str">
        <f t="shared" si="189"/>
        <v>1.15</v>
      </c>
      <c r="Q192" s="13" t="str">
        <f t="shared" si="189"/>
        <v>1.15</v>
      </c>
      <c r="R192" s="13" t="str">
        <f t="shared" si="189"/>
        <v>1.15</v>
      </c>
      <c r="S192" s="13" t="str">
        <f t="shared" si="189"/>
        <v>1.15</v>
      </c>
      <c r="T192" s="6" t="str">
        <f t="shared" si="134"/>
        <v>1|1.15#2|1.15#3|1.15#4|1.15#5|1.15</v>
      </c>
    </row>
    <row r="193" s="6" customFormat="1" ht="16.5" spans="1:20">
      <c r="A193" s="6">
        <v>1010199</v>
      </c>
      <c r="B193" s="6">
        <v>15001</v>
      </c>
      <c r="C193" s="6">
        <v>4</v>
      </c>
      <c r="D193" s="6">
        <v>0</v>
      </c>
      <c r="E193" s="6" t="str">
        <f t="shared" si="135"/>
        <v>105001:13</v>
      </c>
      <c r="F193" s="11" t="s">
        <v>379</v>
      </c>
      <c r="G193" s="6">
        <v>0</v>
      </c>
      <c r="H193" s="6">
        <v>0</v>
      </c>
      <c r="I193" s="6" t="s">
        <v>67</v>
      </c>
      <c r="K193" s="6" t="str">
        <f t="shared" si="132"/>
        <v>105001</v>
      </c>
      <c r="L193" s="4">
        <v>13</v>
      </c>
      <c r="M193" s="6" t="s">
        <v>437</v>
      </c>
      <c r="O193" s="15" t="str">
        <f>O192</f>
        <v>1.15</v>
      </c>
      <c r="P193" s="15" t="str">
        <f t="shared" ref="P193:S193" si="190">O193</f>
        <v>1.15</v>
      </c>
      <c r="Q193" s="15" t="str">
        <f t="shared" si="190"/>
        <v>1.15</v>
      </c>
      <c r="R193" s="15" t="str">
        <f>P193</f>
        <v>1.15</v>
      </c>
      <c r="S193" s="15" t="str">
        <f t="shared" si="190"/>
        <v>1.15</v>
      </c>
      <c r="T193" s="6" t="str">
        <f t="shared" si="134"/>
        <v>1|1.15#2|1.15#3|1.15#4|1.15#5|1.15</v>
      </c>
    </row>
    <row r="194" s="6" customFormat="1" ht="16.5" spans="1:20">
      <c r="A194" s="6">
        <v>1010200</v>
      </c>
      <c r="B194" s="6">
        <v>15001</v>
      </c>
      <c r="C194" s="6">
        <v>4</v>
      </c>
      <c r="D194" s="6">
        <v>1</v>
      </c>
      <c r="E194" s="6" t="str">
        <f t="shared" si="135"/>
        <v>105001:13</v>
      </c>
      <c r="F194" s="11" t="s">
        <v>381</v>
      </c>
      <c r="G194" s="6">
        <v>0</v>
      </c>
      <c r="H194" s="6">
        <v>0</v>
      </c>
      <c r="I194" s="6" t="s">
        <v>69</v>
      </c>
      <c r="K194" s="6" t="str">
        <f t="shared" si="132"/>
        <v>105001</v>
      </c>
      <c r="L194" s="4">
        <v>13</v>
      </c>
      <c r="M194" s="6" t="s">
        <v>437</v>
      </c>
      <c r="O194" s="13" t="str">
        <f t="shared" ref="O194:O198" si="191">RIGHT(F194,LEN(F194)-2)</f>
        <v>1.2</v>
      </c>
      <c r="P194" s="13" t="str">
        <f t="shared" ref="P194:S194" si="192">P193</f>
        <v>1.15</v>
      </c>
      <c r="Q194" s="13" t="str">
        <f t="shared" si="192"/>
        <v>1.15</v>
      </c>
      <c r="R194" s="13" t="str">
        <f t="shared" si="192"/>
        <v>1.15</v>
      </c>
      <c r="S194" s="13" t="str">
        <f t="shared" si="192"/>
        <v>1.15</v>
      </c>
      <c r="T194" s="6" t="str">
        <f t="shared" si="134"/>
        <v>1|1.2#2|1.15#3|1.15#4|1.15#5|1.15</v>
      </c>
    </row>
    <row r="195" s="6" customFormat="1" ht="16.5" spans="1:20">
      <c r="A195" s="6">
        <v>1010201</v>
      </c>
      <c r="B195" s="6">
        <v>15001</v>
      </c>
      <c r="C195" s="6">
        <v>4</v>
      </c>
      <c r="D195" s="6">
        <v>2</v>
      </c>
      <c r="E195" s="6" t="str">
        <f t="shared" si="135"/>
        <v>105001:13</v>
      </c>
      <c r="F195" s="11" t="s">
        <v>382</v>
      </c>
      <c r="G195" s="6">
        <v>0</v>
      </c>
      <c r="H195" s="6">
        <v>0</v>
      </c>
      <c r="I195" s="6" t="s">
        <v>71</v>
      </c>
      <c r="K195" s="6" t="str">
        <f t="shared" si="132"/>
        <v>105001</v>
      </c>
      <c r="L195" s="4">
        <v>13</v>
      </c>
      <c r="M195" s="6" t="s">
        <v>437</v>
      </c>
      <c r="O195" s="13" t="str">
        <f t="shared" si="191"/>
        <v>1.2</v>
      </c>
      <c r="P195" s="13" t="str">
        <f t="shared" ref="P195:P198" si="193">O195</f>
        <v>1.2</v>
      </c>
      <c r="Q195" s="13" t="str">
        <f t="shared" ref="Q195:S195" si="194">Q194</f>
        <v>1.15</v>
      </c>
      <c r="R195" s="13" t="str">
        <f t="shared" si="194"/>
        <v>1.15</v>
      </c>
      <c r="S195" s="13" t="str">
        <f t="shared" si="194"/>
        <v>1.15</v>
      </c>
      <c r="T195" s="6" t="str">
        <f t="shared" si="134"/>
        <v>1|1.2#2|1.2#3|1.15#4|1.15#5|1.15</v>
      </c>
    </row>
    <row r="196" s="6" customFormat="1" ht="16.5" spans="1:20">
      <c r="A196" s="6">
        <v>1010202</v>
      </c>
      <c r="B196" s="6">
        <v>15001</v>
      </c>
      <c r="C196" s="6">
        <v>4</v>
      </c>
      <c r="D196" s="6">
        <v>3</v>
      </c>
      <c r="E196" s="6" t="str">
        <f t="shared" si="135"/>
        <v>105001:17</v>
      </c>
      <c r="F196" s="11" t="s">
        <v>383</v>
      </c>
      <c r="G196" s="6">
        <v>0</v>
      </c>
      <c r="H196" s="6">
        <v>0</v>
      </c>
      <c r="I196" s="6" t="s">
        <v>73</v>
      </c>
      <c r="K196" s="6" t="str">
        <f t="shared" si="132"/>
        <v>105001</v>
      </c>
      <c r="L196" s="4">
        <v>17</v>
      </c>
      <c r="M196" s="6" t="s">
        <v>437</v>
      </c>
      <c r="O196" s="13" t="str">
        <f t="shared" si="191"/>
        <v>1.2</v>
      </c>
      <c r="P196" s="13" t="str">
        <f t="shared" si="193"/>
        <v>1.2</v>
      </c>
      <c r="Q196" s="13" t="str">
        <f t="shared" ref="Q196:Q198" si="195">P196</f>
        <v>1.2</v>
      </c>
      <c r="R196" s="13" t="str">
        <f>R195</f>
        <v>1.15</v>
      </c>
      <c r="S196" s="13" t="str">
        <f>S195</f>
        <v>1.15</v>
      </c>
      <c r="T196" s="6" t="str">
        <f t="shared" si="134"/>
        <v>1|1.2#2|1.2#3|1.2#4|1.15#5|1.15</v>
      </c>
    </row>
    <row r="197" s="6" customFormat="1" ht="16.5" spans="1:20">
      <c r="A197" s="6">
        <v>1010203</v>
      </c>
      <c r="B197" s="6">
        <v>15001</v>
      </c>
      <c r="C197" s="6">
        <v>4</v>
      </c>
      <c r="D197" s="6">
        <v>4</v>
      </c>
      <c r="E197" s="6" t="str">
        <f t="shared" si="135"/>
        <v>105001:17</v>
      </c>
      <c r="F197" s="11" t="s">
        <v>384</v>
      </c>
      <c r="G197" s="6">
        <v>0</v>
      </c>
      <c r="H197" s="6">
        <v>0</v>
      </c>
      <c r="I197" s="6" t="s">
        <v>75</v>
      </c>
      <c r="K197" s="6" t="str">
        <f t="shared" ref="K197:K260" si="196">LEFT(M197,6)</f>
        <v>105001</v>
      </c>
      <c r="L197" s="4">
        <v>17</v>
      </c>
      <c r="M197" s="6" t="s">
        <v>437</v>
      </c>
      <c r="O197" s="13" t="str">
        <f t="shared" si="191"/>
        <v>1.2</v>
      </c>
      <c r="P197" s="13" t="str">
        <f t="shared" si="193"/>
        <v>1.2</v>
      </c>
      <c r="Q197" s="13" t="str">
        <f t="shared" si="195"/>
        <v>1.2</v>
      </c>
      <c r="R197" s="13" t="str">
        <f>Q197</f>
        <v>1.2</v>
      </c>
      <c r="S197" s="13" t="str">
        <f>S196</f>
        <v>1.15</v>
      </c>
      <c r="T197" s="6" t="str">
        <f t="shared" ref="T197:T260" si="197">$O$2&amp;$P$3&amp;O197&amp;$O$1&amp;$P$2&amp;$P$3&amp;P197&amp;$O$1&amp;$Q$2&amp;$P$3&amp;Q197&amp;$O$1&amp;$R$2&amp;$P$3&amp;R197&amp;$O$1&amp;$S$2&amp;$P$3&amp;S197</f>
        <v>1|1.2#2|1.2#3|1.2#4|1.2#5|1.15</v>
      </c>
    </row>
    <row r="198" s="6" customFormat="1" ht="16.5" spans="1:20">
      <c r="A198" s="6">
        <v>1010204</v>
      </c>
      <c r="B198" s="6">
        <v>15001</v>
      </c>
      <c r="C198" s="6">
        <v>4</v>
      </c>
      <c r="D198" s="6">
        <v>5</v>
      </c>
      <c r="E198" s="6" t="str">
        <f t="shared" ref="E198:E261" si="198">K198&amp;$K$3&amp;L198</f>
        <v>105001:17</v>
      </c>
      <c r="F198" s="11" t="s">
        <v>385</v>
      </c>
      <c r="G198" s="6">
        <v>0</v>
      </c>
      <c r="H198" s="6">
        <v>0</v>
      </c>
      <c r="I198" s="6" t="s">
        <v>40</v>
      </c>
      <c r="K198" s="6" t="str">
        <f t="shared" si="196"/>
        <v>105001</v>
      </c>
      <c r="L198" s="4">
        <v>17</v>
      </c>
      <c r="M198" s="6" t="s">
        <v>135</v>
      </c>
      <c r="O198" s="13" t="str">
        <f t="shared" si="191"/>
        <v>1.2</v>
      </c>
      <c r="P198" s="13" t="str">
        <f t="shared" si="193"/>
        <v>1.2</v>
      </c>
      <c r="Q198" s="13" t="str">
        <f t="shared" si="195"/>
        <v>1.2</v>
      </c>
      <c r="R198" s="13" t="str">
        <f>Q198</f>
        <v>1.2</v>
      </c>
      <c r="S198" s="13" t="str">
        <f>R198</f>
        <v>1.2</v>
      </c>
      <c r="T198" s="6" t="str">
        <f t="shared" si="197"/>
        <v>1|1.2#2|1.2#3|1.2#4|1.2#5|1.2</v>
      </c>
    </row>
    <row r="199" s="6" customFormat="1" ht="16.5" spans="1:20">
      <c r="A199" s="6">
        <v>1010205</v>
      </c>
      <c r="B199" s="6">
        <v>15001</v>
      </c>
      <c r="C199" s="6">
        <v>4</v>
      </c>
      <c r="D199" s="6">
        <v>6</v>
      </c>
      <c r="E199" s="6" t="str">
        <f t="shared" si="198"/>
        <v>105001:60</v>
      </c>
      <c r="F199" s="11">
        <v>0</v>
      </c>
      <c r="G199" s="6">
        <v>11002</v>
      </c>
      <c r="H199" s="6" t="s">
        <v>407</v>
      </c>
      <c r="I199" s="6">
        <v>0</v>
      </c>
      <c r="K199" s="6" t="str">
        <f t="shared" si="196"/>
        <v>105001</v>
      </c>
      <c r="L199" s="13">
        <v>60</v>
      </c>
      <c r="M199" s="6" t="s">
        <v>433</v>
      </c>
      <c r="O199" s="13" t="str">
        <f t="shared" ref="O199:S199" si="199">O198</f>
        <v>1.2</v>
      </c>
      <c r="P199" s="13" t="str">
        <f t="shared" si="199"/>
        <v>1.2</v>
      </c>
      <c r="Q199" s="13" t="str">
        <f t="shared" si="199"/>
        <v>1.2</v>
      </c>
      <c r="R199" s="13" t="str">
        <f t="shared" si="199"/>
        <v>1.2</v>
      </c>
      <c r="S199" s="13" t="str">
        <f t="shared" si="199"/>
        <v>1.2</v>
      </c>
      <c r="T199" s="6" t="str">
        <f t="shared" si="197"/>
        <v>1|1.2#2|1.2#3|1.2#4|1.2#5|1.2</v>
      </c>
    </row>
    <row r="200" s="6" customFormat="1" ht="16.5" spans="1:20">
      <c r="A200" s="6">
        <v>1010206</v>
      </c>
      <c r="B200" s="6">
        <v>15001</v>
      </c>
      <c r="C200" s="6">
        <v>5</v>
      </c>
      <c r="D200" s="6">
        <v>0</v>
      </c>
      <c r="E200" s="6" t="str">
        <f t="shared" si="198"/>
        <v>105001:18</v>
      </c>
      <c r="F200" s="11" t="s">
        <v>386</v>
      </c>
      <c r="G200" s="6">
        <v>0</v>
      </c>
      <c r="H200" s="6">
        <v>0</v>
      </c>
      <c r="I200" s="6" t="s">
        <v>79</v>
      </c>
      <c r="K200" s="6" t="str">
        <f t="shared" si="196"/>
        <v>105001</v>
      </c>
      <c r="L200" s="4">
        <v>18</v>
      </c>
      <c r="M200" s="6" t="s">
        <v>438</v>
      </c>
      <c r="O200" s="15" t="str">
        <f>O199</f>
        <v>1.2</v>
      </c>
      <c r="P200" s="15" t="str">
        <f t="shared" ref="P200:S200" si="200">O200</f>
        <v>1.2</v>
      </c>
      <c r="Q200" s="15" t="str">
        <f t="shared" si="200"/>
        <v>1.2</v>
      </c>
      <c r="R200" s="15" t="str">
        <f>P200</f>
        <v>1.2</v>
      </c>
      <c r="S200" s="15" t="str">
        <f t="shared" si="200"/>
        <v>1.2</v>
      </c>
      <c r="T200" s="6" t="str">
        <f t="shared" si="197"/>
        <v>1|1.2#2|1.2#3|1.2#4|1.2#5|1.2</v>
      </c>
    </row>
    <row r="201" s="6" customFormat="1" ht="16.5" spans="1:20">
      <c r="A201" s="6">
        <v>1010207</v>
      </c>
      <c r="B201" s="6">
        <v>15001</v>
      </c>
      <c r="C201" s="6">
        <v>5</v>
      </c>
      <c r="D201" s="6">
        <v>1</v>
      </c>
      <c r="E201" s="6" t="str">
        <f t="shared" si="198"/>
        <v>105001:18</v>
      </c>
      <c r="F201" s="11" t="s">
        <v>388</v>
      </c>
      <c r="G201" s="6">
        <v>0</v>
      </c>
      <c r="H201" s="6">
        <v>0</v>
      </c>
      <c r="I201" s="6" t="s">
        <v>81</v>
      </c>
      <c r="K201" s="6" t="str">
        <f t="shared" si="196"/>
        <v>105001</v>
      </c>
      <c r="L201" s="4">
        <v>18</v>
      </c>
      <c r="M201" s="6" t="s">
        <v>438</v>
      </c>
      <c r="O201" s="13" t="str">
        <f t="shared" ref="O201:O205" si="201">RIGHT(F201,LEN(F201)-2)</f>
        <v>1.3</v>
      </c>
      <c r="P201" s="13" t="str">
        <f t="shared" ref="P201:S201" si="202">P200</f>
        <v>1.2</v>
      </c>
      <c r="Q201" s="13" t="str">
        <f t="shared" si="202"/>
        <v>1.2</v>
      </c>
      <c r="R201" s="13" t="str">
        <f t="shared" si="202"/>
        <v>1.2</v>
      </c>
      <c r="S201" s="13" t="str">
        <f t="shared" si="202"/>
        <v>1.2</v>
      </c>
      <c r="T201" s="6" t="str">
        <f t="shared" si="197"/>
        <v>1|1.3#2|1.2#3|1.2#4|1.2#5|1.2</v>
      </c>
    </row>
    <row r="202" s="6" customFormat="1" ht="16.5" spans="1:20">
      <c r="A202" s="6">
        <v>1010208</v>
      </c>
      <c r="B202" s="6">
        <v>15001</v>
      </c>
      <c r="C202" s="6">
        <v>5</v>
      </c>
      <c r="D202" s="6">
        <v>2</v>
      </c>
      <c r="E202" s="6" t="str">
        <f t="shared" si="198"/>
        <v>105001:18</v>
      </c>
      <c r="F202" s="11" t="s">
        <v>389</v>
      </c>
      <c r="G202" s="6">
        <v>0</v>
      </c>
      <c r="H202" s="6">
        <v>0</v>
      </c>
      <c r="I202" s="6" t="s">
        <v>83</v>
      </c>
      <c r="K202" s="6" t="str">
        <f t="shared" si="196"/>
        <v>105001</v>
      </c>
      <c r="L202" s="4">
        <v>18</v>
      </c>
      <c r="M202" s="6" t="s">
        <v>438</v>
      </c>
      <c r="O202" s="13" t="str">
        <f t="shared" si="201"/>
        <v>1.3</v>
      </c>
      <c r="P202" s="13" t="str">
        <f t="shared" ref="P202:P205" si="203">O202</f>
        <v>1.3</v>
      </c>
      <c r="Q202" s="13" t="str">
        <f t="shared" ref="Q202:S202" si="204">Q201</f>
        <v>1.2</v>
      </c>
      <c r="R202" s="13" t="str">
        <f t="shared" si="204"/>
        <v>1.2</v>
      </c>
      <c r="S202" s="13" t="str">
        <f t="shared" si="204"/>
        <v>1.2</v>
      </c>
      <c r="T202" s="6" t="str">
        <f t="shared" si="197"/>
        <v>1|1.3#2|1.3#3|1.2#4|1.2#5|1.2</v>
      </c>
    </row>
    <row r="203" s="6" customFormat="1" ht="16.5" spans="1:20">
      <c r="A203" s="6">
        <v>1010209</v>
      </c>
      <c r="B203" s="6">
        <v>15001</v>
      </c>
      <c r="C203" s="6">
        <v>5</v>
      </c>
      <c r="D203" s="6">
        <v>3</v>
      </c>
      <c r="E203" s="6" t="str">
        <f t="shared" si="198"/>
        <v>105001:22</v>
      </c>
      <c r="F203" s="11" t="s">
        <v>390</v>
      </c>
      <c r="G203" s="6">
        <v>0</v>
      </c>
      <c r="H203" s="6">
        <v>0</v>
      </c>
      <c r="I203" s="6" t="s">
        <v>85</v>
      </c>
      <c r="K203" s="6" t="str">
        <f t="shared" si="196"/>
        <v>105001</v>
      </c>
      <c r="L203" s="4">
        <v>22</v>
      </c>
      <c r="M203" s="6" t="s">
        <v>438</v>
      </c>
      <c r="O203" s="13" t="str">
        <f t="shared" si="201"/>
        <v>1.3</v>
      </c>
      <c r="P203" s="13" t="str">
        <f t="shared" si="203"/>
        <v>1.3</v>
      </c>
      <c r="Q203" s="13" t="str">
        <f t="shared" ref="Q203:Q205" si="205">P203</f>
        <v>1.3</v>
      </c>
      <c r="R203" s="13" t="str">
        <f>R202</f>
        <v>1.2</v>
      </c>
      <c r="S203" s="13" t="str">
        <f>S202</f>
        <v>1.2</v>
      </c>
      <c r="T203" s="6" t="str">
        <f t="shared" si="197"/>
        <v>1|1.3#2|1.3#3|1.3#4|1.2#5|1.2</v>
      </c>
    </row>
    <row r="204" s="6" customFormat="1" ht="16.5" spans="1:20">
      <c r="A204" s="6">
        <v>1010210</v>
      </c>
      <c r="B204" s="6">
        <v>15001</v>
      </c>
      <c r="C204" s="6">
        <v>5</v>
      </c>
      <c r="D204" s="6">
        <v>4</v>
      </c>
      <c r="E204" s="6" t="str">
        <f t="shared" si="198"/>
        <v>105001:22</v>
      </c>
      <c r="F204" s="11" t="s">
        <v>391</v>
      </c>
      <c r="G204" s="6">
        <v>0</v>
      </c>
      <c r="H204" s="6">
        <v>0</v>
      </c>
      <c r="I204" s="6" t="s">
        <v>87</v>
      </c>
      <c r="K204" s="6" t="str">
        <f t="shared" si="196"/>
        <v>105001</v>
      </c>
      <c r="L204" s="4">
        <v>22</v>
      </c>
      <c r="M204" s="6" t="s">
        <v>438</v>
      </c>
      <c r="O204" s="13" t="str">
        <f t="shared" si="201"/>
        <v>1.3</v>
      </c>
      <c r="P204" s="13" t="str">
        <f t="shared" si="203"/>
        <v>1.3</v>
      </c>
      <c r="Q204" s="13" t="str">
        <f t="shared" si="205"/>
        <v>1.3</v>
      </c>
      <c r="R204" s="13" t="str">
        <f>Q204</f>
        <v>1.3</v>
      </c>
      <c r="S204" s="13" t="str">
        <f>S203</f>
        <v>1.2</v>
      </c>
      <c r="T204" s="6" t="str">
        <f t="shared" si="197"/>
        <v>1|1.3#2|1.3#3|1.3#4|1.3#5|1.2</v>
      </c>
    </row>
    <row r="205" s="6" customFormat="1" ht="16.5" spans="1:20">
      <c r="A205" s="6">
        <v>1010211</v>
      </c>
      <c r="B205" s="6">
        <v>15001</v>
      </c>
      <c r="C205" s="6">
        <v>5</v>
      </c>
      <c r="D205" s="6">
        <v>5</v>
      </c>
      <c r="E205" s="6" t="str">
        <f t="shared" si="198"/>
        <v>105001:22</v>
      </c>
      <c r="F205" s="11" t="s">
        <v>392</v>
      </c>
      <c r="G205" s="6">
        <v>0</v>
      </c>
      <c r="H205" s="6">
        <v>0</v>
      </c>
      <c r="I205" s="6" t="s">
        <v>40</v>
      </c>
      <c r="K205" s="6" t="str">
        <f t="shared" si="196"/>
        <v>105001</v>
      </c>
      <c r="L205" s="4">
        <v>22</v>
      </c>
      <c r="M205" s="6" t="s">
        <v>439</v>
      </c>
      <c r="O205" s="13" t="str">
        <f t="shared" si="201"/>
        <v>1.3</v>
      </c>
      <c r="P205" s="13" t="str">
        <f t="shared" si="203"/>
        <v>1.3</v>
      </c>
      <c r="Q205" s="13" t="str">
        <f t="shared" si="205"/>
        <v>1.3</v>
      </c>
      <c r="R205" s="13" t="str">
        <f>Q205</f>
        <v>1.3</v>
      </c>
      <c r="S205" s="13" t="str">
        <f>R205</f>
        <v>1.3</v>
      </c>
      <c r="T205" s="6" t="str">
        <f t="shared" si="197"/>
        <v>1|1.3#2|1.3#3|1.3#4|1.3#5|1.3</v>
      </c>
    </row>
    <row r="206" s="6" customFormat="1" ht="16.5" spans="1:20">
      <c r="A206" s="6">
        <v>1010212</v>
      </c>
      <c r="B206" s="6">
        <v>15001</v>
      </c>
      <c r="C206" s="6">
        <v>5</v>
      </c>
      <c r="D206" s="6">
        <v>6</v>
      </c>
      <c r="E206" s="6" t="str">
        <f t="shared" si="198"/>
        <v>105001:60</v>
      </c>
      <c r="F206" s="11">
        <v>0</v>
      </c>
      <c r="G206" s="6">
        <v>11002</v>
      </c>
      <c r="H206" s="6" t="s">
        <v>407</v>
      </c>
      <c r="I206" s="6">
        <v>0</v>
      </c>
      <c r="K206" s="6" t="str">
        <f t="shared" si="196"/>
        <v>105001</v>
      </c>
      <c r="L206" s="13">
        <v>60</v>
      </c>
      <c r="M206" s="6" t="s">
        <v>433</v>
      </c>
      <c r="O206" s="13" t="str">
        <f t="shared" ref="O206:S206" si="206">O205</f>
        <v>1.3</v>
      </c>
      <c r="P206" s="13" t="str">
        <f t="shared" si="206"/>
        <v>1.3</v>
      </c>
      <c r="Q206" s="13" t="str">
        <f t="shared" si="206"/>
        <v>1.3</v>
      </c>
      <c r="R206" s="13" t="str">
        <f t="shared" si="206"/>
        <v>1.3</v>
      </c>
      <c r="S206" s="13" t="str">
        <f t="shared" si="206"/>
        <v>1.3</v>
      </c>
      <c r="T206" s="6" t="str">
        <f t="shared" si="197"/>
        <v>1|1.3#2|1.3#3|1.3#4|1.3#5|1.3</v>
      </c>
    </row>
    <row r="207" s="6" customFormat="1" ht="16.5" spans="1:20">
      <c r="A207" s="6">
        <v>1010213</v>
      </c>
      <c r="B207" s="6">
        <v>15001</v>
      </c>
      <c r="C207" s="6">
        <v>6</v>
      </c>
      <c r="D207" s="6">
        <v>0</v>
      </c>
      <c r="E207" s="6" t="str">
        <f t="shared" si="198"/>
        <v>105001:24</v>
      </c>
      <c r="F207" s="11" t="s">
        <v>394</v>
      </c>
      <c r="G207" s="6">
        <v>0</v>
      </c>
      <c r="H207" s="6">
        <v>0</v>
      </c>
      <c r="I207" s="6" t="s">
        <v>90</v>
      </c>
      <c r="K207" s="6" t="str">
        <f t="shared" si="196"/>
        <v>105001</v>
      </c>
      <c r="L207" s="4">
        <v>24</v>
      </c>
      <c r="M207" s="6" t="s">
        <v>440</v>
      </c>
      <c r="O207" s="15" t="str">
        <f>O206</f>
        <v>1.3</v>
      </c>
      <c r="P207" s="15" t="str">
        <f t="shared" ref="P207:S207" si="207">O207</f>
        <v>1.3</v>
      </c>
      <c r="Q207" s="15" t="str">
        <f t="shared" si="207"/>
        <v>1.3</v>
      </c>
      <c r="R207" s="15" t="str">
        <f>P207</f>
        <v>1.3</v>
      </c>
      <c r="S207" s="15" t="str">
        <f t="shared" si="207"/>
        <v>1.3</v>
      </c>
      <c r="T207" s="6" t="str">
        <f t="shared" si="197"/>
        <v>1|1.3#2|1.3#3|1.3#4|1.3#5|1.3</v>
      </c>
    </row>
    <row r="208" s="6" customFormat="1" ht="16.5" spans="1:20">
      <c r="A208" s="6">
        <v>1010214</v>
      </c>
      <c r="B208" s="6">
        <v>15001</v>
      </c>
      <c r="C208" s="6">
        <v>6</v>
      </c>
      <c r="D208" s="6">
        <v>1</v>
      </c>
      <c r="E208" s="6" t="str">
        <f t="shared" si="198"/>
        <v>105001:24</v>
      </c>
      <c r="F208" s="11" t="s">
        <v>396</v>
      </c>
      <c r="G208" s="6">
        <v>0</v>
      </c>
      <c r="H208" s="6">
        <v>0</v>
      </c>
      <c r="I208" s="6" t="s">
        <v>92</v>
      </c>
      <c r="K208" s="6" t="str">
        <f t="shared" si="196"/>
        <v>105001</v>
      </c>
      <c r="L208" s="4">
        <v>24</v>
      </c>
      <c r="M208" s="6" t="s">
        <v>440</v>
      </c>
      <c r="O208" s="13" t="str">
        <f t="shared" ref="O208:O212" si="208">RIGHT(F208,LEN(F208)-2)</f>
        <v>1.4</v>
      </c>
      <c r="P208" s="13" t="str">
        <f t="shared" ref="P208:S208" si="209">P207</f>
        <v>1.3</v>
      </c>
      <c r="Q208" s="13" t="str">
        <f t="shared" si="209"/>
        <v>1.3</v>
      </c>
      <c r="R208" s="13" t="str">
        <f t="shared" si="209"/>
        <v>1.3</v>
      </c>
      <c r="S208" s="13" t="str">
        <f t="shared" si="209"/>
        <v>1.3</v>
      </c>
      <c r="T208" s="6" t="str">
        <f t="shared" si="197"/>
        <v>1|1.4#2|1.3#3|1.3#4|1.3#5|1.3</v>
      </c>
    </row>
    <row r="209" s="6" customFormat="1" ht="16.5" spans="1:20">
      <c r="A209" s="6">
        <v>1010215</v>
      </c>
      <c r="B209" s="6">
        <v>15001</v>
      </c>
      <c r="C209" s="6">
        <v>6</v>
      </c>
      <c r="D209" s="6">
        <v>2</v>
      </c>
      <c r="E209" s="6" t="str">
        <f t="shared" si="198"/>
        <v>105001:24</v>
      </c>
      <c r="F209" s="11" t="s">
        <v>397</v>
      </c>
      <c r="G209" s="6">
        <v>0</v>
      </c>
      <c r="H209" s="6">
        <v>0</v>
      </c>
      <c r="I209" s="6" t="s">
        <v>94</v>
      </c>
      <c r="K209" s="6" t="str">
        <f t="shared" si="196"/>
        <v>105001</v>
      </c>
      <c r="L209" s="4">
        <v>24</v>
      </c>
      <c r="M209" s="6" t="s">
        <v>440</v>
      </c>
      <c r="O209" s="13" t="str">
        <f t="shared" si="208"/>
        <v>1.4</v>
      </c>
      <c r="P209" s="13" t="str">
        <f t="shared" ref="P209:P212" si="210">O209</f>
        <v>1.4</v>
      </c>
      <c r="Q209" s="13" t="str">
        <f t="shared" ref="Q209:S209" si="211">Q208</f>
        <v>1.3</v>
      </c>
      <c r="R209" s="13" t="str">
        <f t="shared" si="211"/>
        <v>1.3</v>
      </c>
      <c r="S209" s="13" t="str">
        <f t="shared" si="211"/>
        <v>1.3</v>
      </c>
      <c r="T209" s="6" t="str">
        <f t="shared" si="197"/>
        <v>1|1.4#2|1.4#3|1.3#4|1.3#5|1.3</v>
      </c>
    </row>
    <row r="210" s="6" customFormat="1" ht="16.5" spans="1:20">
      <c r="A210" s="6">
        <v>1010216</v>
      </c>
      <c r="B210" s="6">
        <v>15001</v>
      </c>
      <c r="C210" s="6">
        <v>6</v>
      </c>
      <c r="D210" s="6">
        <v>3</v>
      </c>
      <c r="E210" s="6" t="str">
        <f t="shared" si="198"/>
        <v>105001:24</v>
      </c>
      <c r="F210" s="11" t="s">
        <v>398</v>
      </c>
      <c r="G210" s="6">
        <v>0</v>
      </c>
      <c r="H210" s="6">
        <v>0</v>
      </c>
      <c r="I210" s="6" t="s">
        <v>96</v>
      </c>
      <c r="K210" s="6" t="str">
        <f t="shared" si="196"/>
        <v>105001</v>
      </c>
      <c r="L210" s="4">
        <v>24</v>
      </c>
      <c r="M210" s="6" t="s">
        <v>440</v>
      </c>
      <c r="O210" s="13" t="str">
        <f t="shared" si="208"/>
        <v>1.4</v>
      </c>
      <c r="P210" s="13" t="str">
        <f t="shared" si="210"/>
        <v>1.4</v>
      </c>
      <c r="Q210" s="13" t="str">
        <f t="shared" ref="Q210:Q212" si="212">P210</f>
        <v>1.4</v>
      </c>
      <c r="R210" s="13" t="str">
        <f>R209</f>
        <v>1.3</v>
      </c>
      <c r="S210" s="13" t="str">
        <f t="shared" ref="S210:S217" si="213">S209</f>
        <v>1.3</v>
      </c>
      <c r="T210" s="6" t="str">
        <f t="shared" si="197"/>
        <v>1|1.4#2|1.4#3|1.4#4|1.3#5|1.3</v>
      </c>
    </row>
    <row r="211" s="6" customFormat="1" ht="16.5" spans="1:20">
      <c r="A211" s="6">
        <v>1010217</v>
      </c>
      <c r="B211" s="6">
        <v>15001</v>
      </c>
      <c r="C211" s="6">
        <v>6</v>
      </c>
      <c r="D211" s="6">
        <v>4</v>
      </c>
      <c r="E211" s="6" t="str">
        <f t="shared" si="198"/>
        <v>105001:24</v>
      </c>
      <c r="F211" s="11" t="s">
        <v>399</v>
      </c>
      <c r="G211" s="6">
        <v>0</v>
      </c>
      <c r="H211" s="6">
        <v>0</v>
      </c>
      <c r="I211" s="6" t="s">
        <v>98</v>
      </c>
      <c r="K211" s="6" t="str">
        <f t="shared" si="196"/>
        <v>105001</v>
      </c>
      <c r="L211" s="4">
        <v>24</v>
      </c>
      <c r="M211" s="6" t="s">
        <v>440</v>
      </c>
      <c r="O211" s="13" t="str">
        <f t="shared" si="208"/>
        <v>1.4</v>
      </c>
      <c r="P211" s="13" t="str">
        <f t="shared" si="210"/>
        <v>1.4</v>
      </c>
      <c r="Q211" s="13" t="str">
        <f t="shared" si="212"/>
        <v>1.4</v>
      </c>
      <c r="R211" s="13" t="str">
        <f>Q211</f>
        <v>1.4</v>
      </c>
      <c r="S211" s="13" t="str">
        <f t="shared" si="213"/>
        <v>1.3</v>
      </c>
      <c r="T211" s="6" t="str">
        <f t="shared" si="197"/>
        <v>1|1.4#2|1.4#3|1.4#4|1.4#5|1.3</v>
      </c>
    </row>
    <row r="212" s="6" customFormat="1" ht="16.5" spans="1:20">
      <c r="A212" s="6">
        <v>1010218</v>
      </c>
      <c r="B212" s="6">
        <v>15001</v>
      </c>
      <c r="C212" s="6">
        <v>6</v>
      </c>
      <c r="D212" s="6">
        <v>5</v>
      </c>
      <c r="E212" s="6" t="str">
        <f t="shared" si="198"/>
        <v>105001:60</v>
      </c>
      <c r="F212" s="11" t="s">
        <v>400</v>
      </c>
      <c r="G212" s="6">
        <v>0</v>
      </c>
      <c r="H212" s="6">
        <v>0</v>
      </c>
      <c r="I212" s="6" t="s">
        <v>40</v>
      </c>
      <c r="K212" s="6" t="str">
        <f t="shared" si="196"/>
        <v>105001</v>
      </c>
      <c r="L212" s="4">
        <v>60</v>
      </c>
      <c r="M212" s="6" t="s">
        <v>439</v>
      </c>
      <c r="O212" s="13" t="str">
        <f t="shared" si="208"/>
        <v>1.4</v>
      </c>
      <c r="P212" s="13" t="str">
        <f t="shared" si="210"/>
        <v>1.4</v>
      </c>
      <c r="Q212" s="13" t="str">
        <f t="shared" si="212"/>
        <v>1.4</v>
      </c>
      <c r="R212" s="13" t="str">
        <f>Q212</f>
        <v>1.4</v>
      </c>
      <c r="S212" s="13" t="str">
        <f>R212</f>
        <v>1.4</v>
      </c>
      <c r="T212" s="6" t="str">
        <f t="shared" si="197"/>
        <v>1|1.4#2|1.4#3|1.4#4|1.4#5|1.4</v>
      </c>
    </row>
    <row r="213" s="6" customFormat="1" ht="16.5" spans="1:20">
      <c r="A213" s="6">
        <v>1010219</v>
      </c>
      <c r="B213" s="6">
        <v>15001</v>
      </c>
      <c r="C213" s="6">
        <v>6</v>
      </c>
      <c r="D213" s="6">
        <v>6</v>
      </c>
      <c r="E213" s="6" t="str">
        <f t="shared" si="198"/>
        <v>105001:0</v>
      </c>
      <c r="F213" s="11">
        <v>0</v>
      </c>
      <c r="G213" s="6">
        <v>11002</v>
      </c>
      <c r="H213" s="6" t="s">
        <v>407</v>
      </c>
      <c r="I213" s="6">
        <v>0</v>
      </c>
      <c r="K213" s="6" t="str">
        <f t="shared" si="196"/>
        <v>105001</v>
      </c>
      <c r="L213" s="4">
        <v>0</v>
      </c>
      <c r="M213" s="6" t="s">
        <v>433</v>
      </c>
      <c r="O213" s="13" t="str">
        <f t="shared" ref="O213:S213" si="214">O212</f>
        <v>1.4</v>
      </c>
      <c r="P213" s="13" t="str">
        <f t="shared" si="214"/>
        <v>1.4</v>
      </c>
      <c r="Q213" s="13" t="str">
        <f t="shared" si="214"/>
        <v>1.4</v>
      </c>
      <c r="R213" s="13" t="str">
        <f t="shared" si="214"/>
        <v>1.4</v>
      </c>
      <c r="S213" s="13" t="str">
        <f t="shared" si="214"/>
        <v>1.4</v>
      </c>
      <c r="T213" s="6" t="str">
        <f t="shared" si="197"/>
        <v>1|1.4#2|1.4#3|1.4#4|1.4#5|1.4</v>
      </c>
    </row>
    <row r="214" s="6" customFormat="1" ht="16.5" spans="1:20">
      <c r="A214" s="6">
        <v>1010220</v>
      </c>
      <c r="B214" s="6">
        <v>16001</v>
      </c>
      <c r="C214" s="6">
        <v>1</v>
      </c>
      <c r="D214" s="6">
        <v>0</v>
      </c>
      <c r="E214" s="6" t="str">
        <f t="shared" si="198"/>
        <v>106001:2</v>
      </c>
      <c r="F214" s="11" t="s">
        <v>356</v>
      </c>
      <c r="G214" s="6">
        <v>0</v>
      </c>
      <c r="H214" s="6">
        <v>0</v>
      </c>
      <c r="I214" s="6" t="s">
        <v>25</v>
      </c>
      <c r="K214" s="6" t="str">
        <f t="shared" si="196"/>
        <v>106001</v>
      </c>
      <c r="L214" s="4">
        <v>2</v>
      </c>
      <c r="M214" s="6" t="s">
        <v>441</v>
      </c>
      <c r="O214" s="13">
        <v>1</v>
      </c>
      <c r="P214" s="13">
        <f t="shared" ref="P214:S214" si="215">O214</f>
        <v>1</v>
      </c>
      <c r="Q214" s="13">
        <f t="shared" si="215"/>
        <v>1</v>
      </c>
      <c r="R214" s="13">
        <f>P214</f>
        <v>1</v>
      </c>
      <c r="S214" s="13">
        <f t="shared" si="215"/>
        <v>1</v>
      </c>
      <c r="T214" s="6" t="str">
        <f t="shared" si="197"/>
        <v>1|1#2|1#3|1#4|1#5|1</v>
      </c>
    </row>
    <row r="215" s="6" customFormat="1" ht="16.5" spans="1:20">
      <c r="A215" s="6">
        <v>1010221</v>
      </c>
      <c r="B215" s="6">
        <v>16001</v>
      </c>
      <c r="C215" s="6">
        <v>1</v>
      </c>
      <c r="D215" s="6">
        <v>1</v>
      </c>
      <c r="E215" s="6" t="str">
        <f t="shared" si="198"/>
        <v>106001:2</v>
      </c>
      <c r="F215" s="11" t="s">
        <v>358</v>
      </c>
      <c r="G215" s="6">
        <v>0</v>
      </c>
      <c r="H215" s="6">
        <v>0</v>
      </c>
      <c r="I215" s="6" t="s">
        <v>28</v>
      </c>
      <c r="K215" s="6" t="str">
        <f t="shared" si="196"/>
        <v>106001</v>
      </c>
      <c r="L215" s="4">
        <v>2</v>
      </c>
      <c r="M215" s="6" t="s">
        <v>441</v>
      </c>
      <c r="O215" s="13" t="str">
        <f t="shared" ref="O215:O219" si="216">RIGHT(F215,LEN(F215)-2)</f>
        <v>1.05</v>
      </c>
      <c r="P215" s="13">
        <v>1</v>
      </c>
      <c r="Q215" s="13">
        <f>Q214</f>
        <v>1</v>
      </c>
      <c r="R215" s="13">
        <f>R214</f>
        <v>1</v>
      </c>
      <c r="S215" s="13">
        <f t="shared" si="213"/>
        <v>1</v>
      </c>
      <c r="T215" s="6" t="str">
        <f t="shared" si="197"/>
        <v>1|1.05#2|1#3|1#4|1#5|1</v>
      </c>
    </row>
    <row r="216" s="6" customFormat="1" ht="16.5" spans="1:20">
      <c r="A216" s="6">
        <v>1010222</v>
      </c>
      <c r="B216" s="6">
        <v>16001</v>
      </c>
      <c r="C216" s="6">
        <v>1</v>
      </c>
      <c r="D216" s="6">
        <v>2</v>
      </c>
      <c r="E216" s="6" t="str">
        <f t="shared" si="198"/>
        <v>106001:2</v>
      </c>
      <c r="F216" s="11" t="s">
        <v>359</v>
      </c>
      <c r="G216" s="6">
        <v>0</v>
      </c>
      <c r="H216" s="6">
        <v>0</v>
      </c>
      <c r="I216" s="6" t="s">
        <v>31</v>
      </c>
      <c r="K216" s="6" t="str">
        <f t="shared" si="196"/>
        <v>106001</v>
      </c>
      <c r="L216" s="4">
        <v>2</v>
      </c>
      <c r="M216" s="6" t="s">
        <v>441</v>
      </c>
      <c r="O216" s="13" t="str">
        <f t="shared" si="216"/>
        <v>1.05</v>
      </c>
      <c r="P216" s="13" t="str">
        <f t="shared" ref="P216:P219" si="217">O216</f>
        <v>1.05</v>
      </c>
      <c r="Q216" s="13">
        <v>1</v>
      </c>
      <c r="R216" s="13">
        <f>R215</f>
        <v>1</v>
      </c>
      <c r="S216" s="13">
        <f t="shared" si="213"/>
        <v>1</v>
      </c>
      <c r="T216" s="6" t="str">
        <f t="shared" si="197"/>
        <v>1|1.05#2|1.05#3|1#4|1#5|1</v>
      </c>
    </row>
    <row r="217" s="6" customFormat="1" ht="16.5" spans="1:20">
      <c r="A217" s="6">
        <v>1010223</v>
      </c>
      <c r="B217" s="6">
        <v>16001</v>
      </c>
      <c r="C217" s="6">
        <v>1</v>
      </c>
      <c r="D217" s="6">
        <v>3</v>
      </c>
      <c r="E217" s="6" t="str">
        <f t="shared" si="198"/>
        <v>106001:3</v>
      </c>
      <c r="F217" s="11" t="s">
        <v>360</v>
      </c>
      <c r="G217" s="6">
        <v>0</v>
      </c>
      <c r="H217" s="6">
        <v>0</v>
      </c>
      <c r="I217" s="6" t="s">
        <v>34</v>
      </c>
      <c r="K217" s="6" t="str">
        <f t="shared" si="196"/>
        <v>106001</v>
      </c>
      <c r="L217" s="4">
        <v>3</v>
      </c>
      <c r="M217" s="6" t="s">
        <v>441</v>
      </c>
      <c r="O217" s="13" t="str">
        <f t="shared" si="216"/>
        <v>1.05</v>
      </c>
      <c r="P217" s="13" t="str">
        <f t="shared" si="217"/>
        <v>1.05</v>
      </c>
      <c r="Q217" s="13" t="str">
        <f t="shared" ref="Q217:Q219" si="218">P217</f>
        <v>1.05</v>
      </c>
      <c r="R217" s="13">
        <v>1</v>
      </c>
      <c r="S217" s="13">
        <f t="shared" si="213"/>
        <v>1</v>
      </c>
      <c r="T217" s="6" t="str">
        <f t="shared" si="197"/>
        <v>1|1.05#2|1.05#3|1.05#4|1#5|1</v>
      </c>
    </row>
    <row r="218" s="6" customFormat="1" ht="16.5" spans="1:20">
      <c r="A218" s="6">
        <v>1010224</v>
      </c>
      <c r="B218" s="6">
        <v>16001</v>
      </c>
      <c r="C218" s="6">
        <v>1</v>
      </c>
      <c r="D218" s="6">
        <v>4</v>
      </c>
      <c r="E218" s="6" t="str">
        <f t="shared" si="198"/>
        <v>106001:3</v>
      </c>
      <c r="F218" s="11" t="s">
        <v>361</v>
      </c>
      <c r="G218" s="6">
        <v>0</v>
      </c>
      <c r="H218" s="6">
        <v>0</v>
      </c>
      <c r="I218" s="6" t="s">
        <v>37</v>
      </c>
      <c r="K218" s="6" t="str">
        <f t="shared" si="196"/>
        <v>106001</v>
      </c>
      <c r="L218" s="4">
        <v>3</v>
      </c>
      <c r="M218" s="6" t="s">
        <v>441</v>
      </c>
      <c r="O218" s="13" t="str">
        <f t="shared" si="216"/>
        <v>1.05</v>
      </c>
      <c r="P218" s="13" t="str">
        <f t="shared" si="217"/>
        <v>1.05</v>
      </c>
      <c r="Q218" s="13" t="str">
        <f t="shared" si="218"/>
        <v>1.05</v>
      </c>
      <c r="R218" s="13" t="str">
        <f>Q218</f>
        <v>1.05</v>
      </c>
      <c r="S218" s="13">
        <v>1</v>
      </c>
      <c r="T218" s="6" t="str">
        <f t="shared" si="197"/>
        <v>1|1.05#2|1.05#3|1.05#4|1.05#5|1</v>
      </c>
    </row>
    <row r="219" s="6" customFormat="1" ht="16.5" spans="1:20">
      <c r="A219" s="6">
        <v>1010225</v>
      </c>
      <c r="B219" s="6">
        <v>16001</v>
      </c>
      <c r="C219" s="6">
        <v>1</v>
      </c>
      <c r="D219" s="6">
        <v>5</v>
      </c>
      <c r="E219" s="6" t="str">
        <f t="shared" si="198"/>
        <v>106001:3</v>
      </c>
      <c r="F219" s="11" t="s">
        <v>362</v>
      </c>
      <c r="G219" s="6">
        <v>0</v>
      </c>
      <c r="H219" s="6">
        <v>0</v>
      </c>
      <c r="I219" s="6" t="s">
        <v>40</v>
      </c>
      <c r="K219" s="6" t="str">
        <f t="shared" si="196"/>
        <v>106001</v>
      </c>
      <c r="L219" s="4">
        <v>3</v>
      </c>
      <c r="M219" s="6" t="s">
        <v>442</v>
      </c>
      <c r="O219" s="13" t="str">
        <f t="shared" si="216"/>
        <v>1.05</v>
      </c>
      <c r="P219" s="13" t="str">
        <f t="shared" si="217"/>
        <v>1.05</v>
      </c>
      <c r="Q219" s="13" t="str">
        <f t="shared" si="218"/>
        <v>1.05</v>
      </c>
      <c r="R219" s="13" t="str">
        <f>Q219</f>
        <v>1.05</v>
      </c>
      <c r="S219" s="13" t="str">
        <f>R219</f>
        <v>1.05</v>
      </c>
      <c r="T219" s="6" t="str">
        <f t="shared" si="197"/>
        <v>1|1.05#2|1.05#3|1.05#4|1.05#5|1.05</v>
      </c>
    </row>
    <row r="220" s="6" customFormat="1" ht="16.5" spans="1:20">
      <c r="A220" s="6">
        <v>1010226</v>
      </c>
      <c r="B220" s="6">
        <v>16001</v>
      </c>
      <c r="C220" s="6">
        <v>1</v>
      </c>
      <c r="D220" s="6">
        <v>6</v>
      </c>
      <c r="E220" s="6" t="str">
        <f t="shared" si="198"/>
        <v>106001:5</v>
      </c>
      <c r="F220" s="11">
        <v>0</v>
      </c>
      <c r="G220" s="6">
        <v>11002</v>
      </c>
      <c r="H220" s="6" t="s">
        <v>407</v>
      </c>
      <c r="I220" s="6">
        <v>0</v>
      </c>
      <c r="K220" s="6" t="str">
        <f t="shared" si="196"/>
        <v>106001</v>
      </c>
      <c r="L220" s="13">
        <v>5</v>
      </c>
      <c r="M220" s="6" t="s">
        <v>443</v>
      </c>
      <c r="O220" s="13" t="str">
        <f t="shared" ref="O220:S220" si="219">O219</f>
        <v>1.05</v>
      </c>
      <c r="P220" s="13" t="str">
        <f t="shared" si="219"/>
        <v>1.05</v>
      </c>
      <c r="Q220" s="13" t="str">
        <f t="shared" si="219"/>
        <v>1.05</v>
      </c>
      <c r="R220" s="13" t="str">
        <f t="shared" si="219"/>
        <v>1.05</v>
      </c>
      <c r="S220" s="13" t="str">
        <f t="shared" si="219"/>
        <v>1.05</v>
      </c>
      <c r="T220" s="6" t="str">
        <f t="shared" si="197"/>
        <v>1|1.05#2|1.05#3|1.05#4|1.05#5|1.05</v>
      </c>
    </row>
    <row r="221" s="6" customFormat="1" ht="16.5" spans="1:20">
      <c r="A221" s="6">
        <v>1010227</v>
      </c>
      <c r="B221" s="6">
        <v>16001</v>
      </c>
      <c r="C221" s="6">
        <v>2</v>
      </c>
      <c r="D221" s="6">
        <v>0</v>
      </c>
      <c r="E221" s="6" t="str">
        <f t="shared" si="198"/>
        <v>106001:5</v>
      </c>
      <c r="F221" s="11" t="s">
        <v>364</v>
      </c>
      <c r="G221" s="6">
        <v>0</v>
      </c>
      <c r="H221" s="6">
        <v>0</v>
      </c>
      <c r="I221" s="6" t="s">
        <v>43</v>
      </c>
      <c r="K221" s="6" t="str">
        <f t="shared" si="196"/>
        <v>106001</v>
      </c>
      <c r="L221" s="4">
        <v>5</v>
      </c>
      <c r="M221" s="6" t="s">
        <v>444</v>
      </c>
      <c r="O221" s="15" t="str">
        <f>O220</f>
        <v>1.05</v>
      </c>
      <c r="P221" s="15" t="str">
        <f t="shared" ref="P221:S221" si="220">O221</f>
        <v>1.05</v>
      </c>
      <c r="Q221" s="15" t="str">
        <f t="shared" si="220"/>
        <v>1.05</v>
      </c>
      <c r="R221" s="15" t="str">
        <f>P221</f>
        <v>1.05</v>
      </c>
      <c r="S221" s="15" t="str">
        <f t="shared" si="220"/>
        <v>1.05</v>
      </c>
      <c r="T221" s="6" t="str">
        <f t="shared" si="197"/>
        <v>1|1.05#2|1.05#3|1.05#4|1.05#5|1.05</v>
      </c>
    </row>
    <row r="222" s="6" customFormat="1" ht="16.5" spans="1:20">
      <c r="A222" s="6">
        <v>1010228</v>
      </c>
      <c r="B222" s="6">
        <v>16001</v>
      </c>
      <c r="C222" s="6">
        <v>2</v>
      </c>
      <c r="D222" s="6">
        <v>1</v>
      </c>
      <c r="E222" s="6" t="str">
        <f t="shared" si="198"/>
        <v>106001:5</v>
      </c>
      <c r="F222" s="11" t="s">
        <v>366</v>
      </c>
      <c r="G222" s="6">
        <v>0</v>
      </c>
      <c r="H222" s="6">
        <v>0</v>
      </c>
      <c r="I222" s="6" t="s">
        <v>45</v>
      </c>
      <c r="K222" s="6" t="str">
        <f t="shared" si="196"/>
        <v>106001</v>
      </c>
      <c r="L222" s="4">
        <v>5</v>
      </c>
      <c r="M222" s="6" t="s">
        <v>444</v>
      </c>
      <c r="O222" s="13" t="str">
        <f t="shared" ref="O222:O226" si="221">RIGHT(F222,LEN(F222)-2)</f>
        <v>1.1</v>
      </c>
      <c r="P222" s="13">
        <v>1.05</v>
      </c>
      <c r="Q222" s="13" t="str">
        <f t="shared" ref="Q222:S222" si="222">Q221</f>
        <v>1.05</v>
      </c>
      <c r="R222" s="13" t="str">
        <f t="shared" si="222"/>
        <v>1.05</v>
      </c>
      <c r="S222" s="13" t="str">
        <f t="shared" si="222"/>
        <v>1.05</v>
      </c>
      <c r="T222" s="6" t="str">
        <f t="shared" si="197"/>
        <v>1|1.1#2|1.05#3|1.05#4|1.05#5|1.05</v>
      </c>
    </row>
    <row r="223" s="6" customFormat="1" ht="16.5" spans="1:20">
      <c r="A223" s="6">
        <v>1010229</v>
      </c>
      <c r="B223" s="6">
        <v>16001</v>
      </c>
      <c r="C223" s="6">
        <v>2</v>
      </c>
      <c r="D223" s="6">
        <v>2</v>
      </c>
      <c r="E223" s="6" t="str">
        <f t="shared" si="198"/>
        <v>106001:5</v>
      </c>
      <c r="F223" s="11" t="s">
        <v>367</v>
      </c>
      <c r="G223" s="6">
        <v>0</v>
      </c>
      <c r="H223" s="6">
        <v>0</v>
      </c>
      <c r="I223" s="6" t="s">
        <v>47</v>
      </c>
      <c r="K223" s="6" t="str">
        <f t="shared" si="196"/>
        <v>106001</v>
      </c>
      <c r="L223" s="4">
        <v>5</v>
      </c>
      <c r="M223" s="6" t="s">
        <v>444</v>
      </c>
      <c r="O223" s="13" t="str">
        <f t="shared" si="221"/>
        <v>1.1</v>
      </c>
      <c r="P223" s="13" t="str">
        <f t="shared" ref="P223:P226" si="223">O223</f>
        <v>1.1</v>
      </c>
      <c r="Q223" s="13">
        <v>1.05</v>
      </c>
      <c r="R223" s="13" t="str">
        <f>R222</f>
        <v>1.05</v>
      </c>
      <c r="S223" s="13" t="str">
        <f>S222</f>
        <v>1.05</v>
      </c>
      <c r="T223" s="6" t="str">
        <f t="shared" si="197"/>
        <v>1|1.1#2|1.1#3|1.05#4|1.05#5|1.05</v>
      </c>
    </row>
    <row r="224" s="6" customFormat="1" ht="16.5" spans="1:20">
      <c r="A224" s="6">
        <v>1010230</v>
      </c>
      <c r="B224" s="6">
        <v>16001</v>
      </c>
      <c r="C224" s="6">
        <v>2</v>
      </c>
      <c r="D224" s="6">
        <v>3</v>
      </c>
      <c r="E224" s="6" t="str">
        <f t="shared" si="198"/>
        <v>106001:6</v>
      </c>
      <c r="F224" s="11" t="s">
        <v>368</v>
      </c>
      <c r="G224" s="6">
        <v>0</v>
      </c>
      <c r="H224" s="6">
        <v>0</v>
      </c>
      <c r="I224" s="6" t="s">
        <v>49</v>
      </c>
      <c r="K224" s="6" t="str">
        <f t="shared" si="196"/>
        <v>106001</v>
      </c>
      <c r="L224" s="4">
        <v>6</v>
      </c>
      <c r="M224" s="6" t="s">
        <v>444</v>
      </c>
      <c r="O224" s="13" t="str">
        <f t="shared" si="221"/>
        <v>1.1</v>
      </c>
      <c r="P224" s="13" t="str">
        <f t="shared" si="223"/>
        <v>1.1</v>
      </c>
      <c r="Q224" s="13" t="str">
        <f t="shared" ref="Q224:Q226" si="224">P224</f>
        <v>1.1</v>
      </c>
      <c r="R224" s="13">
        <v>1.05</v>
      </c>
      <c r="S224" s="13" t="str">
        <f>S223</f>
        <v>1.05</v>
      </c>
      <c r="T224" s="6" t="str">
        <f t="shared" si="197"/>
        <v>1|1.1#2|1.1#3|1.1#4|1.05#5|1.05</v>
      </c>
    </row>
    <row r="225" s="6" customFormat="1" ht="16.5" spans="1:20">
      <c r="A225" s="6">
        <v>1010231</v>
      </c>
      <c r="B225" s="6">
        <v>16001</v>
      </c>
      <c r="C225" s="6">
        <v>2</v>
      </c>
      <c r="D225" s="6">
        <v>4</v>
      </c>
      <c r="E225" s="6" t="str">
        <f t="shared" si="198"/>
        <v>106001:6</v>
      </c>
      <c r="F225" s="11" t="s">
        <v>369</v>
      </c>
      <c r="G225" s="6">
        <v>0</v>
      </c>
      <c r="H225" s="6">
        <v>0</v>
      </c>
      <c r="I225" s="6" t="s">
        <v>51</v>
      </c>
      <c r="K225" s="6" t="str">
        <f t="shared" si="196"/>
        <v>106001</v>
      </c>
      <c r="L225" s="4">
        <v>6</v>
      </c>
      <c r="M225" s="6" t="s">
        <v>444</v>
      </c>
      <c r="O225" s="13" t="str">
        <f t="shared" si="221"/>
        <v>1.1</v>
      </c>
      <c r="P225" s="13" t="str">
        <f t="shared" si="223"/>
        <v>1.1</v>
      </c>
      <c r="Q225" s="13" t="str">
        <f t="shared" si="224"/>
        <v>1.1</v>
      </c>
      <c r="R225" s="13" t="str">
        <f>Q225</f>
        <v>1.1</v>
      </c>
      <c r="S225" s="13">
        <v>1.05</v>
      </c>
      <c r="T225" s="6" t="str">
        <f t="shared" si="197"/>
        <v>1|1.1#2|1.1#3|1.1#4|1.1#5|1.05</v>
      </c>
    </row>
    <row r="226" s="6" customFormat="1" ht="16.5" spans="1:20">
      <c r="A226" s="6">
        <v>1010232</v>
      </c>
      <c r="B226" s="6">
        <v>16001</v>
      </c>
      <c r="C226" s="6">
        <v>2</v>
      </c>
      <c r="D226" s="6">
        <v>5</v>
      </c>
      <c r="E226" s="6" t="str">
        <f t="shared" si="198"/>
        <v>106001:6</v>
      </c>
      <c r="F226" s="11" t="s">
        <v>370</v>
      </c>
      <c r="G226" s="6">
        <v>0</v>
      </c>
      <c r="H226" s="6">
        <v>0</v>
      </c>
      <c r="I226" s="6" t="s">
        <v>40</v>
      </c>
      <c r="K226" s="6" t="str">
        <f t="shared" si="196"/>
        <v>106001</v>
      </c>
      <c r="L226" s="4">
        <v>6</v>
      </c>
      <c r="M226" s="6" t="s">
        <v>144</v>
      </c>
      <c r="O226" s="13" t="str">
        <f t="shared" si="221"/>
        <v>1.1</v>
      </c>
      <c r="P226" s="13" t="str">
        <f t="shared" si="223"/>
        <v>1.1</v>
      </c>
      <c r="Q226" s="13" t="str">
        <f t="shared" si="224"/>
        <v>1.1</v>
      </c>
      <c r="R226" s="13" t="str">
        <f>Q226</f>
        <v>1.1</v>
      </c>
      <c r="S226" s="13" t="str">
        <f>R226</f>
        <v>1.1</v>
      </c>
      <c r="T226" s="6" t="str">
        <f t="shared" si="197"/>
        <v>1|1.1#2|1.1#3|1.1#4|1.1#5|1.1</v>
      </c>
    </row>
    <row r="227" s="6" customFormat="1" ht="16.5" spans="1:20">
      <c r="A227" s="6">
        <v>1010233</v>
      </c>
      <c r="B227" s="6">
        <v>16001</v>
      </c>
      <c r="C227" s="6">
        <v>2</v>
      </c>
      <c r="D227" s="6">
        <v>6</v>
      </c>
      <c r="E227" s="6" t="str">
        <f t="shared" si="198"/>
        <v>106001:7</v>
      </c>
      <c r="F227" s="11">
        <v>0</v>
      </c>
      <c r="G227" s="6">
        <v>11002</v>
      </c>
      <c r="H227" s="6" t="s">
        <v>407</v>
      </c>
      <c r="I227" s="6">
        <v>0</v>
      </c>
      <c r="K227" s="6" t="str">
        <f t="shared" si="196"/>
        <v>106001</v>
      </c>
      <c r="L227" s="13">
        <v>7</v>
      </c>
      <c r="M227" s="6" t="s">
        <v>443</v>
      </c>
      <c r="O227" s="13" t="str">
        <f t="shared" ref="O227:S227" si="225">O226</f>
        <v>1.1</v>
      </c>
      <c r="P227" s="13" t="str">
        <f t="shared" si="225"/>
        <v>1.1</v>
      </c>
      <c r="Q227" s="13" t="str">
        <f t="shared" si="225"/>
        <v>1.1</v>
      </c>
      <c r="R227" s="13" t="str">
        <f t="shared" si="225"/>
        <v>1.1</v>
      </c>
      <c r="S227" s="13" t="str">
        <f t="shared" si="225"/>
        <v>1.1</v>
      </c>
      <c r="T227" s="6" t="str">
        <f t="shared" si="197"/>
        <v>1|1.1#2|1.1#3|1.1#4|1.1#5|1.1</v>
      </c>
    </row>
    <row r="228" s="6" customFormat="1" ht="16.5" spans="1:20">
      <c r="A228" s="6">
        <v>1010234</v>
      </c>
      <c r="B228" s="6">
        <v>16001</v>
      </c>
      <c r="C228" s="6">
        <v>3</v>
      </c>
      <c r="D228" s="6">
        <v>0</v>
      </c>
      <c r="E228" s="6" t="str">
        <f t="shared" si="198"/>
        <v>106001:9</v>
      </c>
      <c r="F228" s="11" t="s">
        <v>371</v>
      </c>
      <c r="G228" s="6">
        <v>0</v>
      </c>
      <c r="H228" s="6">
        <v>0</v>
      </c>
      <c r="I228" s="6" t="s">
        <v>55</v>
      </c>
      <c r="K228" s="6" t="str">
        <f t="shared" si="196"/>
        <v>106001</v>
      </c>
      <c r="L228" s="4">
        <v>9</v>
      </c>
      <c r="M228" s="6" t="s">
        <v>445</v>
      </c>
      <c r="O228" s="15" t="str">
        <f>O227</f>
        <v>1.1</v>
      </c>
      <c r="P228" s="15" t="str">
        <f t="shared" ref="P228:S228" si="226">O228</f>
        <v>1.1</v>
      </c>
      <c r="Q228" s="15" t="str">
        <f t="shared" si="226"/>
        <v>1.1</v>
      </c>
      <c r="R228" s="15" t="str">
        <f>P228</f>
        <v>1.1</v>
      </c>
      <c r="S228" s="15" t="str">
        <f t="shared" si="226"/>
        <v>1.1</v>
      </c>
      <c r="T228" s="6" t="str">
        <f t="shared" si="197"/>
        <v>1|1.1#2|1.1#3|1.1#4|1.1#5|1.1</v>
      </c>
    </row>
    <row r="229" s="6" customFormat="1" ht="16.5" spans="1:20">
      <c r="A229" s="6">
        <v>1010235</v>
      </c>
      <c r="B229" s="6">
        <v>16001</v>
      </c>
      <c r="C229" s="6">
        <v>3</v>
      </c>
      <c r="D229" s="6">
        <v>1</v>
      </c>
      <c r="E229" s="6" t="str">
        <f t="shared" si="198"/>
        <v>106001:9</v>
      </c>
      <c r="F229" s="11" t="s">
        <v>373</v>
      </c>
      <c r="G229" s="6">
        <v>0</v>
      </c>
      <c r="H229" s="6">
        <v>0</v>
      </c>
      <c r="I229" s="6" t="s">
        <v>57</v>
      </c>
      <c r="K229" s="6" t="str">
        <f t="shared" si="196"/>
        <v>106001</v>
      </c>
      <c r="L229" s="4">
        <v>9</v>
      </c>
      <c r="M229" s="6" t="s">
        <v>445</v>
      </c>
      <c r="O229" s="13" t="str">
        <f t="shared" ref="O229:O233" si="227">RIGHT(F229,LEN(F229)-2)</f>
        <v>1.15</v>
      </c>
      <c r="P229" s="13" t="str">
        <f t="shared" ref="P229:S229" si="228">P228</f>
        <v>1.1</v>
      </c>
      <c r="Q229" s="13" t="str">
        <f t="shared" si="228"/>
        <v>1.1</v>
      </c>
      <c r="R229" s="13" t="str">
        <f t="shared" si="228"/>
        <v>1.1</v>
      </c>
      <c r="S229" s="13" t="str">
        <f t="shared" si="228"/>
        <v>1.1</v>
      </c>
      <c r="T229" s="6" t="str">
        <f t="shared" si="197"/>
        <v>1|1.15#2|1.1#3|1.1#4|1.1#5|1.1</v>
      </c>
    </row>
    <row r="230" s="6" customFormat="1" ht="16.5" spans="1:20">
      <c r="A230" s="6">
        <v>1010236</v>
      </c>
      <c r="B230" s="6">
        <v>16001</v>
      </c>
      <c r="C230" s="6">
        <v>3</v>
      </c>
      <c r="D230" s="6">
        <v>2</v>
      </c>
      <c r="E230" s="6" t="str">
        <f t="shared" si="198"/>
        <v>106001:9</v>
      </c>
      <c r="F230" s="11" t="s">
        <v>374</v>
      </c>
      <c r="G230" s="6">
        <v>0</v>
      </c>
      <c r="H230" s="6">
        <v>0</v>
      </c>
      <c r="I230" s="6" t="s">
        <v>59</v>
      </c>
      <c r="K230" s="6" t="str">
        <f t="shared" si="196"/>
        <v>106001</v>
      </c>
      <c r="L230" s="4">
        <v>9</v>
      </c>
      <c r="M230" s="6" t="s">
        <v>445</v>
      </c>
      <c r="O230" s="13" t="str">
        <f t="shared" si="227"/>
        <v>1.15</v>
      </c>
      <c r="P230" s="13" t="str">
        <f t="shared" ref="P230:P233" si="229">O230</f>
        <v>1.15</v>
      </c>
      <c r="Q230" s="13" t="str">
        <f t="shared" ref="Q230:S230" si="230">Q229</f>
        <v>1.1</v>
      </c>
      <c r="R230" s="13" t="str">
        <f t="shared" si="230"/>
        <v>1.1</v>
      </c>
      <c r="S230" s="13" t="str">
        <f t="shared" si="230"/>
        <v>1.1</v>
      </c>
      <c r="T230" s="6" t="str">
        <f t="shared" si="197"/>
        <v>1|1.15#2|1.15#3|1.1#4|1.1#5|1.1</v>
      </c>
    </row>
    <row r="231" s="6" customFormat="1" ht="16.5" spans="1:20">
      <c r="A231" s="6">
        <v>1010237</v>
      </c>
      <c r="B231" s="6">
        <v>16001</v>
      </c>
      <c r="C231" s="6">
        <v>3</v>
      </c>
      <c r="D231" s="6">
        <v>3</v>
      </c>
      <c r="E231" s="6" t="str">
        <f t="shared" si="198"/>
        <v>106001:11</v>
      </c>
      <c r="F231" s="11" t="s">
        <v>375</v>
      </c>
      <c r="G231" s="6">
        <v>0</v>
      </c>
      <c r="H231" s="6">
        <v>0</v>
      </c>
      <c r="I231" s="6" t="s">
        <v>61</v>
      </c>
      <c r="K231" s="6" t="str">
        <f t="shared" si="196"/>
        <v>106001</v>
      </c>
      <c r="L231" s="4">
        <v>11</v>
      </c>
      <c r="M231" s="6" t="s">
        <v>445</v>
      </c>
      <c r="O231" s="13" t="str">
        <f t="shared" si="227"/>
        <v>1.15</v>
      </c>
      <c r="P231" s="13" t="str">
        <f t="shared" si="229"/>
        <v>1.15</v>
      </c>
      <c r="Q231" s="13" t="str">
        <f t="shared" ref="Q231:Q233" si="231">P231</f>
        <v>1.15</v>
      </c>
      <c r="R231" s="13" t="str">
        <f>R230</f>
        <v>1.1</v>
      </c>
      <c r="S231" s="13" t="str">
        <f>S230</f>
        <v>1.1</v>
      </c>
      <c r="T231" s="6" t="str">
        <f t="shared" si="197"/>
        <v>1|1.15#2|1.15#3|1.15#4|1.1#5|1.1</v>
      </c>
    </row>
    <row r="232" s="6" customFormat="1" ht="16.5" spans="1:20">
      <c r="A232" s="6">
        <v>1010238</v>
      </c>
      <c r="B232" s="6">
        <v>16001</v>
      </c>
      <c r="C232" s="6">
        <v>3</v>
      </c>
      <c r="D232" s="6">
        <v>4</v>
      </c>
      <c r="E232" s="6" t="str">
        <f t="shared" si="198"/>
        <v>106001:11</v>
      </c>
      <c r="F232" s="11" t="s">
        <v>376</v>
      </c>
      <c r="G232" s="6">
        <v>0</v>
      </c>
      <c r="H232" s="6">
        <v>0</v>
      </c>
      <c r="I232" s="6" t="s">
        <v>63</v>
      </c>
      <c r="K232" s="6" t="str">
        <f t="shared" si="196"/>
        <v>106001</v>
      </c>
      <c r="L232" s="4">
        <v>11</v>
      </c>
      <c r="M232" s="6" t="s">
        <v>445</v>
      </c>
      <c r="O232" s="13" t="str">
        <f t="shared" si="227"/>
        <v>1.15</v>
      </c>
      <c r="P232" s="13" t="str">
        <f t="shared" si="229"/>
        <v>1.15</v>
      </c>
      <c r="Q232" s="13" t="str">
        <f t="shared" si="231"/>
        <v>1.15</v>
      </c>
      <c r="R232" s="13" t="str">
        <f>Q232</f>
        <v>1.15</v>
      </c>
      <c r="S232" s="13" t="str">
        <f>S231</f>
        <v>1.1</v>
      </c>
      <c r="T232" s="6" t="str">
        <f t="shared" si="197"/>
        <v>1|1.15#2|1.15#3|1.15#4|1.15#5|1.1</v>
      </c>
    </row>
    <row r="233" s="6" customFormat="1" ht="16.5" spans="1:20">
      <c r="A233" s="6">
        <v>1010239</v>
      </c>
      <c r="B233" s="6">
        <v>16001</v>
      </c>
      <c r="C233" s="6">
        <v>3</v>
      </c>
      <c r="D233" s="6">
        <v>5</v>
      </c>
      <c r="E233" s="6" t="str">
        <f t="shared" si="198"/>
        <v>106001:11</v>
      </c>
      <c r="F233" s="11" t="s">
        <v>377</v>
      </c>
      <c r="G233" s="6">
        <v>0</v>
      </c>
      <c r="H233" s="6">
        <v>0</v>
      </c>
      <c r="I233" s="6" t="s">
        <v>40</v>
      </c>
      <c r="K233" s="6" t="str">
        <f t="shared" si="196"/>
        <v>106001</v>
      </c>
      <c r="L233" s="4">
        <v>11</v>
      </c>
      <c r="M233" s="6" t="s">
        <v>446</v>
      </c>
      <c r="O233" s="13" t="str">
        <f t="shared" si="227"/>
        <v>1.15</v>
      </c>
      <c r="P233" s="13" t="str">
        <f t="shared" si="229"/>
        <v>1.15</v>
      </c>
      <c r="Q233" s="13" t="str">
        <f t="shared" si="231"/>
        <v>1.15</v>
      </c>
      <c r="R233" s="13" t="str">
        <f>Q233</f>
        <v>1.15</v>
      </c>
      <c r="S233" s="13" t="str">
        <f>R233</f>
        <v>1.15</v>
      </c>
      <c r="T233" s="6" t="str">
        <f t="shared" si="197"/>
        <v>1|1.15#2|1.15#3|1.15#4|1.15#5|1.15</v>
      </c>
    </row>
    <row r="234" s="6" customFormat="1" ht="16.5" spans="1:20">
      <c r="A234" s="6">
        <v>1010240</v>
      </c>
      <c r="B234" s="6">
        <v>16001</v>
      </c>
      <c r="C234" s="6">
        <v>3</v>
      </c>
      <c r="D234" s="6">
        <v>6</v>
      </c>
      <c r="E234" s="6" t="str">
        <f t="shared" si="198"/>
        <v>106001:30</v>
      </c>
      <c r="F234" s="11">
        <v>0</v>
      </c>
      <c r="G234" s="6">
        <v>11002</v>
      </c>
      <c r="H234" s="6" t="s">
        <v>407</v>
      </c>
      <c r="I234" s="6">
        <v>0</v>
      </c>
      <c r="K234" s="6" t="str">
        <f t="shared" si="196"/>
        <v>106001</v>
      </c>
      <c r="L234" s="13">
        <v>30</v>
      </c>
      <c r="M234" s="6" t="s">
        <v>443</v>
      </c>
      <c r="O234" s="13" t="str">
        <f t="shared" ref="O234:S234" si="232">O233</f>
        <v>1.15</v>
      </c>
      <c r="P234" s="13" t="str">
        <f t="shared" si="232"/>
        <v>1.15</v>
      </c>
      <c r="Q234" s="13" t="str">
        <f t="shared" si="232"/>
        <v>1.15</v>
      </c>
      <c r="R234" s="13" t="str">
        <f t="shared" si="232"/>
        <v>1.15</v>
      </c>
      <c r="S234" s="13" t="str">
        <f t="shared" si="232"/>
        <v>1.15</v>
      </c>
      <c r="T234" s="6" t="str">
        <f t="shared" si="197"/>
        <v>1|1.15#2|1.15#3|1.15#4|1.15#5|1.15</v>
      </c>
    </row>
    <row r="235" s="6" customFormat="1" ht="16.5" spans="1:20">
      <c r="A235" s="6">
        <v>1010241</v>
      </c>
      <c r="B235" s="6">
        <v>16001</v>
      </c>
      <c r="C235" s="6">
        <v>4</v>
      </c>
      <c r="D235" s="6">
        <v>0</v>
      </c>
      <c r="E235" s="6" t="str">
        <f t="shared" si="198"/>
        <v>106001:13</v>
      </c>
      <c r="F235" s="11" t="s">
        <v>379</v>
      </c>
      <c r="G235" s="6">
        <v>0</v>
      </c>
      <c r="H235" s="6">
        <v>0</v>
      </c>
      <c r="I235" s="6" t="s">
        <v>67</v>
      </c>
      <c r="K235" s="6" t="str">
        <f t="shared" si="196"/>
        <v>106001</v>
      </c>
      <c r="L235" s="4">
        <v>13</v>
      </c>
      <c r="M235" s="6" t="s">
        <v>447</v>
      </c>
      <c r="O235" s="15" t="str">
        <f>O234</f>
        <v>1.15</v>
      </c>
      <c r="P235" s="15" t="str">
        <f t="shared" ref="P235:S235" si="233">O235</f>
        <v>1.15</v>
      </c>
      <c r="Q235" s="15" t="str">
        <f t="shared" si="233"/>
        <v>1.15</v>
      </c>
      <c r="R235" s="15" t="str">
        <f>P235</f>
        <v>1.15</v>
      </c>
      <c r="S235" s="15" t="str">
        <f t="shared" si="233"/>
        <v>1.15</v>
      </c>
      <c r="T235" s="6" t="str">
        <f t="shared" si="197"/>
        <v>1|1.15#2|1.15#3|1.15#4|1.15#5|1.15</v>
      </c>
    </row>
    <row r="236" s="6" customFormat="1" ht="16.5" spans="1:20">
      <c r="A236" s="6">
        <v>1010242</v>
      </c>
      <c r="B236" s="6">
        <v>16001</v>
      </c>
      <c r="C236" s="6">
        <v>4</v>
      </c>
      <c r="D236" s="6">
        <v>1</v>
      </c>
      <c r="E236" s="6" t="str">
        <f t="shared" si="198"/>
        <v>106001:13</v>
      </c>
      <c r="F236" s="11" t="s">
        <v>381</v>
      </c>
      <c r="G236" s="6">
        <v>0</v>
      </c>
      <c r="H236" s="6">
        <v>0</v>
      </c>
      <c r="I236" s="6" t="s">
        <v>69</v>
      </c>
      <c r="K236" s="6" t="str">
        <f t="shared" si="196"/>
        <v>106001</v>
      </c>
      <c r="L236" s="4">
        <v>13</v>
      </c>
      <c r="M236" s="6" t="s">
        <v>447</v>
      </c>
      <c r="O236" s="13" t="str">
        <f t="shared" ref="O236:O240" si="234">RIGHT(F236,LEN(F236)-2)</f>
        <v>1.2</v>
      </c>
      <c r="P236" s="13" t="str">
        <f t="shared" ref="P236:S236" si="235">P235</f>
        <v>1.15</v>
      </c>
      <c r="Q236" s="13" t="str">
        <f t="shared" si="235"/>
        <v>1.15</v>
      </c>
      <c r="R236" s="13" t="str">
        <f t="shared" si="235"/>
        <v>1.15</v>
      </c>
      <c r="S236" s="13" t="str">
        <f t="shared" si="235"/>
        <v>1.15</v>
      </c>
      <c r="T236" s="6" t="str">
        <f t="shared" si="197"/>
        <v>1|1.2#2|1.15#3|1.15#4|1.15#5|1.15</v>
      </c>
    </row>
    <row r="237" s="6" customFormat="1" ht="16.5" spans="1:20">
      <c r="A237" s="6">
        <v>1010243</v>
      </c>
      <c r="B237" s="6">
        <v>16001</v>
      </c>
      <c r="C237" s="6">
        <v>4</v>
      </c>
      <c r="D237" s="6">
        <v>2</v>
      </c>
      <c r="E237" s="6" t="str">
        <f t="shared" si="198"/>
        <v>106001:13</v>
      </c>
      <c r="F237" s="11" t="s">
        <v>382</v>
      </c>
      <c r="G237" s="6">
        <v>0</v>
      </c>
      <c r="H237" s="6">
        <v>0</v>
      </c>
      <c r="I237" s="6" t="s">
        <v>71</v>
      </c>
      <c r="K237" s="6" t="str">
        <f t="shared" si="196"/>
        <v>106001</v>
      </c>
      <c r="L237" s="4">
        <v>13</v>
      </c>
      <c r="M237" s="6" t="s">
        <v>447</v>
      </c>
      <c r="O237" s="13" t="str">
        <f t="shared" si="234"/>
        <v>1.2</v>
      </c>
      <c r="P237" s="13" t="str">
        <f t="shared" ref="P237:P240" si="236">O237</f>
        <v>1.2</v>
      </c>
      <c r="Q237" s="13" t="str">
        <f t="shared" ref="Q237:S237" si="237">Q236</f>
        <v>1.15</v>
      </c>
      <c r="R237" s="13" t="str">
        <f t="shared" si="237"/>
        <v>1.15</v>
      </c>
      <c r="S237" s="13" t="str">
        <f t="shared" si="237"/>
        <v>1.15</v>
      </c>
      <c r="T237" s="6" t="str">
        <f t="shared" si="197"/>
        <v>1|1.2#2|1.2#3|1.15#4|1.15#5|1.15</v>
      </c>
    </row>
    <row r="238" s="6" customFormat="1" ht="16.5" spans="1:20">
      <c r="A238" s="6">
        <v>1010244</v>
      </c>
      <c r="B238" s="6">
        <v>16001</v>
      </c>
      <c r="C238" s="6">
        <v>4</v>
      </c>
      <c r="D238" s="6">
        <v>3</v>
      </c>
      <c r="E238" s="6" t="str">
        <f t="shared" si="198"/>
        <v>106001:17</v>
      </c>
      <c r="F238" s="11" t="s">
        <v>383</v>
      </c>
      <c r="G238" s="6">
        <v>0</v>
      </c>
      <c r="H238" s="6">
        <v>0</v>
      </c>
      <c r="I238" s="6" t="s">
        <v>73</v>
      </c>
      <c r="K238" s="6" t="str">
        <f t="shared" si="196"/>
        <v>106001</v>
      </c>
      <c r="L238" s="4">
        <v>17</v>
      </c>
      <c r="M238" s="6" t="s">
        <v>447</v>
      </c>
      <c r="O238" s="13" t="str">
        <f t="shared" si="234"/>
        <v>1.2</v>
      </c>
      <c r="P238" s="13" t="str">
        <f t="shared" si="236"/>
        <v>1.2</v>
      </c>
      <c r="Q238" s="13" t="str">
        <f t="shared" ref="Q238:Q240" si="238">P238</f>
        <v>1.2</v>
      </c>
      <c r="R238" s="13" t="str">
        <f>R237</f>
        <v>1.15</v>
      </c>
      <c r="S238" s="13" t="str">
        <f>S237</f>
        <v>1.15</v>
      </c>
      <c r="T238" s="6" t="str">
        <f t="shared" si="197"/>
        <v>1|1.2#2|1.2#3|1.2#4|1.15#5|1.15</v>
      </c>
    </row>
    <row r="239" s="6" customFormat="1" ht="16.5" spans="1:20">
      <c r="A239" s="6">
        <v>1010245</v>
      </c>
      <c r="B239" s="6">
        <v>16001</v>
      </c>
      <c r="C239" s="6">
        <v>4</v>
      </c>
      <c r="D239" s="6">
        <v>4</v>
      </c>
      <c r="E239" s="6" t="str">
        <f t="shared" si="198"/>
        <v>106001:17</v>
      </c>
      <c r="F239" s="11" t="s">
        <v>384</v>
      </c>
      <c r="G239" s="6">
        <v>0</v>
      </c>
      <c r="H239" s="6">
        <v>0</v>
      </c>
      <c r="I239" s="6" t="s">
        <v>75</v>
      </c>
      <c r="K239" s="6" t="str">
        <f t="shared" si="196"/>
        <v>106001</v>
      </c>
      <c r="L239" s="4">
        <v>17</v>
      </c>
      <c r="M239" s="6" t="s">
        <v>447</v>
      </c>
      <c r="O239" s="13" t="str">
        <f t="shared" si="234"/>
        <v>1.2</v>
      </c>
      <c r="P239" s="13" t="str">
        <f t="shared" si="236"/>
        <v>1.2</v>
      </c>
      <c r="Q239" s="13" t="str">
        <f t="shared" si="238"/>
        <v>1.2</v>
      </c>
      <c r="R239" s="13" t="str">
        <f>Q239</f>
        <v>1.2</v>
      </c>
      <c r="S239" s="13" t="str">
        <f>S238</f>
        <v>1.15</v>
      </c>
      <c r="T239" s="6" t="str">
        <f t="shared" si="197"/>
        <v>1|1.2#2|1.2#3|1.2#4|1.2#5|1.15</v>
      </c>
    </row>
    <row r="240" s="6" customFormat="1" ht="16.5" spans="1:20">
      <c r="A240" s="6">
        <v>1010246</v>
      </c>
      <c r="B240" s="6">
        <v>16001</v>
      </c>
      <c r="C240" s="6">
        <v>4</v>
      </c>
      <c r="D240" s="6">
        <v>5</v>
      </c>
      <c r="E240" s="6" t="str">
        <f t="shared" si="198"/>
        <v>106001:17</v>
      </c>
      <c r="F240" s="11" t="s">
        <v>385</v>
      </c>
      <c r="G240" s="6">
        <v>0</v>
      </c>
      <c r="H240" s="6">
        <v>0</v>
      </c>
      <c r="I240" s="6" t="s">
        <v>40</v>
      </c>
      <c r="K240" s="6" t="str">
        <f t="shared" si="196"/>
        <v>106001</v>
      </c>
      <c r="L240" s="4">
        <v>17</v>
      </c>
      <c r="M240" s="6" t="s">
        <v>146</v>
      </c>
      <c r="O240" s="13" t="str">
        <f t="shared" si="234"/>
        <v>1.2</v>
      </c>
      <c r="P240" s="13" t="str">
        <f t="shared" si="236"/>
        <v>1.2</v>
      </c>
      <c r="Q240" s="13" t="str">
        <f t="shared" si="238"/>
        <v>1.2</v>
      </c>
      <c r="R240" s="13" t="str">
        <f>Q240</f>
        <v>1.2</v>
      </c>
      <c r="S240" s="13" t="str">
        <f>R240</f>
        <v>1.2</v>
      </c>
      <c r="T240" s="6" t="str">
        <f t="shared" si="197"/>
        <v>1|1.2#2|1.2#3|1.2#4|1.2#5|1.2</v>
      </c>
    </row>
    <row r="241" s="6" customFormat="1" ht="16.5" spans="1:20">
      <c r="A241" s="6">
        <v>1010247</v>
      </c>
      <c r="B241" s="6">
        <v>16001</v>
      </c>
      <c r="C241" s="6">
        <v>4</v>
      </c>
      <c r="D241" s="6">
        <v>6</v>
      </c>
      <c r="E241" s="6" t="str">
        <f t="shared" si="198"/>
        <v>106001:60</v>
      </c>
      <c r="F241" s="11">
        <v>0</v>
      </c>
      <c r="G241" s="6">
        <v>11002</v>
      </c>
      <c r="H241" s="6" t="s">
        <v>407</v>
      </c>
      <c r="I241" s="6">
        <v>0</v>
      </c>
      <c r="K241" s="6" t="str">
        <f t="shared" si="196"/>
        <v>106001</v>
      </c>
      <c r="L241" s="13">
        <v>60</v>
      </c>
      <c r="M241" s="6" t="s">
        <v>443</v>
      </c>
      <c r="O241" s="13" t="str">
        <f t="shared" ref="O241:S241" si="239">O240</f>
        <v>1.2</v>
      </c>
      <c r="P241" s="13" t="str">
        <f t="shared" si="239"/>
        <v>1.2</v>
      </c>
      <c r="Q241" s="13" t="str">
        <f t="shared" si="239"/>
        <v>1.2</v>
      </c>
      <c r="R241" s="13" t="str">
        <f t="shared" si="239"/>
        <v>1.2</v>
      </c>
      <c r="S241" s="13" t="str">
        <f t="shared" si="239"/>
        <v>1.2</v>
      </c>
      <c r="T241" s="6" t="str">
        <f t="shared" si="197"/>
        <v>1|1.2#2|1.2#3|1.2#4|1.2#5|1.2</v>
      </c>
    </row>
    <row r="242" s="6" customFormat="1" ht="16.5" spans="1:20">
      <c r="A242" s="6">
        <v>1010248</v>
      </c>
      <c r="B242" s="6">
        <v>16001</v>
      </c>
      <c r="C242" s="6">
        <v>5</v>
      </c>
      <c r="D242" s="6">
        <v>0</v>
      </c>
      <c r="E242" s="6" t="str">
        <f t="shared" si="198"/>
        <v>106001:18</v>
      </c>
      <c r="F242" s="11" t="s">
        <v>386</v>
      </c>
      <c r="G242" s="6">
        <v>0</v>
      </c>
      <c r="H242" s="6">
        <v>0</v>
      </c>
      <c r="I242" s="6" t="s">
        <v>79</v>
      </c>
      <c r="K242" s="6" t="str">
        <f t="shared" si="196"/>
        <v>106001</v>
      </c>
      <c r="L242" s="4">
        <v>18</v>
      </c>
      <c r="M242" s="6" t="s">
        <v>448</v>
      </c>
      <c r="O242" s="15" t="str">
        <f>O241</f>
        <v>1.2</v>
      </c>
      <c r="P242" s="15" t="str">
        <f t="shared" ref="P242:S242" si="240">O242</f>
        <v>1.2</v>
      </c>
      <c r="Q242" s="15" t="str">
        <f t="shared" si="240"/>
        <v>1.2</v>
      </c>
      <c r="R242" s="15" t="str">
        <f>P242</f>
        <v>1.2</v>
      </c>
      <c r="S242" s="15" t="str">
        <f t="shared" si="240"/>
        <v>1.2</v>
      </c>
      <c r="T242" s="6" t="str">
        <f t="shared" si="197"/>
        <v>1|1.2#2|1.2#3|1.2#4|1.2#5|1.2</v>
      </c>
    </row>
    <row r="243" s="6" customFormat="1" ht="16.5" spans="1:20">
      <c r="A243" s="6">
        <v>1010249</v>
      </c>
      <c r="B243" s="6">
        <v>16001</v>
      </c>
      <c r="C243" s="6">
        <v>5</v>
      </c>
      <c r="D243" s="6">
        <v>1</v>
      </c>
      <c r="E243" s="6" t="str">
        <f t="shared" si="198"/>
        <v>106001:18</v>
      </c>
      <c r="F243" s="11" t="s">
        <v>388</v>
      </c>
      <c r="G243" s="6">
        <v>0</v>
      </c>
      <c r="H243" s="6">
        <v>0</v>
      </c>
      <c r="I243" s="6" t="s">
        <v>81</v>
      </c>
      <c r="K243" s="6" t="str">
        <f t="shared" si="196"/>
        <v>106001</v>
      </c>
      <c r="L243" s="4">
        <v>18</v>
      </c>
      <c r="M243" s="6" t="s">
        <v>448</v>
      </c>
      <c r="O243" s="13" t="str">
        <f t="shared" ref="O243:O247" si="241">RIGHT(F243,LEN(F243)-2)</f>
        <v>1.3</v>
      </c>
      <c r="P243" s="13" t="str">
        <f t="shared" ref="P243:S243" si="242">P242</f>
        <v>1.2</v>
      </c>
      <c r="Q243" s="13" t="str">
        <f t="shared" si="242"/>
        <v>1.2</v>
      </c>
      <c r="R243" s="13" t="str">
        <f t="shared" si="242"/>
        <v>1.2</v>
      </c>
      <c r="S243" s="13" t="str">
        <f t="shared" si="242"/>
        <v>1.2</v>
      </c>
      <c r="T243" s="6" t="str">
        <f t="shared" si="197"/>
        <v>1|1.3#2|1.2#3|1.2#4|1.2#5|1.2</v>
      </c>
    </row>
    <row r="244" s="6" customFormat="1" ht="16.5" spans="1:20">
      <c r="A244" s="6">
        <v>1010250</v>
      </c>
      <c r="B244" s="6">
        <v>16001</v>
      </c>
      <c r="C244" s="6">
        <v>5</v>
      </c>
      <c r="D244" s="6">
        <v>2</v>
      </c>
      <c r="E244" s="6" t="str">
        <f t="shared" si="198"/>
        <v>106001:18</v>
      </c>
      <c r="F244" s="11" t="s">
        <v>389</v>
      </c>
      <c r="G244" s="6">
        <v>0</v>
      </c>
      <c r="H244" s="6">
        <v>0</v>
      </c>
      <c r="I244" s="6" t="s">
        <v>83</v>
      </c>
      <c r="K244" s="6" t="str">
        <f t="shared" si="196"/>
        <v>106001</v>
      </c>
      <c r="L244" s="4">
        <v>18</v>
      </c>
      <c r="M244" s="6" t="s">
        <v>448</v>
      </c>
      <c r="O244" s="13" t="str">
        <f t="shared" si="241"/>
        <v>1.3</v>
      </c>
      <c r="P244" s="13" t="str">
        <f t="shared" ref="P244:P247" si="243">O244</f>
        <v>1.3</v>
      </c>
      <c r="Q244" s="13" t="str">
        <f t="shared" ref="Q244:S244" si="244">Q243</f>
        <v>1.2</v>
      </c>
      <c r="R244" s="13" t="str">
        <f t="shared" si="244"/>
        <v>1.2</v>
      </c>
      <c r="S244" s="13" t="str">
        <f t="shared" si="244"/>
        <v>1.2</v>
      </c>
      <c r="T244" s="6" t="str">
        <f t="shared" si="197"/>
        <v>1|1.3#2|1.3#3|1.2#4|1.2#5|1.2</v>
      </c>
    </row>
    <row r="245" s="6" customFormat="1" ht="16.5" spans="1:20">
      <c r="A245" s="6">
        <v>1010251</v>
      </c>
      <c r="B245" s="6">
        <v>16001</v>
      </c>
      <c r="C245" s="6">
        <v>5</v>
      </c>
      <c r="D245" s="6">
        <v>3</v>
      </c>
      <c r="E245" s="6" t="str">
        <f t="shared" si="198"/>
        <v>106001:22</v>
      </c>
      <c r="F245" s="11" t="s">
        <v>390</v>
      </c>
      <c r="G245" s="6">
        <v>0</v>
      </c>
      <c r="H245" s="6">
        <v>0</v>
      </c>
      <c r="I245" s="6" t="s">
        <v>85</v>
      </c>
      <c r="K245" s="6" t="str">
        <f t="shared" si="196"/>
        <v>106001</v>
      </c>
      <c r="L245" s="4">
        <v>22</v>
      </c>
      <c r="M245" s="6" t="s">
        <v>448</v>
      </c>
      <c r="O245" s="13" t="str">
        <f t="shared" si="241"/>
        <v>1.3</v>
      </c>
      <c r="P245" s="13" t="str">
        <f t="shared" si="243"/>
        <v>1.3</v>
      </c>
      <c r="Q245" s="13" t="str">
        <f t="shared" ref="Q245:Q247" si="245">P245</f>
        <v>1.3</v>
      </c>
      <c r="R245" s="13" t="str">
        <f>R244</f>
        <v>1.2</v>
      </c>
      <c r="S245" s="13" t="str">
        <f>S244</f>
        <v>1.2</v>
      </c>
      <c r="T245" s="6" t="str">
        <f t="shared" si="197"/>
        <v>1|1.3#2|1.3#3|1.3#4|1.2#5|1.2</v>
      </c>
    </row>
    <row r="246" s="6" customFormat="1" ht="16.5" spans="1:20">
      <c r="A246" s="6">
        <v>1010252</v>
      </c>
      <c r="B246" s="6">
        <v>16001</v>
      </c>
      <c r="C246" s="6">
        <v>5</v>
      </c>
      <c r="D246" s="6">
        <v>4</v>
      </c>
      <c r="E246" s="6" t="str">
        <f t="shared" si="198"/>
        <v>106001:22</v>
      </c>
      <c r="F246" s="11" t="s">
        <v>391</v>
      </c>
      <c r="G246" s="6">
        <v>0</v>
      </c>
      <c r="H246" s="6">
        <v>0</v>
      </c>
      <c r="I246" s="6" t="s">
        <v>87</v>
      </c>
      <c r="K246" s="6" t="str">
        <f t="shared" si="196"/>
        <v>106001</v>
      </c>
      <c r="L246" s="4">
        <v>22</v>
      </c>
      <c r="M246" s="6" t="s">
        <v>448</v>
      </c>
      <c r="O246" s="13" t="str">
        <f t="shared" si="241"/>
        <v>1.3</v>
      </c>
      <c r="P246" s="13" t="str">
        <f t="shared" si="243"/>
        <v>1.3</v>
      </c>
      <c r="Q246" s="13" t="str">
        <f t="shared" si="245"/>
        <v>1.3</v>
      </c>
      <c r="R246" s="13" t="str">
        <f>Q246</f>
        <v>1.3</v>
      </c>
      <c r="S246" s="13" t="str">
        <f>S245</f>
        <v>1.2</v>
      </c>
      <c r="T246" s="6" t="str">
        <f t="shared" si="197"/>
        <v>1|1.3#2|1.3#3|1.3#4|1.3#5|1.2</v>
      </c>
    </row>
    <row r="247" s="6" customFormat="1" ht="16.5" spans="1:20">
      <c r="A247" s="6">
        <v>1010253</v>
      </c>
      <c r="B247" s="6">
        <v>16001</v>
      </c>
      <c r="C247" s="6">
        <v>5</v>
      </c>
      <c r="D247" s="6">
        <v>5</v>
      </c>
      <c r="E247" s="6" t="str">
        <f t="shared" si="198"/>
        <v>106001:22</v>
      </c>
      <c r="F247" s="11" t="s">
        <v>392</v>
      </c>
      <c r="G247" s="6">
        <v>0</v>
      </c>
      <c r="H247" s="6">
        <v>0</v>
      </c>
      <c r="I247" s="6" t="s">
        <v>40</v>
      </c>
      <c r="K247" s="6" t="str">
        <f t="shared" si="196"/>
        <v>106001</v>
      </c>
      <c r="L247" s="4">
        <v>22</v>
      </c>
      <c r="M247" s="6" t="s">
        <v>449</v>
      </c>
      <c r="O247" s="13" t="str">
        <f t="shared" si="241"/>
        <v>1.3</v>
      </c>
      <c r="P247" s="13" t="str">
        <f t="shared" si="243"/>
        <v>1.3</v>
      </c>
      <c r="Q247" s="13" t="str">
        <f t="shared" si="245"/>
        <v>1.3</v>
      </c>
      <c r="R247" s="13" t="str">
        <f>Q247</f>
        <v>1.3</v>
      </c>
      <c r="S247" s="13" t="str">
        <f>R247</f>
        <v>1.3</v>
      </c>
      <c r="T247" s="6" t="str">
        <f t="shared" si="197"/>
        <v>1|1.3#2|1.3#3|1.3#4|1.3#5|1.3</v>
      </c>
    </row>
    <row r="248" s="6" customFormat="1" ht="16.5" spans="1:20">
      <c r="A248" s="6">
        <v>1010254</v>
      </c>
      <c r="B248" s="6">
        <v>16001</v>
      </c>
      <c r="C248" s="6">
        <v>5</v>
      </c>
      <c r="D248" s="6">
        <v>6</v>
      </c>
      <c r="E248" s="6" t="str">
        <f t="shared" si="198"/>
        <v>106001:60</v>
      </c>
      <c r="F248" s="11">
        <v>0</v>
      </c>
      <c r="G248" s="6">
        <v>11002</v>
      </c>
      <c r="H248" s="6" t="s">
        <v>407</v>
      </c>
      <c r="I248" s="6">
        <v>0</v>
      </c>
      <c r="K248" s="6" t="str">
        <f t="shared" si="196"/>
        <v>106001</v>
      </c>
      <c r="L248" s="13">
        <v>60</v>
      </c>
      <c r="M248" s="6" t="s">
        <v>443</v>
      </c>
      <c r="O248" s="13" t="str">
        <f t="shared" ref="O248:S248" si="246">O247</f>
        <v>1.3</v>
      </c>
      <c r="P248" s="13" t="str">
        <f t="shared" si="246"/>
        <v>1.3</v>
      </c>
      <c r="Q248" s="13" t="str">
        <f t="shared" si="246"/>
        <v>1.3</v>
      </c>
      <c r="R248" s="13" t="str">
        <f t="shared" si="246"/>
        <v>1.3</v>
      </c>
      <c r="S248" s="13" t="str">
        <f t="shared" si="246"/>
        <v>1.3</v>
      </c>
      <c r="T248" s="6" t="str">
        <f t="shared" si="197"/>
        <v>1|1.3#2|1.3#3|1.3#4|1.3#5|1.3</v>
      </c>
    </row>
    <row r="249" s="6" customFormat="1" ht="16.5" spans="1:20">
      <c r="A249" s="6">
        <v>1010255</v>
      </c>
      <c r="B249" s="6">
        <v>16001</v>
      </c>
      <c r="C249" s="6">
        <v>6</v>
      </c>
      <c r="D249" s="6">
        <v>0</v>
      </c>
      <c r="E249" s="6" t="str">
        <f t="shared" si="198"/>
        <v>106001:24</v>
      </c>
      <c r="F249" s="11" t="s">
        <v>394</v>
      </c>
      <c r="G249" s="6">
        <v>0</v>
      </c>
      <c r="H249" s="6">
        <v>0</v>
      </c>
      <c r="I249" s="6" t="s">
        <v>90</v>
      </c>
      <c r="K249" s="6" t="str">
        <f t="shared" si="196"/>
        <v>106001</v>
      </c>
      <c r="L249" s="4">
        <v>24</v>
      </c>
      <c r="M249" s="6" t="s">
        <v>450</v>
      </c>
      <c r="O249" s="15" t="str">
        <f>O248</f>
        <v>1.3</v>
      </c>
      <c r="P249" s="15" t="str">
        <f t="shared" ref="P249:S249" si="247">O249</f>
        <v>1.3</v>
      </c>
      <c r="Q249" s="15" t="str">
        <f t="shared" si="247"/>
        <v>1.3</v>
      </c>
      <c r="R249" s="15" t="str">
        <f>P249</f>
        <v>1.3</v>
      </c>
      <c r="S249" s="15" t="str">
        <f t="shared" si="247"/>
        <v>1.3</v>
      </c>
      <c r="T249" s="6" t="str">
        <f t="shared" si="197"/>
        <v>1|1.3#2|1.3#3|1.3#4|1.3#5|1.3</v>
      </c>
    </row>
    <row r="250" s="6" customFormat="1" ht="16.5" spans="1:20">
      <c r="A250" s="6">
        <v>1010256</v>
      </c>
      <c r="B250" s="6">
        <v>16001</v>
      </c>
      <c r="C250" s="6">
        <v>6</v>
      </c>
      <c r="D250" s="6">
        <v>1</v>
      </c>
      <c r="E250" s="6" t="str">
        <f t="shared" si="198"/>
        <v>106001:24</v>
      </c>
      <c r="F250" s="11" t="s">
        <v>396</v>
      </c>
      <c r="G250" s="6">
        <v>0</v>
      </c>
      <c r="H250" s="6">
        <v>0</v>
      </c>
      <c r="I250" s="6" t="s">
        <v>92</v>
      </c>
      <c r="K250" s="6" t="str">
        <f t="shared" si="196"/>
        <v>106001</v>
      </c>
      <c r="L250" s="4">
        <v>24</v>
      </c>
      <c r="M250" s="6" t="s">
        <v>450</v>
      </c>
      <c r="O250" s="13" t="str">
        <f t="shared" ref="O250:O254" si="248">RIGHT(F250,LEN(F250)-2)</f>
        <v>1.4</v>
      </c>
      <c r="P250" s="13" t="str">
        <f t="shared" ref="P250:S250" si="249">P249</f>
        <v>1.3</v>
      </c>
      <c r="Q250" s="13" t="str">
        <f t="shared" si="249"/>
        <v>1.3</v>
      </c>
      <c r="R250" s="13" t="str">
        <f t="shared" si="249"/>
        <v>1.3</v>
      </c>
      <c r="S250" s="13" t="str">
        <f t="shared" si="249"/>
        <v>1.3</v>
      </c>
      <c r="T250" s="6" t="str">
        <f t="shared" si="197"/>
        <v>1|1.4#2|1.3#3|1.3#4|1.3#5|1.3</v>
      </c>
    </row>
    <row r="251" s="6" customFormat="1" ht="16.5" spans="1:20">
      <c r="A251" s="6">
        <v>1010257</v>
      </c>
      <c r="B251" s="6">
        <v>16001</v>
      </c>
      <c r="C251" s="6">
        <v>6</v>
      </c>
      <c r="D251" s="6">
        <v>2</v>
      </c>
      <c r="E251" s="6" t="str">
        <f t="shared" si="198"/>
        <v>106001:24</v>
      </c>
      <c r="F251" s="11" t="s">
        <v>397</v>
      </c>
      <c r="G251" s="6">
        <v>0</v>
      </c>
      <c r="H251" s="6">
        <v>0</v>
      </c>
      <c r="I251" s="6" t="s">
        <v>94</v>
      </c>
      <c r="K251" s="6" t="str">
        <f t="shared" si="196"/>
        <v>106001</v>
      </c>
      <c r="L251" s="4">
        <v>24</v>
      </c>
      <c r="M251" s="6" t="s">
        <v>450</v>
      </c>
      <c r="O251" s="13" t="str">
        <f t="shared" si="248"/>
        <v>1.4</v>
      </c>
      <c r="P251" s="13" t="str">
        <f t="shared" ref="P251:P254" si="250">O251</f>
        <v>1.4</v>
      </c>
      <c r="Q251" s="13" t="str">
        <f t="shared" ref="Q251:S251" si="251">Q250</f>
        <v>1.3</v>
      </c>
      <c r="R251" s="13" t="str">
        <f t="shared" si="251"/>
        <v>1.3</v>
      </c>
      <c r="S251" s="13" t="str">
        <f t="shared" si="251"/>
        <v>1.3</v>
      </c>
      <c r="T251" s="6" t="str">
        <f t="shared" si="197"/>
        <v>1|1.4#2|1.4#3|1.3#4|1.3#5|1.3</v>
      </c>
    </row>
    <row r="252" s="6" customFormat="1" ht="16.5" spans="1:20">
      <c r="A252" s="6">
        <v>1010258</v>
      </c>
      <c r="B252" s="6">
        <v>16001</v>
      </c>
      <c r="C252" s="6">
        <v>6</v>
      </c>
      <c r="D252" s="6">
        <v>3</v>
      </c>
      <c r="E252" s="6" t="str">
        <f t="shared" si="198"/>
        <v>106001:24</v>
      </c>
      <c r="F252" s="11" t="s">
        <v>398</v>
      </c>
      <c r="G252" s="6">
        <v>0</v>
      </c>
      <c r="H252" s="6">
        <v>0</v>
      </c>
      <c r="I252" s="6" t="s">
        <v>96</v>
      </c>
      <c r="K252" s="6" t="str">
        <f t="shared" si="196"/>
        <v>106001</v>
      </c>
      <c r="L252" s="4">
        <v>24</v>
      </c>
      <c r="M252" s="6" t="s">
        <v>450</v>
      </c>
      <c r="O252" s="13" t="str">
        <f t="shared" si="248"/>
        <v>1.4</v>
      </c>
      <c r="P252" s="13" t="str">
        <f t="shared" si="250"/>
        <v>1.4</v>
      </c>
      <c r="Q252" s="13" t="str">
        <f t="shared" ref="Q252:Q254" si="252">P252</f>
        <v>1.4</v>
      </c>
      <c r="R252" s="13" t="str">
        <f>R251</f>
        <v>1.3</v>
      </c>
      <c r="S252" s="13" t="str">
        <f t="shared" ref="S252:S259" si="253">S251</f>
        <v>1.3</v>
      </c>
      <c r="T252" s="6" t="str">
        <f t="shared" si="197"/>
        <v>1|1.4#2|1.4#3|1.4#4|1.3#5|1.3</v>
      </c>
    </row>
    <row r="253" s="6" customFormat="1" ht="16.5" spans="1:20">
      <c r="A253" s="6">
        <v>1010259</v>
      </c>
      <c r="B253" s="6">
        <v>16001</v>
      </c>
      <c r="C253" s="6">
        <v>6</v>
      </c>
      <c r="D253" s="6">
        <v>4</v>
      </c>
      <c r="E253" s="6" t="str">
        <f t="shared" si="198"/>
        <v>106001:24</v>
      </c>
      <c r="F253" s="11" t="s">
        <v>399</v>
      </c>
      <c r="G253" s="6">
        <v>0</v>
      </c>
      <c r="H253" s="6">
        <v>0</v>
      </c>
      <c r="I253" s="6" t="s">
        <v>98</v>
      </c>
      <c r="K253" s="6" t="str">
        <f t="shared" si="196"/>
        <v>106001</v>
      </c>
      <c r="L253" s="4">
        <v>24</v>
      </c>
      <c r="M253" s="6" t="s">
        <v>450</v>
      </c>
      <c r="O253" s="13" t="str">
        <f t="shared" si="248"/>
        <v>1.4</v>
      </c>
      <c r="P253" s="13" t="str">
        <f t="shared" si="250"/>
        <v>1.4</v>
      </c>
      <c r="Q253" s="13" t="str">
        <f t="shared" si="252"/>
        <v>1.4</v>
      </c>
      <c r="R253" s="13" t="str">
        <f>Q253</f>
        <v>1.4</v>
      </c>
      <c r="S253" s="13" t="str">
        <f t="shared" si="253"/>
        <v>1.3</v>
      </c>
      <c r="T253" s="6" t="str">
        <f t="shared" si="197"/>
        <v>1|1.4#2|1.4#3|1.4#4|1.4#5|1.3</v>
      </c>
    </row>
    <row r="254" s="6" customFormat="1" ht="16.5" spans="1:20">
      <c r="A254" s="6">
        <v>1010260</v>
      </c>
      <c r="B254" s="6">
        <v>16001</v>
      </c>
      <c r="C254" s="6">
        <v>6</v>
      </c>
      <c r="D254" s="6">
        <v>5</v>
      </c>
      <c r="E254" s="6" t="str">
        <f t="shared" si="198"/>
        <v>106001:60</v>
      </c>
      <c r="F254" s="11" t="s">
        <v>400</v>
      </c>
      <c r="G254" s="6">
        <v>0</v>
      </c>
      <c r="H254" s="6">
        <v>0</v>
      </c>
      <c r="I254" s="6" t="s">
        <v>40</v>
      </c>
      <c r="K254" s="6" t="str">
        <f t="shared" si="196"/>
        <v>106001</v>
      </c>
      <c r="L254" s="4">
        <v>60</v>
      </c>
      <c r="M254" s="6" t="s">
        <v>449</v>
      </c>
      <c r="O254" s="13" t="str">
        <f t="shared" si="248"/>
        <v>1.4</v>
      </c>
      <c r="P254" s="13" t="str">
        <f t="shared" si="250"/>
        <v>1.4</v>
      </c>
      <c r="Q254" s="13" t="str">
        <f t="shared" si="252"/>
        <v>1.4</v>
      </c>
      <c r="R254" s="13" t="str">
        <f>Q254</f>
        <v>1.4</v>
      </c>
      <c r="S254" s="13" t="str">
        <f>R254</f>
        <v>1.4</v>
      </c>
      <c r="T254" s="6" t="str">
        <f t="shared" si="197"/>
        <v>1|1.4#2|1.4#3|1.4#4|1.4#5|1.4</v>
      </c>
    </row>
    <row r="255" s="6" customFormat="1" ht="16.5" spans="1:20">
      <c r="A255" s="6">
        <v>1010261</v>
      </c>
      <c r="B255" s="6">
        <v>16001</v>
      </c>
      <c r="C255" s="6">
        <v>6</v>
      </c>
      <c r="D255" s="6">
        <v>6</v>
      </c>
      <c r="E255" s="6" t="str">
        <f t="shared" si="198"/>
        <v>106001:0</v>
      </c>
      <c r="F255" s="11">
        <v>0</v>
      </c>
      <c r="G255" s="6">
        <v>11002</v>
      </c>
      <c r="H255" s="6" t="s">
        <v>407</v>
      </c>
      <c r="I255" s="6">
        <v>0</v>
      </c>
      <c r="K255" s="6" t="str">
        <f t="shared" si="196"/>
        <v>106001</v>
      </c>
      <c r="L255" s="4">
        <v>0</v>
      </c>
      <c r="M255" s="6" t="s">
        <v>443</v>
      </c>
      <c r="O255" s="13" t="str">
        <f t="shared" ref="O255:S255" si="254">O254</f>
        <v>1.4</v>
      </c>
      <c r="P255" s="13" t="str">
        <f t="shared" si="254"/>
        <v>1.4</v>
      </c>
      <c r="Q255" s="13" t="str">
        <f t="shared" si="254"/>
        <v>1.4</v>
      </c>
      <c r="R255" s="13" t="str">
        <f t="shared" si="254"/>
        <v>1.4</v>
      </c>
      <c r="S255" s="13" t="str">
        <f t="shared" si="254"/>
        <v>1.4</v>
      </c>
      <c r="T255" s="6" t="str">
        <f t="shared" si="197"/>
        <v>1|1.4#2|1.4#3|1.4#4|1.4#5|1.4</v>
      </c>
    </row>
    <row r="256" s="6" customFormat="1" ht="16.5" spans="1:20">
      <c r="A256" s="6">
        <v>1010262</v>
      </c>
      <c r="B256" s="6">
        <v>21001</v>
      </c>
      <c r="C256" s="6">
        <v>1</v>
      </c>
      <c r="D256" s="6">
        <v>0</v>
      </c>
      <c r="E256" s="6" t="str">
        <f t="shared" si="198"/>
        <v>201001:2</v>
      </c>
      <c r="F256" s="11" t="s">
        <v>356</v>
      </c>
      <c r="G256" s="6">
        <v>0</v>
      </c>
      <c r="H256" s="6">
        <v>0</v>
      </c>
      <c r="I256" s="6" t="s">
        <v>25</v>
      </c>
      <c r="K256" s="6" t="str">
        <f t="shared" si="196"/>
        <v>201001</v>
      </c>
      <c r="L256" s="4">
        <v>2</v>
      </c>
      <c r="M256" s="6" t="s">
        <v>451</v>
      </c>
      <c r="O256" s="13">
        <v>1</v>
      </c>
      <c r="P256" s="13">
        <f t="shared" ref="P256:S256" si="255">O256</f>
        <v>1</v>
      </c>
      <c r="Q256" s="13">
        <f t="shared" si="255"/>
        <v>1</v>
      </c>
      <c r="R256" s="13">
        <f>P256</f>
        <v>1</v>
      </c>
      <c r="S256" s="13">
        <f t="shared" si="255"/>
        <v>1</v>
      </c>
      <c r="T256" s="6" t="str">
        <f t="shared" si="197"/>
        <v>1|1#2|1#3|1#4|1#5|1</v>
      </c>
    </row>
    <row r="257" s="6" customFormat="1" ht="16.5" spans="1:20">
      <c r="A257" s="6">
        <v>1010263</v>
      </c>
      <c r="B257" s="6">
        <v>21001</v>
      </c>
      <c r="C257" s="6">
        <v>1</v>
      </c>
      <c r="D257" s="6">
        <v>1</v>
      </c>
      <c r="E257" s="6" t="str">
        <f t="shared" si="198"/>
        <v>201001:2</v>
      </c>
      <c r="F257" s="11" t="s">
        <v>358</v>
      </c>
      <c r="G257" s="6">
        <v>0</v>
      </c>
      <c r="H257" s="6">
        <v>0</v>
      </c>
      <c r="I257" s="6" t="s">
        <v>28</v>
      </c>
      <c r="K257" s="6" t="str">
        <f t="shared" si="196"/>
        <v>201001</v>
      </c>
      <c r="L257" s="4">
        <v>2</v>
      </c>
      <c r="M257" s="6" t="s">
        <v>451</v>
      </c>
      <c r="O257" s="13" t="str">
        <f t="shared" ref="O257:O261" si="256">RIGHT(F257,LEN(F257)-2)</f>
        <v>1.05</v>
      </c>
      <c r="P257" s="13">
        <v>1</v>
      </c>
      <c r="Q257" s="13">
        <f>Q256</f>
        <v>1</v>
      </c>
      <c r="R257" s="13">
        <f>R256</f>
        <v>1</v>
      </c>
      <c r="S257" s="13">
        <f t="shared" si="253"/>
        <v>1</v>
      </c>
      <c r="T257" s="6" t="str">
        <f t="shared" si="197"/>
        <v>1|1.05#2|1#3|1#4|1#5|1</v>
      </c>
    </row>
    <row r="258" s="6" customFormat="1" ht="16.5" spans="1:20">
      <c r="A258" s="6">
        <v>1010264</v>
      </c>
      <c r="B258" s="6">
        <v>21001</v>
      </c>
      <c r="C258" s="6">
        <v>1</v>
      </c>
      <c r="D258" s="6">
        <v>2</v>
      </c>
      <c r="E258" s="6" t="str">
        <f t="shared" si="198"/>
        <v>201001:2</v>
      </c>
      <c r="F258" s="11" t="s">
        <v>359</v>
      </c>
      <c r="G258" s="6">
        <v>0</v>
      </c>
      <c r="H258" s="6">
        <v>0</v>
      </c>
      <c r="I258" s="6" t="s">
        <v>31</v>
      </c>
      <c r="K258" s="6" t="str">
        <f t="shared" si="196"/>
        <v>201001</v>
      </c>
      <c r="L258" s="4">
        <v>2</v>
      </c>
      <c r="M258" s="6" t="s">
        <v>451</v>
      </c>
      <c r="O258" s="13" t="str">
        <f t="shared" si="256"/>
        <v>1.05</v>
      </c>
      <c r="P258" s="13" t="str">
        <f t="shared" ref="P258:P261" si="257">O258</f>
        <v>1.05</v>
      </c>
      <c r="Q258" s="13">
        <v>1</v>
      </c>
      <c r="R258" s="13">
        <f>R257</f>
        <v>1</v>
      </c>
      <c r="S258" s="13">
        <f t="shared" si="253"/>
        <v>1</v>
      </c>
      <c r="T258" s="6" t="str">
        <f t="shared" si="197"/>
        <v>1|1.05#2|1.05#3|1#4|1#5|1</v>
      </c>
    </row>
    <row r="259" s="6" customFormat="1" ht="16.5" spans="1:20">
      <c r="A259" s="6">
        <v>1010265</v>
      </c>
      <c r="B259" s="6">
        <v>21001</v>
      </c>
      <c r="C259" s="6">
        <v>1</v>
      </c>
      <c r="D259" s="6">
        <v>3</v>
      </c>
      <c r="E259" s="6" t="str">
        <f t="shared" si="198"/>
        <v>201001:3</v>
      </c>
      <c r="F259" s="11" t="s">
        <v>360</v>
      </c>
      <c r="G259" s="6">
        <v>0</v>
      </c>
      <c r="H259" s="6">
        <v>0</v>
      </c>
      <c r="I259" s="6" t="s">
        <v>34</v>
      </c>
      <c r="K259" s="6" t="str">
        <f t="shared" si="196"/>
        <v>201001</v>
      </c>
      <c r="L259" s="4">
        <v>3</v>
      </c>
      <c r="M259" s="6" t="s">
        <v>451</v>
      </c>
      <c r="O259" s="13" t="str">
        <f t="shared" si="256"/>
        <v>1.05</v>
      </c>
      <c r="P259" s="13" t="str">
        <f t="shared" si="257"/>
        <v>1.05</v>
      </c>
      <c r="Q259" s="13" t="str">
        <f t="shared" ref="Q259:Q261" si="258">P259</f>
        <v>1.05</v>
      </c>
      <c r="R259" s="13">
        <v>1</v>
      </c>
      <c r="S259" s="13">
        <f t="shared" si="253"/>
        <v>1</v>
      </c>
      <c r="T259" s="6" t="str">
        <f t="shared" si="197"/>
        <v>1|1.05#2|1.05#3|1.05#4|1#5|1</v>
      </c>
    </row>
    <row r="260" s="6" customFormat="1" ht="16.5" spans="1:20">
      <c r="A260" s="6">
        <v>1010266</v>
      </c>
      <c r="B260" s="6">
        <v>21001</v>
      </c>
      <c r="C260" s="6">
        <v>1</v>
      </c>
      <c r="D260" s="6">
        <v>4</v>
      </c>
      <c r="E260" s="6" t="str">
        <f t="shared" si="198"/>
        <v>201001:3</v>
      </c>
      <c r="F260" s="11" t="s">
        <v>361</v>
      </c>
      <c r="G260" s="6">
        <v>0</v>
      </c>
      <c r="H260" s="6">
        <v>0</v>
      </c>
      <c r="I260" s="6" t="s">
        <v>37</v>
      </c>
      <c r="K260" s="6" t="str">
        <f t="shared" si="196"/>
        <v>201001</v>
      </c>
      <c r="L260" s="4">
        <v>3</v>
      </c>
      <c r="M260" s="6" t="s">
        <v>451</v>
      </c>
      <c r="O260" s="13" t="str">
        <f t="shared" si="256"/>
        <v>1.05</v>
      </c>
      <c r="P260" s="13" t="str">
        <f t="shared" si="257"/>
        <v>1.05</v>
      </c>
      <c r="Q260" s="13" t="str">
        <f t="shared" si="258"/>
        <v>1.05</v>
      </c>
      <c r="R260" s="13" t="str">
        <f>Q260</f>
        <v>1.05</v>
      </c>
      <c r="S260" s="13">
        <v>1</v>
      </c>
      <c r="T260" s="6" t="str">
        <f t="shared" si="197"/>
        <v>1|1.05#2|1.05#3|1.05#4|1.05#5|1</v>
      </c>
    </row>
    <row r="261" s="6" customFormat="1" ht="16.5" spans="1:20">
      <c r="A261" s="6">
        <v>1010267</v>
      </c>
      <c r="B261" s="6">
        <v>21001</v>
      </c>
      <c r="C261" s="6">
        <v>1</v>
      </c>
      <c r="D261" s="6">
        <v>5</v>
      </c>
      <c r="E261" s="6" t="str">
        <f t="shared" si="198"/>
        <v>201001:3</v>
      </c>
      <c r="F261" s="11" t="s">
        <v>362</v>
      </c>
      <c r="G261" s="6">
        <v>0</v>
      </c>
      <c r="H261" s="6">
        <v>0</v>
      </c>
      <c r="I261" s="6" t="s">
        <v>40</v>
      </c>
      <c r="K261" s="6" t="str">
        <f t="shared" ref="K261:K324" si="259">LEFT(M261,6)</f>
        <v>201001</v>
      </c>
      <c r="L261" s="4">
        <v>3</v>
      </c>
      <c r="M261" s="6" t="s">
        <v>452</v>
      </c>
      <c r="O261" s="13" t="str">
        <f t="shared" si="256"/>
        <v>1.05</v>
      </c>
      <c r="P261" s="13" t="str">
        <f t="shared" si="257"/>
        <v>1.05</v>
      </c>
      <c r="Q261" s="13" t="str">
        <f t="shared" si="258"/>
        <v>1.05</v>
      </c>
      <c r="R261" s="13" t="str">
        <f>Q261</f>
        <v>1.05</v>
      </c>
      <c r="S261" s="13" t="str">
        <f>R261</f>
        <v>1.05</v>
      </c>
      <c r="T261" s="6" t="str">
        <f t="shared" ref="T261:T324" si="260">$O$2&amp;$P$3&amp;O261&amp;$O$1&amp;$P$2&amp;$P$3&amp;P261&amp;$O$1&amp;$Q$2&amp;$P$3&amp;Q261&amp;$O$1&amp;$R$2&amp;$P$3&amp;R261&amp;$O$1&amp;$S$2&amp;$P$3&amp;S261</f>
        <v>1|1.05#2|1.05#3|1.05#4|1.05#5|1.05</v>
      </c>
    </row>
    <row r="262" s="6" customFormat="1" ht="16.5" spans="1:20">
      <c r="A262" s="6">
        <v>1010268</v>
      </c>
      <c r="B262" s="6">
        <v>21001</v>
      </c>
      <c r="C262" s="6">
        <v>1</v>
      </c>
      <c r="D262" s="6">
        <v>6</v>
      </c>
      <c r="E262" s="6" t="str">
        <f t="shared" ref="E262:E325" si="261">K262&amp;$K$3&amp;L262</f>
        <v>201001:5</v>
      </c>
      <c r="F262" s="11">
        <v>0</v>
      </c>
      <c r="G262" s="6">
        <v>11002</v>
      </c>
      <c r="H262" s="6" t="s">
        <v>407</v>
      </c>
      <c r="I262" s="6">
        <v>0</v>
      </c>
      <c r="K262" s="6" t="str">
        <f t="shared" si="259"/>
        <v>201001</v>
      </c>
      <c r="L262" s="13">
        <v>5</v>
      </c>
      <c r="M262" s="6" t="s">
        <v>453</v>
      </c>
      <c r="O262" s="13" t="str">
        <f t="shared" ref="O262:S262" si="262">O261</f>
        <v>1.05</v>
      </c>
      <c r="P262" s="13" t="str">
        <f t="shared" si="262"/>
        <v>1.05</v>
      </c>
      <c r="Q262" s="13" t="str">
        <f t="shared" si="262"/>
        <v>1.05</v>
      </c>
      <c r="R262" s="13" t="str">
        <f t="shared" si="262"/>
        <v>1.05</v>
      </c>
      <c r="S262" s="13" t="str">
        <f t="shared" si="262"/>
        <v>1.05</v>
      </c>
      <c r="T262" s="6" t="str">
        <f t="shared" si="260"/>
        <v>1|1.05#2|1.05#3|1.05#4|1.05#5|1.05</v>
      </c>
    </row>
    <row r="263" s="6" customFormat="1" ht="16.5" spans="1:20">
      <c r="A263" s="6">
        <v>1010269</v>
      </c>
      <c r="B263" s="6">
        <v>21001</v>
      </c>
      <c r="C263" s="6">
        <v>2</v>
      </c>
      <c r="D263" s="6">
        <v>0</v>
      </c>
      <c r="E263" s="6" t="str">
        <f t="shared" si="261"/>
        <v>201001:5</v>
      </c>
      <c r="F263" s="11" t="s">
        <v>364</v>
      </c>
      <c r="G263" s="6">
        <v>0</v>
      </c>
      <c r="H263" s="6">
        <v>0</v>
      </c>
      <c r="I263" s="6" t="s">
        <v>43</v>
      </c>
      <c r="K263" s="6" t="str">
        <f t="shared" si="259"/>
        <v>201001</v>
      </c>
      <c r="L263" s="4">
        <v>5</v>
      </c>
      <c r="M263" s="6" t="s">
        <v>454</v>
      </c>
      <c r="O263" s="15" t="str">
        <f>O262</f>
        <v>1.05</v>
      </c>
      <c r="P263" s="15" t="str">
        <f t="shared" ref="P263:S263" si="263">O263</f>
        <v>1.05</v>
      </c>
      <c r="Q263" s="15" t="str">
        <f t="shared" si="263"/>
        <v>1.05</v>
      </c>
      <c r="R263" s="15" t="str">
        <f>P263</f>
        <v>1.05</v>
      </c>
      <c r="S263" s="15" t="str">
        <f t="shared" si="263"/>
        <v>1.05</v>
      </c>
      <c r="T263" s="6" t="str">
        <f t="shared" si="260"/>
        <v>1|1.05#2|1.05#3|1.05#4|1.05#5|1.05</v>
      </c>
    </row>
    <row r="264" s="6" customFormat="1" ht="16.5" spans="1:20">
      <c r="A264" s="6">
        <v>1010270</v>
      </c>
      <c r="B264" s="6">
        <v>21001</v>
      </c>
      <c r="C264" s="6">
        <v>2</v>
      </c>
      <c r="D264" s="6">
        <v>1</v>
      </c>
      <c r="E264" s="6" t="str">
        <f t="shared" si="261"/>
        <v>201001:5</v>
      </c>
      <c r="F264" s="11" t="s">
        <v>366</v>
      </c>
      <c r="G264" s="6">
        <v>0</v>
      </c>
      <c r="H264" s="6">
        <v>0</v>
      </c>
      <c r="I264" s="6" t="s">
        <v>45</v>
      </c>
      <c r="K264" s="6" t="str">
        <f t="shared" si="259"/>
        <v>201001</v>
      </c>
      <c r="L264" s="4">
        <v>5</v>
      </c>
      <c r="M264" s="6" t="s">
        <v>454</v>
      </c>
      <c r="O264" s="13" t="str">
        <f t="shared" ref="O264:O268" si="264">RIGHT(F264,LEN(F264)-2)</f>
        <v>1.1</v>
      </c>
      <c r="P264" s="13">
        <v>1.05</v>
      </c>
      <c r="Q264" s="13" t="str">
        <f t="shared" ref="Q264:S264" si="265">Q263</f>
        <v>1.05</v>
      </c>
      <c r="R264" s="13" t="str">
        <f t="shared" si="265"/>
        <v>1.05</v>
      </c>
      <c r="S264" s="13" t="str">
        <f t="shared" si="265"/>
        <v>1.05</v>
      </c>
      <c r="T264" s="6" t="str">
        <f t="shared" si="260"/>
        <v>1|1.1#2|1.05#3|1.05#4|1.05#5|1.05</v>
      </c>
    </row>
    <row r="265" s="6" customFormat="1" ht="16.5" spans="1:20">
      <c r="A265" s="6">
        <v>1010271</v>
      </c>
      <c r="B265" s="6">
        <v>21001</v>
      </c>
      <c r="C265" s="6">
        <v>2</v>
      </c>
      <c r="D265" s="6">
        <v>2</v>
      </c>
      <c r="E265" s="6" t="str">
        <f t="shared" si="261"/>
        <v>201001:5</v>
      </c>
      <c r="F265" s="11" t="s">
        <v>367</v>
      </c>
      <c r="G265" s="6">
        <v>0</v>
      </c>
      <c r="H265" s="6">
        <v>0</v>
      </c>
      <c r="I265" s="6" t="s">
        <v>47</v>
      </c>
      <c r="K265" s="6" t="str">
        <f t="shared" si="259"/>
        <v>201001</v>
      </c>
      <c r="L265" s="4">
        <v>5</v>
      </c>
      <c r="M265" s="6" t="s">
        <v>454</v>
      </c>
      <c r="O265" s="13" t="str">
        <f t="shared" si="264"/>
        <v>1.1</v>
      </c>
      <c r="P265" s="13" t="str">
        <f t="shared" ref="P265:P268" si="266">O265</f>
        <v>1.1</v>
      </c>
      <c r="Q265" s="13">
        <v>1.05</v>
      </c>
      <c r="R265" s="13" t="str">
        <f>R264</f>
        <v>1.05</v>
      </c>
      <c r="S265" s="13" t="str">
        <f>S264</f>
        <v>1.05</v>
      </c>
      <c r="T265" s="6" t="str">
        <f t="shared" si="260"/>
        <v>1|1.1#2|1.1#3|1.05#4|1.05#5|1.05</v>
      </c>
    </row>
    <row r="266" s="6" customFormat="1" ht="16.5" spans="1:20">
      <c r="A266" s="6">
        <v>1010272</v>
      </c>
      <c r="B266" s="6">
        <v>21001</v>
      </c>
      <c r="C266" s="6">
        <v>2</v>
      </c>
      <c r="D266" s="6">
        <v>3</v>
      </c>
      <c r="E266" s="6" t="str">
        <f t="shared" si="261"/>
        <v>201001:6</v>
      </c>
      <c r="F266" s="11" t="s">
        <v>368</v>
      </c>
      <c r="G266" s="6">
        <v>0</v>
      </c>
      <c r="H266" s="6">
        <v>0</v>
      </c>
      <c r="I266" s="6" t="s">
        <v>49</v>
      </c>
      <c r="K266" s="6" t="str">
        <f t="shared" si="259"/>
        <v>201001</v>
      </c>
      <c r="L266" s="4">
        <v>6</v>
      </c>
      <c r="M266" s="6" t="s">
        <v>454</v>
      </c>
      <c r="O266" s="13" t="str">
        <f t="shared" si="264"/>
        <v>1.1</v>
      </c>
      <c r="P266" s="13" t="str">
        <f t="shared" si="266"/>
        <v>1.1</v>
      </c>
      <c r="Q266" s="13" t="str">
        <f t="shared" ref="Q266:Q268" si="267">P266</f>
        <v>1.1</v>
      </c>
      <c r="R266" s="13">
        <v>1.05</v>
      </c>
      <c r="S266" s="13" t="str">
        <f>S265</f>
        <v>1.05</v>
      </c>
      <c r="T266" s="6" t="str">
        <f t="shared" si="260"/>
        <v>1|1.1#2|1.1#3|1.1#4|1.05#5|1.05</v>
      </c>
    </row>
    <row r="267" s="6" customFormat="1" ht="16.5" spans="1:20">
      <c r="A267" s="6">
        <v>1010273</v>
      </c>
      <c r="B267" s="6">
        <v>21001</v>
      </c>
      <c r="C267" s="6">
        <v>2</v>
      </c>
      <c r="D267" s="6">
        <v>4</v>
      </c>
      <c r="E267" s="6" t="str">
        <f t="shared" si="261"/>
        <v>201001:6</v>
      </c>
      <c r="F267" s="11" t="s">
        <v>369</v>
      </c>
      <c r="G267" s="6">
        <v>0</v>
      </c>
      <c r="H267" s="6">
        <v>0</v>
      </c>
      <c r="I267" s="6" t="s">
        <v>51</v>
      </c>
      <c r="K267" s="6" t="str">
        <f t="shared" si="259"/>
        <v>201001</v>
      </c>
      <c r="L267" s="4">
        <v>6</v>
      </c>
      <c r="M267" s="6" t="s">
        <v>454</v>
      </c>
      <c r="O267" s="13" t="str">
        <f t="shared" si="264"/>
        <v>1.1</v>
      </c>
      <c r="P267" s="13" t="str">
        <f t="shared" si="266"/>
        <v>1.1</v>
      </c>
      <c r="Q267" s="13" t="str">
        <f t="shared" si="267"/>
        <v>1.1</v>
      </c>
      <c r="R267" s="13" t="str">
        <f>Q267</f>
        <v>1.1</v>
      </c>
      <c r="S267" s="13">
        <v>1.05</v>
      </c>
      <c r="T267" s="6" t="str">
        <f t="shared" si="260"/>
        <v>1|1.1#2|1.1#3|1.1#4|1.1#5|1.05</v>
      </c>
    </row>
    <row r="268" s="6" customFormat="1" ht="16.5" spans="1:20">
      <c r="A268" s="6">
        <v>1010274</v>
      </c>
      <c r="B268" s="6">
        <v>21001</v>
      </c>
      <c r="C268" s="6">
        <v>2</v>
      </c>
      <c r="D268" s="6">
        <v>5</v>
      </c>
      <c r="E268" s="6" t="str">
        <f t="shared" si="261"/>
        <v>201001:6</v>
      </c>
      <c r="F268" s="11" t="s">
        <v>370</v>
      </c>
      <c r="G268" s="6">
        <v>0</v>
      </c>
      <c r="H268" s="6">
        <v>0</v>
      </c>
      <c r="I268" s="6" t="s">
        <v>40</v>
      </c>
      <c r="K268" s="6" t="str">
        <f t="shared" si="259"/>
        <v>201001</v>
      </c>
      <c r="L268" s="4">
        <v>6</v>
      </c>
      <c r="M268" s="6" t="s">
        <v>155</v>
      </c>
      <c r="O268" s="13" t="str">
        <f t="shared" si="264"/>
        <v>1.1</v>
      </c>
      <c r="P268" s="13" t="str">
        <f t="shared" si="266"/>
        <v>1.1</v>
      </c>
      <c r="Q268" s="13" t="str">
        <f t="shared" si="267"/>
        <v>1.1</v>
      </c>
      <c r="R268" s="13" t="str">
        <f>Q268</f>
        <v>1.1</v>
      </c>
      <c r="S268" s="13" t="str">
        <f>R268</f>
        <v>1.1</v>
      </c>
      <c r="T268" s="6" t="str">
        <f t="shared" si="260"/>
        <v>1|1.1#2|1.1#3|1.1#4|1.1#5|1.1</v>
      </c>
    </row>
    <row r="269" s="6" customFormat="1" ht="16.5" spans="1:20">
      <c r="A269" s="6">
        <v>1010275</v>
      </c>
      <c r="B269" s="6">
        <v>21001</v>
      </c>
      <c r="C269" s="6">
        <v>2</v>
      </c>
      <c r="D269" s="6">
        <v>6</v>
      </c>
      <c r="E269" s="6" t="str">
        <f t="shared" si="261"/>
        <v>201001:7</v>
      </c>
      <c r="F269" s="11">
        <v>0</v>
      </c>
      <c r="G269" s="6">
        <v>11002</v>
      </c>
      <c r="H269" s="6" t="s">
        <v>407</v>
      </c>
      <c r="I269" s="6">
        <v>0</v>
      </c>
      <c r="K269" s="6" t="str">
        <f t="shared" si="259"/>
        <v>201001</v>
      </c>
      <c r="L269" s="13">
        <v>7</v>
      </c>
      <c r="M269" s="6" t="s">
        <v>453</v>
      </c>
      <c r="O269" s="13" t="str">
        <f t="shared" ref="O269:S269" si="268">O268</f>
        <v>1.1</v>
      </c>
      <c r="P269" s="13" t="str">
        <f t="shared" si="268"/>
        <v>1.1</v>
      </c>
      <c r="Q269" s="13" t="str">
        <f t="shared" si="268"/>
        <v>1.1</v>
      </c>
      <c r="R269" s="13" t="str">
        <f t="shared" si="268"/>
        <v>1.1</v>
      </c>
      <c r="S269" s="13" t="str">
        <f t="shared" si="268"/>
        <v>1.1</v>
      </c>
      <c r="T269" s="6" t="str">
        <f t="shared" si="260"/>
        <v>1|1.1#2|1.1#3|1.1#4|1.1#5|1.1</v>
      </c>
    </row>
    <row r="270" s="6" customFormat="1" ht="16.5" spans="1:20">
      <c r="A270" s="6">
        <v>1010276</v>
      </c>
      <c r="B270" s="6">
        <v>21001</v>
      </c>
      <c r="C270" s="6">
        <v>3</v>
      </c>
      <c r="D270" s="6">
        <v>0</v>
      </c>
      <c r="E270" s="6" t="str">
        <f t="shared" si="261"/>
        <v>201001:9</v>
      </c>
      <c r="F270" s="11" t="s">
        <v>371</v>
      </c>
      <c r="G270" s="6">
        <v>0</v>
      </c>
      <c r="H270" s="6">
        <v>0</v>
      </c>
      <c r="I270" s="6" t="s">
        <v>55</v>
      </c>
      <c r="K270" s="6" t="str">
        <f t="shared" si="259"/>
        <v>201001</v>
      </c>
      <c r="L270" s="4">
        <v>9</v>
      </c>
      <c r="M270" s="6" t="s">
        <v>455</v>
      </c>
      <c r="O270" s="15" t="str">
        <f>O269</f>
        <v>1.1</v>
      </c>
      <c r="P270" s="15" t="str">
        <f t="shared" ref="P270:S270" si="269">O270</f>
        <v>1.1</v>
      </c>
      <c r="Q270" s="15" t="str">
        <f t="shared" si="269"/>
        <v>1.1</v>
      </c>
      <c r="R270" s="15" t="str">
        <f>P270</f>
        <v>1.1</v>
      </c>
      <c r="S270" s="15" t="str">
        <f t="shared" si="269"/>
        <v>1.1</v>
      </c>
      <c r="T270" s="6" t="str">
        <f t="shared" si="260"/>
        <v>1|1.1#2|1.1#3|1.1#4|1.1#5|1.1</v>
      </c>
    </row>
    <row r="271" s="6" customFormat="1" ht="16.5" spans="1:20">
      <c r="A271" s="6">
        <v>1010277</v>
      </c>
      <c r="B271" s="6">
        <v>21001</v>
      </c>
      <c r="C271" s="6">
        <v>3</v>
      </c>
      <c r="D271" s="6">
        <v>1</v>
      </c>
      <c r="E271" s="6" t="str">
        <f t="shared" si="261"/>
        <v>201001:9</v>
      </c>
      <c r="F271" s="11" t="s">
        <v>373</v>
      </c>
      <c r="G271" s="6">
        <v>0</v>
      </c>
      <c r="H271" s="6">
        <v>0</v>
      </c>
      <c r="I271" s="6" t="s">
        <v>57</v>
      </c>
      <c r="K271" s="6" t="str">
        <f t="shared" si="259"/>
        <v>201001</v>
      </c>
      <c r="L271" s="4">
        <v>9</v>
      </c>
      <c r="M271" s="6" t="s">
        <v>455</v>
      </c>
      <c r="O271" s="13" t="str">
        <f t="shared" ref="O271:O275" si="270">RIGHT(F271,LEN(F271)-2)</f>
        <v>1.15</v>
      </c>
      <c r="P271" s="13" t="str">
        <f t="shared" ref="P271:S271" si="271">P270</f>
        <v>1.1</v>
      </c>
      <c r="Q271" s="13" t="str">
        <f t="shared" si="271"/>
        <v>1.1</v>
      </c>
      <c r="R271" s="13" t="str">
        <f t="shared" si="271"/>
        <v>1.1</v>
      </c>
      <c r="S271" s="13" t="str">
        <f t="shared" si="271"/>
        <v>1.1</v>
      </c>
      <c r="T271" s="6" t="str">
        <f t="shared" si="260"/>
        <v>1|1.15#2|1.1#3|1.1#4|1.1#5|1.1</v>
      </c>
    </row>
    <row r="272" s="6" customFormat="1" ht="16.5" spans="1:20">
      <c r="A272" s="6">
        <v>1010278</v>
      </c>
      <c r="B272" s="6">
        <v>21001</v>
      </c>
      <c r="C272" s="6">
        <v>3</v>
      </c>
      <c r="D272" s="6">
        <v>2</v>
      </c>
      <c r="E272" s="6" t="str">
        <f t="shared" si="261"/>
        <v>201001:9</v>
      </c>
      <c r="F272" s="11" t="s">
        <v>374</v>
      </c>
      <c r="G272" s="6">
        <v>0</v>
      </c>
      <c r="H272" s="6">
        <v>0</v>
      </c>
      <c r="I272" s="6" t="s">
        <v>59</v>
      </c>
      <c r="K272" s="6" t="str">
        <f t="shared" si="259"/>
        <v>201001</v>
      </c>
      <c r="L272" s="4">
        <v>9</v>
      </c>
      <c r="M272" s="6" t="s">
        <v>455</v>
      </c>
      <c r="O272" s="13" t="str">
        <f t="shared" si="270"/>
        <v>1.15</v>
      </c>
      <c r="P272" s="13" t="str">
        <f t="shared" ref="P272:P275" si="272">O272</f>
        <v>1.15</v>
      </c>
      <c r="Q272" s="13" t="str">
        <f t="shared" ref="Q272:S272" si="273">Q271</f>
        <v>1.1</v>
      </c>
      <c r="R272" s="13" t="str">
        <f t="shared" si="273"/>
        <v>1.1</v>
      </c>
      <c r="S272" s="13" t="str">
        <f t="shared" si="273"/>
        <v>1.1</v>
      </c>
      <c r="T272" s="6" t="str">
        <f t="shared" si="260"/>
        <v>1|1.15#2|1.15#3|1.1#4|1.1#5|1.1</v>
      </c>
    </row>
    <row r="273" s="6" customFormat="1" ht="16.5" spans="1:20">
      <c r="A273" s="6">
        <v>1010279</v>
      </c>
      <c r="B273" s="6">
        <v>21001</v>
      </c>
      <c r="C273" s="6">
        <v>3</v>
      </c>
      <c r="D273" s="6">
        <v>3</v>
      </c>
      <c r="E273" s="6" t="str">
        <f t="shared" si="261"/>
        <v>201001:11</v>
      </c>
      <c r="F273" s="11" t="s">
        <v>375</v>
      </c>
      <c r="G273" s="6">
        <v>0</v>
      </c>
      <c r="H273" s="6">
        <v>0</v>
      </c>
      <c r="I273" s="6" t="s">
        <v>61</v>
      </c>
      <c r="K273" s="6" t="str">
        <f t="shared" si="259"/>
        <v>201001</v>
      </c>
      <c r="L273" s="4">
        <v>11</v>
      </c>
      <c r="M273" s="6" t="s">
        <v>455</v>
      </c>
      <c r="O273" s="13" t="str">
        <f t="shared" si="270"/>
        <v>1.15</v>
      </c>
      <c r="P273" s="13" t="str">
        <f t="shared" si="272"/>
        <v>1.15</v>
      </c>
      <c r="Q273" s="13" t="str">
        <f t="shared" ref="Q273:Q275" si="274">P273</f>
        <v>1.15</v>
      </c>
      <c r="R273" s="13" t="str">
        <f>R272</f>
        <v>1.1</v>
      </c>
      <c r="S273" s="13" t="str">
        <f>S272</f>
        <v>1.1</v>
      </c>
      <c r="T273" s="6" t="str">
        <f t="shared" si="260"/>
        <v>1|1.15#2|1.15#3|1.15#4|1.1#5|1.1</v>
      </c>
    </row>
    <row r="274" s="6" customFormat="1" ht="16.5" spans="1:20">
      <c r="A274" s="6">
        <v>1010280</v>
      </c>
      <c r="B274" s="6">
        <v>21001</v>
      </c>
      <c r="C274" s="6">
        <v>3</v>
      </c>
      <c r="D274" s="6">
        <v>4</v>
      </c>
      <c r="E274" s="6" t="str">
        <f t="shared" si="261"/>
        <v>201001:11</v>
      </c>
      <c r="F274" s="11" t="s">
        <v>376</v>
      </c>
      <c r="G274" s="6">
        <v>0</v>
      </c>
      <c r="H274" s="6">
        <v>0</v>
      </c>
      <c r="I274" s="6" t="s">
        <v>63</v>
      </c>
      <c r="K274" s="6" t="str">
        <f t="shared" si="259"/>
        <v>201001</v>
      </c>
      <c r="L274" s="4">
        <v>11</v>
      </c>
      <c r="M274" s="6" t="s">
        <v>455</v>
      </c>
      <c r="O274" s="13" t="str">
        <f t="shared" si="270"/>
        <v>1.15</v>
      </c>
      <c r="P274" s="13" t="str">
        <f t="shared" si="272"/>
        <v>1.15</v>
      </c>
      <c r="Q274" s="13" t="str">
        <f t="shared" si="274"/>
        <v>1.15</v>
      </c>
      <c r="R274" s="13" t="str">
        <f>Q274</f>
        <v>1.15</v>
      </c>
      <c r="S274" s="13" t="str">
        <f>S273</f>
        <v>1.1</v>
      </c>
      <c r="T274" s="6" t="str">
        <f t="shared" si="260"/>
        <v>1|1.15#2|1.15#3|1.15#4|1.15#5|1.1</v>
      </c>
    </row>
    <row r="275" s="6" customFormat="1" ht="16.5" spans="1:20">
      <c r="A275" s="6">
        <v>1010281</v>
      </c>
      <c r="B275" s="6">
        <v>21001</v>
      </c>
      <c r="C275" s="6">
        <v>3</v>
      </c>
      <c r="D275" s="6">
        <v>5</v>
      </c>
      <c r="E275" s="6" t="str">
        <f t="shared" si="261"/>
        <v>201001:11</v>
      </c>
      <c r="F275" s="11" t="s">
        <v>377</v>
      </c>
      <c r="G275" s="6">
        <v>0</v>
      </c>
      <c r="H275" s="6">
        <v>0</v>
      </c>
      <c r="I275" s="6" t="s">
        <v>40</v>
      </c>
      <c r="K275" s="6" t="str">
        <f t="shared" si="259"/>
        <v>201001</v>
      </c>
      <c r="L275" s="4">
        <v>11</v>
      </c>
      <c r="M275" s="6" t="s">
        <v>456</v>
      </c>
      <c r="O275" s="13" t="str">
        <f t="shared" si="270"/>
        <v>1.15</v>
      </c>
      <c r="P275" s="13" t="str">
        <f t="shared" si="272"/>
        <v>1.15</v>
      </c>
      <c r="Q275" s="13" t="str">
        <f t="shared" si="274"/>
        <v>1.15</v>
      </c>
      <c r="R275" s="13" t="str">
        <f>Q275</f>
        <v>1.15</v>
      </c>
      <c r="S275" s="13" t="str">
        <f>R275</f>
        <v>1.15</v>
      </c>
      <c r="T275" s="6" t="str">
        <f t="shared" si="260"/>
        <v>1|1.15#2|1.15#3|1.15#4|1.15#5|1.15</v>
      </c>
    </row>
    <row r="276" s="6" customFormat="1" ht="16.5" spans="1:20">
      <c r="A276" s="6">
        <v>1010282</v>
      </c>
      <c r="B276" s="6">
        <v>21001</v>
      </c>
      <c r="C276" s="6">
        <v>3</v>
      </c>
      <c r="D276" s="6">
        <v>6</v>
      </c>
      <c r="E276" s="6" t="str">
        <f t="shared" si="261"/>
        <v>201001:30</v>
      </c>
      <c r="F276" s="11">
        <v>0</v>
      </c>
      <c r="G276" s="6">
        <v>11002</v>
      </c>
      <c r="H276" s="6" t="s">
        <v>407</v>
      </c>
      <c r="I276" s="6">
        <v>0</v>
      </c>
      <c r="K276" s="6" t="str">
        <f t="shared" si="259"/>
        <v>201001</v>
      </c>
      <c r="L276" s="13">
        <v>30</v>
      </c>
      <c r="M276" s="6" t="s">
        <v>453</v>
      </c>
      <c r="O276" s="13" t="str">
        <f t="shared" ref="O276:S276" si="275">O275</f>
        <v>1.15</v>
      </c>
      <c r="P276" s="13" t="str">
        <f t="shared" si="275"/>
        <v>1.15</v>
      </c>
      <c r="Q276" s="13" t="str">
        <f t="shared" si="275"/>
        <v>1.15</v>
      </c>
      <c r="R276" s="13" t="str">
        <f t="shared" si="275"/>
        <v>1.15</v>
      </c>
      <c r="S276" s="13" t="str">
        <f t="shared" si="275"/>
        <v>1.15</v>
      </c>
      <c r="T276" s="6" t="str">
        <f t="shared" si="260"/>
        <v>1|1.15#2|1.15#3|1.15#4|1.15#5|1.15</v>
      </c>
    </row>
    <row r="277" s="6" customFormat="1" ht="16.5" spans="1:20">
      <c r="A277" s="6">
        <v>1010283</v>
      </c>
      <c r="B277" s="6">
        <v>21001</v>
      </c>
      <c r="C277" s="6">
        <v>4</v>
      </c>
      <c r="D277" s="6">
        <v>0</v>
      </c>
      <c r="E277" s="6" t="str">
        <f t="shared" si="261"/>
        <v>201001:13</v>
      </c>
      <c r="F277" s="11" t="s">
        <v>379</v>
      </c>
      <c r="G277" s="6">
        <v>0</v>
      </c>
      <c r="H277" s="6">
        <v>0</v>
      </c>
      <c r="I277" s="6" t="s">
        <v>67</v>
      </c>
      <c r="K277" s="6" t="str">
        <f t="shared" si="259"/>
        <v>201001</v>
      </c>
      <c r="L277" s="4">
        <v>13</v>
      </c>
      <c r="M277" s="6" t="s">
        <v>457</v>
      </c>
      <c r="O277" s="15" t="str">
        <f>O276</f>
        <v>1.15</v>
      </c>
      <c r="P277" s="15" t="str">
        <f t="shared" ref="P277:S277" si="276">O277</f>
        <v>1.15</v>
      </c>
      <c r="Q277" s="15" t="str">
        <f t="shared" si="276"/>
        <v>1.15</v>
      </c>
      <c r="R277" s="15" t="str">
        <f>P277</f>
        <v>1.15</v>
      </c>
      <c r="S277" s="15" t="str">
        <f t="shared" si="276"/>
        <v>1.15</v>
      </c>
      <c r="T277" s="6" t="str">
        <f t="shared" si="260"/>
        <v>1|1.15#2|1.15#3|1.15#4|1.15#5|1.15</v>
      </c>
    </row>
    <row r="278" s="6" customFormat="1" ht="16.5" spans="1:20">
      <c r="A278" s="6">
        <v>1010284</v>
      </c>
      <c r="B278" s="6">
        <v>21001</v>
      </c>
      <c r="C278" s="6">
        <v>4</v>
      </c>
      <c r="D278" s="6">
        <v>1</v>
      </c>
      <c r="E278" s="6" t="str">
        <f t="shared" si="261"/>
        <v>201001:13</v>
      </c>
      <c r="F278" s="11" t="s">
        <v>381</v>
      </c>
      <c r="G278" s="6">
        <v>0</v>
      </c>
      <c r="H278" s="6">
        <v>0</v>
      </c>
      <c r="I278" s="6" t="s">
        <v>69</v>
      </c>
      <c r="K278" s="6" t="str">
        <f t="shared" si="259"/>
        <v>201001</v>
      </c>
      <c r="L278" s="4">
        <v>13</v>
      </c>
      <c r="M278" s="6" t="s">
        <v>457</v>
      </c>
      <c r="O278" s="13" t="str">
        <f t="shared" ref="O278:O282" si="277">RIGHT(F278,LEN(F278)-2)</f>
        <v>1.2</v>
      </c>
      <c r="P278" s="13" t="str">
        <f t="shared" ref="P278:S278" si="278">P277</f>
        <v>1.15</v>
      </c>
      <c r="Q278" s="13" t="str">
        <f t="shared" si="278"/>
        <v>1.15</v>
      </c>
      <c r="R278" s="13" t="str">
        <f t="shared" si="278"/>
        <v>1.15</v>
      </c>
      <c r="S278" s="13" t="str">
        <f t="shared" si="278"/>
        <v>1.15</v>
      </c>
      <c r="T278" s="6" t="str">
        <f t="shared" si="260"/>
        <v>1|1.2#2|1.15#3|1.15#4|1.15#5|1.15</v>
      </c>
    </row>
    <row r="279" s="6" customFormat="1" ht="16.5" spans="1:20">
      <c r="A279" s="6">
        <v>1010285</v>
      </c>
      <c r="B279" s="6">
        <v>21001</v>
      </c>
      <c r="C279" s="6">
        <v>4</v>
      </c>
      <c r="D279" s="6">
        <v>2</v>
      </c>
      <c r="E279" s="6" t="str">
        <f t="shared" si="261"/>
        <v>201001:13</v>
      </c>
      <c r="F279" s="11" t="s">
        <v>382</v>
      </c>
      <c r="G279" s="6">
        <v>0</v>
      </c>
      <c r="H279" s="6">
        <v>0</v>
      </c>
      <c r="I279" s="6" t="s">
        <v>71</v>
      </c>
      <c r="K279" s="6" t="str">
        <f t="shared" si="259"/>
        <v>201001</v>
      </c>
      <c r="L279" s="4">
        <v>13</v>
      </c>
      <c r="M279" s="6" t="s">
        <v>457</v>
      </c>
      <c r="O279" s="13" t="str">
        <f t="shared" si="277"/>
        <v>1.2</v>
      </c>
      <c r="P279" s="13" t="str">
        <f t="shared" ref="P279:P282" si="279">O279</f>
        <v>1.2</v>
      </c>
      <c r="Q279" s="13" t="str">
        <f t="shared" ref="Q279:S279" si="280">Q278</f>
        <v>1.15</v>
      </c>
      <c r="R279" s="13" t="str">
        <f t="shared" si="280"/>
        <v>1.15</v>
      </c>
      <c r="S279" s="13" t="str">
        <f t="shared" si="280"/>
        <v>1.15</v>
      </c>
      <c r="T279" s="6" t="str">
        <f t="shared" si="260"/>
        <v>1|1.2#2|1.2#3|1.15#4|1.15#5|1.15</v>
      </c>
    </row>
    <row r="280" s="6" customFormat="1" ht="16.5" spans="1:20">
      <c r="A280" s="6">
        <v>1010286</v>
      </c>
      <c r="B280" s="6">
        <v>21001</v>
      </c>
      <c r="C280" s="6">
        <v>4</v>
      </c>
      <c r="D280" s="6">
        <v>3</v>
      </c>
      <c r="E280" s="6" t="str">
        <f t="shared" si="261"/>
        <v>201001:17</v>
      </c>
      <c r="F280" s="11" t="s">
        <v>383</v>
      </c>
      <c r="G280" s="6">
        <v>0</v>
      </c>
      <c r="H280" s="6">
        <v>0</v>
      </c>
      <c r="I280" s="6" t="s">
        <v>73</v>
      </c>
      <c r="K280" s="6" t="str">
        <f t="shared" si="259"/>
        <v>201001</v>
      </c>
      <c r="L280" s="4">
        <v>17</v>
      </c>
      <c r="M280" s="6" t="s">
        <v>457</v>
      </c>
      <c r="O280" s="13" t="str">
        <f t="shared" si="277"/>
        <v>1.2</v>
      </c>
      <c r="P280" s="13" t="str">
        <f t="shared" si="279"/>
        <v>1.2</v>
      </c>
      <c r="Q280" s="13" t="str">
        <f t="shared" ref="Q280:Q282" si="281">P280</f>
        <v>1.2</v>
      </c>
      <c r="R280" s="13" t="str">
        <f>R279</f>
        <v>1.15</v>
      </c>
      <c r="S280" s="13" t="str">
        <f>S279</f>
        <v>1.15</v>
      </c>
      <c r="T280" s="6" t="str">
        <f t="shared" si="260"/>
        <v>1|1.2#2|1.2#3|1.2#4|1.15#5|1.15</v>
      </c>
    </row>
    <row r="281" s="6" customFormat="1" ht="16.5" spans="1:20">
      <c r="A281" s="6">
        <v>1010287</v>
      </c>
      <c r="B281" s="6">
        <v>21001</v>
      </c>
      <c r="C281" s="6">
        <v>4</v>
      </c>
      <c r="D281" s="6">
        <v>4</v>
      </c>
      <c r="E281" s="6" t="str">
        <f t="shared" si="261"/>
        <v>201001:17</v>
      </c>
      <c r="F281" s="11" t="s">
        <v>384</v>
      </c>
      <c r="G281" s="6">
        <v>0</v>
      </c>
      <c r="H281" s="6">
        <v>0</v>
      </c>
      <c r="I281" s="6" t="s">
        <v>75</v>
      </c>
      <c r="K281" s="6" t="str">
        <f t="shared" si="259"/>
        <v>201001</v>
      </c>
      <c r="L281" s="4">
        <v>17</v>
      </c>
      <c r="M281" s="6" t="s">
        <v>457</v>
      </c>
      <c r="O281" s="13" t="str">
        <f t="shared" si="277"/>
        <v>1.2</v>
      </c>
      <c r="P281" s="13" t="str">
        <f t="shared" si="279"/>
        <v>1.2</v>
      </c>
      <c r="Q281" s="13" t="str">
        <f t="shared" si="281"/>
        <v>1.2</v>
      </c>
      <c r="R281" s="13" t="str">
        <f>Q281</f>
        <v>1.2</v>
      </c>
      <c r="S281" s="13" t="str">
        <f>S280</f>
        <v>1.15</v>
      </c>
      <c r="T281" s="6" t="str">
        <f t="shared" si="260"/>
        <v>1|1.2#2|1.2#3|1.2#4|1.2#5|1.15</v>
      </c>
    </row>
    <row r="282" s="6" customFormat="1" ht="16.5" spans="1:20">
      <c r="A282" s="6">
        <v>1010288</v>
      </c>
      <c r="B282" s="6">
        <v>21001</v>
      </c>
      <c r="C282" s="6">
        <v>4</v>
      </c>
      <c r="D282" s="6">
        <v>5</v>
      </c>
      <c r="E282" s="6" t="str">
        <f t="shared" si="261"/>
        <v>201001:17</v>
      </c>
      <c r="F282" s="11" t="s">
        <v>385</v>
      </c>
      <c r="G282" s="6">
        <v>0</v>
      </c>
      <c r="H282" s="6">
        <v>0</v>
      </c>
      <c r="I282" s="6" t="s">
        <v>40</v>
      </c>
      <c r="K282" s="6" t="str">
        <f t="shared" si="259"/>
        <v>201001</v>
      </c>
      <c r="L282" s="4">
        <v>17</v>
      </c>
      <c r="M282" s="6" t="s">
        <v>157</v>
      </c>
      <c r="O282" s="13" t="str">
        <f t="shared" si="277"/>
        <v>1.2</v>
      </c>
      <c r="P282" s="13" t="str">
        <f t="shared" si="279"/>
        <v>1.2</v>
      </c>
      <c r="Q282" s="13" t="str">
        <f t="shared" si="281"/>
        <v>1.2</v>
      </c>
      <c r="R282" s="13" t="str">
        <f>Q282</f>
        <v>1.2</v>
      </c>
      <c r="S282" s="13" t="str">
        <f>R282</f>
        <v>1.2</v>
      </c>
      <c r="T282" s="6" t="str">
        <f t="shared" si="260"/>
        <v>1|1.2#2|1.2#3|1.2#4|1.2#5|1.2</v>
      </c>
    </row>
    <row r="283" s="6" customFormat="1" ht="16.5" spans="1:20">
      <c r="A283" s="6">
        <v>1010289</v>
      </c>
      <c r="B283" s="6">
        <v>21001</v>
      </c>
      <c r="C283" s="6">
        <v>4</v>
      </c>
      <c r="D283" s="6">
        <v>6</v>
      </c>
      <c r="E283" s="6" t="str">
        <f t="shared" si="261"/>
        <v>201001:60</v>
      </c>
      <c r="F283" s="11">
        <v>0</v>
      </c>
      <c r="G283" s="6">
        <v>11002</v>
      </c>
      <c r="H283" s="6" t="s">
        <v>407</v>
      </c>
      <c r="I283" s="6">
        <v>0</v>
      </c>
      <c r="K283" s="6" t="str">
        <f t="shared" si="259"/>
        <v>201001</v>
      </c>
      <c r="L283" s="13">
        <v>60</v>
      </c>
      <c r="M283" s="6" t="s">
        <v>453</v>
      </c>
      <c r="O283" s="13" t="str">
        <f t="shared" ref="O283:S283" si="282">O282</f>
        <v>1.2</v>
      </c>
      <c r="P283" s="13" t="str">
        <f t="shared" si="282"/>
        <v>1.2</v>
      </c>
      <c r="Q283" s="13" t="str">
        <f t="shared" si="282"/>
        <v>1.2</v>
      </c>
      <c r="R283" s="13" t="str">
        <f t="shared" si="282"/>
        <v>1.2</v>
      </c>
      <c r="S283" s="13" t="str">
        <f t="shared" si="282"/>
        <v>1.2</v>
      </c>
      <c r="T283" s="6" t="str">
        <f t="shared" si="260"/>
        <v>1|1.2#2|1.2#3|1.2#4|1.2#5|1.2</v>
      </c>
    </row>
    <row r="284" s="6" customFormat="1" ht="16.5" spans="1:20">
      <c r="A284" s="6">
        <v>1010290</v>
      </c>
      <c r="B284" s="6">
        <v>21001</v>
      </c>
      <c r="C284" s="6">
        <v>5</v>
      </c>
      <c r="D284" s="6">
        <v>0</v>
      </c>
      <c r="E284" s="6" t="str">
        <f t="shared" si="261"/>
        <v>201001:18</v>
      </c>
      <c r="F284" s="11" t="s">
        <v>386</v>
      </c>
      <c r="G284" s="6">
        <v>0</v>
      </c>
      <c r="H284" s="6">
        <v>0</v>
      </c>
      <c r="I284" s="6" t="s">
        <v>79</v>
      </c>
      <c r="K284" s="6" t="str">
        <f t="shared" si="259"/>
        <v>201001</v>
      </c>
      <c r="L284" s="4">
        <v>18</v>
      </c>
      <c r="M284" s="6" t="s">
        <v>458</v>
      </c>
      <c r="O284" s="15" t="str">
        <f>O283</f>
        <v>1.2</v>
      </c>
      <c r="P284" s="15" t="str">
        <f t="shared" ref="P284:S284" si="283">O284</f>
        <v>1.2</v>
      </c>
      <c r="Q284" s="15" t="str">
        <f t="shared" si="283"/>
        <v>1.2</v>
      </c>
      <c r="R284" s="15" t="str">
        <f>P284</f>
        <v>1.2</v>
      </c>
      <c r="S284" s="15" t="str">
        <f t="shared" si="283"/>
        <v>1.2</v>
      </c>
      <c r="T284" s="6" t="str">
        <f t="shared" si="260"/>
        <v>1|1.2#2|1.2#3|1.2#4|1.2#5|1.2</v>
      </c>
    </row>
    <row r="285" s="6" customFormat="1" ht="16.5" spans="1:20">
      <c r="A285" s="6">
        <v>1010291</v>
      </c>
      <c r="B285" s="6">
        <v>21001</v>
      </c>
      <c r="C285" s="6">
        <v>5</v>
      </c>
      <c r="D285" s="6">
        <v>1</v>
      </c>
      <c r="E285" s="6" t="str">
        <f t="shared" si="261"/>
        <v>201001:18</v>
      </c>
      <c r="F285" s="11" t="s">
        <v>388</v>
      </c>
      <c r="G285" s="6">
        <v>0</v>
      </c>
      <c r="H285" s="6">
        <v>0</v>
      </c>
      <c r="I285" s="6" t="s">
        <v>81</v>
      </c>
      <c r="K285" s="6" t="str">
        <f t="shared" si="259"/>
        <v>201001</v>
      </c>
      <c r="L285" s="4">
        <v>18</v>
      </c>
      <c r="M285" s="6" t="s">
        <v>458</v>
      </c>
      <c r="O285" s="13" t="str">
        <f t="shared" ref="O285:O289" si="284">RIGHT(F285,LEN(F285)-2)</f>
        <v>1.3</v>
      </c>
      <c r="P285" s="13" t="str">
        <f t="shared" ref="P285:S285" si="285">P284</f>
        <v>1.2</v>
      </c>
      <c r="Q285" s="13" t="str">
        <f t="shared" si="285"/>
        <v>1.2</v>
      </c>
      <c r="R285" s="13" t="str">
        <f t="shared" si="285"/>
        <v>1.2</v>
      </c>
      <c r="S285" s="13" t="str">
        <f t="shared" si="285"/>
        <v>1.2</v>
      </c>
      <c r="T285" s="6" t="str">
        <f t="shared" si="260"/>
        <v>1|1.3#2|1.2#3|1.2#4|1.2#5|1.2</v>
      </c>
    </row>
    <row r="286" s="6" customFormat="1" ht="16.5" spans="1:20">
      <c r="A286" s="6">
        <v>1010292</v>
      </c>
      <c r="B286" s="6">
        <v>21001</v>
      </c>
      <c r="C286" s="6">
        <v>5</v>
      </c>
      <c r="D286" s="6">
        <v>2</v>
      </c>
      <c r="E286" s="6" t="str">
        <f t="shared" si="261"/>
        <v>201001:18</v>
      </c>
      <c r="F286" s="11" t="s">
        <v>389</v>
      </c>
      <c r="G286" s="6">
        <v>0</v>
      </c>
      <c r="H286" s="6">
        <v>0</v>
      </c>
      <c r="I286" s="6" t="s">
        <v>83</v>
      </c>
      <c r="K286" s="6" t="str">
        <f t="shared" si="259"/>
        <v>201001</v>
      </c>
      <c r="L286" s="4">
        <v>18</v>
      </c>
      <c r="M286" s="6" t="s">
        <v>458</v>
      </c>
      <c r="O286" s="13" t="str">
        <f t="shared" si="284"/>
        <v>1.3</v>
      </c>
      <c r="P286" s="13" t="str">
        <f t="shared" ref="P286:P289" si="286">O286</f>
        <v>1.3</v>
      </c>
      <c r="Q286" s="13" t="str">
        <f t="shared" ref="Q286:S286" si="287">Q285</f>
        <v>1.2</v>
      </c>
      <c r="R286" s="13" t="str">
        <f t="shared" si="287"/>
        <v>1.2</v>
      </c>
      <c r="S286" s="13" t="str">
        <f t="shared" si="287"/>
        <v>1.2</v>
      </c>
      <c r="T286" s="6" t="str">
        <f t="shared" si="260"/>
        <v>1|1.3#2|1.3#3|1.2#4|1.2#5|1.2</v>
      </c>
    </row>
    <row r="287" s="6" customFormat="1" ht="16.5" spans="1:20">
      <c r="A287" s="6">
        <v>1010293</v>
      </c>
      <c r="B287" s="6">
        <v>21001</v>
      </c>
      <c r="C287" s="6">
        <v>5</v>
      </c>
      <c r="D287" s="6">
        <v>3</v>
      </c>
      <c r="E287" s="6" t="str">
        <f t="shared" si="261"/>
        <v>201001:22</v>
      </c>
      <c r="F287" s="11" t="s">
        <v>390</v>
      </c>
      <c r="G287" s="6">
        <v>0</v>
      </c>
      <c r="H287" s="6">
        <v>0</v>
      </c>
      <c r="I287" s="6" t="s">
        <v>85</v>
      </c>
      <c r="K287" s="6" t="str">
        <f t="shared" si="259"/>
        <v>201001</v>
      </c>
      <c r="L287" s="4">
        <v>22</v>
      </c>
      <c r="M287" s="6" t="s">
        <v>458</v>
      </c>
      <c r="O287" s="13" t="str">
        <f t="shared" si="284"/>
        <v>1.3</v>
      </c>
      <c r="P287" s="13" t="str">
        <f t="shared" si="286"/>
        <v>1.3</v>
      </c>
      <c r="Q287" s="13" t="str">
        <f t="shared" ref="Q287:Q289" si="288">P287</f>
        <v>1.3</v>
      </c>
      <c r="R287" s="13" t="str">
        <f>R286</f>
        <v>1.2</v>
      </c>
      <c r="S287" s="13" t="str">
        <f>S286</f>
        <v>1.2</v>
      </c>
      <c r="T287" s="6" t="str">
        <f t="shared" si="260"/>
        <v>1|1.3#2|1.3#3|1.3#4|1.2#5|1.2</v>
      </c>
    </row>
    <row r="288" s="6" customFormat="1" ht="16.5" spans="1:20">
      <c r="A288" s="6">
        <v>1010294</v>
      </c>
      <c r="B288" s="6">
        <v>21001</v>
      </c>
      <c r="C288" s="6">
        <v>5</v>
      </c>
      <c r="D288" s="6">
        <v>4</v>
      </c>
      <c r="E288" s="6" t="str">
        <f t="shared" si="261"/>
        <v>201001:22</v>
      </c>
      <c r="F288" s="11" t="s">
        <v>391</v>
      </c>
      <c r="G288" s="6">
        <v>0</v>
      </c>
      <c r="H288" s="6">
        <v>0</v>
      </c>
      <c r="I288" s="6" t="s">
        <v>87</v>
      </c>
      <c r="K288" s="6" t="str">
        <f t="shared" si="259"/>
        <v>201001</v>
      </c>
      <c r="L288" s="4">
        <v>22</v>
      </c>
      <c r="M288" s="6" t="s">
        <v>458</v>
      </c>
      <c r="O288" s="13" t="str">
        <f t="shared" si="284"/>
        <v>1.3</v>
      </c>
      <c r="P288" s="13" t="str">
        <f t="shared" si="286"/>
        <v>1.3</v>
      </c>
      <c r="Q288" s="13" t="str">
        <f t="shared" si="288"/>
        <v>1.3</v>
      </c>
      <c r="R288" s="13" t="str">
        <f>Q288</f>
        <v>1.3</v>
      </c>
      <c r="S288" s="13" t="str">
        <f>S287</f>
        <v>1.2</v>
      </c>
      <c r="T288" s="6" t="str">
        <f t="shared" si="260"/>
        <v>1|1.3#2|1.3#3|1.3#4|1.3#5|1.2</v>
      </c>
    </row>
    <row r="289" s="6" customFormat="1" ht="16.5" spans="1:20">
      <c r="A289" s="6">
        <v>1010295</v>
      </c>
      <c r="B289" s="6">
        <v>21001</v>
      </c>
      <c r="C289" s="6">
        <v>5</v>
      </c>
      <c r="D289" s="6">
        <v>5</v>
      </c>
      <c r="E289" s="6" t="str">
        <f t="shared" si="261"/>
        <v>201001:22</v>
      </c>
      <c r="F289" s="11" t="s">
        <v>392</v>
      </c>
      <c r="G289" s="6">
        <v>0</v>
      </c>
      <c r="H289" s="6">
        <v>0</v>
      </c>
      <c r="I289" s="6" t="s">
        <v>40</v>
      </c>
      <c r="K289" s="6" t="str">
        <f t="shared" si="259"/>
        <v>201001</v>
      </c>
      <c r="L289" s="4">
        <v>22</v>
      </c>
      <c r="M289" s="6" t="s">
        <v>459</v>
      </c>
      <c r="O289" s="13" t="str">
        <f t="shared" si="284"/>
        <v>1.3</v>
      </c>
      <c r="P289" s="13" t="str">
        <f t="shared" si="286"/>
        <v>1.3</v>
      </c>
      <c r="Q289" s="13" t="str">
        <f t="shared" si="288"/>
        <v>1.3</v>
      </c>
      <c r="R289" s="13" t="str">
        <f>Q289</f>
        <v>1.3</v>
      </c>
      <c r="S289" s="13" t="str">
        <f>R289</f>
        <v>1.3</v>
      </c>
      <c r="T289" s="6" t="str">
        <f t="shared" si="260"/>
        <v>1|1.3#2|1.3#3|1.3#4|1.3#5|1.3</v>
      </c>
    </row>
    <row r="290" s="6" customFormat="1" ht="16.5" spans="1:20">
      <c r="A290" s="6">
        <v>1010296</v>
      </c>
      <c r="B290" s="6">
        <v>21001</v>
      </c>
      <c r="C290" s="6">
        <v>5</v>
      </c>
      <c r="D290" s="6">
        <v>6</v>
      </c>
      <c r="E290" s="6" t="str">
        <f t="shared" si="261"/>
        <v>201001:60</v>
      </c>
      <c r="F290" s="11">
        <v>0</v>
      </c>
      <c r="G290" s="6">
        <v>11002</v>
      </c>
      <c r="H290" s="6" t="s">
        <v>407</v>
      </c>
      <c r="I290" s="6">
        <v>0</v>
      </c>
      <c r="K290" s="6" t="str">
        <f t="shared" si="259"/>
        <v>201001</v>
      </c>
      <c r="L290" s="13">
        <v>60</v>
      </c>
      <c r="M290" s="6" t="s">
        <v>453</v>
      </c>
      <c r="O290" s="13" t="str">
        <f t="shared" ref="O290:S290" si="289">O289</f>
        <v>1.3</v>
      </c>
      <c r="P290" s="13" t="str">
        <f t="shared" si="289"/>
        <v>1.3</v>
      </c>
      <c r="Q290" s="13" t="str">
        <f t="shared" si="289"/>
        <v>1.3</v>
      </c>
      <c r="R290" s="13" t="str">
        <f t="shared" si="289"/>
        <v>1.3</v>
      </c>
      <c r="S290" s="13" t="str">
        <f t="shared" si="289"/>
        <v>1.3</v>
      </c>
      <c r="T290" s="6" t="str">
        <f t="shared" si="260"/>
        <v>1|1.3#2|1.3#3|1.3#4|1.3#5|1.3</v>
      </c>
    </row>
    <row r="291" s="6" customFormat="1" ht="16.5" spans="1:20">
      <c r="A291" s="6">
        <v>1010297</v>
      </c>
      <c r="B291" s="6">
        <v>21001</v>
      </c>
      <c r="C291" s="6">
        <v>6</v>
      </c>
      <c r="D291" s="6">
        <v>0</v>
      </c>
      <c r="E291" s="6" t="str">
        <f t="shared" si="261"/>
        <v>201001:24</v>
      </c>
      <c r="F291" s="11" t="s">
        <v>394</v>
      </c>
      <c r="G291" s="6">
        <v>0</v>
      </c>
      <c r="H291" s="6">
        <v>0</v>
      </c>
      <c r="I291" s="6" t="s">
        <v>90</v>
      </c>
      <c r="K291" s="6" t="str">
        <f t="shared" si="259"/>
        <v>201001</v>
      </c>
      <c r="L291" s="4">
        <v>24</v>
      </c>
      <c r="M291" s="6" t="s">
        <v>460</v>
      </c>
      <c r="O291" s="15" t="str">
        <f>O290</f>
        <v>1.3</v>
      </c>
      <c r="P291" s="15" t="str">
        <f t="shared" ref="P291:S291" si="290">O291</f>
        <v>1.3</v>
      </c>
      <c r="Q291" s="15" t="str">
        <f t="shared" si="290"/>
        <v>1.3</v>
      </c>
      <c r="R291" s="15" t="str">
        <f>P291</f>
        <v>1.3</v>
      </c>
      <c r="S291" s="15" t="str">
        <f t="shared" si="290"/>
        <v>1.3</v>
      </c>
      <c r="T291" s="6" t="str">
        <f t="shared" si="260"/>
        <v>1|1.3#2|1.3#3|1.3#4|1.3#5|1.3</v>
      </c>
    </row>
    <row r="292" s="6" customFormat="1" ht="16.5" spans="1:20">
      <c r="A292" s="6">
        <v>1010298</v>
      </c>
      <c r="B292" s="6">
        <v>21001</v>
      </c>
      <c r="C292" s="6">
        <v>6</v>
      </c>
      <c r="D292" s="6">
        <v>1</v>
      </c>
      <c r="E292" s="6" t="str">
        <f t="shared" si="261"/>
        <v>201001:24</v>
      </c>
      <c r="F292" s="11" t="s">
        <v>396</v>
      </c>
      <c r="G292" s="6">
        <v>0</v>
      </c>
      <c r="H292" s="6">
        <v>0</v>
      </c>
      <c r="I292" s="6" t="s">
        <v>92</v>
      </c>
      <c r="K292" s="6" t="str">
        <f t="shared" si="259"/>
        <v>201001</v>
      </c>
      <c r="L292" s="4">
        <v>24</v>
      </c>
      <c r="M292" s="6" t="s">
        <v>460</v>
      </c>
      <c r="O292" s="13" t="str">
        <f t="shared" ref="O292:O296" si="291">RIGHT(F292,LEN(F292)-2)</f>
        <v>1.4</v>
      </c>
      <c r="P292" s="13" t="str">
        <f t="shared" ref="P292:S292" si="292">P291</f>
        <v>1.3</v>
      </c>
      <c r="Q292" s="13" t="str">
        <f t="shared" si="292"/>
        <v>1.3</v>
      </c>
      <c r="R292" s="13" t="str">
        <f t="shared" si="292"/>
        <v>1.3</v>
      </c>
      <c r="S292" s="13" t="str">
        <f t="shared" si="292"/>
        <v>1.3</v>
      </c>
      <c r="T292" s="6" t="str">
        <f t="shared" si="260"/>
        <v>1|1.4#2|1.3#3|1.3#4|1.3#5|1.3</v>
      </c>
    </row>
    <row r="293" s="6" customFormat="1" ht="16.5" spans="1:20">
      <c r="A293" s="6">
        <v>1010299</v>
      </c>
      <c r="B293" s="6">
        <v>21001</v>
      </c>
      <c r="C293" s="6">
        <v>6</v>
      </c>
      <c r="D293" s="6">
        <v>2</v>
      </c>
      <c r="E293" s="6" t="str">
        <f t="shared" si="261"/>
        <v>201001:24</v>
      </c>
      <c r="F293" s="11" t="s">
        <v>397</v>
      </c>
      <c r="G293" s="6">
        <v>0</v>
      </c>
      <c r="H293" s="6">
        <v>0</v>
      </c>
      <c r="I293" s="6" t="s">
        <v>94</v>
      </c>
      <c r="K293" s="6" t="str">
        <f t="shared" si="259"/>
        <v>201001</v>
      </c>
      <c r="L293" s="4">
        <v>24</v>
      </c>
      <c r="M293" s="6" t="s">
        <v>460</v>
      </c>
      <c r="O293" s="13" t="str">
        <f t="shared" si="291"/>
        <v>1.4</v>
      </c>
      <c r="P293" s="13" t="str">
        <f t="shared" ref="P293:P296" si="293">O293</f>
        <v>1.4</v>
      </c>
      <c r="Q293" s="13" t="str">
        <f t="shared" ref="Q293:S293" si="294">Q292</f>
        <v>1.3</v>
      </c>
      <c r="R293" s="13" t="str">
        <f t="shared" si="294"/>
        <v>1.3</v>
      </c>
      <c r="S293" s="13" t="str">
        <f t="shared" si="294"/>
        <v>1.3</v>
      </c>
      <c r="T293" s="6" t="str">
        <f t="shared" si="260"/>
        <v>1|1.4#2|1.4#3|1.3#4|1.3#5|1.3</v>
      </c>
    </row>
    <row r="294" s="6" customFormat="1" ht="16.5" spans="1:20">
      <c r="A294" s="6">
        <v>1010300</v>
      </c>
      <c r="B294" s="6">
        <v>21001</v>
      </c>
      <c r="C294" s="6">
        <v>6</v>
      </c>
      <c r="D294" s="6">
        <v>3</v>
      </c>
      <c r="E294" s="6" t="str">
        <f t="shared" si="261"/>
        <v>201001:24</v>
      </c>
      <c r="F294" s="11" t="s">
        <v>398</v>
      </c>
      <c r="G294" s="6">
        <v>0</v>
      </c>
      <c r="H294" s="6">
        <v>0</v>
      </c>
      <c r="I294" s="6" t="s">
        <v>96</v>
      </c>
      <c r="K294" s="6" t="str">
        <f t="shared" si="259"/>
        <v>201001</v>
      </c>
      <c r="L294" s="4">
        <v>24</v>
      </c>
      <c r="M294" s="6" t="s">
        <v>460</v>
      </c>
      <c r="O294" s="13" t="str">
        <f t="shared" si="291"/>
        <v>1.4</v>
      </c>
      <c r="P294" s="13" t="str">
        <f t="shared" si="293"/>
        <v>1.4</v>
      </c>
      <c r="Q294" s="13" t="str">
        <f t="shared" ref="Q294:Q296" si="295">P294</f>
        <v>1.4</v>
      </c>
      <c r="R294" s="13" t="str">
        <f>R293</f>
        <v>1.3</v>
      </c>
      <c r="S294" s="13" t="str">
        <f t="shared" ref="S294:S301" si="296">S293</f>
        <v>1.3</v>
      </c>
      <c r="T294" s="6" t="str">
        <f t="shared" si="260"/>
        <v>1|1.4#2|1.4#3|1.4#4|1.3#5|1.3</v>
      </c>
    </row>
    <row r="295" s="6" customFormat="1" ht="16.5" spans="1:20">
      <c r="A295" s="6">
        <v>1010301</v>
      </c>
      <c r="B295" s="6">
        <v>21001</v>
      </c>
      <c r="C295" s="6">
        <v>6</v>
      </c>
      <c r="D295" s="6">
        <v>4</v>
      </c>
      <c r="E295" s="6" t="str">
        <f t="shared" si="261"/>
        <v>201001:24</v>
      </c>
      <c r="F295" s="11" t="s">
        <v>399</v>
      </c>
      <c r="G295" s="6">
        <v>0</v>
      </c>
      <c r="H295" s="6">
        <v>0</v>
      </c>
      <c r="I295" s="6" t="s">
        <v>98</v>
      </c>
      <c r="K295" s="6" t="str">
        <f t="shared" si="259"/>
        <v>201001</v>
      </c>
      <c r="L295" s="4">
        <v>24</v>
      </c>
      <c r="M295" s="6" t="s">
        <v>460</v>
      </c>
      <c r="O295" s="13" t="str">
        <f t="shared" si="291"/>
        <v>1.4</v>
      </c>
      <c r="P295" s="13" t="str">
        <f t="shared" si="293"/>
        <v>1.4</v>
      </c>
      <c r="Q295" s="13" t="str">
        <f t="shared" si="295"/>
        <v>1.4</v>
      </c>
      <c r="R295" s="13" t="str">
        <f>Q295</f>
        <v>1.4</v>
      </c>
      <c r="S295" s="13" t="str">
        <f t="shared" si="296"/>
        <v>1.3</v>
      </c>
      <c r="T295" s="6" t="str">
        <f t="shared" si="260"/>
        <v>1|1.4#2|1.4#3|1.4#4|1.4#5|1.3</v>
      </c>
    </row>
    <row r="296" s="6" customFormat="1" ht="16.5" spans="1:20">
      <c r="A296" s="6">
        <v>1010302</v>
      </c>
      <c r="B296" s="6">
        <v>21001</v>
      </c>
      <c r="C296" s="6">
        <v>6</v>
      </c>
      <c r="D296" s="6">
        <v>5</v>
      </c>
      <c r="E296" s="6" t="str">
        <f t="shared" si="261"/>
        <v>201001:60</v>
      </c>
      <c r="F296" s="11" t="s">
        <v>400</v>
      </c>
      <c r="G296" s="6">
        <v>0</v>
      </c>
      <c r="H296" s="6">
        <v>0</v>
      </c>
      <c r="I296" s="6" t="s">
        <v>40</v>
      </c>
      <c r="K296" s="6" t="str">
        <f t="shared" si="259"/>
        <v>201001</v>
      </c>
      <c r="L296" s="4">
        <v>60</v>
      </c>
      <c r="M296" s="6" t="s">
        <v>459</v>
      </c>
      <c r="O296" s="13" t="str">
        <f t="shared" si="291"/>
        <v>1.4</v>
      </c>
      <c r="P296" s="13" t="str">
        <f t="shared" si="293"/>
        <v>1.4</v>
      </c>
      <c r="Q296" s="13" t="str">
        <f t="shared" si="295"/>
        <v>1.4</v>
      </c>
      <c r="R296" s="13" t="str">
        <f>Q296</f>
        <v>1.4</v>
      </c>
      <c r="S296" s="13" t="str">
        <f>R296</f>
        <v>1.4</v>
      </c>
      <c r="T296" s="6" t="str">
        <f t="shared" si="260"/>
        <v>1|1.4#2|1.4#3|1.4#4|1.4#5|1.4</v>
      </c>
    </row>
    <row r="297" s="6" customFormat="1" ht="16.5" spans="1:20">
      <c r="A297" s="6">
        <v>1010303</v>
      </c>
      <c r="B297" s="6">
        <v>21001</v>
      </c>
      <c r="C297" s="6">
        <v>6</v>
      </c>
      <c r="D297" s="6">
        <v>6</v>
      </c>
      <c r="E297" s="6" t="str">
        <f t="shared" si="261"/>
        <v>201001:0</v>
      </c>
      <c r="F297" s="11">
        <v>0</v>
      </c>
      <c r="G297" s="6">
        <v>11002</v>
      </c>
      <c r="H297" s="6" t="s">
        <v>407</v>
      </c>
      <c r="I297" s="6">
        <v>0</v>
      </c>
      <c r="K297" s="6" t="str">
        <f t="shared" si="259"/>
        <v>201001</v>
      </c>
      <c r="L297" s="4">
        <v>0</v>
      </c>
      <c r="M297" s="6" t="s">
        <v>453</v>
      </c>
      <c r="O297" s="13" t="str">
        <f t="shared" ref="O297:S297" si="297">O296</f>
        <v>1.4</v>
      </c>
      <c r="P297" s="13" t="str">
        <f t="shared" si="297"/>
        <v>1.4</v>
      </c>
      <c r="Q297" s="13" t="str">
        <f t="shared" si="297"/>
        <v>1.4</v>
      </c>
      <c r="R297" s="13" t="str">
        <f t="shared" si="297"/>
        <v>1.4</v>
      </c>
      <c r="S297" s="13" t="str">
        <f t="shared" si="297"/>
        <v>1.4</v>
      </c>
      <c r="T297" s="6" t="str">
        <f t="shared" si="260"/>
        <v>1|1.4#2|1.4#3|1.4#4|1.4#5|1.4</v>
      </c>
    </row>
    <row r="298" s="6" customFormat="1" ht="16.5" spans="1:20">
      <c r="A298" s="6">
        <v>1010304</v>
      </c>
      <c r="B298" s="6">
        <v>22001</v>
      </c>
      <c r="C298" s="6">
        <v>1</v>
      </c>
      <c r="D298" s="6">
        <v>0</v>
      </c>
      <c r="E298" s="6" t="str">
        <f t="shared" si="261"/>
        <v>202001:2</v>
      </c>
      <c r="F298" s="11" t="s">
        <v>356</v>
      </c>
      <c r="G298" s="6">
        <v>0</v>
      </c>
      <c r="H298" s="6">
        <v>0</v>
      </c>
      <c r="I298" s="6" t="s">
        <v>25</v>
      </c>
      <c r="K298" s="6" t="str">
        <f t="shared" si="259"/>
        <v>202001</v>
      </c>
      <c r="L298" s="4">
        <v>2</v>
      </c>
      <c r="M298" s="6" t="s">
        <v>461</v>
      </c>
      <c r="O298" s="13">
        <v>1</v>
      </c>
      <c r="P298" s="13">
        <f t="shared" ref="P298:S298" si="298">O298</f>
        <v>1</v>
      </c>
      <c r="Q298" s="13">
        <f t="shared" si="298"/>
        <v>1</v>
      </c>
      <c r="R298" s="13">
        <f>P298</f>
        <v>1</v>
      </c>
      <c r="S298" s="13">
        <f t="shared" si="298"/>
        <v>1</v>
      </c>
      <c r="T298" s="6" t="str">
        <f t="shared" si="260"/>
        <v>1|1#2|1#3|1#4|1#5|1</v>
      </c>
    </row>
    <row r="299" s="6" customFormat="1" ht="16.5" spans="1:20">
      <c r="A299" s="6">
        <v>1010305</v>
      </c>
      <c r="B299" s="6">
        <v>22001</v>
      </c>
      <c r="C299" s="6">
        <v>1</v>
      </c>
      <c r="D299" s="6">
        <v>1</v>
      </c>
      <c r="E299" s="6" t="str">
        <f t="shared" si="261"/>
        <v>202001:2</v>
      </c>
      <c r="F299" s="11" t="s">
        <v>358</v>
      </c>
      <c r="G299" s="6">
        <v>0</v>
      </c>
      <c r="H299" s="6">
        <v>0</v>
      </c>
      <c r="I299" s="6" t="s">
        <v>28</v>
      </c>
      <c r="K299" s="6" t="str">
        <f t="shared" si="259"/>
        <v>202001</v>
      </c>
      <c r="L299" s="4">
        <v>2</v>
      </c>
      <c r="M299" s="6" t="s">
        <v>461</v>
      </c>
      <c r="O299" s="13" t="str">
        <f t="shared" ref="O299:O303" si="299">RIGHT(F299,LEN(F299)-2)</f>
        <v>1.05</v>
      </c>
      <c r="P299" s="13">
        <v>1</v>
      </c>
      <c r="Q299" s="13">
        <f>Q298</f>
        <v>1</v>
      </c>
      <c r="R299" s="13">
        <f>R298</f>
        <v>1</v>
      </c>
      <c r="S299" s="13">
        <f t="shared" si="296"/>
        <v>1</v>
      </c>
      <c r="T299" s="6" t="str">
        <f t="shared" si="260"/>
        <v>1|1.05#2|1#3|1#4|1#5|1</v>
      </c>
    </row>
    <row r="300" s="6" customFormat="1" ht="16.5" spans="1:20">
      <c r="A300" s="6">
        <v>1010306</v>
      </c>
      <c r="B300" s="6">
        <v>22001</v>
      </c>
      <c r="C300" s="6">
        <v>1</v>
      </c>
      <c r="D300" s="6">
        <v>2</v>
      </c>
      <c r="E300" s="6" t="str">
        <f t="shared" si="261"/>
        <v>202001:2</v>
      </c>
      <c r="F300" s="11" t="s">
        <v>359</v>
      </c>
      <c r="G300" s="6">
        <v>0</v>
      </c>
      <c r="H300" s="6">
        <v>0</v>
      </c>
      <c r="I300" s="6" t="s">
        <v>31</v>
      </c>
      <c r="K300" s="6" t="str">
        <f t="shared" si="259"/>
        <v>202001</v>
      </c>
      <c r="L300" s="4">
        <v>2</v>
      </c>
      <c r="M300" s="6" t="s">
        <v>461</v>
      </c>
      <c r="O300" s="13" t="str">
        <f t="shared" si="299"/>
        <v>1.05</v>
      </c>
      <c r="P300" s="13" t="str">
        <f t="shared" ref="P300:P303" si="300">O300</f>
        <v>1.05</v>
      </c>
      <c r="Q300" s="13">
        <v>1</v>
      </c>
      <c r="R300" s="13">
        <f>R299</f>
        <v>1</v>
      </c>
      <c r="S300" s="13">
        <f t="shared" si="296"/>
        <v>1</v>
      </c>
      <c r="T300" s="6" t="str">
        <f t="shared" si="260"/>
        <v>1|1.05#2|1.05#3|1#4|1#5|1</v>
      </c>
    </row>
    <row r="301" s="6" customFormat="1" ht="16.5" spans="1:20">
      <c r="A301" s="6">
        <v>1010307</v>
      </c>
      <c r="B301" s="6">
        <v>22001</v>
      </c>
      <c r="C301" s="6">
        <v>1</v>
      </c>
      <c r="D301" s="6">
        <v>3</v>
      </c>
      <c r="E301" s="6" t="str">
        <f t="shared" si="261"/>
        <v>202001:3</v>
      </c>
      <c r="F301" s="11" t="s">
        <v>360</v>
      </c>
      <c r="G301" s="6">
        <v>0</v>
      </c>
      <c r="H301" s="6">
        <v>0</v>
      </c>
      <c r="I301" s="6" t="s">
        <v>34</v>
      </c>
      <c r="K301" s="6" t="str">
        <f t="shared" si="259"/>
        <v>202001</v>
      </c>
      <c r="L301" s="4">
        <v>3</v>
      </c>
      <c r="M301" s="6" t="s">
        <v>461</v>
      </c>
      <c r="O301" s="13" t="str">
        <f t="shared" si="299"/>
        <v>1.05</v>
      </c>
      <c r="P301" s="13" t="str">
        <f t="shared" si="300"/>
        <v>1.05</v>
      </c>
      <c r="Q301" s="13" t="str">
        <f t="shared" ref="Q301:Q303" si="301">P301</f>
        <v>1.05</v>
      </c>
      <c r="R301" s="13">
        <v>1</v>
      </c>
      <c r="S301" s="13">
        <f t="shared" si="296"/>
        <v>1</v>
      </c>
      <c r="T301" s="6" t="str">
        <f t="shared" si="260"/>
        <v>1|1.05#2|1.05#3|1.05#4|1#5|1</v>
      </c>
    </row>
    <row r="302" s="6" customFormat="1" ht="16.5" spans="1:20">
      <c r="A302" s="6">
        <v>1010308</v>
      </c>
      <c r="B302" s="6">
        <v>22001</v>
      </c>
      <c r="C302" s="6">
        <v>1</v>
      </c>
      <c r="D302" s="6">
        <v>4</v>
      </c>
      <c r="E302" s="6" t="str">
        <f t="shared" si="261"/>
        <v>202001:3</v>
      </c>
      <c r="F302" s="11" t="s">
        <v>361</v>
      </c>
      <c r="G302" s="6">
        <v>0</v>
      </c>
      <c r="H302" s="6">
        <v>0</v>
      </c>
      <c r="I302" s="6" t="s">
        <v>37</v>
      </c>
      <c r="K302" s="6" t="str">
        <f t="shared" si="259"/>
        <v>202001</v>
      </c>
      <c r="L302" s="4">
        <v>3</v>
      </c>
      <c r="M302" s="6" t="s">
        <v>461</v>
      </c>
      <c r="O302" s="13" t="str">
        <f t="shared" si="299"/>
        <v>1.05</v>
      </c>
      <c r="P302" s="13" t="str">
        <f t="shared" si="300"/>
        <v>1.05</v>
      </c>
      <c r="Q302" s="13" t="str">
        <f t="shared" si="301"/>
        <v>1.05</v>
      </c>
      <c r="R302" s="13" t="str">
        <f>Q302</f>
        <v>1.05</v>
      </c>
      <c r="S302" s="13">
        <v>1</v>
      </c>
      <c r="T302" s="6" t="str">
        <f t="shared" si="260"/>
        <v>1|1.05#2|1.05#3|1.05#4|1.05#5|1</v>
      </c>
    </row>
    <row r="303" s="6" customFormat="1" ht="16.5" spans="1:20">
      <c r="A303" s="6">
        <v>1010309</v>
      </c>
      <c r="B303" s="6">
        <v>22001</v>
      </c>
      <c r="C303" s="6">
        <v>1</v>
      </c>
      <c r="D303" s="6">
        <v>5</v>
      </c>
      <c r="E303" s="6" t="str">
        <f t="shared" si="261"/>
        <v>202001:3</v>
      </c>
      <c r="F303" s="11" t="s">
        <v>362</v>
      </c>
      <c r="G303" s="6">
        <v>0</v>
      </c>
      <c r="H303" s="6">
        <v>0</v>
      </c>
      <c r="I303" s="6" t="s">
        <v>40</v>
      </c>
      <c r="K303" s="6" t="str">
        <f t="shared" si="259"/>
        <v>202001</v>
      </c>
      <c r="L303" s="4">
        <v>3</v>
      </c>
      <c r="M303" s="6" t="s">
        <v>462</v>
      </c>
      <c r="O303" s="13" t="str">
        <f t="shared" si="299"/>
        <v>1.05</v>
      </c>
      <c r="P303" s="13" t="str">
        <f t="shared" si="300"/>
        <v>1.05</v>
      </c>
      <c r="Q303" s="13" t="str">
        <f t="shared" si="301"/>
        <v>1.05</v>
      </c>
      <c r="R303" s="13" t="str">
        <f>Q303</f>
        <v>1.05</v>
      </c>
      <c r="S303" s="13" t="str">
        <f>R303</f>
        <v>1.05</v>
      </c>
      <c r="T303" s="6" t="str">
        <f t="shared" si="260"/>
        <v>1|1.05#2|1.05#3|1.05#4|1.05#5|1.05</v>
      </c>
    </row>
    <row r="304" s="6" customFormat="1" ht="16.5" spans="1:20">
      <c r="A304" s="6">
        <v>1010310</v>
      </c>
      <c r="B304" s="6">
        <v>22001</v>
      </c>
      <c r="C304" s="6">
        <v>1</v>
      </c>
      <c r="D304" s="6">
        <v>6</v>
      </c>
      <c r="E304" s="6" t="str">
        <f t="shared" si="261"/>
        <v>202001:5</v>
      </c>
      <c r="F304" s="11">
        <v>0</v>
      </c>
      <c r="G304" s="6">
        <v>11002</v>
      </c>
      <c r="H304" s="6" t="s">
        <v>407</v>
      </c>
      <c r="I304" s="6">
        <v>0</v>
      </c>
      <c r="K304" s="6" t="str">
        <f t="shared" si="259"/>
        <v>202001</v>
      </c>
      <c r="L304" s="13">
        <v>5</v>
      </c>
      <c r="M304" s="6" t="s">
        <v>463</v>
      </c>
      <c r="O304" s="13" t="str">
        <f t="shared" ref="O304:S304" si="302">O303</f>
        <v>1.05</v>
      </c>
      <c r="P304" s="13" t="str">
        <f t="shared" si="302"/>
        <v>1.05</v>
      </c>
      <c r="Q304" s="13" t="str">
        <f t="shared" si="302"/>
        <v>1.05</v>
      </c>
      <c r="R304" s="13" t="str">
        <f t="shared" si="302"/>
        <v>1.05</v>
      </c>
      <c r="S304" s="13" t="str">
        <f t="shared" si="302"/>
        <v>1.05</v>
      </c>
      <c r="T304" s="6" t="str">
        <f t="shared" si="260"/>
        <v>1|1.05#2|1.05#3|1.05#4|1.05#5|1.05</v>
      </c>
    </row>
    <row r="305" s="6" customFormat="1" ht="16.5" spans="1:20">
      <c r="A305" s="6">
        <v>1010311</v>
      </c>
      <c r="B305" s="6">
        <v>22001</v>
      </c>
      <c r="C305" s="6">
        <v>2</v>
      </c>
      <c r="D305" s="6">
        <v>0</v>
      </c>
      <c r="E305" s="6" t="str">
        <f t="shared" si="261"/>
        <v>202001:5</v>
      </c>
      <c r="F305" s="11" t="s">
        <v>364</v>
      </c>
      <c r="G305" s="6">
        <v>0</v>
      </c>
      <c r="H305" s="6">
        <v>0</v>
      </c>
      <c r="I305" s="6" t="s">
        <v>43</v>
      </c>
      <c r="K305" s="6" t="str">
        <f t="shared" si="259"/>
        <v>202001</v>
      </c>
      <c r="L305" s="4">
        <v>5</v>
      </c>
      <c r="M305" s="6" t="s">
        <v>464</v>
      </c>
      <c r="O305" s="15" t="str">
        <f>O304</f>
        <v>1.05</v>
      </c>
      <c r="P305" s="15" t="str">
        <f t="shared" ref="P305:S305" si="303">O305</f>
        <v>1.05</v>
      </c>
      <c r="Q305" s="15" t="str">
        <f t="shared" si="303"/>
        <v>1.05</v>
      </c>
      <c r="R305" s="15" t="str">
        <f>P305</f>
        <v>1.05</v>
      </c>
      <c r="S305" s="15" t="str">
        <f t="shared" si="303"/>
        <v>1.05</v>
      </c>
      <c r="T305" s="6" t="str">
        <f t="shared" si="260"/>
        <v>1|1.05#2|1.05#3|1.05#4|1.05#5|1.05</v>
      </c>
    </row>
    <row r="306" s="6" customFormat="1" ht="16.5" spans="1:20">
      <c r="A306" s="6">
        <v>1010312</v>
      </c>
      <c r="B306" s="6">
        <v>22001</v>
      </c>
      <c r="C306" s="6">
        <v>2</v>
      </c>
      <c r="D306" s="6">
        <v>1</v>
      </c>
      <c r="E306" s="6" t="str">
        <f t="shared" si="261"/>
        <v>202001:5</v>
      </c>
      <c r="F306" s="11" t="s">
        <v>366</v>
      </c>
      <c r="G306" s="6">
        <v>0</v>
      </c>
      <c r="H306" s="6">
        <v>0</v>
      </c>
      <c r="I306" s="6" t="s">
        <v>45</v>
      </c>
      <c r="K306" s="6" t="str">
        <f t="shared" si="259"/>
        <v>202001</v>
      </c>
      <c r="L306" s="4">
        <v>5</v>
      </c>
      <c r="M306" s="6" t="s">
        <v>464</v>
      </c>
      <c r="O306" s="13" t="str">
        <f t="shared" ref="O306:O310" si="304">RIGHT(F306,LEN(F306)-2)</f>
        <v>1.1</v>
      </c>
      <c r="P306" s="13">
        <v>1.05</v>
      </c>
      <c r="Q306" s="13" t="str">
        <f t="shared" ref="Q306:S306" si="305">Q305</f>
        <v>1.05</v>
      </c>
      <c r="R306" s="13" t="str">
        <f t="shared" si="305"/>
        <v>1.05</v>
      </c>
      <c r="S306" s="13" t="str">
        <f t="shared" si="305"/>
        <v>1.05</v>
      </c>
      <c r="T306" s="6" t="str">
        <f t="shared" si="260"/>
        <v>1|1.1#2|1.05#3|1.05#4|1.05#5|1.05</v>
      </c>
    </row>
    <row r="307" s="6" customFormat="1" ht="16.5" spans="1:20">
      <c r="A307" s="6">
        <v>1010313</v>
      </c>
      <c r="B307" s="6">
        <v>22001</v>
      </c>
      <c r="C307" s="6">
        <v>2</v>
      </c>
      <c r="D307" s="6">
        <v>2</v>
      </c>
      <c r="E307" s="6" t="str">
        <f t="shared" si="261"/>
        <v>202001:5</v>
      </c>
      <c r="F307" s="11" t="s">
        <v>367</v>
      </c>
      <c r="G307" s="6">
        <v>0</v>
      </c>
      <c r="H307" s="6">
        <v>0</v>
      </c>
      <c r="I307" s="6" t="s">
        <v>47</v>
      </c>
      <c r="K307" s="6" t="str">
        <f t="shared" si="259"/>
        <v>202001</v>
      </c>
      <c r="L307" s="4">
        <v>5</v>
      </c>
      <c r="M307" s="6" t="s">
        <v>464</v>
      </c>
      <c r="O307" s="13" t="str">
        <f t="shared" si="304"/>
        <v>1.1</v>
      </c>
      <c r="P307" s="13" t="str">
        <f t="shared" ref="P307:P310" si="306">O307</f>
        <v>1.1</v>
      </c>
      <c r="Q307" s="13">
        <v>1.05</v>
      </c>
      <c r="R307" s="13" t="str">
        <f>R306</f>
        <v>1.05</v>
      </c>
      <c r="S307" s="13" t="str">
        <f>S306</f>
        <v>1.05</v>
      </c>
      <c r="T307" s="6" t="str">
        <f t="shared" si="260"/>
        <v>1|1.1#2|1.1#3|1.05#4|1.05#5|1.05</v>
      </c>
    </row>
    <row r="308" s="6" customFormat="1" ht="16.5" spans="1:20">
      <c r="A308" s="6">
        <v>1010314</v>
      </c>
      <c r="B308" s="6">
        <v>22001</v>
      </c>
      <c r="C308" s="6">
        <v>2</v>
      </c>
      <c r="D308" s="6">
        <v>3</v>
      </c>
      <c r="E308" s="6" t="str">
        <f t="shared" si="261"/>
        <v>202001:6</v>
      </c>
      <c r="F308" s="11" t="s">
        <v>368</v>
      </c>
      <c r="G308" s="6">
        <v>0</v>
      </c>
      <c r="H308" s="6">
        <v>0</v>
      </c>
      <c r="I308" s="6" t="s">
        <v>49</v>
      </c>
      <c r="K308" s="6" t="str">
        <f t="shared" si="259"/>
        <v>202001</v>
      </c>
      <c r="L308" s="4">
        <v>6</v>
      </c>
      <c r="M308" s="6" t="s">
        <v>464</v>
      </c>
      <c r="O308" s="13" t="str">
        <f t="shared" si="304"/>
        <v>1.1</v>
      </c>
      <c r="P308" s="13" t="str">
        <f t="shared" si="306"/>
        <v>1.1</v>
      </c>
      <c r="Q308" s="13" t="str">
        <f t="shared" ref="Q308:Q310" si="307">P308</f>
        <v>1.1</v>
      </c>
      <c r="R308" s="13">
        <v>1.05</v>
      </c>
      <c r="S308" s="13" t="str">
        <f>S307</f>
        <v>1.05</v>
      </c>
      <c r="T308" s="6" t="str">
        <f t="shared" si="260"/>
        <v>1|1.1#2|1.1#3|1.1#4|1.05#5|1.05</v>
      </c>
    </row>
    <row r="309" s="6" customFormat="1" ht="16.5" spans="1:20">
      <c r="A309" s="6">
        <v>1010315</v>
      </c>
      <c r="B309" s="6">
        <v>22001</v>
      </c>
      <c r="C309" s="6">
        <v>2</v>
      </c>
      <c r="D309" s="6">
        <v>4</v>
      </c>
      <c r="E309" s="6" t="str">
        <f t="shared" si="261"/>
        <v>202001:6</v>
      </c>
      <c r="F309" s="11" t="s">
        <v>369</v>
      </c>
      <c r="G309" s="6">
        <v>0</v>
      </c>
      <c r="H309" s="6">
        <v>0</v>
      </c>
      <c r="I309" s="6" t="s">
        <v>51</v>
      </c>
      <c r="K309" s="6" t="str">
        <f t="shared" si="259"/>
        <v>202001</v>
      </c>
      <c r="L309" s="4">
        <v>6</v>
      </c>
      <c r="M309" s="6" t="s">
        <v>464</v>
      </c>
      <c r="O309" s="13" t="str">
        <f t="shared" si="304"/>
        <v>1.1</v>
      </c>
      <c r="P309" s="13" t="str">
        <f t="shared" si="306"/>
        <v>1.1</v>
      </c>
      <c r="Q309" s="13" t="str">
        <f t="shared" si="307"/>
        <v>1.1</v>
      </c>
      <c r="R309" s="13" t="str">
        <f>Q309</f>
        <v>1.1</v>
      </c>
      <c r="S309" s="13">
        <v>1.05</v>
      </c>
      <c r="T309" s="6" t="str">
        <f t="shared" si="260"/>
        <v>1|1.1#2|1.1#3|1.1#4|1.1#5|1.05</v>
      </c>
    </row>
    <row r="310" s="6" customFormat="1" ht="16.5" spans="1:20">
      <c r="A310" s="6">
        <v>1010316</v>
      </c>
      <c r="B310" s="6">
        <v>22001</v>
      </c>
      <c r="C310" s="6">
        <v>2</v>
      </c>
      <c r="D310" s="6">
        <v>5</v>
      </c>
      <c r="E310" s="6" t="str">
        <f t="shared" si="261"/>
        <v>202001:6</v>
      </c>
      <c r="F310" s="11" t="s">
        <v>370</v>
      </c>
      <c r="G310" s="6">
        <v>0</v>
      </c>
      <c r="H310" s="6">
        <v>0</v>
      </c>
      <c r="I310" s="6" t="s">
        <v>40</v>
      </c>
      <c r="K310" s="6" t="str">
        <f t="shared" si="259"/>
        <v>202001</v>
      </c>
      <c r="L310" s="4">
        <v>6</v>
      </c>
      <c r="M310" s="6" t="s">
        <v>166</v>
      </c>
      <c r="O310" s="13" t="str">
        <f t="shared" si="304"/>
        <v>1.1</v>
      </c>
      <c r="P310" s="13" t="str">
        <f t="shared" si="306"/>
        <v>1.1</v>
      </c>
      <c r="Q310" s="13" t="str">
        <f t="shared" si="307"/>
        <v>1.1</v>
      </c>
      <c r="R310" s="13" t="str">
        <f>Q310</f>
        <v>1.1</v>
      </c>
      <c r="S310" s="13" t="str">
        <f>R310</f>
        <v>1.1</v>
      </c>
      <c r="T310" s="6" t="str">
        <f t="shared" si="260"/>
        <v>1|1.1#2|1.1#3|1.1#4|1.1#5|1.1</v>
      </c>
    </row>
    <row r="311" s="6" customFormat="1" ht="16.5" spans="1:20">
      <c r="A311" s="6">
        <v>1010317</v>
      </c>
      <c r="B311" s="6">
        <v>22001</v>
      </c>
      <c r="C311" s="6">
        <v>2</v>
      </c>
      <c r="D311" s="6">
        <v>6</v>
      </c>
      <c r="E311" s="6" t="str">
        <f t="shared" si="261"/>
        <v>202001:7</v>
      </c>
      <c r="F311" s="11">
        <v>0</v>
      </c>
      <c r="G311" s="6">
        <v>11002</v>
      </c>
      <c r="H311" s="6" t="s">
        <v>407</v>
      </c>
      <c r="I311" s="6">
        <v>0</v>
      </c>
      <c r="K311" s="6" t="str">
        <f t="shared" si="259"/>
        <v>202001</v>
      </c>
      <c r="L311" s="13">
        <v>7</v>
      </c>
      <c r="M311" s="6" t="s">
        <v>463</v>
      </c>
      <c r="O311" s="13" t="str">
        <f t="shared" ref="O311:S311" si="308">O310</f>
        <v>1.1</v>
      </c>
      <c r="P311" s="13" t="str">
        <f t="shared" si="308"/>
        <v>1.1</v>
      </c>
      <c r="Q311" s="13" t="str">
        <f t="shared" si="308"/>
        <v>1.1</v>
      </c>
      <c r="R311" s="13" t="str">
        <f t="shared" si="308"/>
        <v>1.1</v>
      </c>
      <c r="S311" s="13" t="str">
        <f t="shared" si="308"/>
        <v>1.1</v>
      </c>
      <c r="T311" s="6" t="str">
        <f t="shared" si="260"/>
        <v>1|1.1#2|1.1#3|1.1#4|1.1#5|1.1</v>
      </c>
    </row>
    <row r="312" s="6" customFormat="1" ht="16.5" spans="1:20">
      <c r="A312" s="6">
        <v>1010318</v>
      </c>
      <c r="B312" s="6">
        <v>22001</v>
      </c>
      <c r="C312" s="6">
        <v>3</v>
      </c>
      <c r="D312" s="6">
        <v>0</v>
      </c>
      <c r="E312" s="6" t="str">
        <f t="shared" si="261"/>
        <v>202001:9</v>
      </c>
      <c r="F312" s="11" t="s">
        <v>371</v>
      </c>
      <c r="G312" s="6">
        <v>0</v>
      </c>
      <c r="H312" s="6">
        <v>0</v>
      </c>
      <c r="I312" s="6" t="s">
        <v>55</v>
      </c>
      <c r="K312" s="6" t="str">
        <f t="shared" si="259"/>
        <v>202001</v>
      </c>
      <c r="L312" s="4">
        <v>9</v>
      </c>
      <c r="M312" s="6" t="s">
        <v>465</v>
      </c>
      <c r="O312" s="15" t="str">
        <f>O311</f>
        <v>1.1</v>
      </c>
      <c r="P312" s="15" t="str">
        <f t="shared" ref="P312:S312" si="309">O312</f>
        <v>1.1</v>
      </c>
      <c r="Q312" s="15" t="str">
        <f t="shared" si="309"/>
        <v>1.1</v>
      </c>
      <c r="R312" s="15" t="str">
        <f>P312</f>
        <v>1.1</v>
      </c>
      <c r="S312" s="15" t="str">
        <f t="shared" si="309"/>
        <v>1.1</v>
      </c>
      <c r="T312" s="6" t="str">
        <f t="shared" si="260"/>
        <v>1|1.1#2|1.1#3|1.1#4|1.1#5|1.1</v>
      </c>
    </row>
    <row r="313" s="6" customFormat="1" ht="16.5" spans="1:20">
      <c r="A313" s="6">
        <v>1010319</v>
      </c>
      <c r="B313" s="6">
        <v>22001</v>
      </c>
      <c r="C313" s="6">
        <v>3</v>
      </c>
      <c r="D313" s="6">
        <v>1</v>
      </c>
      <c r="E313" s="6" t="str">
        <f t="shared" si="261"/>
        <v>202001:9</v>
      </c>
      <c r="F313" s="11" t="s">
        <v>373</v>
      </c>
      <c r="G313" s="6">
        <v>0</v>
      </c>
      <c r="H313" s="6">
        <v>0</v>
      </c>
      <c r="I313" s="6" t="s">
        <v>57</v>
      </c>
      <c r="K313" s="6" t="str">
        <f t="shared" si="259"/>
        <v>202001</v>
      </c>
      <c r="L313" s="4">
        <v>9</v>
      </c>
      <c r="M313" s="6" t="s">
        <v>465</v>
      </c>
      <c r="O313" s="13" t="str">
        <f t="shared" ref="O313:O317" si="310">RIGHT(F313,LEN(F313)-2)</f>
        <v>1.15</v>
      </c>
      <c r="P313" s="13" t="str">
        <f t="shared" ref="P313:S313" si="311">P312</f>
        <v>1.1</v>
      </c>
      <c r="Q313" s="13" t="str">
        <f t="shared" si="311"/>
        <v>1.1</v>
      </c>
      <c r="R313" s="13" t="str">
        <f t="shared" si="311"/>
        <v>1.1</v>
      </c>
      <c r="S313" s="13" t="str">
        <f t="shared" si="311"/>
        <v>1.1</v>
      </c>
      <c r="T313" s="6" t="str">
        <f t="shared" si="260"/>
        <v>1|1.15#2|1.1#3|1.1#4|1.1#5|1.1</v>
      </c>
    </row>
    <row r="314" s="6" customFormat="1" ht="16.5" spans="1:20">
      <c r="A314" s="6">
        <v>1010320</v>
      </c>
      <c r="B314" s="6">
        <v>22001</v>
      </c>
      <c r="C314" s="6">
        <v>3</v>
      </c>
      <c r="D314" s="6">
        <v>2</v>
      </c>
      <c r="E314" s="6" t="str">
        <f t="shared" si="261"/>
        <v>202001:9</v>
      </c>
      <c r="F314" s="11" t="s">
        <v>374</v>
      </c>
      <c r="G314" s="6">
        <v>0</v>
      </c>
      <c r="H314" s="6">
        <v>0</v>
      </c>
      <c r="I314" s="6" t="s">
        <v>59</v>
      </c>
      <c r="K314" s="6" t="str">
        <f t="shared" si="259"/>
        <v>202001</v>
      </c>
      <c r="L314" s="4">
        <v>9</v>
      </c>
      <c r="M314" s="6" t="s">
        <v>465</v>
      </c>
      <c r="O314" s="13" t="str">
        <f t="shared" si="310"/>
        <v>1.15</v>
      </c>
      <c r="P314" s="13" t="str">
        <f t="shared" ref="P314:P317" si="312">O314</f>
        <v>1.15</v>
      </c>
      <c r="Q314" s="13" t="str">
        <f t="shared" ref="Q314:S314" si="313">Q313</f>
        <v>1.1</v>
      </c>
      <c r="R314" s="13" t="str">
        <f t="shared" si="313"/>
        <v>1.1</v>
      </c>
      <c r="S314" s="13" t="str">
        <f t="shared" si="313"/>
        <v>1.1</v>
      </c>
      <c r="T314" s="6" t="str">
        <f t="shared" si="260"/>
        <v>1|1.15#2|1.15#3|1.1#4|1.1#5|1.1</v>
      </c>
    </row>
    <row r="315" s="6" customFormat="1" ht="16.5" spans="1:20">
      <c r="A315" s="6">
        <v>1010321</v>
      </c>
      <c r="B315" s="6">
        <v>22001</v>
      </c>
      <c r="C315" s="6">
        <v>3</v>
      </c>
      <c r="D315" s="6">
        <v>3</v>
      </c>
      <c r="E315" s="6" t="str">
        <f t="shared" si="261"/>
        <v>202001:11</v>
      </c>
      <c r="F315" s="11" t="s">
        <v>375</v>
      </c>
      <c r="G315" s="6">
        <v>0</v>
      </c>
      <c r="H315" s="6">
        <v>0</v>
      </c>
      <c r="I315" s="6" t="s">
        <v>61</v>
      </c>
      <c r="K315" s="6" t="str">
        <f t="shared" si="259"/>
        <v>202001</v>
      </c>
      <c r="L315" s="4">
        <v>11</v>
      </c>
      <c r="M315" s="6" t="s">
        <v>465</v>
      </c>
      <c r="O315" s="13" t="str">
        <f t="shared" si="310"/>
        <v>1.15</v>
      </c>
      <c r="P315" s="13" t="str">
        <f t="shared" si="312"/>
        <v>1.15</v>
      </c>
      <c r="Q315" s="13" t="str">
        <f t="shared" ref="Q315:Q317" si="314">P315</f>
        <v>1.15</v>
      </c>
      <c r="R315" s="13" t="str">
        <f>R314</f>
        <v>1.1</v>
      </c>
      <c r="S315" s="13" t="str">
        <f>S314</f>
        <v>1.1</v>
      </c>
      <c r="T315" s="6" t="str">
        <f t="shared" si="260"/>
        <v>1|1.15#2|1.15#3|1.15#4|1.1#5|1.1</v>
      </c>
    </row>
    <row r="316" s="6" customFormat="1" ht="16.5" spans="1:20">
      <c r="A316" s="6">
        <v>1010322</v>
      </c>
      <c r="B316" s="6">
        <v>22001</v>
      </c>
      <c r="C316" s="6">
        <v>3</v>
      </c>
      <c r="D316" s="6">
        <v>4</v>
      </c>
      <c r="E316" s="6" t="str">
        <f t="shared" si="261"/>
        <v>202001:11</v>
      </c>
      <c r="F316" s="11" t="s">
        <v>376</v>
      </c>
      <c r="G316" s="6">
        <v>0</v>
      </c>
      <c r="H316" s="6">
        <v>0</v>
      </c>
      <c r="I316" s="6" t="s">
        <v>63</v>
      </c>
      <c r="K316" s="6" t="str">
        <f t="shared" si="259"/>
        <v>202001</v>
      </c>
      <c r="L316" s="4">
        <v>11</v>
      </c>
      <c r="M316" s="6" t="s">
        <v>465</v>
      </c>
      <c r="O316" s="13" t="str">
        <f t="shared" si="310"/>
        <v>1.15</v>
      </c>
      <c r="P316" s="13" t="str">
        <f t="shared" si="312"/>
        <v>1.15</v>
      </c>
      <c r="Q316" s="13" t="str">
        <f t="shared" si="314"/>
        <v>1.15</v>
      </c>
      <c r="R316" s="13" t="str">
        <f>Q316</f>
        <v>1.15</v>
      </c>
      <c r="S316" s="13" t="str">
        <f>S315</f>
        <v>1.1</v>
      </c>
      <c r="T316" s="6" t="str">
        <f t="shared" si="260"/>
        <v>1|1.15#2|1.15#3|1.15#4|1.15#5|1.1</v>
      </c>
    </row>
    <row r="317" s="6" customFormat="1" ht="16.5" spans="1:20">
      <c r="A317" s="6">
        <v>1010323</v>
      </c>
      <c r="B317" s="6">
        <v>22001</v>
      </c>
      <c r="C317" s="6">
        <v>3</v>
      </c>
      <c r="D317" s="6">
        <v>5</v>
      </c>
      <c r="E317" s="6" t="str">
        <f t="shared" si="261"/>
        <v>202001:11</v>
      </c>
      <c r="F317" s="11" t="s">
        <v>377</v>
      </c>
      <c r="G317" s="6">
        <v>0</v>
      </c>
      <c r="H317" s="6">
        <v>0</v>
      </c>
      <c r="I317" s="6" t="s">
        <v>40</v>
      </c>
      <c r="K317" s="6" t="str">
        <f t="shared" si="259"/>
        <v>202001</v>
      </c>
      <c r="L317" s="4">
        <v>11</v>
      </c>
      <c r="M317" s="6" t="s">
        <v>466</v>
      </c>
      <c r="O317" s="13" t="str">
        <f t="shared" si="310"/>
        <v>1.15</v>
      </c>
      <c r="P317" s="13" t="str">
        <f t="shared" si="312"/>
        <v>1.15</v>
      </c>
      <c r="Q317" s="13" t="str">
        <f t="shared" si="314"/>
        <v>1.15</v>
      </c>
      <c r="R317" s="13" t="str">
        <f>Q317</f>
        <v>1.15</v>
      </c>
      <c r="S317" s="13" t="str">
        <f>R317</f>
        <v>1.15</v>
      </c>
      <c r="T317" s="6" t="str">
        <f t="shared" si="260"/>
        <v>1|1.15#2|1.15#3|1.15#4|1.15#5|1.15</v>
      </c>
    </row>
    <row r="318" s="6" customFormat="1" ht="16.5" spans="1:20">
      <c r="A318" s="6">
        <v>1010324</v>
      </c>
      <c r="B318" s="6">
        <v>22001</v>
      </c>
      <c r="C318" s="6">
        <v>3</v>
      </c>
      <c r="D318" s="6">
        <v>6</v>
      </c>
      <c r="E318" s="6" t="str">
        <f t="shared" si="261"/>
        <v>202001:30</v>
      </c>
      <c r="F318" s="11">
        <v>0</v>
      </c>
      <c r="G318" s="6">
        <v>11002</v>
      </c>
      <c r="H318" s="6" t="s">
        <v>407</v>
      </c>
      <c r="I318" s="6">
        <v>0</v>
      </c>
      <c r="K318" s="6" t="str">
        <f t="shared" si="259"/>
        <v>202001</v>
      </c>
      <c r="L318" s="13">
        <v>30</v>
      </c>
      <c r="M318" s="6" t="s">
        <v>463</v>
      </c>
      <c r="O318" s="13" t="str">
        <f t="shared" ref="O318:S318" si="315">O317</f>
        <v>1.15</v>
      </c>
      <c r="P318" s="13" t="str">
        <f t="shared" si="315"/>
        <v>1.15</v>
      </c>
      <c r="Q318" s="13" t="str">
        <f t="shared" si="315"/>
        <v>1.15</v>
      </c>
      <c r="R318" s="13" t="str">
        <f t="shared" si="315"/>
        <v>1.15</v>
      </c>
      <c r="S318" s="13" t="str">
        <f t="shared" si="315"/>
        <v>1.15</v>
      </c>
      <c r="T318" s="6" t="str">
        <f t="shared" si="260"/>
        <v>1|1.15#2|1.15#3|1.15#4|1.15#5|1.15</v>
      </c>
    </row>
    <row r="319" s="6" customFormat="1" ht="16.5" spans="1:20">
      <c r="A319" s="6">
        <v>1010325</v>
      </c>
      <c r="B319" s="6">
        <v>22001</v>
      </c>
      <c r="C319" s="6">
        <v>4</v>
      </c>
      <c r="D319" s="6">
        <v>0</v>
      </c>
      <c r="E319" s="6" t="str">
        <f t="shared" si="261"/>
        <v>202001:13</v>
      </c>
      <c r="F319" s="11" t="s">
        <v>379</v>
      </c>
      <c r="G319" s="6">
        <v>0</v>
      </c>
      <c r="H319" s="6">
        <v>0</v>
      </c>
      <c r="I319" s="6" t="s">
        <v>67</v>
      </c>
      <c r="K319" s="6" t="str">
        <f t="shared" si="259"/>
        <v>202001</v>
      </c>
      <c r="L319" s="4">
        <v>13</v>
      </c>
      <c r="M319" s="6" t="s">
        <v>467</v>
      </c>
      <c r="O319" s="15" t="str">
        <f>O318</f>
        <v>1.15</v>
      </c>
      <c r="P319" s="15" t="str">
        <f t="shared" ref="P319:S319" si="316">O319</f>
        <v>1.15</v>
      </c>
      <c r="Q319" s="15" t="str">
        <f t="shared" si="316"/>
        <v>1.15</v>
      </c>
      <c r="R319" s="15" t="str">
        <f>P319</f>
        <v>1.15</v>
      </c>
      <c r="S319" s="15" t="str">
        <f t="shared" si="316"/>
        <v>1.15</v>
      </c>
      <c r="T319" s="6" t="str">
        <f t="shared" si="260"/>
        <v>1|1.15#2|1.15#3|1.15#4|1.15#5|1.15</v>
      </c>
    </row>
    <row r="320" s="6" customFormat="1" ht="16.5" spans="1:20">
      <c r="A320" s="6">
        <v>1010326</v>
      </c>
      <c r="B320" s="6">
        <v>22001</v>
      </c>
      <c r="C320" s="6">
        <v>4</v>
      </c>
      <c r="D320" s="6">
        <v>1</v>
      </c>
      <c r="E320" s="6" t="str">
        <f t="shared" si="261"/>
        <v>202001:13</v>
      </c>
      <c r="F320" s="11" t="s">
        <v>381</v>
      </c>
      <c r="G320" s="6">
        <v>0</v>
      </c>
      <c r="H320" s="6">
        <v>0</v>
      </c>
      <c r="I320" s="6" t="s">
        <v>69</v>
      </c>
      <c r="K320" s="6" t="str">
        <f t="shared" si="259"/>
        <v>202001</v>
      </c>
      <c r="L320" s="4">
        <v>13</v>
      </c>
      <c r="M320" s="6" t="s">
        <v>467</v>
      </c>
      <c r="O320" s="13" t="str">
        <f t="shared" ref="O320:O324" si="317">RIGHT(F320,LEN(F320)-2)</f>
        <v>1.2</v>
      </c>
      <c r="P320" s="13" t="str">
        <f t="shared" ref="P320:S320" si="318">P319</f>
        <v>1.15</v>
      </c>
      <c r="Q320" s="13" t="str">
        <f t="shared" si="318"/>
        <v>1.15</v>
      </c>
      <c r="R320" s="13" t="str">
        <f t="shared" si="318"/>
        <v>1.15</v>
      </c>
      <c r="S320" s="13" t="str">
        <f t="shared" si="318"/>
        <v>1.15</v>
      </c>
      <c r="T320" s="6" t="str">
        <f t="shared" si="260"/>
        <v>1|1.2#2|1.15#3|1.15#4|1.15#5|1.15</v>
      </c>
    </row>
    <row r="321" s="6" customFormat="1" ht="16.5" spans="1:20">
      <c r="A321" s="6">
        <v>1010327</v>
      </c>
      <c r="B321" s="6">
        <v>22001</v>
      </c>
      <c r="C321" s="6">
        <v>4</v>
      </c>
      <c r="D321" s="6">
        <v>2</v>
      </c>
      <c r="E321" s="6" t="str">
        <f t="shared" si="261"/>
        <v>202001:13</v>
      </c>
      <c r="F321" s="11" t="s">
        <v>382</v>
      </c>
      <c r="G321" s="6">
        <v>0</v>
      </c>
      <c r="H321" s="6">
        <v>0</v>
      </c>
      <c r="I321" s="6" t="s">
        <v>71</v>
      </c>
      <c r="K321" s="6" t="str">
        <f t="shared" si="259"/>
        <v>202001</v>
      </c>
      <c r="L321" s="4">
        <v>13</v>
      </c>
      <c r="M321" s="6" t="s">
        <v>467</v>
      </c>
      <c r="O321" s="13" t="str">
        <f t="shared" si="317"/>
        <v>1.2</v>
      </c>
      <c r="P321" s="13" t="str">
        <f t="shared" ref="P321:P324" si="319">O321</f>
        <v>1.2</v>
      </c>
      <c r="Q321" s="13" t="str">
        <f t="shared" ref="Q321:S321" si="320">Q320</f>
        <v>1.15</v>
      </c>
      <c r="R321" s="13" t="str">
        <f t="shared" si="320"/>
        <v>1.15</v>
      </c>
      <c r="S321" s="13" t="str">
        <f t="shared" si="320"/>
        <v>1.15</v>
      </c>
      <c r="T321" s="6" t="str">
        <f t="shared" si="260"/>
        <v>1|1.2#2|1.2#3|1.15#4|1.15#5|1.15</v>
      </c>
    </row>
    <row r="322" s="6" customFormat="1" ht="16.5" spans="1:20">
      <c r="A322" s="6">
        <v>1010328</v>
      </c>
      <c r="B322" s="6">
        <v>22001</v>
      </c>
      <c r="C322" s="6">
        <v>4</v>
      </c>
      <c r="D322" s="6">
        <v>3</v>
      </c>
      <c r="E322" s="6" t="str">
        <f t="shared" si="261"/>
        <v>202001:17</v>
      </c>
      <c r="F322" s="11" t="s">
        <v>383</v>
      </c>
      <c r="G322" s="6">
        <v>0</v>
      </c>
      <c r="H322" s="6">
        <v>0</v>
      </c>
      <c r="I322" s="6" t="s">
        <v>73</v>
      </c>
      <c r="K322" s="6" t="str">
        <f t="shared" si="259"/>
        <v>202001</v>
      </c>
      <c r="L322" s="4">
        <v>17</v>
      </c>
      <c r="M322" s="6" t="s">
        <v>467</v>
      </c>
      <c r="O322" s="13" t="str">
        <f t="shared" si="317"/>
        <v>1.2</v>
      </c>
      <c r="P322" s="13" t="str">
        <f t="shared" si="319"/>
        <v>1.2</v>
      </c>
      <c r="Q322" s="13" t="str">
        <f t="shared" ref="Q322:Q324" si="321">P322</f>
        <v>1.2</v>
      </c>
      <c r="R322" s="13" t="str">
        <f>R321</f>
        <v>1.15</v>
      </c>
      <c r="S322" s="13" t="str">
        <f>S321</f>
        <v>1.15</v>
      </c>
      <c r="T322" s="6" t="str">
        <f t="shared" si="260"/>
        <v>1|1.2#2|1.2#3|1.2#4|1.15#5|1.15</v>
      </c>
    </row>
    <row r="323" s="6" customFormat="1" ht="16.5" spans="1:20">
      <c r="A323" s="6">
        <v>1010329</v>
      </c>
      <c r="B323" s="6">
        <v>22001</v>
      </c>
      <c r="C323" s="6">
        <v>4</v>
      </c>
      <c r="D323" s="6">
        <v>4</v>
      </c>
      <c r="E323" s="6" t="str">
        <f t="shared" si="261"/>
        <v>202001:17</v>
      </c>
      <c r="F323" s="11" t="s">
        <v>384</v>
      </c>
      <c r="G323" s="6">
        <v>0</v>
      </c>
      <c r="H323" s="6">
        <v>0</v>
      </c>
      <c r="I323" s="6" t="s">
        <v>75</v>
      </c>
      <c r="K323" s="6" t="str">
        <f t="shared" si="259"/>
        <v>202001</v>
      </c>
      <c r="L323" s="4">
        <v>17</v>
      </c>
      <c r="M323" s="6" t="s">
        <v>467</v>
      </c>
      <c r="O323" s="13" t="str">
        <f t="shared" si="317"/>
        <v>1.2</v>
      </c>
      <c r="P323" s="13" t="str">
        <f t="shared" si="319"/>
        <v>1.2</v>
      </c>
      <c r="Q323" s="13" t="str">
        <f t="shared" si="321"/>
        <v>1.2</v>
      </c>
      <c r="R323" s="13" t="str">
        <f>Q323</f>
        <v>1.2</v>
      </c>
      <c r="S323" s="13" t="str">
        <f>S322</f>
        <v>1.15</v>
      </c>
      <c r="T323" s="6" t="str">
        <f t="shared" si="260"/>
        <v>1|1.2#2|1.2#3|1.2#4|1.2#5|1.15</v>
      </c>
    </row>
    <row r="324" s="6" customFormat="1" ht="16.5" spans="1:20">
      <c r="A324" s="6">
        <v>1010330</v>
      </c>
      <c r="B324" s="6">
        <v>22001</v>
      </c>
      <c r="C324" s="6">
        <v>4</v>
      </c>
      <c r="D324" s="6">
        <v>5</v>
      </c>
      <c r="E324" s="6" t="str">
        <f t="shared" si="261"/>
        <v>202001:17</v>
      </c>
      <c r="F324" s="11" t="s">
        <v>385</v>
      </c>
      <c r="G324" s="6">
        <v>0</v>
      </c>
      <c r="H324" s="6">
        <v>0</v>
      </c>
      <c r="I324" s="6" t="s">
        <v>40</v>
      </c>
      <c r="K324" s="6" t="str">
        <f t="shared" si="259"/>
        <v>202001</v>
      </c>
      <c r="L324" s="4">
        <v>17</v>
      </c>
      <c r="M324" s="6" t="s">
        <v>168</v>
      </c>
      <c r="O324" s="13" t="str">
        <f t="shared" si="317"/>
        <v>1.2</v>
      </c>
      <c r="P324" s="13" t="str">
        <f t="shared" si="319"/>
        <v>1.2</v>
      </c>
      <c r="Q324" s="13" t="str">
        <f t="shared" si="321"/>
        <v>1.2</v>
      </c>
      <c r="R324" s="13" t="str">
        <f>Q324</f>
        <v>1.2</v>
      </c>
      <c r="S324" s="13" t="str">
        <f>R324</f>
        <v>1.2</v>
      </c>
      <c r="T324" s="6" t="str">
        <f t="shared" si="260"/>
        <v>1|1.2#2|1.2#3|1.2#4|1.2#5|1.2</v>
      </c>
    </row>
    <row r="325" s="6" customFormat="1" ht="16.5" spans="1:20">
      <c r="A325" s="6">
        <v>1010331</v>
      </c>
      <c r="B325" s="6">
        <v>22001</v>
      </c>
      <c r="C325" s="6">
        <v>4</v>
      </c>
      <c r="D325" s="6">
        <v>6</v>
      </c>
      <c r="E325" s="6" t="str">
        <f t="shared" si="261"/>
        <v>202001:60</v>
      </c>
      <c r="F325" s="11">
        <v>0</v>
      </c>
      <c r="G325" s="6">
        <v>11002</v>
      </c>
      <c r="H325" s="6" t="s">
        <v>407</v>
      </c>
      <c r="I325" s="6">
        <v>0</v>
      </c>
      <c r="K325" s="6" t="str">
        <f t="shared" ref="K325:K388" si="322">LEFT(M325,6)</f>
        <v>202001</v>
      </c>
      <c r="L325" s="13">
        <v>60</v>
      </c>
      <c r="M325" s="6" t="s">
        <v>463</v>
      </c>
      <c r="O325" s="13" t="str">
        <f t="shared" ref="O325:S325" si="323">O324</f>
        <v>1.2</v>
      </c>
      <c r="P325" s="13" t="str">
        <f t="shared" si="323"/>
        <v>1.2</v>
      </c>
      <c r="Q325" s="13" t="str">
        <f t="shared" si="323"/>
        <v>1.2</v>
      </c>
      <c r="R325" s="13" t="str">
        <f t="shared" si="323"/>
        <v>1.2</v>
      </c>
      <c r="S325" s="13" t="str">
        <f t="shared" si="323"/>
        <v>1.2</v>
      </c>
      <c r="T325" s="6" t="str">
        <f t="shared" ref="T325:T388" si="324">$O$2&amp;$P$3&amp;O325&amp;$O$1&amp;$P$2&amp;$P$3&amp;P325&amp;$O$1&amp;$Q$2&amp;$P$3&amp;Q325&amp;$O$1&amp;$R$2&amp;$P$3&amp;R325&amp;$O$1&amp;$S$2&amp;$P$3&amp;S325</f>
        <v>1|1.2#2|1.2#3|1.2#4|1.2#5|1.2</v>
      </c>
    </row>
    <row r="326" s="6" customFormat="1" ht="16.5" spans="1:20">
      <c r="A326" s="6">
        <v>1010332</v>
      </c>
      <c r="B326" s="6">
        <v>22001</v>
      </c>
      <c r="C326" s="6">
        <v>5</v>
      </c>
      <c r="D326" s="6">
        <v>0</v>
      </c>
      <c r="E326" s="6" t="str">
        <f t="shared" ref="E326:E389" si="325">K326&amp;$K$3&amp;L326</f>
        <v>202001:18</v>
      </c>
      <c r="F326" s="11" t="s">
        <v>386</v>
      </c>
      <c r="G326" s="6">
        <v>0</v>
      </c>
      <c r="H326" s="6">
        <v>0</v>
      </c>
      <c r="I326" s="6" t="s">
        <v>79</v>
      </c>
      <c r="K326" s="6" t="str">
        <f t="shared" si="322"/>
        <v>202001</v>
      </c>
      <c r="L326" s="4">
        <v>18</v>
      </c>
      <c r="M326" s="6" t="s">
        <v>468</v>
      </c>
      <c r="O326" s="15" t="str">
        <f>O325</f>
        <v>1.2</v>
      </c>
      <c r="P326" s="15" t="str">
        <f t="shared" ref="P326:S326" si="326">O326</f>
        <v>1.2</v>
      </c>
      <c r="Q326" s="15" t="str">
        <f t="shared" si="326"/>
        <v>1.2</v>
      </c>
      <c r="R326" s="15" t="str">
        <f>P326</f>
        <v>1.2</v>
      </c>
      <c r="S326" s="15" t="str">
        <f t="shared" si="326"/>
        <v>1.2</v>
      </c>
      <c r="T326" s="6" t="str">
        <f t="shared" si="324"/>
        <v>1|1.2#2|1.2#3|1.2#4|1.2#5|1.2</v>
      </c>
    </row>
    <row r="327" s="6" customFormat="1" ht="16.5" spans="1:20">
      <c r="A327" s="6">
        <v>1010333</v>
      </c>
      <c r="B327" s="6">
        <v>22001</v>
      </c>
      <c r="C327" s="6">
        <v>5</v>
      </c>
      <c r="D327" s="6">
        <v>1</v>
      </c>
      <c r="E327" s="6" t="str">
        <f t="shared" si="325"/>
        <v>202001:18</v>
      </c>
      <c r="F327" s="11" t="s">
        <v>388</v>
      </c>
      <c r="G327" s="6">
        <v>0</v>
      </c>
      <c r="H327" s="6">
        <v>0</v>
      </c>
      <c r="I327" s="6" t="s">
        <v>81</v>
      </c>
      <c r="K327" s="6" t="str">
        <f t="shared" si="322"/>
        <v>202001</v>
      </c>
      <c r="L327" s="4">
        <v>18</v>
      </c>
      <c r="M327" s="6" t="s">
        <v>468</v>
      </c>
      <c r="O327" s="13" t="str">
        <f t="shared" ref="O327:O331" si="327">RIGHT(F327,LEN(F327)-2)</f>
        <v>1.3</v>
      </c>
      <c r="P327" s="13" t="str">
        <f t="shared" ref="P327:S327" si="328">P326</f>
        <v>1.2</v>
      </c>
      <c r="Q327" s="13" t="str">
        <f t="shared" si="328"/>
        <v>1.2</v>
      </c>
      <c r="R327" s="13" t="str">
        <f t="shared" si="328"/>
        <v>1.2</v>
      </c>
      <c r="S327" s="13" t="str">
        <f t="shared" si="328"/>
        <v>1.2</v>
      </c>
      <c r="T327" s="6" t="str">
        <f t="shared" si="324"/>
        <v>1|1.3#2|1.2#3|1.2#4|1.2#5|1.2</v>
      </c>
    </row>
    <row r="328" s="6" customFormat="1" ht="16.5" spans="1:20">
      <c r="A328" s="6">
        <v>1010334</v>
      </c>
      <c r="B328" s="6">
        <v>22001</v>
      </c>
      <c r="C328" s="6">
        <v>5</v>
      </c>
      <c r="D328" s="6">
        <v>2</v>
      </c>
      <c r="E328" s="6" t="str">
        <f t="shared" si="325"/>
        <v>202001:18</v>
      </c>
      <c r="F328" s="11" t="s">
        <v>389</v>
      </c>
      <c r="G328" s="6">
        <v>0</v>
      </c>
      <c r="H328" s="6">
        <v>0</v>
      </c>
      <c r="I328" s="6" t="s">
        <v>83</v>
      </c>
      <c r="K328" s="6" t="str">
        <f t="shared" si="322"/>
        <v>202001</v>
      </c>
      <c r="L328" s="4">
        <v>18</v>
      </c>
      <c r="M328" s="6" t="s">
        <v>468</v>
      </c>
      <c r="O328" s="13" t="str">
        <f t="shared" si="327"/>
        <v>1.3</v>
      </c>
      <c r="P328" s="13" t="str">
        <f t="shared" ref="P328:P331" si="329">O328</f>
        <v>1.3</v>
      </c>
      <c r="Q328" s="13" t="str">
        <f t="shared" ref="Q328:S328" si="330">Q327</f>
        <v>1.2</v>
      </c>
      <c r="R328" s="13" t="str">
        <f t="shared" si="330"/>
        <v>1.2</v>
      </c>
      <c r="S328" s="13" t="str">
        <f t="shared" si="330"/>
        <v>1.2</v>
      </c>
      <c r="T328" s="6" t="str">
        <f t="shared" si="324"/>
        <v>1|1.3#2|1.3#3|1.2#4|1.2#5|1.2</v>
      </c>
    </row>
    <row r="329" s="6" customFormat="1" ht="16.5" spans="1:20">
      <c r="A329" s="6">
        <v>1010335</v>
      </c>
      <c r="B329" s="6">
        <v>22001</v>
      </c>
      <c r="C329" s="6">
        <v>5</v>
      </c>
      <c r="D329" s="6">
        <v>3</v>
      </c>
      <c r="E329" s="6" t="str">
        <f t="shared" si="325"/>
        <v>202001:22</v>
      </c>
      <c r="F329" s="11" t="s">
        <v>390</v>
      </c>
      <c r="G329" s="6">
        <v>0</v>
      </c>
      <c r="H329" s="6">
        <v>0</v>
      </c>
      <c r="I329" s="6" t="s">
        <v>85</v>
      </c>
      <c r="K329" s="6" t="str">
        <f t="shared" si="322"/>
        <v>202001</v>
      </c>
      <c r="L329" s="4">
        <v>22</v>
      </c>
      <c r="M329" s="6" t="s">
        <v>468</v>
      </c>
      <c r="O329" s="13" t="str">
        <f t="shared" si="327"/>
        <v>1.3</v>
      </c>
      <c r="P329" s="13" t="str">
        <f t="shared" si="329"/>
        <v>1.3</v>
      </c>
      <c r="Q329" s="13" t="str">
        <f t="shared" ref="Q329:Q331" si="331">P329</f>
        <v>1.3</v>
      </c>
      <c r="R329" s="13" t="str">
        <f>R328</f>
        <v>1.2</v>
      </c>
      <c r="S329" s="13" t="str">
        <f>S328</f>
        <v>1.2</v>
      </c>
      <c r="T329" s="6" t="str">
        <f t="shared" si="324"/>
        <v>1|1.3#2|1.3#3|1.3#4|1.2#5|1.2</v>
      </c>
    </row>
    <row r="330" s="6" customFormat="1" ht="16.5" spans="1:20">
      <c r="A330" s="6">
        <v>1010336</v>
      </c>
      <c r="B330" s="6">
        <v>22001</v>
      </c>
      <c r="C330" s="6">
        <v>5</v>
      </c>
      <c r="D330" s="6">
        <v>4</v>
      </c>
      <c r="E330" s="6" t="str">
        <f t="shared" si="325"/>
        <v>202001:22</v>
      </c>
      <c r="F330" s="11" t="s">
        <v>391</v>
      </c>
      <c r="G330" s="6">
        <v>0</v>
      </c>
      <c r="H330" s="6">
        <v>0</v>
      </c>
      <c r="I330" s="6" t="s">
        <v>87</v>
      </c>
      <c r="K330" s="6" t="str">
        <f t="shared" si="322"/>
        <v>202001</v>
      </c>
      <c r="L330" s="4">
        <v>22</v>
      </c>
      <c r="M330" s="6" t="s">
        <v>468</v>
      </c>
      <c r="O330" s="13" t="str">
        <f t="shared" si="327"/>
        <v>1.3</v>
      </c>
      <c r="P330" s="13" t="str">
        <f t="shared" si="329"/>
        <v>1.3</v>
      </c>
      <c r="Q330" s="13" t="str">
        <f t="shared" si="331"/>
        <v>1.3</v>
      </c>
      <c r="R330" s="13" t="str">
        <f>Q330</f>
        <v>1.3</v>
      </c>
      <c r="S330" s="13" t="str">
        <f>S329</f>
        <v>1.2</v>
      </c>
      <c r="T330" s="6" t="str">
        <f t="shared" si="324"/>
        <v>1|1.3#2|1.3#3|1.3#4|1.3#5|1.2</v>
      </c>
    </row>
    <row r="331" s="6" customFormat="1" ht="16.5" spans="1:20">
      <c r="A331" s="6">
        <v>1010337</v>
      </c>
      <c r="B331" s="6">
        <v>22001</v>
      </c>
      <c r="C331" s="6">
        <v>5</v>
      </c>
      <c r="D331" s="6">
        <v>5</v>
      </c>
      <c r="E331" s="6" t="str">
        <f t="shared" si="325"/>
        <v>202001:22</v>
      </c>
      <c r="F331" s="11" t="s">
        <v>392</v>
      </c>
      <c r="G331" s="6">
        <v>0</v>
      </c>
      <c r="H331" s="6">
        <v>0</v>
      </c>
      <c r="I331" s="6" t="s">
        <v>40</v>
      </c>
      <c r="K331" s="6" t="str">
        <f t="shared" si="322"/>
        <v>202001</v>
      </c>
      <c r="L331" s="4">
        <v>22</v>
      </c>
      <c r="M331" s="6" t="s">
        <v>469</v>
      </c>
      <c r="O331" s="13" t="str">
        <f t="shared" si="327"/>
        <v>1.3</v>
      </c>
      <c r="P331" s="13" t="str">
        <f t="shared" si="329"/>
        <v>1.3</v>
      </c>
      <c r="Q331" s="13" t="str">
        <f t="shared" si="331"/>
        <v>1.3</v>
      </c>
      <c r="R331" s="13" t="str">
        <f>Q331</f>
        <v>1.3</v>
      </c>
      <c r="S331" s="13" t="str">
        <f>R331</f>
        <v>1.3</v>
      </c>
      <c r="T331" s="6" t="str">
        <f t="shared" si="324"/>
        <v>1|1.3#2|1.3#3|1.3#4|1.3#5|1.3</v>
      </c>
    </row>
    <row r="332" s="6" customFormat="1" ht="16.5" spans="1:20">
      <c r="A332" s="6">
        <v>1010338</v>
      </c>
      <c r="B332" s="6">
        <v>22001</v>
      </c>
      <c r="C332" s="6">
        <v>5</v>
      </c>
      <c r="D332" s="6">
        <v>6</v>
      </c>
      <c r="E332" s="6" t="str">
        <f t="shared" si="325"/>
        <v>202001:60</v>
      </c>
      <c r="F332" s="11">
        <v>0</v>
      </c>
      <c r="G332" s="6">
        <v>11002</v>
      </c>
      <c r="H332" s="6" t="s">
        <v>407</v>
      </c>
      <c r="I332" s="6">
        <v>0</v>
      </c>
      <c r="K332" s="6" t="str">
        <f t="shared" si="322"/>
        <v>202001</v>
      </c>
      <c r="L332" s="13">
        <v>60</v>
      </c>
      <c r="M332" s="6" t="s">
        <v>463</v>
      </c>
      <c r="O332" s="13" t="str">
        <f t="shared" ref="O332:S332" si="332">O331</f>
        <v>1.3</v>
      </c>
      <c r="P332" s="13" t="str">
        <f t="shared" si="332"/>
        <v>1.3</v>
      </c>
      <c r="Q332" s="13" t="str">
        <f t="shared" si="332"/>
        <v>1.3</v>
      </c>
      <c r="R332" s="13" t="str">
        <f t="shared" si="332"/>
        <v>1.3</v>
      </c>
      <c r="S332" s="13" t="str">
        <f t="shared" si="332"/>
        <v>1.3</v>
      </c>
      <c r="T332" s="6" t="str">
        <f t="shared" si="324"/>
        <v>1|1.3#2|1.3#3|1.3#4|1.3#5|1.3</v>
      </c>
    </row>
    <row r="333" s="6" customFormat="1" ht="16.5" spans="1:20">
      <c r="A333" s="6">
        <v>1010339</v>
      </c>
      <c r="B333" s="6">
        <v>22001</v>
      </c>
      <c r="C333" s="6">
        <v>6</v>
      </c>
      <c r="D333" s="6">
        <v>0</v>
      </c>
      <c r="E333" s="6" t="str">
        <f t="shared" si="325"/>
        <v>202001:24</v>
      </c>
      <c r="F333" s="11" t="s">
        <v>394</v>
      </c>
      <c r="G333" s="6">
        <v>0</v>
      </c>
      <c r="H333" s="6">
        <v>0</v>
      </c>
      <c r="I333" s="6" t="s">
        <v>90</v>
      </c>
      <c r="K333" s="6" t="str">
        <f t="shared" si="322"/>
        <v>202001</v>
      </c>
      <c r="L333" s="4">
        <v>24</v>
      </c>
      <c r="M333" s="6" t="s">
        <v>470</v>
      </c>
      <c r="O333" s="15" t="str">
        <f>O332</f>
        <v>1.3</v>
      </c>
      <c r="P333" s="15" t="str">
        <f t="shared" ref="P333:S333" si="333">O333</f>
        <v>1.3</v>
      </c>
      <c r="Q333" s="15" t="str">
        <f t="shared" si="333"/>
        <v>1.3</v>
      </c>
      <c r="R333" s="15" t="str">
        <f>P333</f>
        <v>1.3</v>
      </c>
      <c r="S333" s="15" t="str">
        <f t="shared" si="333"/>
        <v>1.3</v>
      </c>
      <c r="T333" s="6" t="str">
        <f t="shared" si="324"/>
        <v>1|1.3#2|1.3#3|1.3#4|1.3#5|1.3</v>
      </c>
    </row>
    <row r="334" s="6" customFormat="1" ht="16.5" spans="1:20">
      <c r="A334" s="6">
        <v>1010340</v>
      </c>
      <c r="B334" s="6">
        <v>22001</v>
      </c>
      <c r="C334" s="6">
        <v>6</v>
      </c>
      <c r="D334" s="6">
        <v>1</v>
      </c>
      <c r="E334" s="6" t="str">
        <f t="shared" si="325"/>
        <v>202001:24</v>
      </c>
      <c r="F334" s="11" t="s">
        <v>396</v>
      </c>
      <c r="G334" s="6">
        <v>0</v>
      </c>
      <c r="H334" s="6">
        <v>0</v>
      </c>
      <c r="I334" s="6" t="s">
        <v>92</v>
      </c>
      <c r="K334" s="6" t="str">
        <f t="shared" si="322"/>
        <v>202001</v>
      </c>
      <c r="L334" s="4">
        <v>24</v>
      </c>
      <c r="M334" s="6" t="s">
        <v>470</v>
      </c>
      <c r="O334" s="13" t="str">
        <f t="shared" ref="O334:O338" si="334">RIGHT(F334,LEN(F334)-2)</f>
        <v>1.4</v>
      </c>
      <c r="P334" s="13" t="str">
        <f t="shared" ref="P334:S334" si="335">P333</f>
        <v>1.3</v>
      </c>
      <c r="Q334" s="13" t="str">
        <f t="shared" si="335"/>
        <v>1.3</v>
      </c>
      <c r="R334" s="13" t="str">
        <f t="shared" si="335"/>
        <v>1.3</v>
      </c>
      <c r="S334" s="13" t="str">
        <f t="shared" si="335"/>
        <v>1.3</v>
      </c>
      <c r="T334" s="6" t="str">
        <f t="shared" si="324"/>
        <v>1|1.4#2|1.3#3|1.3#4|1.3#5|1.3</v>
      </c>
    </row>
    <row r="335" s="6" customFormat="1" ht="16.5" spans="1:20">
      <c r="A335" s="6">
        <v>1010341</v>
      </c>
      <c r="B335" s="6">
        <v>22001</v>
      </c>
      <c r="C335" s="6">
        <v>6</v>
      </c>
      <c r="D335" s="6">
        <v>2</v>
      </c>
      <c r="E335" s="6" t="str">
        <f t="shared" si="325"/>
        <v>202001:24</v>
      </c>
      <c r="F335" s="11" t="s">
        <v>397</v>
      </c>
      <c r="G335" s="6">
        <v>0</v>
      </c>
      <c r="H335" s="6">
        <v>0</v>
      </c>
      <c r="I335" s="6" t="s">
        <v>94</v>
      </c>
      <c r="K335" s="6" t="str">
        <f t="shared" si="322"/>
        <v>202001</v>
      </c>
      <c r="L335" s="4">
        <v>24</v>
      </c>
      <c r="M335" s="6" t="s">
        <v>470</v>
      </c>
      <c r="O335" s="13" t="str">
        <f t="shared" si="334"/>
        <v>1.4</v>
      </c>
      <c r="P335" s="13" t="str">
        <f t="shared" ref="P335:P338" si="336">O335</f>
        <v>1.4</v>
      </c>
      <c r="Q335" s="13" t="str">
        <f t="shared" ref="Q335:S335" si="337">Q334</f>
        <v>1.3</v>
      </c>
      <c r="R335" s="13" t="str">
        <f t="shared" si="337"/>
        <v>1.3</v>
      </c>
      <c r="S335" s="13" t="str">
        <f t="shared" si="337"/>
        <v>1.3</v>
      </c>
      <c r="T335" s="6" t="str">
        <f t="shared" si="324"/>
        <v>1|1.4#2|1.4#3|1.3#4|1.3#5|1.3</v>
      </c>
    </row>
    <row r="336" s="6" customFormat="1" ht="16.5" spans="1:20">
      <c r="A336" s="6">
        <v>1010342</v>
      </c>
      <c r="B336" s="6">
        <v>22001</v>
      </c>
      <c r="C336" s="6">
        <v>6</v>
      </c>
      <c r="D336" s="6">
        <v>3</v>
      </c>
      <c r="E336" s="6" t="str">
        <f t="shared" si="325"/>
        <v>202001:24</v>
      </c>
      <c r="F336" s="11" t="s">
        <v>398</v>
      </c>
      <c r="G336" s="6">
        <v>0</v>
      </c>
      <c r="H336" s="6">
        <v>0</v>
      </c>
      <c r="I336" s="6" t="s">
        <v>96</v>
      </c>
      <c r="K336" s="6" t="str">
        <f t="shared" si="322"/>
        <v>202001</v>
      </c>
      <c r="L336" s="4">
        <v>24</v>
      </c>
      <c r="M336" s="6" t="s">
        <v>470</v>
      </c>
      <c r="O336" s="13" t="str">
        <f t="shared" si="334"/>
        <v>1.4</v>
      </c>
      <c r="P336" s="13" t="str">
        <f t="shared" si="336"/>
        <v>1.4</v>
      </c>
      <c r="Q336" s="13" t="str">
        <f t="shared" ref="Q336:Q338" si="338">P336</f>
        <v>1.4</v>
      </c>
      <c r="R336" s="13" t="str">
        <f>R335</f>
        <v>1.3</v>
      </c>
      <c r="S336" s="13" t="str">
        <f t="shared" ref="S336:S343" si="339">S335</f>
        <v>1.3</v>
      </c>
      <c r="T336" s="6" t="str">
        <f t="shared" si="324"/>
        <v>1|1.4#2|1.4#3|1.4#4|1.3#5|1.3</v>
      </c>
    </row>
    <row r="337" s="6" customFormat="1" ht="16.5" spans="1:20">
      <c r="A337" s="6">
        <v>1010343</v>
      </c>
      <c r="B337" s="6">
        <v>22001</v>
      </c>
      <c r="C337" s="6">
        <v>6</v>
      </c>
      <c r="D337" s="6">
        <v>4</v>
      </c>
      <c r="E337" s="6" t="str">
        <f t="shared" si="325"/>
        <v>202001:24</v>
      </c>
      <c r="F337" s="11" t="s">
        <v>399</v>
      </c>
      <c r="G337" s="6">
        <v>0</v>
      </c>
      <c r="H337" s="6">
        <v>0</v>
      </c>
      <c r="I337" s="6" t="s">
        <v>98</v>
      </c>
      <c r="K337" s="6" t="str">
        <f t="shared" si="322"/>
        <v>202001</v>
      </c>
      <c r="L337" s="4">
        <v>24</v>
      </c>
      <c r="M337" s="6" t="s">
        <v>470</v>
      </c>
      <c r="O337" s="13" t="str">
        <f t="shared" si="334"/>
        <v>1.4</v>
      </c>
      <c r="P337" s="13" t="str">
        <f t="shared" si="336"/>
        <v>1.4</v>
      </c>
      <c r="Q337" s="13" t="str">
        <f t="shared" si="338"/>
        <v>1.4</v>
      </c>
      <c r="R337" s="13" t="str">
        <f>Q337</f>
        <v>1.4</v>
      </c>
      <c r="S337" s="13" t="str">
        <f t="shared" si="339"/>
        <v>1.3</v>
      </c>
      <c r="T337" s="6" t="str">
        <f t="shared" si="324"/>
        <v>1|1.4#2|1.4#3|1.4#4|1.4#5|1.3</v>
      </c>
    </row>
    <row r="338" s="6" customFormat="1" ht="16.5" spans="1:20">
      <c r="A338" s="6">
        <v>1010344</v>
      </c>
      <c r="B338" s="6">
        <v>22001</v>
      </c>
      <c r="C338" s="6">
        <v>6</v>
      </c>
      <c r="D338" s="6">
        <v>5</v>
      </c>
      <c r="E338" s="6" t="str">
        <f t="shared" si="325"/>
        <v>202001:60</v>
      </c>
      <c r="F338" s="11" t="s">
        <v>400</v>
      </c>
      <c r="G338" s="6">
        <v>0</v>
      </c>
      <c r="H338" s="6">
        <v>0</v>
      </c>
      <c r="I338" s="6" t="s">
        <v>40</v>
      </c>
      <c r="K338" s="6" t="str">
        <f t="shared" si="322"/>
        <v>202001</v>
      </c>
      <c r="L338" s="4">
        <v>60</v>
      </c>
      <c r="M338" s="6" t="s">
        <v>469</v>
      </c>
      <c r="O338" s="13" t="str">
        <f t="shared" si="334"/>
        <v>1.4</v>
      </c>
      <c r="P338" s="13" t="str">
        <f t="shared" si="336"/>
        <v>1.4</v>
      </c>
      <c r="Q338" s="13" t="str">
        <f t="shared" si="338"/>
        <v>1.4</v>
      </c>
      <c r="R338" s="13" t="str">
        <f>Q338</f>
        <v>1.4</v>
      </c>
      <c r="S338" s="13" t="str">
        <f>R338</f>
        <v>1.4</v>
      </c>
      <c r="T338" s="6" t="str">
        <f t="shared" si="324"/>
        <v>1|1.4#2|1.4#3|1.4#4|1.4#5|1.4</v>
      </c>
    </row>
    <row r="339" s="6" customFormat="1" ht="16.5" spans="1:20">
      <c r="A339" s="6">
        <v>1010345</v>
      </c>
      <c r="B339" s="6">
        <v>22001</v>
      </c>
      <c r="C339" s="6">
        <v>6</v>
      </c>
      <c r="D339" s="6">
        <v>6</v>
      </c>
      <c r="E339" s="6" t="str">
        <f t="shared" si="325"/>
        <v>202001:0</v>
      </c>
      <c r="F339" s="11">
        <v>0</v>
      </c>
      <c r="G339" s="6">
        <v>11002</v>
      </c>
      <c r="H339" s="6" t="s">
        <v>407</v>
      </c>
      <c r="I339" s="6">
        <v>0</v>
      </c>
      <c r="K339" s="6" t="str">
        <f t="shared" si="322"/>
        <v>202001</v>
      </c>
      <c r="L339" s="4">
        <v>0</v>
      </c>
      <c r="M339" s="6" t="s">
        <v>463</v>
      </c>
      <c r="O339" s="13" t="str">
        <f t="shared" ref="O339:S339" si="340">O338</f>
        <v>1.4</v>
      </c>
      <c r="P339" s="13" t="str">
        <f t="shared" si="340"/>
        <v>1.4</v>
      </c>
      <c r="Q339" s="13" t="str">
        <f t="shared" si="340"/>
        <v>1.4</v>
      </c>
      <c r="R339" s="13" t="str">
        <f t="shared" si="340"/>
        <v>1.4</v>
      </c>
      <c r="S339" s="13" t="str">
        <f t="shared" si="340"/>
        <v>1.4</v>
      </c>
      <c r="T339" s="6" t="str">
        <f t="shared" si="324"/>
        <v>1|1.4#2|1.4#3|1.4#4|1.4#5|1.4</v>
      </c>
    </row>
    <row r="340" s="6" customFormat="1" ht="16.5" spans="1:20">
      <c r="A340" s="6">
        <v>1010346</v>
      </c>
      <c r="B340" s="6">
        <v>23001</v>
      </c>
      <c r="C340" s="6">
        <v>1</v>
      </c>
      <c r="D340" s="6">
        <v>0</v>
      </c>
      <c r="E340" s="6" t="str">
        <f t="shared" si="325"/>
        <v>203001:2</v>
      </c>
      <c r="F340" s="11" t="s">
        <v>356</v>
      </c>
      <c r="G340" s="6">
        <v>0</v>
      </c>
      <c r="H340" s="6">
        <v>0</v>
      </c>
      <c r="I340" s="6" t="s">
        <v>25</v>
      </c>
      <c r="K340" s="6" t="str">
        <f t="shared" si="322"/>
        <v>203001</v>
      </c>
      <c r="L340" s="4">
        <v>2</v>
      </c>
      <c r="M340" s="6" t="s">
        <v>471</v>
      </c>
      <c r="O340" s="13">
        <v>1</v>
      </c>
      <c r="P340" s="13">
        <f t="shared" ref="P340:S340" si="341">O340</f>
        <v>1</v>
      </c>
      <c r="Q340" s="13">
        <f t="shared" si="341"/>
        <v>1</v>
      </c>
      <c r="R340" s="13">
        <f>P340</f>
        <v>1</v>
      </c>
      <c r="S340" s="13">
        <f t="shared" si="341"/>
        <v>1</v>
      </c>
      <c r="T340" s="6" t="str">
        <f t="shared" si="324"/>
        <v>1|1#2|1#3|1#4|1#5|1</v>
      </c>
    </row>
    <row r="341" s="6" customFormat="1" ht="16.5" spans="1:20">
      <c r="A341" s="6">
        <v>1010347</v>
      </c>
      <c r="B341" s="6">
        <v>23001</v>
      </c>
      <c r="C341" s="6">
        <v>1</v>
      </c>
      <c r="D341" s="6">
        <v>1</v>
      </c>
      <c r="E341" s="6" t="str">
        <f t="shared" si="325"/>
        <v>203001:2</v>
      </c>
      <c r="F341" s="11" t="s">
        <v>358</v>
      </c>
      <c r="G341" s="6">
        <v>0</v>
      </c>
      <c r="H341" s="6">
        <v>0</v>
      </c>
      <c r="I341" s="6" t="s">
        <v>28</v>
      </c>
      <c r="K341" s="6" t="str">
        <f t="shared" si="322"/>
        <v>203001</v>
      </c>
      <c r="L341" s="4">
        <v>2</v>
      </c>
      <c r="M341" s="6" t="s">
        <v>471</v>
      </c>
      <c r="O341" s="13" t="str">
        <f t="shared" ref="O341:O345" si="342">RIGHT(F341,LEN(F341)-2)</f>
        <v>1.05</v>
      </c>
      <c r="P341" s="13">
        <v>1</v>
      </c>
      <c r="Q341" s="13">
        <f>Q340</f>
        <v>1</v>
      </c>
      <c r="R341" s="13">
        <f>R340</f>
        <v>1</v>
      </c>
      <c r="S341" s="13">
        <f t="shared" si="339"/>
        <v>1</v>
      </c>
      <c r="T341" s="6" t="str">
        <f t="shared" si="324"/>
        <v>1|1.05#2|1#3|1#4|1#5|1</v>
      </c>
    </row>
    <row r="342" s="6" customFormat="1" ht="16.5" spans="1:20">
      <c r="A342" s="6">
        <v>1010348</v>
      </c>
      <c r="B342" s="6">
        <v>23001</v>
      </c>
      <c r="C342" s="6">
        <v>1</v>
      </c>
      <c r="D342" s="6">
        <v>2</v>
      </c>
      <c r="E342" s="6" t="str">
        <f t="shared" si="325"/>
        <v>203001:2</v>
      </c>
      <c r="F342" s="11" t="s">
        <v>359</v>
      </c>
      <c r="G342" s="6">
        <v>0</v>
      </c>
      <c r="H342" s="6">
        <v>0</v>
      </c>
      <c r="I342" s="6" t="s">
        <v>31</v>
      </c>
      <c r="K342" s="6" t="str">
        <f t="shared" si="322"/>
        <v>203001</v>
      </c>
      <c r="L342" s="4">
        <v>2</v>
      </c>
      <c r="M342" s="6" t="s">
        <v>471</v>
      </c>
      <c r="O342" s="13" t="str">
        <f t="shared" si="342"/>
        <v>1.05</v>
      </c>
      <c r="P342" s="13" t="str">
        <f t="shared" ref="P342:P345" si="343">O342</f>
        <v>1.05</v>
      </c>
      <c r="Q342" s="13">
        <v>1</v>
      </c>
      <c r="R342" s="13">
        <f>R341</f>
        <v>1</v>
      </c>
      <c r="S342" s="13">
        <f t="shared" si="339"/>
        <v>1</v>
      </c>
      <c r="T342" s="6" t="str">
        <f t="shared" si="324"/>
        <v>1|1.05#2|1.05#3|1#4|1#5|1</v>
      </c>
    </row>
    <row r="343" s="6" customFormat="1" ht="16.5" spans="1:20">
      <c r="A343" s="6">
        <v>1010349</v>
      </c>
      <c r="B343" s="6">
        <v>23001</v>
      </c>
      <c r="C343" s="6">
        <v>1</v>
      </c>
      <c r="D343" s="6">
        <v>3</v>
      </c>
      <c r="E343" s="6" t="str">
        <f t="shared" si="325"/>
        <v>203001:3</v>
      </c>
      <c r="F343" s="11" t="s">
        <v>360</v>
      </c>
      <c r="G343" s="6">
        <v>0</v>
      </c>
      <c r="H343" s="6">
        <v>0</v>
      </c>
      <c r="I343" s="6" t="s">
        <v>34</v>
      </c>
      <c r="K343" s="6" t="str">
        <f t="shared" si="322"/>
        <v>203001</v>
      </c>
      <c r="L343" s="4">
        <v>3</v>
      </c>
      <c r="M343" s="6" t="s">
        <v>471</v>
      </c>
      <c r="O343" s="13" t="str">
        <f t="shared" si="342"/>
        <v>1.05</v>
      </c>
      <c r="P343" s="13" t="str">
        <f t="shared" si="343"/>
        <v>1.05</v>
      </c>
      <c r="Q343" s="13" t="str">
        <f t="shared" ref="Q343:Q345" si="344">P343</f>
        <v>1.05</v>
      </c>
      <c r="R343" s="13">
        <v>1</v>
      </c>
      <c r="S343" s="13">
        <f t="shared" si="339"/>
        <v>1</v>
      </c>
      <c r="T343" s="6" t="str">
        <f t="shared" si="324"/>
        <v>1|1.05#2|1.05#3|1.05#4|1#5|1</v>
      </c>
    </row>
    <row r="344" s="6" customFormat="1" ht="16.5" spans="1:20">
      <c r="A344" s="6">
        <v>1010350</v>
      </c>
      <c r="B344" s="6">
        <v>23001</v>
      </c>
      <c r="C344" s="6">
        <v>1</v>
      </c>
      <c r="D344" s="6">
        <v>4</v>
      </c>
      <c r="E344" s="6" t="str">
        <f t="shared" si="325"/>
        <v>203001:3</v>
      </c>
      <c r="F344" s="11" t="s">
        <v>361</v>
      </c>
      <c r="G344" s="6">
        <v>0</v>
      </c>
      <c r="H344" s="6">
        <v>0</v>
      </c>
      <c r="I344" s="6" t="s">
        <v>37</v>
      </c>
      <c r="K344" s="6" t="str">
        <f t="shared" si="322"/>
        <v>203001</v>
      </c>
      <c r="L344" s="4">
        <v>3</v>
      </c>
      <c r="M344" s="6" t="s">
        <v>471</v>
      </c>
      <c r="O344" s="13" t="str">
        <f t="shared" si="342"/>
        <v>1.05</v>
      </c>
      <c r="P344" s="13" t="str">
        <f t="shared" si="343"/>
        <v>1.05</v>
      </c>
      <c r="Q344" s="13" t="str">
        <f t="shared" si="344"/>
        <v>1.05</v>
      </c>
      <c r="R344" s="13" t="str">
        <f>Q344</f>
        <v>1.05</v>
      </c>
      <c r="S344" s="13">
        <v>1</v>
      </c>
      <c r="T344" s="6" t="str">
        <f t="shared" si="324"/>
        <v>1|1.05#2|1.05#3|1.05#4|1.05#5|1</v>
      </c>
    </row>
    <row r="345" s="6" customFormat="1" ht="16.5" spans="1:20">
      <c r="A345" s="6">
        <v>1010351</v>
      </c>
      <c r="B345" s="6">
        <v>23001</v>
      </c>
      <c r="C345" s="6">
        <v>1</v>
      </c>
      <c r="D345" s="6">
        <v>5</v>
      </c>
      <c r="E345" s="6" t="str">
        <f t="shared" si="325"/>
        <v>203001:3</v>
      </c>
      <c r="F345" s="11" t="s">
        <v>362</v>
      </c>
      <c r="G345" s="6">
        <v>0</v>
      </c>
      <c r="H345" s="6">
        <v>0</v>
      </c>
      <c r="I345" s="6" t="s">
        <v>40</v>
      </c>
      <c r="K345" s="6" t="str">
        <f t="shared" si="322"/>
        <v>203001</v>
      </c>
      <c r="L345" s="4">
        <v>3</v>
      </c>
      <c r="M345" s="6" t="s">
        <v>472</v>
      </c>
      <c r="O345" s="13" t="str">
        <f t="shared" si="342"/>
        <v>1.05</v>
      </c>
      <c r="P345" s="13" t="str">
        <f t="shared" si="343"/>
        <v>1.05</v>
      </c>
      <c r="Q345" s="13" t="str">
        <f t="shared" si="344"/>
        <v>1.05</v>
      </c>
      <c r="R345" s="13" t="str">
        <f>Q345</f>
        <v>1.05</v>
      </c>
      <c r="S345" s="13" t="str">
        <f>R345</f>
        <v>1.05</v>
      </c>
      <c r="T345" s="6" t="str">
        <f t="shared" si="324"/>
        <v>1|1.05#2|1.05#3|1.05#4|1.05#5|1.05</v>
      </c>
    </row>
    <row r="346" s="6" customFormat="1" ht="16.5" spans="1:20">
      <c r="A346" s="6">
        <v>1010352</v>
      </c>
      <c r="B346" s="6">
        <v>23001</v>
      </c>
      <c r="C346" s="6">
        <v>1</v>
      </c>
      <c r="D346" s="6">
        <v>6</v>
      </c>
      <c r="E346" s="6" t="str">
        <f t="shared" si="325"/>
        <v>203001:5</v>
      </c>
      <c r="F346" s="11">
        <v>0</v>
      </c>
      <c r="G346" s="6">
        <v>11002</v>
      </c>
      <c r="H346" s="6" t="s">
        <v>407</v>
      </c>
      <c r="I346" s="6">
        <v>0</v>
      </c>
      <c r="K346" s="6" t="str">
        <f t="shared" si="322"/>
        <v>203001</v>
      </c>
      <c r="L346" s="13">
        <v>5</v>
      </c>
      <c r="M346" s="6" t="s">
        <v>473</v>
      </c>
      <c r="O346" s="13" t="str">
        <f t="shared" ref="O346:S346" si="345">O345</f>
        <v>1.05</v>
      </c>
      <c r="P346" s="13" t="str">
        <f t="shared" si="345"/>
        <v>1.05</v>
      </c>
      <c r="Q346" s="13" t="str">
        <f t="shared" si="345"/>
        <v>1.05</v>
      </c>
      <c r="R346" s="13" t="str">
        <f t="shared" si="345"/>
        <v>1.05</v>
      </c>
      <c r="S346" s="13" t="str">
        <f t="shared" si="345"/>
        <v>1.05</v>
      </c>
      <c r="T346" s="6" t="str">
        <f t="shared" si="324"/>
        <v>1|1.05#2|1.05#3|1.05#4|1.05#5|1.05</v>
      </c>
    </row>
    <row r="347" s="6" customFormat="1" ht="16.5" spans="1:20">
      <c r="A347" s="6">
        <v>1010353</v>
      </c>
      <c r="B347" s="6">
        <v>23001</v>
      </c>
      <c r="C347" s="6">
        <v>2</v>
      </c>
      <c r="D347" s="6">
        <v>0</v>
      </c>
      <c r="E347" s="6" t="str">
        <f t="shared" si="325"/>
        <v>203001:5</v>
      </c>
      <c r="F347" s="11" t="s">
        <v>364</v>
      </c>
      <c r="G347" s="6">
        <v>0</v>
      </c>
      <c r="H347" s="6">
        <v>0</v>
      </c>
      <c r="I347" s="6" t="s">
        <v>43</v>
      </c>
      <c r="K347" s="6" t="str">
        <f t="shared" si="322"/>
        <v>203001</v>
      </c>
      <c r="L347" s="4">
        <v>5</v>
      </c>
      <c r="M347" s="6" t="s">
        <v>474</v>
      </c>
      <c r="O347" s="15" t="str">
        <f>O346</f>
        <v>1.05</v>
      </c>
      <c r="P347" s="15" t="str">
        <f t="shared" ref="P347:S347" si="346">O347</f>
        <v>1.05</v>
      </c>
      <c r="Q347" s="15" t="str">
        <f t="shared" si="346"/>
        <v>1.05</v>
      </c>
      <c r="R347" s="15" t="str">
        <f>P347</f>
        <v>1.05</v>
      </c>
      <c r="S347" s="15" t="str">
        <f t="shared" si="346"/>
        <v>1.05</v>
      </c>
      <c r="T347" s="6" t="str">
        <f t="shared" si="324"/>
        <v>1|1.05#2|1.05#3|1.05#4|1.05#5|1.05</v>
      </c>
    </row>
    <row r="348" s="6" customFormat="1" ht="16.5" spans="1:20">
      <c r="A348" s="6">
        <v>1010354</v>
      </c>
      <c r="B348" s="6">
        <v>23001</v>
      </c>
      <c r="C348" s="6">
        <v>2</v>
      </c>
      <c r="D348" s="6">
        <v>1</v>
      </c>
      <c r="E348" s="6" t="str">
        <f t="shared" si="325"/>
        <v>203001:5</v>
      </c>
      <c r="F348" s="11" t="s">
        <v>366</v>
      </c>
      <c r="G348" s="6">
        <v>0</v>
      </c>
      <c r="H348" s="6">
        <v>0</v>
      </c>
      <c r="I348" s="6" t="s">
        <v>45</v>
      </c>
      <c r="K348" s="6" t="str">
        <f t="shared" si="322"/>
        <v>203001</v>
      </c>
      <c r="L348" s="4">
        <v>5</v>
      </c>
      <c r="M348" s="6" t="s">
        <v>474</v>
      </c>
      <c r="O348" s="13" t="str">
        <f t="shared" ref="O348:O352" si="347">RIGHT(F348,LEN(F348)-2)</f>
        <v>1.1</v>
      </c>
      <c r="P348" s="13">
        <v>1.05</v>
      </c>
      <c r="Q348" s="13" t="str">
        <f t="shared" ref="Q348:S348" si="348">Q347</f>
        <v>1.05</v>
      </c>
      <c r="R348" s="13" t="str">
        <f t="shared" si="348"/>
        <v>1.05</v>
      </c>
      <c r="S348" s="13" t="str">
        <f t="shared" si="348"/>
        <v>1.05</v>
      </c>
      <c r="T348" s="6" t="str">
        <f t="shared" si="324"/>
        <v>1|1.1#2|1.05#3|1.05#4|1.05#5|1.05</v>
      </c>
    </row>
    <row r="349" s="6" customFormat="1" ht="16.5" spans="1:20">
      <c r="A349" s="6">
        <v>1010355</v>
      </c>
      <c r="B349" s="6">
        <v>23001</v>
      </c>
      <c r="C349" s="6">
        <v>2</v>
      </c>
      <c r="D349" s="6">
        <v>2</v>
      </c>
      <c r="E349" s="6" t="str">
        <f t="shared" si="325"/>
        <v>203001:5</v>
      </c>
      <c r="F349" s="11" t="s">
        <v>367</v>
      </c>
      <c r="G349" s="6">
        <v>0</v>
      </c>
      <c r="H349" s="6">
        <v>0</v>
      </c>
      <c r="I349" s="6" t="s">
        <v>47</v>
      </c>
      <c r="K349" s="6" t="str">
        <f t="shared" si="322"/>
        <v>203001</v>
      </c>
      <c r="L349" s="4">
        <v>5</v>
      </c>
      <c r="M349" s="6" t="s">
        <v>474</v>
      </c>
      <c r="O349" s="13" t="str">
        <f t="shared" si="347"/>
        <v>1.1</v>
      </c>
      <c r="P349" s="13" t="str">
        <f t="shared" ref="P349:P352" si="349">O349</f>
        <v>1.1</v>
      </c>
      <c r="Q349" s="13">
        <v>1.05</v>
      </c>
      <c r="R349" s="13" t="str">
        <f>R348</f>
        <v>1.05</v>
      </c>
      <c r="S349" s="13" t="str">
        <f>S348</f>
        <v>1.05</v>
      </c>
      <c r="T349" s="6" t="str">
        <f t="shared" si="324"/>
        <v>1|1.1#2|1.1#3|1.05#4|1.05#5|1.05</v>
      </c>
    </row>
    <row r="350" s="6" customFormat="1" ht="16.5" spans="1:20">
      <c r="A350" s="6">
        <v>1010356</v>
      </c>
      <c r="B350" s="6">
        <v>23001</v>
      </c>
      <c r="C350" s="6">
        <v>2</v>
      </c>
      <c r="D350" s="6">
        <v>3</v>
      </c>
      <c r="E350" s="6" t="str">
        <f t="shared" si="325"/>
        <v>203001:6</v>
      </c>
      <c r="F350" s="11" t="s">
        <v>368</v>
      </c>
      <c r="G350" s="6">
        <v>0</v>
      </c>
      <c r="H350" s="6">
        <v>0</v>
      </c>
      <c r="I350" s="6" t="s">
        <v>49</v>
      </c>
      <c r="K350" s="6" t="str">
        <f t="shared" si="322"/>
        <v>203001</v>
      </c>
      <c r="L350" s="4">
        <v>6</v>
      </c>
      <c r="M350" s="6" t="s">
        <v>474</v>
      </c>
      <c r="O350" s="13" t="str">
        <f t="shared" si="347"/>
        <v>1.1</v>
      </c>
      <c r="P350" s="13" t="str">
        <f t="shared" si="349"/>
        <v>1.1</v>
      </c>
      <c r="Q350" s="13" t="str">
        <f t="shared" ref="Q350:Q352" si="350">P350</f>
        <v>1.1</v>
      </c>
      <c r="R350" s="13">
        <v>1.05</v>
      </c>
      <c r="S350" s="13" t="str">
        <f>S349</f>
        <v>1.05</v>
      </c>
      <c r="T350" s="6" t="str">
        <f t="shared" si="324"/>
        <v>1|1.1#2|1.1#3|1.1#4|1.05#5|1.05</v>
      </c>
    </row>
    <row r="351" s="6" customFormat="1" ht="16.5" spans="1:20">
      <c r="A351" s="6">
        <v>1010357</v>
      </c>
      <c r="B351" s="6">
        <v>23001</v>
      </c>
      <c r="C351" s="6">
        <v>2</v>
      </c>
      <c r="D351" s="6">
        <v>4</v>
      </c>
      <c r="E351" s="6" t="str">
        <f t="shared" si="325"/>
        <v>203001:6</v>
      </c>
      <c r="F351" s="11" t="s">
        <v>369</v>
      </c>
      <c r="G351" s="6">
        <v>0</v>
      </c>
      <c r="H351" s="6">
        <v>0</v>
      </c>
      <c r="I351" s="6" t="s">
        <v>51</v>
      </c>
      <c r="K351" s="6" t="str">
        <f t="shared" si="322"/>
        <v>203001</v>
      </c>
      <c r="L351" s="4">
        <v>6</v>
      </c>
      <c r="M351" s="6" t="s">
        <v>474</v>
      </c>
      <c r="O351" s="13" t="str">
        <f t="shared" si="347"/>
        <v>1.1</v>
      </c>
      <c r="P351" s="13" t="str">
        <f t="shared" si="349"/>
        <v>1.1</v>
      </c>
      <c r="Q351" s="13" t="str">
        <f t="shared" si="350"/>
        <v>1.1</v>
      </c>
      <c r="R351" s="13" t="str">
        <f>Q351</f>
        <v>1.1</v>
      </c>
      <c r="S351" s="13">
        <v>1.05</v>
      </c>
      <c r="T351" s="6" t="str">
        <f t="shared" si="324"/>
        <v>1|1.1#2|1.1#3|1.1#4|1.1#5|1.05</v>
      </c>
    </row>
    <row r="352" s="6" customFormat="1" ht="16.5" spans="1:20">
      <c r="A352" s="6">
        <v>1010358</v>
      </c>
      <c r="B352" s="6">
        <v>23001</v>
      </c>
      <c r="C352" s="6">
        <v>2</v>
      </c>
      <c r="D352" s="6">
        <v>5</v>
      </c>
      <c r="E352" s="6" t="str">
        <f t="shared" si="325"/>
        <v>203001:6</v>
      </c>
      <c r="F352" s="11" t="s">
        <v>370</v>
      </c>
      <c r="G352" s="6">
        <v>0</v>
      </c>
      <c r="H352" s="6">
        <v>0</v>
      </c>
      <c r="I352" s="6" t="s">
        <v>40</v>
      </c>
      <c r="K352" s="6" t="str">
        <f t="shared" si="322"/>
        <v>203001</v>
      </c>
      <c r="L352" s="4">
        <v>6</v>
      </c>
      <c r="M352" s="6" t="s">
        <v>177</v>
      </c>
      <c r="O352" s="13" t="str">
        <f t="shared" si="347"/>
        <v>1.1</v>
      </c>
      <c r="P352" s="13" t="str">
        <f t="shared" si="349"/>
        <v>1.1</v>
      </c>
      <c r="Q352" s="13" t="str">
        <f t="shared" si="350"/>
        <v>1.1</v>
      </c>
      <c r="R352" s="13" t="str">
        <f>Q352</f>
        <v>1.1</v>
      </c>
      <c r="S352" s="13" t="str">
        <f>R352</f>
        <v>1.1</v>
      </c>
      <c r="T352" s="6" t="str">
        <f t="shared" si="324"/>
        <v>1|1.1#2|1.1#3|1.1#4|1.1#5|1.1</v>
      </c>
    </row>
    <row r="353" s="6" customFormat="1" ht="16.5" spans="1:20">
      <c r="A353" s="6">
        <v>1010359</v>
      </c>
      <c r="B353" s="6">
        <v>23001</v>
      </c>
      <c r="C353" s="6">
        <v>2</v>
      </c>
      <c r="D353" s="6">
        <v>6</v>
      </c>
      <c r="E353" s="6" t="str">
        <f t="shared" si="325"/>
        <v>203001:7</v>
      </c>
      <c r="F353" s="11">
        <v>0</v>
      </c>
      <c r="G353" s="6">
        <v>11002</v>
      </c>
      <c r="H353" s="6" t="s">
        <v>407</v>
      </c>
      <c r="I353" s="6">
        <v>0</v>
      </c>
      <c r="K353" s="6" t="str">
        <f t="shared" si="322"/>
        <v>203001</v>
      </c>
      <c r="L353" s="13">
        <v>7</v>
      </c>
      <c r="M353" s="6" t="s">
        <v>473</v>
      </c>
      <c r="O353" s="13" t="str">
        <f t="shared" ref="O353:S353" si="351">O352</f>
        <v>1.1</v>
      </c>
      <c r="P353" s="13" t="str">
        <f t="shared" si="351"/>
        <v>1.1</v>
      </c>
      <c r="Q353" s="13" t="str">
        <f t="shared" si="351"/>
        <v>1.1</v>
      </c>
      <c r="R353" s="13" t="str">
        <f t="shared" si="351"/>
        <v>1.1</v>
      </c>
      <c r="S353" s="13" t="str">
        <f t="shared" si="351"/>
        <v>1.1</v>
      </c>
      <c r="T353" s="6" t="str">
        <f t="shared" si="324"/>
        <v>1|1.1#2|1.1#3|1.1#4|1.1#5|1.1</v>
      </c>
    </row>
    <row r="354" s="6" customFormat="1" ht="16.5" spans="1:20">
      <c r="A354" s="6">
        <v>1010360</v>
      </c>
      <c r="B354" s="6">
        <v>23001</v>
      </c>
      <c r="C354" s="6">
        <v>3</v>
      </c>
      <c r="D354" s="6">
        <v>0</v>
      </c>
      <c r="E354" s="6" t="str">
        <f t="shared" si="325"/>
        <v>203001:9</v>
      </c>
      <c r="F354" s="11" t="s">
        <v>371</v>
      </c>
      <c r="G354" s="6">
        <v>0</v>
      </c>
      <c r="H354" s="6">
        <v>0</v>
      </c>
      <c r="I354" s="6" t="s">
        <v>55</v>
      </c>
      <c r="K354" s="6" t="str">
        <f t="shared" si="322"/>
        <v>203001</v>
      </c>
      <c r="L354" s="4">
        <v>9</v>
      </c>
      <c r="M354" s="6" t="s">
        <v>475</v>
      </c>
      <c r="O354" s="15" t="str">
        <f>O353</f>
        <v>1.1</v>
      </c>
      <c r="P354" s="15" t="str">
        <f t="shared" ref="P354:S354" si="352">O354</f>
        <v>1.1</v>
      </c>
      <c r="Q354" s="15" t="str">
        <f t="shared" si="352"/>
        <v>1.1</v>
      </c>
      <c r="R354" s="15" t="str">
        <f>P354</f>
        <v>1.1</v>
      </c>
      <c r="S354" s="15" t="str">
        <f t="shared" si="352"/>
        <v>1.1</v>
      </c>
      <c r="T354" s="6" t="str">
        <f t="shared" si="324"/>
        <v>1|1.1#2|1.1#3|1.1#4|1.1#5|1.1</v>
      </c>
    </row>
    <row r="355" s="6" customFormat="1" ht="16.5" spans="1:20">
      <c r="A355" s="6">
        <v>1010361</v>
      </c>
      <c r="B355" s="6">
        <v>23001</v>
      </c>
      <c r="C355" s="6">
        <v>3</v>
      </c>
      <c r="D355" s="6">
        <v>1</v>
      </c>
      <c r="E355" s="6" t="str">
        <f t="shared" si="325"/>
        <v>203001:9</v>
      </c>
      <c r="F355" s="11" t="s">
        <v>373</v>
      </c>
      <c r="G355" s="6">
        <v>0</v>
      </c>
      <c r="H355" s="6">
        <v>0</v>
      </c>
      <c r="I355" s="6" t="s">
        <v>57</v>
      </c>
      <c r="K355" s="6" t="str">
        <f t="shared" si="322"/>
        <v>203001</v>
      </c>
      <c r="L355" s="4">
        <v>9</v>
      </c>
      <c r="M355" s="6" t="s">
        <v>475</v>
      </c>
      <c r="O355" s="13" t="str">
        <f t="shared" ref="O355:O359" si="353">RIGHT(F355,LEN(F355)-2)</f>
        <v>1.15</v>
      </c>
      <c r="P355" s="13" t="str">
        <f t="shared" ref="P355:S355" si="354">P354</f>
        <v>1.1</v>
      </c>
      <c r="Q355" s="13" t="str">
        <f t="shared" si="354"/>
        <v>1.1</v>
      </c>
      <c r="R355" s="13" t="str">
        <f t="shared" si="354"/>
        <v>1.1</v>
      </c>
      <c r="S355" s="13" t="str">
        <f t="shared" si="354"/>
        <v>1.1</v>
      </c>
      <c r="T355" s="6" t="str">
        <f t="shared" si="324"/>
        <v>1|1.15#2|1.1#3|1.1#4|1.1#5|1.1</v>
      </c>
    </row>
    <row r="356" s="6" customFormat="1" ht="16.5" spans="1:20">
      <c r="A356" s="6">
        <v>1010362</v>
      </c>
      <c r="B356" s="6">
        <v>23001</v>
      </c>
      <c r="C356" s="6">
        <v>3</v>
      </c>
      <c r="D356" s="6">
        <v>2</v>
      </c>
      <c r="E356" s="6" t="str">
        <f t="shared" si="325"/>
        <v>203001:9</v>
      </c>
      <c r="F356" s="11" t="s">
        <v>374</v>
      </c>
      <c r="G356" s="6">
        <v>0</v>
      </c>
      <c r="H356" s="6">
        <v>0</v>
      </c>
      <c r="I356" s="6" t="s">
        <v>59</v>
      </c>
      <c r="K356" s="6" t="str">
        <f t="shared" si="322"/>
        <v>203001</v>
      </c>
      <c r="L356" s="4">
        <v>9</v>
      </c>
      <c r="M356" s="6" t="s">
        <v>475</v>
      </c>
      <c r="O356" s="13" t="str">
        <f t="shared" si="353"/>
        <v>1.15</v>
      </c>
      <c r="P356" s="13" t="str">
        <f t="shared" ref="P356:P359" si="355">O356</f>
        <v>1.15</v>
      </c>
      <c r="Q356" s="13" t="str">
        <f t="shared" ref="Q356:S356" si="356">Q355</f>
        <v>1.1</v>
      </c>
      <c r="R356" s="13" t="str">
        <f t="shared" si="356"/>
        <v>1.1</v>
      </c>
      <c r="S356" s="13" t="str">
        <f t="shared" si="356"/>
        <v>1.1</v>
      </c>
      <c r="T356" s="6" t="str">
        <f t="shared" si="324"/>
        <v>1|1.15#2|1.15#3|1.1#4|1.1#5|1.1</v>
      </c>
    </row>
    <row r="357" s="6" customFormat="1" ht="16.5" spans="1:20">
      <c r="A357" s="6">
        <v>1010363</v>
      </c>
      <c r="B357" s="6">
        <v>23001</v>
      </c>
      <c r="C357" s="6">
        <v>3</v>
      </c>
      <c r="D357" s="6">
        <v>3</v>
      </c>
      <c r="E357" s="6" t="str">
        <f t="shared" si="325"/>
        <v>203001:11</v>
      </c>
      <c r="F357" s="11" t="s">
        <v>375</v>
      </c>
      <c r="G357" s="6">
        <v>0</v>
      </c>
      <c r="H357" s="6">
        <v>0</v>
      </c>
      <c r="I357" s="6" t="s">
        <v>61</v>
      </c>
      <c r="K357" s="6" t="str">
        <f t="shared" si="322"/>
        <v>203001</v>
      </c>
      <c r="L357" s="4">
        <v>11</v>
      </c>
      <c r="M357" s="6" t="s">
        <v>475</v>
      </c>
      <c r="O357" s="13" t="str">
        <f t="shared" si="353"/>
        <v>1.15</v>
      </c>
      <c r="P357" s="13" t="str">
        <f t="shared" si="355"/>
        <v>1.15</v>
      </c>
      <c r="Q357" s="13" t="str">
        <f t="shared" ref="Q357:Q359" si="357">P357</f>
        <v>1.15</v>
      </c>
      <c r="R357" s="13" t="str">
        <f>R356</f>
        <v>1.1</v>
      </c>
      <c r="S357" s="13" t="str">
        <f>S356</f>
        <v>1.1</v>
      </c>
      <c r="T357" s="6" t="str">
        <f t="shared" si="324"/>
        <v>1|1.15#2|1.15#3|1.15#4|1.1#5|1.1</v>
      </c>
    </row>
    <row r="358" s="6" customFormat="1" ht="16.5" spans="1:20">
      <c r="A358" s="6">
        <v>1010364</v>
      </c>
      <c r="B358" s="6">
        <v>23001</v>
      </c>
      <c r="C358" s="6">
        <v>3</v>
      </c>
      <c r="D358" s="6">
        <v>4</v>
      </c>
      <c r="E358" s="6" t="str">
        <f t="shared" si="325"/>
        <v>203001:11</v>
      </c>
      <c r="F358" s="11" t="s">
        <v>376</v>
      </c>
      <c r="G358" s="6">
        <v>0</v>
      </c>
      <c r="H358" s="6">
        <v>0</v>
      </c>
      <c r="I358" s="6" t="s">
        <v>63</v>
      </c>
      <c r="K358" s="6" t="str">
        <f t="shared" si="322"/>
        <v>203001</v>
      </c>
      <c r="L358" s="4">
        <v>11</v>
      </c>
      <c r="M358" s="6" t="s">
        <v>475</v>
      </c>
      <c r="O358" s="13" t="str">
        <f t="shared" si="353"/>
        <v>1.15</v>
      </c>
      <c r="P358" s="13" t="str">
        <f t="shared" si="355"/>
        <v>1.15</v>
      </c>
      <c r="Q358" s="13" t="str">
        <f t="shared" si="357"/>
        <v>1.15</v>
      </c>
      <c r="R358" s="13" t="str">
        <f>Q358</f>
        <v>1.15</v>
      </c>
      <c r="S358" s="13" t="str">
        <f>S357</f>
        <v>1.1</v>
      </c>
      <c r="T358" s="6" t="str">
        <f t="shared" si="324"/>
        <v>1|1.15#2|1.15#3|1.15#4|1.15#5|1.1</v>
      </c>
    </row>
    <row r="359" s="6" customFormat="1" ht="16.5" spans="1:20">
      <c r="A359" s="6">
        <v>1010365</v>
      </c>
      <c r="B359" s="6">
        <v>23001</v>
      </c>
      <c r="C359" s="6">
        <v>3</v>
      </c>
      <c r="D359" s="6">
        <v>5</v>
      </c>
      <c r="E359" s="6" t="str">
        <f t="shared" si="325"/>
        <v>203001:11</v>
      </c>
      <c r="F359" s="11" t="s">
        <v>377</v>
      </c>
      <c r="G359" s="6">
        <v>0</v>
      </c>
      <c r="H359" s="6">
        <v>0</v>
      </c>
      <c r="I359" s="6" t="s">
        <v>40</v>
      </c>
      <c r="K359" s="6" t="str">
        <f t="shared" si="322"/>
        <v>203001</v>
      </c>
      <c r="L359" s="4">
        <v>11</v>
      </c>
      <c r="M359" s="6" t="s">
        <v>476</v>
      </c>
      <c r="O359" s="13" t="str">
        <f t="shared" si="353"/>
        <v>1.15</v>
      </c>
      <c r="P359" s="13" t="str">
        <f t="shared" si="355"/>
        <v>1.15</v>
      </c>
      <c r="Q359" s="13" t="str">
        <f t="shared" si="357"/>
        <v>1.15</v>
      </c>
      <c r="R359" s="13" t="str">
        <f>Q359</f>
        <v>1.15</v>
      </c>
      <c r="S359" s="13" t="str">
        <f>R359</f>
        <v>1.15</v>
      </c>
      <c r="T359" s="6" t="str">
        <f t="shared" si="324"/>
        <v>1|1.15#2|1.15#3|1.15#4|1.15#5|1.15</v>
      </c>
    </row>
    <row r="360" s="6" customFormat="1" ht="16.5" spans="1:20">
      <c r="A360" s="6">
        <v>1010366</v>
      </c>
      <c r="B360" s="6">
        <v>23001</v>
      </c>
      <c r="C360" s="6">
        <v>3</v>
      </c>
      <c r="D360" s="6">
        <v>6</v>
      </c>
      <c r="E360" s="6" t="str">
        <f t="shared" si="325"/>
        <v>203001:30</v>
      </c>
      <c r="F360" s="11">
        <v>0</v>
      </c>
      <c r="G360" s="6">
        <v>11002</v>
      </c>
      <c r="H360" s="6" t="s">
        <v>407</v>
      </c>
      <c r="I360" s="6">
        <v>0</v>
      </c>
      <c r="K360" s="6" t="str">
        <f t="shared" si="322"/>
        <v>203001</v>
      </c>
      <c r="L360" s="13">
        <v>30</v>
      </c>
      <c r="M360" s="6" t="s">
        <v>473</v>
      </c>
      <c r="O360" s="13" t="str">
        <f t="shared" ref="O360:S360" si="358">O359</f>
        <v>1.15</v>
      </c>
      <c r="P360" s="13" t="str">
        <f t="shared" si="358"/>
        <v>1.15</v>
      </c>
      <c r="Q360" s="13" t="str">
        <f t="shared" si="358"/>
        <v>1.15</v>
      </c>
      <c r="R360" s="13" t="str">
        <f t="shared" si="358"/>
        <v>1.15</v>
      </c>
      <c r="S360" s="13" t="str">
        <f t="shared" si="358"/>
        <v>1.15</v>
      </c>
      <c r="T360" s="6" t="str">
        <f t="shared" si="324"/>
        <v>1|1.15#2|1.15#3|1.15#4|1.15#5|1.15</v>
      </c>
    </row>
    <row r="361" s="6" customFormat="1" ht="16.5" spans="1:20">
      <c r="A361" s="6">
        <v>1010367</v>
      </c>
      <c r="B361" s="6">
        <v>23001</v>
      </c>
      <c r="C361" s="6">
        <v>4</v>
      </c>
      <c r="D361" s="6">
        <v>0</v>
      </c>
      <c r="E361" s="6" t="str">
        <f t="shared" si="325"/>
        <v>203001:13</v>
      </c>
      <c r="F361" s="11" t="s">
        <v>379</v>
      </c>
      <c r="G361" s="6">
        <v>0</v>
      </c>
      <c r="H361" s="6">
        <v>0</v>
      </c>
      <c r="I361" s="6" t="s">
        <v>67</v>
      </c>
      <c r="K361" s="6" t="str">
        <f t="shared" si="322"/>
        <v>203001</v>
      </c>
      <c r="L361" s="4">
        <v>13</v>
      </c>
      <c r="M361" s="6" t="s">
        <v>477</v>
      </c>
      <c r="O361" s="15" t="str">
        <f>O360</f>
        <v>1.15</v>
      </c>
      <c r="P361" s="15" t="str">
        <f t="shared" ref="P361:S361" si="359">O361</f>
        <v>1.15</v>
      </c>
      <c r="Q361" s="15" t="str">
        <f t="shared" si="359"/>
        <v>1.15</v>
      </c>
      <c r="R361" s="15" t="str">
        <f>P361</f>
        <v>1.15</v>
      </c>
      <c r="S361" s="15" t="str">
        <f t="shared" si="359"/>
        <v>1.15</v>
      </c>
      <c r="T361" s="6" t="str">
        <f t="shared" si="324"/>
        <v>1|1.15#2|1.15#3|1.15#4|1.15#5|1.15</v>
      </c>
    </row>
    <row r="362" s="6" customFormat="1" ht="16.5" spans="1:20">
      <c r="A362" s="6">
        <v>1010368</v>
      </c>
      <c r="B362" s="6">
        <v>23001</v>
      </c>
      <c r="C362" s="6">
        <v>4</v>
      </c>
      <c r="D362" s="6">
        <v>1</v>
      </c>
      <c r="E362" s="6" t="str">
        <f t="shared" si="325"/>
        <v>203001:13</v>
      </c>
      <c r="F362" s="11" t="s">
        <v>381</v>
      </c>
      <c r="G362" s="6">
        <v>0</v>
      </c>
      <c r="H362" s="6">
        <v>0</v>
      </c>
      <c r="I362" s="6" t="s">
        <v>69</v>
      </c>
      <c r="K362" s="6" t="str">
        <f t="shared" si="322"/>
        <v>203001</v>
      </c>
      <c r="L362" s="4">
        <v>13</v>
      </c>
      <c r="M362" s="6" t="s">
        <v>477</v>
      </c>
      <c r="O362" s="13" t="str">
        <f t="shared" ref="O362:O366" si="360">RIGHT(F362,LEN(F362)-2)</f>
        <v>1.2</v>
      </c>
      <c r="P362" s="13" t="str">
        <f t="shared" ref="P362:S362" si="361">P361</f>
        <v>1.15</v>
      </c>
      <c r="Q362" s="13" t="str">
        <f t="shared" si="361"/>
        <v>1.15</v>
      </c>
      <c r="R362" s="13" t="str">
        <f t="shared" si="361"/>
        <v>1.15</v>
      </c>
      <c r="S362" s="13" t="str">
        <f t="shared" si="361"/>
        <v>1.15</v>
      </c>
      <c r="T362" s="6" t="str">
        <f t="shared" si="324"/>
        <v>1|1.2#2|1.15#3|1.15#4|1.15#5|1.15</v>
      </c>
    </row>
    <row r="363" s="6" customFormat="1" ht="16.5" spans="1:20">
      <c r="A363" s="6">
        <v>1010369</v>
      </c>
      <c r="B363" s="6">
        <v>23001</v>
      </c>
      <c r="C363" s="6">
        <v>4</v>
      </c>
      <c r="D363" s="6">
        <v>2</v>
      </c>
      <c r="E363" s="6" t="str">
        <f t="shared" si="325"/>
        <v>203001:13</v>
      </c>
      <c r="F363" s="11" t="s">
        <v>382</v>
      </c>
      <c r="G363" s="6">
        <v>0</v>
      </c>
      <c r="H363" s="6">
        <v>0</v>
      </c>
      <c r="I363" s="6" t="s">
        <v>71</v>
      </c>
      <c r="K363" s="6" t="str">
        <f t="shared" si="322"/>
        <v>203001</v>
      </c>
      <c r="L363" s="4">
        <v>13</v>
      </c>
      <c r="M363" s="6" t="s">
        <v>477</v>
      </c>
      <c r="O363" s="13" t="str">
        <f t="shared" si="360"/>
        <v>1.2</v>
      </c>
      <c r="P363" s="13" t="str">
        <f t="shared" ref="P363:P366" si="362">O363</f>
        <v>1.2</v>
      </c>
      <c r="Q363" s="13" t="str">
        <f t="shared" ref="Q363:S363" si="363">Q362</f>
        <v>1.15</v>
      </c>
      <c r="R363" s="13" t="str">
        <f t="shared" si="363"/>
        <v>1.15</v>
      </c>
      <c r="S363" s="13" t="str">
        <f t="shared" si="363"/>
        <v>1.15</v>
      </c>
      <c r="T363" s="6" t="str">
        <f t="shared" si="324"/>
        <v>1|1.2#2|1.2#3|1.15#4|1.15#5|1.15</v>
      </c>
    </row>
    <row r="364" s="6" customFormat="1" ht="16.5" spans="1:20">
      <c r="A364" s="6">
        <v>1010370</v>
      </c>
      <c r="B364" s="6">
        <v>23001</v>
      </c>
      <c r="C364" s="6">
        <v>4</v>
      </c>
      <c r="D364" s="6">
        <v>3</v>
      </c>
      <c r="E364" s="6" t="str">
        <f t="shared" si="325"/>
        <v>203001:17</v>
      </c>
      <c r="F364" s="11" t="s">
        <v>383</v>
      </c>
      <c r="G364" s="6">
        <v>0</v>
      </c>
      <c r="H364" s="6">
        <v>0</v>
      </c>
      <c r="I364" s="6" t="s">
        <v>73</v>
      </c>
      <c r="K364" s="6" t="str">
        <f t="shared" si="322"/>
        <v>203001</v>
      </c>
      <c r="L364" s="4">
        <v>17</v>
      </c>
      <c r="M364" s="6" t="s">
        <v>477</v>
      </c>
      <c r="O364" s="13" t="str">
        <f t="shared" si="360"/>
        <v>1.2</v>
      </c>
      <c r="P364" s="13" t="str">
        <f t="shared" si="362"/>
        <v>1.2</v>
      </c>
      <c r="Q364" s="13" t="str">
        <f t="shared" ref="Q364:Q366" si="364">P364</f>
        <v>1.2</v>
      </c>
      <c r="R364" s="13" t="str">
        <f>R363</f>
        <v>1.15</v>
      </c>
      <c r="S364" s="13" t="str">
        <f>S363</f>
        <v>1.15</v>
      </c>
      <c r="T364" s="6" t="str">
        <f t="shared" si="324"/>
        <v>1|1.2#2|1.2#3|1.2#4|1.15#5|1.15</v>
      </c>
    </row>
    <row r="365" s="6" customFormat="1" ht="16.5" spans="1:20">
      <c r="A365" s="6">
        <v>1010371</v>
      </c>
      <c r="B365" s="6">
        <v>23001</v>
      </c>
      <c r="C365" s="6">
        <v>4</v>
      </c>
      <c r="D365" s="6">
        <v>4</v>
      </c>
      <c r="E365" s="6" t="str">
        <f t="shared" si="325"/>
        <v>203001:17</v>
      </c>
      <c r="F365" s="11" t="s">
        <v>384</v>
      </c>
      <c r="G365" s="6">
        <v>0</v>
      </c>
      <c r="H365" s="6">
        <v>0</v>
      </c>
      <c r="I365" s="6" t="s">
        <v>75</v>
      </c>
      <c r="K365" s="6" t="str">
        <f t="shared" si="322"/>
        <v>203001</v>
      </c>
      <c r="L365" s="4">
        <v>17</v>
      </c>
      <c r="M365" s="6" t="s">
        <v>477</v>
      </c>
      <c r="O365" s="13" t="str">
        <f t="shared" si="360"/>
        <v>1.2</v>
      </c>
      <c r="P365" s="13" t="str">
        <f t="shared" si="362"/>
        <v>1.2</v>
      </c>
      <c r="Q365" s="13" t="str">
        <f t="shared" si="364"/>
        <v>1.2</v>
      </c>
      <c r="R365" s="13" t="str">
        <f>Q365</f>
        <v>1.2</v>
      </c>
      <c r="S365" s="13" t="str">
        <f>S364</f>
        <v>1.15</v>
      </c>
      <c r="T365" s="6" t="str">
        <f t="shared" si="324"/>
        <v>1|1.2#2|1.2#3|1.2#4|1.2#5|1.15</v>
      </c>
    </row>
    <row r="366" s="6" customFormat="1" ht="16.5" spans="1:20">
      <c r="A366" s="6">
        <v>1010372</v>
      </c>
      <c r="B366" s="6">
        <v>23001</v>
      </c>
      <c r="C366" s="6">
        <v>4</v>
      </c>
      <c r="D366" s="6">
        <v>5</v>
      </c>
      <c r="E366" s="6" t="str">
        <f t="shared" si="325"/>
        <v>203001:17</v>
      </c>
      <c r="F366" s="11" t="s">
        <v>385</v>
      </c>
      <c r="G366" s="6">
        <v>0</v>
      </c>
      <c r="H366" s="6">
        <v>0</v>
      </c>
      <c r="I366" s="6" t="s">
        <v>40</v>
      </c>
      <c r="K366" s="6" t="str">
        <f t="shared" si="322"/>
        <v>203001</v>
      </c>
      <c r="L366" s="4">
        <v>17</v>
      </c>
      <c r="M366" s="6" t="s">
        <v>179</v>
      </c>
      <c r="O366" s="13" t="str">
        <f t="shared" si="360"/>
        <v>1.2</v>
      </c>
      <c r="P366" s="13" t="str">
        <f t="shared" si="362"/>
        <v>1.2</v>
      </c>
      <c r="Q366" s="13" t="str">
        <f t="shared" si="364"/>
        <v>1.2</v>
      </c>
      <c r="R366" s="13" t="str">
        <f>Q366</f>
        <v>1.2</v>
      </c>
      <c r="S366" s="13" t="str">
        <f>R366</f>
        <v>1.2</v>
      </c>
      <c r="T366" s="6" t="str">
        <f t="shared" si="324"/>
        <v>1|1.2#2|1.2#3|1.2#4|1.2#5|1.2</v>
      </c>
    </row>
    <row r="367" s="6" customFormat="1" ht="16.5" spans="1:20">
      <c r="A367" s="6">
        <v>1010373</v>
      </c>
      <c r="B367" s="6">
        <v>23001</v>
      </c>
      <c r="C367" s="6">
        <v>4</v>
      </c>
      <c r="D367" s="6">
        <v>6</v>
      </c>
      <c r="E367" s="6" t="str">
        <f t="shared" si="325"/>
        <v>203001:60</v>
      </c>
      <c r="F367" s="11">
        <v>0</v>
      </c>
      <c r="G367" s="6">
        <v>11002</v>
      </c>
      <c r="H367" s="6" t="s">
        <v>407</v>
      </c>
      <c r="I367" s="6">
        <v>0</v>
      </c>
      <c r="K367" s="6" t="str">
        <f t="shared" si="322"/>
        <v>203001</v>
      </c>
      <c r="L367" s="13">
        <v>60</v>
      </c>
      <c r="M367" s="6" t="s">
        <v>473</v>
      </c>
      <c r="O367" s="13" t="str">
        <f t="shared" ref="O367:S367" si="365">O366</f>
        <v>1.2</v>
      </c>
      <c r="P367" s="13" t="str">
        <f t="shared" si="365"/>
        <v>1.2</v>
      </c>
      <c r="Q367" s="13" t="str">
        <f t="shared" si="365"/>
        <v>1.2</v>
      </c>
      <c r="R367" s="13" t="str">
        <f t="shared" si="365"/>
        <v>1.2</v>
      </c>
      <c r="S367" s="13" t="str">
        <f t="shared" si="365"/>
        <v>1.2</v>
      </c>
      <c r="T367" s="6" t="str">
        <f t="shared" si="324"/>
        <v>1|1.2#2|1.2#3|1.2#4|1.2#5|1.2</v>
      </c>
    </row>
    <row r="368" s="6" customFormat="1" ht="16.5" spans="1:20">
      <c r="A368" s="6">
        <v>1010374</v>
      </c>
      <c r="B368" s="6">
        <v>23001</v>
      </c>
      <c r="C368" s="6">
        <v>5</v>
      </c>
      <c r="D368" s="6">
        <v>0</v>
      </c>
      <c r="E368" s="6" t="str">
        <f t="shared" si="325"/>
        <v>203001:18</v>
      </c>
      <c r="F368" s="11" t="s">
        <v>386</v>
      </c>
      <c r="G368" s="6">
        <v>0</v>
      </c>
      <c r="H368" s="6">
        <v>0</v>
      </c>
      <c r="I368" s="6" t="s">
        <v>79</v>
      </c>
      <c r="K368" s="6" t="str">
        <f t="shared" si="322"/>
        <v>203001</v>
      </c>
      <c r="L368" s="4">
        <v>18</v>
      </c>
      <c r="M368" s="6" t="s">
        <v>478</v>
      </c>
      <c r="O368" s="15" t="str">
        <f>O367</f>
        <v>1.2</v>
      </c>
      <c r="P368" s="15" t="str">
        <f t="shared" ref="P368:S368" si="366">O368</f>
        <v>1.2</v>
      </c>
      <c r="Q368" s="15" t="str">
        <f t="shared" si="366"/>
        <v>1.2</v>
      </c>
      <c r="R368" s="15" t="str">
        <f>P368</f>
        <v>1.2</v>
      </c>
      <c r="S368" s="15" t="str">
        <f t="shared" si="366"/>
        <v>1.2</v>
      </c>
      <c r="T368" s="6" t="str">
        <f t="shared" si="324"/>
        <v>1|1.2#2|1.2#3|1.2#4|1.2#5|1.2</v>
      </c>
    </row>
    <row r="369" s="6" customFormat="1" ht="16.5" spans="1:20">
      <c r="A369" s="6">
        <v>1010375</v>
      </c>
      <c r="B369" s="6">
        <v>23001</v>
      </c>
      <c r="C369" s="6">
        <v>5</v>
      </c>
      <c r="D369" s="6">
        <v>1</v>
      </c>
      <c r="E369" s="6" t="str">
        <f t="shared" si="325"/>
        <v>203001:18</v>
      </c>
      <c r="F369" s="11" t="s">
        <v>388</v>
      </c>
      <c r="G369" s="6">
        <v>0</v>
      </c>
      <c r="H369" s="6">
        <v>0</v>
      </c>
      <c r="I369" s="6" t="s">
        <v>81</v>
      </c>
      <c r="K369" s="6" t="str">
        <f t="shared" si="322"/>
        <v>203001</v>
      </c>
      <c r="L369" s="4">
        <v>18</v>
      </c>
      <c r="M369" s="6" t="s">
        <v>478</v>
      </c>
      <c r="O369" s="13" t="str">
        <f t="shared" ref="O369:O373" si="367">RIGHT(F369,LEN(F369)-2)</f>
        <v>1.3</v>
      </c>
      <c r="P369" s="13" t="str">
        <f t="shared" ref="P369:S369" si="368">P368</f>
        <v>1.2</v>
      </c>
      <c r="Q369" s="13" t="str">
        <f t="shared" si="368"/>
        <v>1.2</v>
      </c>
      <c r="R369" s="13" t="str">
        <f t="shared" si="368"/>
        <v>1.2</v>
      </c>
      <c r="S369" s="13" t="str">
        <f t="shared" si="368"/>
        <v>1.2</v>
      </c>
      <c r="T369" s="6" t="str">
        <f t="shared" si="324"/>
        <v>1|1.3#2|1.2#3|1.2#4|1.2#5|1.2</v>
      </c>
    </row>
    <row r="370" s="6" customFormat="1" ht="16.5" spans="1:20">
      <c r="A370" s="6">
        <v>1010376</v>
      </c>
      <c r="B370" s="6">
        <v>23001</v>
      </c>
      <c r="C370" s="6">
        <v>5</v>
      </c>
      <c r="D370" s="6">
        <v>2</v>
      </c>
      <c r="E370" s="6" t="str">
        <f t="shared" si="325"/>
        <v>203001:18</v>
      </c>
      <c r="F370" s="11" t="s">
        <v>389</v>
      </c>
      <c r="G370" s="6">
        <v>0</v>
      </c>
      <c r="H370" s="6">
        <v>0</v>
      </c>
      <c r="I370" s="6" t="s">
        <v>83</v>
      </c>
      <c r="K370" s="6" t="str">
        <f t="shared" si="322"/>
        <v>203001</v>
      </c>
      <c r="L370" s="4">
        <v>18</v>
      </c>
      <c r="M370" s="6" t="s">
        <v>478</v>
      </c>
      <c r="O370" s="13" t="str">
        <f t="shared" si="367"/>
        <v>1.3</v>
      </c>
      <c r="P370" s="13" t="str">
        <f t="shared" ref="P370:P373" si="369">O370</f>
        <v>1.3</v>
      </c>
      <c r="Q370" s="13" t="str">
        <f t="shared" ref="Q370:S370" si="370">Q369</f>
        <v>1.2</v>
      </c>
      <c r="R370" s="13" t="str">
        <f t="shared" si="370"/>
        <v>1.2</v>
      </c>
      <c r="S370" s="13" t="str">
        <f t="shared" si="370"/>
        <v>1.2</v>
      </c>
      <c r="T370" s="6" t="str">
        <f t="shared" si="324"/>
        <v>1|1.3#2|1.3#3|1.2#4|1.2#5|1.2</v>
      </c>
    </row>
    <row r="371" s="6" customFormat="1" ht="16.5" spans="1:20">
      <c r="A371" s="6">
        <v>1010377</v>
      </c>
      <c r="B371" s="6">
        <v>23001</v>
      </c>
      <c r="C371" s="6">
        <v>5</v>
      </c>
      <c r="D371" s="6">
        <v>3</v>
      </c>
      <c r="E371" s="6" t="str">
        <f t="shared" si="325"/>
        <v>203001:22</v>
      </c>
      <c r="F371" s="11" t="s">
        <v>390</v>
      </c>
      <c r="G371" s="6">
        <v>0</v>
      </c>
      <c r="H371" s="6">
        <v>0</v>
      </c>
      <c r="I371" s="6" t="s">
        <v>85</v>
      </c>
      <c r="K371" s="6" t="str">
        <f t="shared" si="322"/>
        <v>203001</v>
      </c>
      <c r="L371" s="4">
        <v>22</v>
      </c>
      <c r="M371" s="6" t="s">
        <v>478</v>
      </c>
      <c r="O371" s="13" t="str">
        <f t="shared" si="367"/>
        <v>1.3</v>
      </c>
      <c r="P371" s="13" t="str">
        <f t="shared" si="369"/>
        <v>1.3</v>
      </c>
      <c r="Q371" s="13" t="str">
        <f t="shared" ref="Q371:Q373" si="371">P371</f>
        <v>1.3</v>
      </c>
      <c r="R371" s="13" t="str">
        <f>R370</f>
        <v>1.2</v>
      </c>
      <c r="S371" s="13" t="str">
        <f>S370</f>
        <v>1.2</v>
      </c>
      <c r="T371" s="6" t="str">
        <f t="shared" si="324"/>
        <v>1|1.3#2|1.3#3|1.3#4|1.2#5|1.2</v>
      </c>
    </row>
    <row r="372" s="6" customFormat="1" ht="16.5" spans="1:20">
      <c r="A372" s="6">
        <v>1010378</v>
      </c>
      <c r="B372" s="6">
        <v>23001</v>
      </c>
      <c r="C372" s="6">
        <v>5</v>
      </c>
      <c r="D372" s="6">
        <v>4</v>
      </c>
      <c r="E372" s="6" t="str">
        <f t="shared" si="325"/>
        <v>203001:22</v>
      </c>
      <c r="F372" s="11" t="s">
        <v>391</v>
      </c>
      <c r="G372" s="6">
        <v>0</v>
      </c>
      <c r="H372" s="6">
        <v>0</v>
      </c>
      <c r="I372" s="6" t="s">
        <v>87</v>
      </c>
      <c r="K372" s="6" t="str">
        <f t="shared" si="322"/>
        <v>203001</v>
      </c>
      <c r="L372" s="4">
        <v>22</v>
      </c>
      <c r="M372" s="6" t="s">
        <v>478</v>
      </c>
      <c r="O372" s="13" t="str">
        <f t="shared" si="367"/>
        <v>1.3</v>
      </c>
      <c r="P372" s="13" t="str">
        <f t="shared" si="369"/>
        <v>1.3</v>
      </c>
      <c r="Q372" s="13" t="str">
        <f t="shared" si="371"/>
        <v>1.3</v>
      </c>
      <c r="R372" s="13" t="str">
        <f>Q372</f>
        <v>1.3</v>
      </c>
      <c r="S372" s="13" t="str">
        <f>S371</f>
        <v>1.2</v>
      </c>
      <c r="T372" s="6" t="str">
        <f t="shared" si="324"/>
        <v>1|1.3#2|1.3#3|1.3#4|1.3#5|1.2</v>
      </c>
    </row>
    <row r="373" s="6" customFormat="1" ht="16.5" spans="1:20">
      <c r="A373" s="6">
        <v>1010379</v>
      </c>
      <c r="B373" s="6">
        <v>23001</v>
      </c>
      <c r="C373" s="6">
        <v>5</v>
      </c>
      <c r="D373" s="6">
        <v>5</v>
      </c>
      <c r="E373" s="6" t="str">
        <f t="shared" si="325"/>
        <v>203001:22</v>
      </c>
      <c r="F373" s="11" t="s">
        <v>392</v>
      </c>
      <c r="G373" s="6">
        <v>0</v>
      </c>
      <c r="H373" s="6">
        <v>0</v>
      </c>
      <c r="I373" s="6" t="s">
        <v>40</v>
      </c>
      <c r="K373" s="6" t="str">
        <f t="shared" si="322"/>
        <v>203001</v>
      </c>
      <c r="L373" s="4">
        <v>22</v>
      </c>
      <c r="M373" s="6" t="s">
        <v>479</v>
      </c>
      <c r="O373" s="13" t="str">
        <f t="shared" si="367"/>
        <v>1.3</v>
      </c>
      <c r="P373" s="13" t="str">
        <f t="shared" si="369"/>
        <v>1.3</v>
      </c>
      <c r="Q373" s="13" t="str">
        <f t="shared" si="371"/>
        <v>1.3</v>
      </c>
      <c r="R373" s="13" t="str">
        <f>Q373</f>
        <v>1.3</v>
      </c>
      <c r="S373" s="13" t="str">
        <f>R373</f>
        <v>1.3</v>
      </c>
      <c r="T373" s="6" t="str">
        <f t="shared" si="324"/>
        <v>1|1.3#2|1.3#3|1.3#4|1.3#5|1.3</v>
      </c>
    </row>
    <row r="374" s="6" customFormat="1" ht="16.5" spans="1:20">
      <c r="A374" s="6">
        <v>1010380</v>
      </c>
      <c r="B374" s="6">
        <v>23001</v>
      </c>
      <c r="C374" s="6">
        <v>5</v>
      </c>
      <c r="D374" s="6">
        <v>6</v>
      </c>
      <c r="E374" s="6" t="str">
        <f t="shared" si="325"/>
        <v>203001:60</v>
      </c>
      <c r="F374" s="11">
        <v>0</v>
      </c>
      <c r="G374" s="6">
        <v>11002</v>
      </c>
      <c r="H374" s="6" t="s">
        <v>407</v>
      </c>
      <c r="I374" s="6">
        <v>0</v>
      </c>
      <c r="K374" s="6" t="str">
        <f t="shared" si="322"/>
        <v>203001</v>
      </c>
      <c r="L374" s="13">
        <v>60</v>
      </c>
      <c r="M374" s="6" t="s">
        <v>473</v>
      </c>
      <c r="O374" s="13" t="str">
        <f t="shared" ref="O374:S374" si="372">O373</f>
        <v>1.3</v>
      </c>
      <c r="P374" s="13" t="str">
        <f t="shared" si="372"/>
        <v>1.3</v>
      </c>
      <c r="Q374" s="13" t="str">
        <f t="shared" si="372"/>
        <v>1.3</v>
      </c>
      <c r="R374" s="13" t="str">
        <f t="shared" si="372"/>
        <v>1.3</v>
      </c>
      <c r="S374" s="13" t="str">
        <f t="shared" si="372"/>
        <v>1.3</v>
      </c>
      <c r="T374" s="6" t="str">
        <f t="shared" si="324"/>
        <v>1|1.3#2|1.3#3|1.3#4|1.3#5|1.3</v>
      </c>
    </row>
    <row r="375" s="6" customFormat="1" ht="16.5" spans="1:20">
      <c r="A375" s="6">
        <v>1010381</v>
      </c>
      <c r="B375" s="6">
        <v>23001</v>
      </c>
      <c r="C375" s="6">
        <v>6</v>
      </c>
      <c r="D375" s="6">
        <v>0</v>
      </c>
      <c r="E375" s="6" t="str">
        <f t="shared" si="325"/>
        <v>203001:24</v>
      </c>
      <c r="F375" s="11" t="s">
        <v>394</v>
      </c>
      <c r="G375" s="6">
        <v>0</v>
      </c>
      <c r="H375" s="6">
        <v>0</v>
      </c>
      <c r="I375" s="6" t="s">
        <v>90</v>
      </c>
      <c r="K375" s="6" t="str">
        <f t="shared" si="322"/>
        <v>203001</v>
      </c>
      <c r="L375" s="4">
        <v>24</v>
      </c>
      <c r="M375" s="6" t="s">
        <v>480</v>
      </c>
      <c r="O375" s="15" t="str">
        <f>O374</f>
        <v>1.3</v>
      </c>
      <c r="P375" s="15" t="str">
        <f t="shared" ref="P375:S375" si="373">O375</f>
        <v>1.3</v>
      </c>
      <c r="Q375" s="15" t="str">
        <f t="shared" si="373"/>
        <v>1.3</v>
      </c>
      <c r="R375" s="15" t="str">
        <f>P375</f>
        <v>1.3</v>
      </c>
      <c r="S375" s="15" t="str">
        <f t="shared" si="373"/>
        <v>1.3</v>
      </c>
      <c r="T375" s="6" t="str">
        <f t="shared" si="324"/>
        <v>1|1.3#2|1.3#3|1.3#4|1.3#5|1.3</v>
      </c>
    </row>
    <row r="376" s="6" customFormat="1" ht="16.5" spans="1:20">
      <c r="A376" s="6">
        <v>1010382</v>
      </c>
      <c r="B376" s="6">
        <v>23001</v>
      </c>
      <c r="C376" s="6">
        <v>6</v>
      </c>
      <c r="D376" s="6">
        <v>1</v>
      </c>
      <c r="E376" s="6" t="str">
        <f t="shared" si="325"/>
        <v>203001:24</v>
      </c>
      <c r="F376" s="11" t="s">
        <v>396</v>
      </c>
      <c r="G376" s="6">
        <v>0</v>
      </c>
      <c r="H376" s="6">
        <v>0</v>
      </c>
      <c r="I376" s="6" t="s">
        <v>92</v>
      </c>
      <c r="K376" s="6" t="str">
        <f t="shared" si="322"/>
        <v>203001</v>
      </c>
      <c r="L376" s="4">
        <v>24</v>
      </c>
      <c r="M376" s="6" t="s">
        <v>480</v>
      </c>
      <c r="O376" s="13" t="str">
        <f t="shared" ref="O376:O380" si="374">RIGHT(F376,LEN(F376)-2)</f>
        <v>1.4</v>
      </c>
      <c r="P376" s="13" t="str">
        <f t="shared" ref="P376:S376" si="375">P375</f>
        <v>1.3</v>
      </c>
      <c r="Q376" s="13" t="str">
        <f t="shared" si="375"/>
        <v>1.3</v>
      </c>
      <c r="R376" s="13" t="str">
        <f t="shared" si="375"/>
        <v>1.3</v>
      </c>
      <c r="S376" s="13" t="str">
        <f t="shared" si="375"/>
        <v>1.3</v>
      </c>
      <c r="T376" s="6" t="str">
        <f t="shared" si="324"/>
        <v>1|1.4#2|1.3#3|1.3#4|1.3#5|1.3</v>
      </c>
    </row>
    <row r="377" s="6" customFormat="1" ht="16.5" spans="1:20">
      <c r="A377" s="6">
        <v>1010383</v>
      </c>
      <c r="B377" s="6">
        <v>23001</v>
      </c>
      <c r="C377" s="6">
        <v>6</v>
      </c>
      <c r="D377" s="6">
        <v>2</v>
      </c>
      <c r="E377" s="6" t="str">
        <f t="shared" si="325"/>
        <v>203001:24</v>
      </c>
      <c r="F377" s="11" t="s">
        <v>397</v>
      </c>
      <c r="G377" s="6">
        <v>0</v>
      </c>
      <c r="H377" s="6">
        <v>0</v>
      </c>
      <c r="I377" s="6" t="s">
        <v>94</v>
      </c>
      <c r="K377" s="6" t="str">
        <f t="shared" si="322"/>
        <v>203001</v>
      </c>
      <c r="L377" s="4">
        <v>24</v>
      </c>
      <c r="M377" s="6" t="s">
        <v>480</v>
      </c>
      <c r="O377" s="13" t="str">
        <f t="shared" si="374"/>
        <v>1.4</v>
      </c>
      <c r="P377" s="13" t="str">
        <f t="shared" ref="P377:P380" si="376">O377</f>
        <v>1.4</v>
      </c>
      <c r="Q377" s="13" t="str">
        <f t="shared" ref="Q377:S377" si="377">Q376</f>
        <v>1.3</v>
      </c>
      <c r="R377" s="13" t="str">
        <f t="shared" si="377"/>
        <v>1.3</v>
      </c>
      <c r="S377" s="13" t="str">
        <f t="shared" si="377"/>
        <v>1.3</v>
      </c>
      <c r="T377" s="6" t="str">
        <f t="shared" si="324"/>
        <v>1|1.4#2|1.4#3|1.3#4|1.3#5|1.3</v>
      </c>
    </row>
    <row r="378" s="6" customFormat="1" ht="16.5" spans="1:20">
      <c r="A378" s="6">
        <v>1010384</v>
      </c>
      <c r="B378" s="6">
        <v>23001</v>
      </c>
      <c r="C378" s="6">
        <v>6</v>
      </c>
      <c r="D378" s="6">
        <v>3</v>
      </c>
      <c r="E378" s="6" t="str">
        <f t="shared" si="325"/>
        <v>203001:24</v>
      </c>
      <c r="F378" s="11" t="s">
        <v>398</v>
      </c>
      <c r="G378" s="6">
        <v>0</v>
      </c>
      <c r="H378" s="6">
        <v>0</v>
      </c>
      <c r="I378" s="6" t="s">
        <v>96</v>
      </c>
      <c r="K378" s="6" t="str">
        <f t="shared" si="322"/>
        <v>203001</v>
      </c>
      <c r="L378" s="4">
        <v>24</v>
      </c>
      <c r="M378" s="6" t="s">
        <v>480</v>
      </c>
      <c r="O378" s="13" t="str">
        <f t="shared" si="374"/>
        <v>1.4</v>
      </c>
      <c r="P378" s="13" t="str">
        <f t="shared" si="376"/>
        <v>1.4</v>
      </c>
      <c r="Q378" s="13" t="str">
        <f t="shared" ref="Q378:Q380" si="378">P378</f>
        <v>1.4</v>
      </c>
      <c r="R378" s="13" t="str">
        <f>R377</f>
        <v>1.3</v>
      </c>
      <c r="S378" s="13" t="str">
        <f t="shared" ref="S378:S385" si="379">S377</f>
        <v>1.3</v>
      </c>
      <c r="T378" s="6" t="str">
        <f t="shared" si="324"/>
        <v>1|1.4#2|1.4#3|1.4#4|1.3#5|1.3</v>
      </c>
    </row>
    <row r="379" s="6" customFormat="1" ht="16.5" spans="1:20">
      <c r="A379" s="6">
        <v>1010385</v>
      </c>
      <c r="B379" s="6">
        <v>23001</v>
      </c>
      <c r="C379" s="6">
        <v>6</v>
      </c>
      <c r="D379" s="6">
        <v>4</v>
      </c>
      <c r="E379" s="6" t="str">
        <f t="shared" si="325"/>
        <v>203001:24</v>
      </c>
      <c r="F379" s="11" t="s">
        <v>399</v>
      </c>
      <c r="G379" s="6">
        <v>0</v>
      </c>
      <c r="H379" s="6">
        <v>0</v>
      </c>
      <c r="I379" s="6" t="s">
        <v>98</v>
      </c>
      <c r="K379" s="6" t="str">
        <f t="shared" si="322"/>
        <v>203001</v>
      </c>
      <c r="L379" s="4">
        <v>24</v>
      </c>
      <c r="M379" s="6" t="s">
        <v>480</v>
      </c>
      <c r="O379" s="13" t="str">
        <f t="shared" si="374"/>
        <v>1.4</v>
      </c>
      <c r="P379" s="13" t="str">
        <f t="shared" si="376"/>
        <v>1.4</v>
      </c>
      <c r="Q379" s="13" t="str">
        <f t="shared" si="378"/>
        <v>1.4</v>
      </c>
      <c r="R379" s="13" t="str">
        <f>Q379</f>
        <v>1.4</v>
      </c>
      <c r="S379" s="13" t="str">
        <f t="shared" si="379"/>
        <v>1.3</v>
      </c>
      <c r="T379" s="6" t="str">
        <f t="shared" si="324"/>
        <v>1|1.4#2|1.4#3|1.4#4|1.4#5|1.3</v>
      </c>
    </row>
    <row r="380" s="6" customFormat="1" ht="16.5" spans="1:20">
      <c r="A380" s="6">
        <v>1010386</v>
      </c>
      <c r="B380" s="6">
        <v>23001</v>
      </c>
      <c r="C380" s="6">
        <v>6</v>
      </c>
      <c r="D380" s="6">
        <v>5</v>
      </c>
      <c r="E380" s="6" t="str">
        <f t="shared" si="325"/>
        <v>203001:60</v>
      </c>
      <c r="F380" s="11" t="s">
        <v>400</v>
      </c>
      <c r="G380" s="6">
        <v>0</v>
      </c>
      <c r="H380" s="6">
        <v>0</v>
      </c>
      <c r="I380" s="6" t="s">
        <v>40</v>
      </c>
      <c r="K380" s="6" t="str">
        <f t="shared" si="322"/>
        <v>203001</v>
      </c>
      <c r="L380" s="4">
        <v>60</v>
      </c>
      <c r="M380" s="6" t="s">
        <v>479</v>
      </c>
      <c r="O380" s="13" t="str">
        <f t="shared" si="374"/>
        <v>1.4</v>
      </c>
      <c r="P380" s="13" t="str">
        <f t="shared" si="376"/>
        <v>1.4</v>
      </c>
      <c r="Q380" s="13" t="str">
        <f t="shared" si="378"/>
        <v>1.4</v>
      </c>
      <c r="R380" s="13" t="str">
        <f>Q380</f>
        <v>1.4</v>
      </c>
      <c r="S380" s="13" t="str">
        <f>R380</f>
        <v>1.4</v>
      </c>
      <c r="T380" s="6" t="str">
        <f t="shared" si="324"/>
        <v>1|1.4#2|1.4#3|1.4#4|1.4#5|1.4</v>
      </c>
    </row>
    <row r="381" s="6" customFormat="1" ht="16.5" spans="1:20">
      <c r="A381" s="6">
        <v>1010387</v>
      </c>
      <c r="B381" s="6">
        <v>23001</v>
      </c>
      <c r="C381" s="6">
        <v>6</v>
      </c>
      <c r="D381" s="6">
        <v>6</v>
      </c>
      <c r="E381" s="6" t="str">
        <f t="shared" si="325"/>
        <v>203001:0</v>
      </c>
      <c r="F381" s="11">
        <v>0</v>
      </c>
      <c r="G381" s="6">
        <v>11002</v>
      </c>
      <c r="H381" s="6" t="s">
        <v>407</v>
      </c>
      <c r="I381" s="6">
        <v>0</v>
      </c>
      <c r="K381" s="6" t="str">
        <f t="shared" si="322"/>
        <v>203001</v>
      </c>
      <c r="L381" s="4">
        <v>0</v>
      </c>
      <c r="M381" s="6" t="s">
        <v>473</v>
      </c>
      <c r="O381" s="13" t="str">
        <f t="shared" ref="O381:S381" si="380">O380</f>
        <v>1.4</v>
      </c>
      <c r="P381" s="13" t="str">
        <f t="shared" si="380"/>
        <v>1.4</v>
      </c>
      <c r="Q381" s="13" t="str">
        <f t="shared" si="380"/>
        <v>1.4</v>
      </c>
      <c r="R381" s="13" t="str">
        <f t="shared" si="380"/>
        <v>1.4</v>
      </c>
      <c r="S381" s="13" t="str">
        <f t="shared" si="380"/>
        <v>1.4</v>
      </c>
      <c r="T381" s="6" t="str">
        <f t="shared" si="324"/>
        <v>1|1.4#2|1.4#3|1.4#4|1.4#5|1.4</v>
      </c>
    </row>
    <row r="382" s="6" customFormat="1" ht="16.5" spans="1:20">
      <c r="A382" s="6">
        <v>1010388</v>
      </c>
      <c r="B382" s="6">
        <v>24001</v>
      </c>
      <c r="C382" s="6">
        <v>1</v>
      </c>
      <c r="D382" s="6">
        <v>0</v>
      </c>
      <c r="E382" s="6" t="str">
        <f t="shared" si="325"/>
        <v>204001:2</v>
      </c>
      <c r="F382" s="11" t="s">
        <v>356</v>
      </c>
      <c r="G382" s="6">
        <v>0</v>
      </c>
      <c r="H382" s="6">
        <v>0</v>
      </c>
      <c r="I382" s="6" t="s">
        <v>25</v>
      </c>
      <c r="K382" s="6" t="str">
        <f t="shared" si="322"/>
        <v>204001</v>
      </c>
      <c r="L382" s="4">
        <v>2</v>
      </c>
      <c r="M382" s="6" t="s">
        <v>481</v>
      </c>
      <c r="O382" s="13">
        <v>1</v>
      </c>
      <c r="P382" s="13">
        <f t="shared" ref="P382:S382" si="381">O382</f>
        <v>1</v>
      </c>
      <c r="Q382" s="13">
        <f t="shared" si="381"/>
        <v>1</v>
      </c>
      <c r="R382" s="13">
        <f>P382</f>
        <v>1</v>
      </c>
      <c r="S382" s="13">
        <f t="shared" si="381"/>
        <v>1</v>
      </c>
      <c r="T382" s="6" t="str">
        <f t="shared" si="324"/>
        <v>1|1#2|1#3|1#4|1#5|1</v>
      </c>
    </row>
    <row r="383" s="6" customFormat="1" ht="16.5" spans="1:20">
      <c r="A383" s="6">
        <v>1010389</v>
      </c>
      <c r="B383" s="6">
        <v>24001</v>
      </c>
      <c r="C383" s="6">
        <v>1</v>
      </c>
      <c r="D383" s="6">
        <v>1</v>
      </c>
      <c r="E383" s="6" t="str">
        <f t="shared" si="325"/>
        <v>204001:2</v>
      </c>
      <c r="F383" s="11" t="s">
        <v>358</v>
      </c>
      <c r="G383" s="6">
        <v>0</v>
      </c>
      <c r="H383" s="6">
        <v>0</v>
      </c>
      <c r="I383" s="6" t="s">
        <v>28</v>
      </c>
      <c r="K383" s="6" t="str">
        <f t="shared" si="322"/>
        <v>204001</v>
      </c>
      <c r="L383" s="4">
        <v>2</v>
      </c>
      <c r="M383" s="6" t="s">
        <v>481</v>
      </c>
      <c r="O383" s="13" t="str">
        <f t="shared" ref="O383:O387" si="382">RIGHT(F383,LEN(F383)-2)</f>
        <v>1.05</v>
      </c>
      <c r="P383" s="13">
        <v>1</v>
      </c>
      <c r="Q383" s="13">
        <f>Q382</f>
        <v>1</v>
      </c>
      <c r="R383" s="13">
        <f>R382</f>
        <v>1</v>
      </c>
      <c r="S383" s="13">
        <f t="shared" si="379"/>
        <v>1</v>
      </c>
      <c r="T383" s="6" t="str">
        <f t="shared" si="324"/>
        <v>1|1.05#2|1#3|1#4|1#5|1</v>
      </c>
    </row>
    <row r="384" s="6" customFormat="1" ht="16.5" spans="1:20">
      <c r="A384" s="6">
        <v>1010390</v>
      </c>
      <c r="B384" s="6">
        <v>24001</v>
      </c>
      <c r="C384" s="6">
        <v>1</v>
      </c>
      <c r="D384" s="6">
        <v>2</v>
      </c>
      <c r="E384" s="6" t="str">
        <f t="shared" si="325"/>
        <v>204001:2</v>
      </c>
      <c r="F384" s="11" t="s">
        <v>359</v>
      </c>
      <c r="G384" s="6">
        <v>0</v>
      </c>
      <c r="H384" s="6">
        <v>0</v>
      </c>
      <c r="I384" s="6" t="s">
        <v>31</v>
      </c>
      <c r="K384" s="6" t="str">
        <f t="shared" si="322"/>
        <v>204001</v>
      </c>
      <c r="L384" s="4">
        <v>2</v>
      </c>
      <c r="M384" s="6" t="s">
        <v>481</v>
      </c>
      <c r="O384" s="13" t="str">
        <f t="shared" si="382"/>
        <v>1.05</v>
      </c>
      <c r="P384" s="13" t="str">
        <f t="shared" ref="P384:P387" si="383">O384</f>
        <v>1.05</v>
      </c>
      <c r="Q384" s="13">
        <v>1</v>
      </c>
      <c r="R384" s="13">
        <f>R383</f>
        <v>1</v>
      </c>
      <c r="S384" s="13">
        <f t="shared" si="379"/>
        <v>1</v>
      </c>
      <c r="T384" s="6" t="str">
        <f t="shared" si="324"/>
        <v>1|1.05#2|1.05#3|1#4|1#5|1</v>
      </c>
    </row>
    <row r="385" s="6" customFormat="1" ht="16.5" spans="1:20">
      <c r="A385" s="6">
        <v>1010391</v>
      </c>
      <c r="B385" s="6">
        <v>24001</v>
      </c>
      <c r="C385" s="6">
        <v>1</v>
      </c>
      <c r="D385" s="6">
        <v>3</v>
      </c>
      <c r="E385" s="6" t="str">
        <f t="shared" si="325"/>
        <v>204001:3</v>
      </c>
      <c r="F385" s="11" t="s">
        <v>360</v>
      </c>
      <c r="G385" s="6">
        <v>0</v>
      </c>
      <c r="H385" s="6">
        <v>0</v>
      </c>
      <c r="I385" s="6" t="s">
        <v>34</v>
      </c>
      <c r="K385" s="6" t="str">
        <f t="shared" si="322"/>
        <v>204001</v>
      </c>
      <c r="L385" s="4">
        <v>3</v>
      </c>
      <c r="M385" s="6" t="s">
        <v>481</v>
      </c>
      <c r="O385" s="13" t="str">
        <f t="shared" si="382"/>
        <v>1.05</v>
      </c>
      <c r="P385" s="13" t="str">
        <f t="shared" si="383"/>
        <v>1.05</v>
      </c>
      <c r="Q385" s="13" t="str">
        <f t="shared" ref="Q385:Q387" si="384">P385</f>
        <v>1.05</v>
      </c>
      <c r="R385" s="13">
        <v>1</v>
      </c>
      <c r="S385" s="13">
        <f t="shared" si="379"/>
        <v>1</v>
      </c>
      <c r="T385" s="6" t="str">
        <f t="shared" si="324"/>
        <v>1|1.05#2|1.05#3|1.05#4|1#5|1</v>
      </c>
    </row>
    <row r="386" s="6" customFormat="1" ht="16.5" spans="1:20">
      <c r="A386" s="6">
        <v>1010392</v>
      </c>
      <c r="B386" s="6">
        <v>24001</v>
      </c>
      <c r="C386" s="6">
        <v>1</v>
      </c>
      <c r="D386" s="6">
        <v>4</v>
      </c>
      <c r="E386" s="6" t="str">
        <f t="shared" si="325"/>
        <v>204001:3</v>
      </c>
      <c r="F386" s="11" t="s">
        <v>361</v>
      </c>
      <c r="G386" s="6">
        <v>0</v>
      </c>
      <c r="H386" s="6">
        <v>0</v>
      </c>
      <c r="I386" s="6" t="s">
        <v>37</v>
      </c>
      <c r="K386" s="6" t="str">
        <f t="shared" si="322"/>
        <v>204001</v>
      </c>
      <c r="L386" s="4">
        <v>3</v>
      </c>
      <c r="M386" s="6" t="s">
        <v>481</v>
      </c>
      <c r="O386" s="13" t="str">
        <f t="shared" si="382"/>
        <v>1.05</v>
      </c>
      <c r="P386" s="13" t="str">
        <f t="shared" si="383"/>
        <v>1.05</v>
      </c>
      <c r="Q386" s="13" t="str">
        <f t="shared" si="384"/>
        <v>1.05</v>
      </c>
      <c r="R386" s="13" t="str">
        <f>Q386</f>
        <v>1.05</v>
      </c>
      <c r="S386" s="13">
        <v>1</v>
      </c>
      <c r="T386" s="6" t="str">
        <f t="shared" si="324"/>
        <v>1|1.05#2|1.05#3|1.05#4|1.05#5|1</v>
      </c>
    </row>
    <row r="387" s="6" customFormat="1" ht="16.5" spans="1:20">
      <c r="A387" s="6">
        <v>1010393</v>
      </c>
      <c r="B387" s="6">
        <v>24001</v>
      </c>
      <c r="C387" s="6">
        <v>1</v>
      </c>
      <c r="D387" s="6">
        <v>5</v>
      </c>
      <c r="E387" s="6" t="str">
        <f t="shared" si="325"/>
        <v>204001:3</v>
      </c>
      <c r="F387" s="11" t="s">
        <v>362</v>
      </c>
      <c r="G387" s="6">
        <v>0</v>
      </c>
      <c r="H387" s="6">
        <v>0</v>
      </c>
      <c r="I387" s="6" t="s">
        <v>40</v>
      </c>
      <c r="K387" s="6" t="str">
        <f t="shared" si="322"/>
        <v>204001</v>
      </c>
      <c r="L387" s="4">
        <v>3</v>
      </c>
      <c r="M387" s="6" t="s">
        <v>482</v>
      </c>
      <c r="O387" s="13" t="str">
        <f t="shared" si="382"/>
        <v>1.05</v>
      </c>
      <c r="P387" s="13" t="str">
        <f t="shared" si="383"/>
        <v>1.05</v>
      </c>
      <c r="Q387" s="13" t="str">
        <f t="shared" si="384"/>
        <v>1.05</v>
      </c>
      <c r="R387" s="13" t="str">
        <f>Q387</f>
        <v>1.05</v>
      </c>
      <c r="S387" s="13" t="str">
        <f>R387</f>
        <v>1.05</v>
      </c>
      <c r="T387" s="6" t="str">
        <f t="shared" si="324"/>
        <v>1|1.05#2|1.05#3|1.05#4|1.05#5|1.05</v>
      </c>
    </row>
    <row r="388" s="6" customFormat="1" ht="16.5" spans="1:20">
      <c r="A388" s="6">
        <v>1010394</v>
      </c>
      <c r="B388" s="6">
        <v>24001</v>
      </c>
      <c r="C388" s="6">
        <v>1</v>
      </c>
      <c r="D388" s="6">
        <v>6</v>
      </c>
      <c r="E388" s="6" t="str">
        <f t="shared" si="325"/>
        <v>204001:5</v>
      </c>
      <c r="F388" s="11">
        <v>0</v>
      </c>
      <c r="G388" s="6">
        <v>11002</v>
      </c>
      <c r="H388" s="6" t="s">
        <v>407</v>
      </c>
      <c r="I388" s="6">
        <v>0</v>
      </c>
      <c r="K388" s="6" t="str">
        <f t="shared" si="322"/>
        <v>204001</v>
      </c>
      <c r="L388" s="13">
        <v>5</v>
      </c>
      <c r="M388" s="6" t="s">
        <v>483</v>
      </c>
      <c r="O388" s="13" t="str">
        <f t="shared" ref="O388:S388" si="385">O387</f>
        <v>1.05</v>
      </c>
      <c r="P388" s="13" t="str">
        <f t="shared" si="385"/>
        <v>1.05</v>
      </c>
      <c r="Q388" s="13" t="str">
        <f t="shared" si="385"/>
        <v>1.05</v>
      </c>
      <c r="R388" s="13" t="str">
        <f t="shared" si="385"/>
        <v>1.05</v>
      </c>
      <c r="S388" s="13" t="str">
        <f t="shared" si="385"/>
        <v>1.05</v>
      </c>
      <c r="T388" s="6" t="str">
        <f t="shared" si="324"/>
        <v>1|1.05#2|1.05#3|1.05#4|1.05#5|1.05</v>
      </c>
    </row>
    <row r="389" s="6" customFormat="1" ht="16.5" spans="1:20">
      <c r="A389" s="6">
        <v>1010395</v>
      </c>
      <c r="B389" s="6">
        <v>24001</v>
      </c>
      <c r="C389" s="6">
        <v>2</v>
      </c>
      <c r="D389" s="6">
        <v>0</v>
      </c>
      <c r="E389" s="6" t="str">
        <f t="shared" si="325"/>
        <v>204001:5</v>
      </c>
      <c r="F389" s="11" t="s">
        <v>364</v>
      </c>
      <c r="G389" s="6">
        <v>0</v>
      </c>
      <c r="H389" s="6">
        <v>0</v>
      </c>
      <c r="I389" s="6" t="s">
        <v>43</v>
      </c>
      <c r="K389" s="6" t="str">
        <f t="shared" ref="K389:K452" si="386">LEFT(M389,6)</f>
        <v>204001</v>
      </c>
      <c r="L389" s="4">
        <v>5</v>
      </c>
      <c r="M389" s="6" t="s">
        <v>484</v>
      </c>
      <c r="O389" s="15" t="str">
        <f>O388</f>
        <v>1.05</v>
      </c>
      <c r="P389" s="15" t="str">
        <f t="shared" ref="P389:S389" si="387">O389</f>
        <v>1.05</v>
      </c>
      <c r="Q389" s="15" t="str">
        <f t="shared" si="387"/>
        <v>1.05</v>
      </c>
      <c r="R389" s="15" t="str">
        <f>P389</f>
        <v>1.05</v>
      </c>
      <c r="S389" s="15" t="str">
        <f t="shared" si="387"/>
        <v>1.05</v>
      </c>
      <c r="T389" s="6" t="str">
        <f t="shared" ref="T389:T452" si="388">$O$2&amp;$P$3&amp;O389&amp;$O$1&amp;$P$2&amp;$P$3&amp;P389&amp;$O$1&amp;$Q$2&amp;$P$3&amp;Q389&amp;$O$1&amp;$R$2&amp;$P$3&amp;R389&amp;$O$1&amp;$S$2&amp;$P$3&amp;S389</f>
        <v>1|1.05#2|1.05#3|1.05#4|1.05#5|1.05</v>
      </c>
    </row>
    <row r="390" s="6" customFormat="1" ht="16.5" spans="1:20">
      <c r="A390" s="6">
        <v>1010396</v>
      </c>
      <c r="B390" s="6">
        <v>24001</v>
      </c>
      <c r="C390" s="6">
        <v>2</v>
      </c>
      <c r="D390" s="6">
        <v>1</v>
      </c>
      <c r="E390" s="6" t="str">
        <f t="shared" ref="E390:E453" si="389">K390&amp;$K$3&amp;L390</f>
        <v>204001:5</v>
      </c>
      <c r="F390" s="11" t="s">
        <v>366</v>
      </c>
      <c r="G390" s="6">
        <v>0</v>
      </c>
      <c r="H390" s="6">
        <v>0</v>
      </c>
      <c r="I390" s="6" t="s">
        <v>45</v>
      </c>
      <c r="K390" s="6" t="str">
        <f t="shared" si="386"/>
        <v>204001</v>
      </c>
      <c r="L390" s="4">
        <v>5</v>
      </c>
      <c r="M390" s="6" t="s">
        <v>484</v>
      </c>
      <c r="O390" s="13" t="str">
        <f t="shared" ref="O390:O394" si="390">RIGHT(F390,LEN(F390)-2)</f>
        <v>1.1</v>
      </c>
      <c r="P390" s="13">
        <v>1.05</v>
      </c>
      <c r="Q390" s="13" t="str">
        <f t="shared" ref="Q390:S390" si="391">Q389</f>
        <v>1.05</v>
      </c>
      <c r="R390" s="13" t="str">
        <f t="shared" si="391"/>
        <v>1.05</v>
      </c>
      <c r="S390" s="13" t="str">
        <f t="shared" si="391"/>
        <v>1.05</v>
      </c>
      <c r="T390" s="6" t="str">
        <f t="shared" si="388"/>
        <v>1|1.1#2|1.05#3|1.05#4|1.05#5|1.05</v>
      </c>
    </row>
    <row r="391" s="6" customFormat="1" ht="16.5" spans="1:20">
      <c r="A391" s="6">
        <v>1010397</v>
      </c>
      <c r="B391" s="6">
        <v>24001</v>
      </c>
      <c r="C391" s="6">
        <v>2</v>
      </c>
      <c r="D391" s="6">
        <v>2</v>
      </c>
      <c r="E391" s="6" t="str">
        <f t="shared" si="389"/>
        <v>204001:5</v>
      </c>
      <c r="F391" s="11" t="s">
        <v>367</v>
      </c>
      <c r="G391" s="6">
        <v>0</v>
      </c>
      <c r="H391" s="6">
        <v>0</v>
      </c>
      <c r="I391" s="6" t="s">
        <v>47</v>
      </c>
      <c r="K391" s="6" t="str">
        <f t="shared" si="386"/>
        <v>204001</v>
      </c>
      <c r="L391" s="4">
        <v>5</v>
      </c>
      <c r="M391" s="6" t="s">
        <v>484</v>
      </c>
      <c r="O391" s="13" t="str">
        <f t="shared" si="390"/>
        <v>1.1</v>
      </c>
      <c r="P391" s="13" t="str">
        <f t="shared" ref="P391:P394" si="392">O391</f>
        <v>1.1</v>
      </c>
      <c r="Q391" s="13">
        <v>1.05</v>
      </c>
      <c r="R391" s="13" t="str">
        <f>R390</f>
        <v>1.05</v>
      </c>
      <c r="S391" s="13" t="str">
        <f>S390</f>
        <v>1.05</v>
      </c>
      <c r="T391" s="6" t="str">
        <f t="shared" si="388"/>
        <v>1|1.1#2|1.1#3|1.05#4|1.05#5|1.05</v>
      </c>
    </row>
    <row r="392" s="6" customFormat="1" ht="16.5" spans="1:20">
      <c r="A392" s="6">
        <v>1010398</v>
      </c>
      <c r="B392" s="6">
        <v>24001</v>
      </c>
      <c r="C392" s="6">
        <v>2</v>
      </c>
      <c r="D392" s="6">
        <v>3</v>
      </c>
      <c r="E392" s="6" t="str">
        <f t="shared" si="389"/>
        <v>204001:6</v>
      </c>
      <c r="F392" s="11" t="s">
        <v>368</v>
      </c>
      <c r="G392" s="6">
        <v>0</v>
      </c>
      <c r="H392" s="6">
        <v>0</v>
      </c>
      <c r="I392" s="6" t="s">
        <v>49</v>
      </c>
      <c r="K392" s="6" t="str">
        <f t="shared" si="386"/>
        <v>204001</v>
      </c>
      <c r="L392" s="4">
        <v>6</v>
      </c>
      <c r="M392" s="6" t="s">
        <v>484</v>
      </c>
      <c r="O392" s="13" t="str">
        <f t="shared" si="390"/>
        <v>1.1</v>
      </c>
      <c r="P392" s="13" t="str">
        <f t="shared" si="392"/>
        <v>1.1</v>
      </c>
      <c r="Q392" s="13" t="str">
        <f t="shared" ref="Q392:Q394" si="393">P392</f>
        <v>1.1</v>
      </c>
      <c r="R392" s="13">
        <v>1.05</v>
      </c>
      <c r="S392" s="13" t="str">
        <f>S391</f>
        <v>1.05</v>
      </c>
      <c r="T392" s="6" t="str">
        <f t="shared" si="388"/>
        <v>1|1.1#2|1.1#3|1.1#4|1.05#5|1.05</v>
      </c>
    </row>
    <row r="393" s="6" customFormat="1" ht="16.5" spans="1:20">
      <c r="A393" s="6">
        <v>1010399</v>
      </c>
      <c r="B393" s="6">
        <v>24001</v>
      </c>
      <c r="C393" s="6">
        <v>2</v>
      </c>
      <c r="D393" s="6">
        <v>4</v>
      </c>
      <c r="E393" s="6" t="str">
        <f t="shared" si="389"/>
        <v>204001:6</v>
      </c>
      <c r="F393" s="11" t="s">
        <v>369</v>
      </c>
      <c r="G393" s="6">
        <v>0</v>
      </c>
      <c r="H393" s="6">
        <v>0</v>
      </c>
      <c r="I393" s="6" t="s">
        <v>51</v>
      </c>
      <c r="K393" s="6" t="str">
        <f t="shared" si="386"/>
        <v>204001</v>
      </c>
      <c r="L393" s="4">
        <v>6</v>
      </c>
      <c r="M393" s="6" t="s">
        <v>484</v>
      </c>
      <c r="O393" s="13" t="str">
        <f t="shared" si="390"/>
        <v>1.1</v>
      </c>
      <c r="P393" s="13" t="str">
        <f t="shared" si="392"/>
        <v>1.1</v>
      </c>
      <c r="Q393" s="13" t="str">
        <f t="shared" si="393"/>
        <v>1.1</v>
      </c>
      <c r="R393" s="13" t="str">
        <f>Q393</f>
        <v>1.1</v>
      </c>
      <c r="S393" s="13">
        <v>1.05</v>
      </c>
      <c r="T393" s="6" t="str">
        <f t="shared" si="388"/>
        <v>1|1.1#2|1.1#3|1.1#4|1.1#5|1.05</v>
      </c>
    </row>
    <row r="394" s="6" customFormat="1" ht="16.5" spans="1:20">
      <c r="A394" s="6">
        <v>1010400</v>
      </c>
      <c r="B394" s="6">
        <v>24001</v>
      </c>
      <c r="C394" s="6">
        <v>2</v>
      </c>
      <c r="D394" s="6">
        <v>5</v>
      </c>
      <c r="E394" s="6" t="str">
        <f t="shared" si="389"/>
        <v>204001:6</v>
      </c>
      <c r="F394" s="11" t="s">
        <v>370</v>
      </c>
      <c r="G394" s="6">
        <v>0</v>
      </c>
      <c r="H394" s="6">
        <v>0</v>
      </c>
      <c r="I394" s="6" t="s">
        <v>40</v>
      </c>
      <c r="K394" s="6" t="str">
        <f t="shared" si="386"/>
        <v>204001</v>
      </c>
      <c r="L394" s="4">
        <v>6</v>
      </c>
      <c r="M394" s="6" t="s">
        <v>188</v>
      </c>
      <c r="O394" s="13" t="str">
        <f t="shared" si="390"/>
        <v>1.1</v>
      </c>
      <c r="P394" s="13" t="str">
        <f t="shared" si="392"/>
        <v>1.1</v>
      </c>
      <c r="Q394" s="13" t="str">
        <f t="shared" si="393"/>
        <v>1.1</v>
      </c>
      <c r="R394" s="13" t="str">
        <f>Q394</f>
        <v>1.1</v>
      </c>
      <c r="S394" s="13" t="str">
        <f>R394</f>
        <v>1.1</v>
      </c>
      <c r="T394" s="6" t="str">
        <f t="shared" si="388"/>
        <v>1|1.1#2|1.1#3|1.1#4|1.1#5|1.1</v>
      </c>
    </row>
    <row r="395" s="6" customFormat="1" ht="16.5" spans="1:20">
      <c r="A395" s="6">
        <v>1010401</v>
      </c>
      <c r="B395" s="6">
        <v>24001</v>
      </c>
      <c r="C395" s="6">
        <v>2</v>
      </c>
      <c r="D395" s="6">
        <v>6</v>
      </c>
      <c r="E395" s="6" t="str">
        <f t="shared" si="389"/>
        <v>204001:7</v>
      </c>
      <c r="F395" s="11">
        <v>0</v>
      </c>
      <c r="G395" s="6">
        <v>11002</v>
      </c>
      <c r="H395" s="6" t="s">
        <v>407</v>
      </c>
      <c r="I395" s="6">
        <v>0</v>
      </c>
      <c r="K395" s="6" t="str">
        <f t="shared" si="386"/>
        <v>204001</v>
      </c>
      <c r="L395" s="13">
        <v>7</v>
      </c>
      <c r="M395" s="6" t="s">
        <v>483</v>
      </c>
      <c r="O395" s="13" t="str">
        <f t="shared" ref="O395:S395" si="394">O394</f>
        <v>1.1</v>
      </c>
      <c r="P395" s="13" t="str">
        <f t="shared" si="394"/>
        <v>1.1</v>
      </c>
      <c r="Q395" s="13" t="str">
        <f t="shared" si="394"/>
        <v>1.1</v>
      </c>
      <c r="R395" s="13" t="str">
        <f t="shared" si="394"/>
        <v>1.1</v>
      </c>
      <c r="S395" s="13" t="str">
        <f t="shared" si="394"/>
        <v>1.1</v>
      </c>
      <c r="T395" s="6" t="str">
        <f t="shared" si="388"/>
        <v>1|1.1#2|1.1#3|1.1#4|1.1#5|1.1</v>
      </c>
    </row>
    <row r="396" s="6" customFormat="1" ht="16.5" spans="1:20">
      <c r="A396" s="6">
        <v>1010402</v>
      </c>
      <c r="B396" s="6">
        <v>24001</v>
      </c>
      <c r="C396" s="6">
        <v>3</v>
      </c>
      <c r="D396" s="6">
        <v>0</v>
      </c>
      <c r="E396" s="6" t="str">
        <f t="shared" si="389"/>
        <v>204001:9</v>
      </c>
      <c r="F396" s="11" t="s">
        <v>371</v>
      </c>
      <c r="G396" s="6">
        <v>0</v>
      </c>
      <c r="H396" s="6">
        <v>0</v>
      </c>
      <c r="I396" s="6" t="s">
        <v>55</v>
      </c>
      <c r="K396" s="6" t="str">
        <f t="shared" si="386"/>
        <v>204001</v>
      </c>
      <c r="L396" s="4">
        <v>9</v>
      </c>
      <c r="M396" s="6" t="s">
        <v>485</v>
      </c>
      <c r="O396" s="15" t="str">
        <f>O395</f>
        <v>1.1</v>
      </c>
      <c r="P396" s="15" t="str">
        <f t="shared" ref="P396:S396" si="395">O396</f>
        <v>1.1</v>
      </c>
      <c r="Q396" s="15" t="str">
        <f t="shared" si="395"/>
        <v>1.1</v>
      </c>
      <c r="R396" s="15" t="str">
        <f>P396</f>
        <v>1.1</v>
      </c>
      <c r="S396" s="15" t="str">
        <f t="shared" si="395"/>
        <v>1.1</v>
      </c>
      <c r="T396" s="6" t="str">
        <f t="shared" si="388"/>
        <v>1|1.1#2|1.1#3|1.1#4|1.1#5|1.1</v>
      </c>
    </row>
    <row r="397" s="6" customFormat="1" ht="16.5" spans="1:20">
      <c r="A397" s="6">
        <v>1010403</v>
      </c>
      <c r="B397" s="6">
        <v>24001</v>
      </c>
      <c r="C397" s="6">
        <v>3</v>
      </c>
      <c r="D397" s="6">
        <v>1</v>
      </c>
      <c r="E397" s="6" t="str">
        <f t="shared" si="389"/>
        <v>204001:9</v>
      </c>
      <c r="F397" s="11" t="s">
        <v>373</v>
      </c>
      <c r="G397" s="6">
        <v>0</v>
      </c>
      <c r="H397" s="6">
        <v>0</v>
      </c>
      <c r="I397" s="6" t="s">
        <v>57</v>
      </c>
      <c r="K397" s="6" t="str">
        <f t="shared" si="386"/>
        <v>204001</v>
      </c>
      <c r="L397" s="4">
        <v>9</v>
      </c>
      <c r="M397" s="6" t="s">
        <v>485</v>
      </c>
      <c r="O397" s="13" t="str">
        <f t="shared" ref="O397:O401" si="396">RIGHT(F397,LEN(F397)-2)</f>
        <v>1.15</v>
      </c>
      <c r="P397" s="13" t="str">
        <f t="shared" ref="P397:S397" si="397">P396</f>
        <v>1.1</v>
      </c>
      <c r="Q397" s="13" t="str">
        <f t="shared" si="397"/>
        <v>1.1</v>
      </c>
      <c r="R397" s="13" t="str">
        <f t="shared" si="397"/>
        <v>1.1</v>
      </c>
      <c r="S397" s="13" t="str">
        <f t="shared" si="397"/>
        <v>1.1</v>
      </c>
      <c r="T397" s="6" t="str">
        <f t="shared" si="388"/>
        <v>1|1.15#2|1.1#3|1.1#4|1.1#5|1.1</v>
      </c>
    </row>
    <row r="398" s="6" customFormat="1" ht="16.5" spans="1:20">
      <c r="A398" s="6">
        <v>1010404</v>
      </c>
      <c r="B398" s="6">
        <v>24001</v>
      </c>
      <c r="C398" s="6">
        <v>3</v>
      </c>
      <c r="D398" s="6">
        <v>2</v>
      </c>
      <c r="E398" s="6" t="str">
        <f t="shared" si="389"/>
        <v>204001:9</v>
      </c>
      <c r="F398" s="11" t="s">
        <v>374</v>
      </c>
      <c r="G398" s="6">
        <v>0</v>
      </c>
      <c r="H398" s="6">
        <v>0</v>
      </c>
      <c r="I398" s="6" t="s">
        <v>59</v>
      </c>
      <c r="K398" s="6" t="str">
        <f t="shared" si="386"/>
        <v>204001</v>
      </c>
      <c r="L398" s="4">
        <v>9</v>
      </c>
      <c r="M398" s="6" t="s">
        <v>485</v>
      </c>
      <c r="O398" s="13" t="str">
        <f t="shared" si="396"/>
        <v>1.15</v>
      </c>
      <c r="P398" s="13" t="str">
        <f t="shared" ref="P398:P401" si="398">O398</f>
        <v>1.15</v>
      </c>
      <c r="Q398" s="13" t="str">
        <f t="shared" ref="Q398:S398" si="399">Q397</f>
        <v>1.1</v>
      </c>
      <c r="R398" s="13" t="str">
        <f t="shared" si="399"/>
        <v>1.1</v>
      </c>
      <c r="S398" s="13" t="str">
        <f t="shared" si="399"/>
        <v>1.1</v>
      </c>
      <c r="T398" s="6" t="str">
        <f t="shared" si="388"/>
        <v>1|1.15#2|1.15#3|1.1#4|1.1#5|1.1</v>
      </c>
    </row>
    <row r="399" s="6" customFormat="1" ht="16.5" spans="1:20">
      <c r="A399" s="6">
        <v>1010405</v>
      </c>
      <c r="B399" s="6">
        <v>24001</v>
      </c>
      <c r="C399" s="6">
        <v>3</v>
      </c>
      <c r="D399" s="6">
        <v>3</v>
      </c>
      <c r="E399" s="6" t="str">
        <f t="shared" si="389"/>
        <v>204001:11</v>
      </c>
      <c r="F399" s="11" t="s">
        <v>375</v>
      </c>
      <c r="G399" s="6">
        <v>0</v>
      </c>
      <c r="H399" s="6">
        <v>0</v>
      </c>
      <c r="I399" s="6" t="s">
        <v>61</v>
      </c>
      <c r="K399" s="6" t="str">
        <f t="shared" si="386"/>
        <v>204001</v>
      </c>
      <c r="L399" s="4">
        <v>11</v>
      </c>
      <c r="M399" s="6" t="s">
        <v>485</v>
      </c>
      <c r="O399" s="13" t="str">
        <f t="shared" si="396"/>
        <v>1.15</v>
      </c>
      <c r="P399" s="13" t="str">
        <f t="shared" si="398"/>
        <v>1.15</v>
      </c>
      <c r="Q399" s="13" t="str">
        <f t="shared" ref="Q399:Q401" si="400">P399</f>
        <v>1.15</v>
      </c>
      <c r="R399" s="13" t="str">
        <f>R398</f>
        <v>1.1</v>
      </c>
      <c r="S399" s="13" t="str">
        <f>S398</f>
        <v>1.1</v>
      </c>
      <c r="T399" s="6" t="str">
        <f t="shared" si="388"/>
        <v>1|1.15#2|1.15#3|1.15#4|1.1#5|1.1</v>
      </c>
    </row>
    <row r="400" s="6" customFormat="1" ht="16.5" spans="1:20">
      <c r="A400" s="6">
        <v>1010406</v>
      </c>
      <c r="B400" s="6">
        <v>24001</v>
      </c>
      <c r="C400" s="6">
        <v>3</v>
      </c>
      <c r="D400" s="6">
        <v>4</v>
      </c>
      <c r="E400" s="6" t="str">
        <f t="shared" si="389"/>
        <v>204001:11</v>
      </c>
      <c r="F400" s="11" t="s">
        <v>376</v>
      </c>
      <c r="G400" s="6">
        <v>0</v>
      </c>
      <c r="H400" s="6">
        <v>0</v>
      </c>
      <c r="I400" s="6" t="s">
        <v>63</v>
      </c>
      <c r="K400" s="6" t="str">
        <f t="shared" si="386"/>
        <v>204001</v>
      </c>
      <c r="L400" s="4">
        <v>11</v>
      </c>
      <c r="M400" s="6" t="s">
        <v>485</v>
      </c>
      <c r="O400" s="13" t="str">
        <f t="shared" si="396"/>
        <v>1.15</v>
      </c>
      <c r="P400" s="13" t="str">
        <f t="shared" si="398"/>
        <v>1.15</v>
      </c>
      <c r="Q400" s="13" t="str">
        <f t="shared" si="400"/>
        <v>1.15</v>
      </c>
      <c r="R400" s="13" t="str">
        <f>Q400</f>
        <v>1.15</v>
      </c>
      <c r="S400" s="13" t="str">
        <f>S399</f>
        <v>1.1</v>
      </c>
      <c r="T400" s="6" t="str">
        <f t="shared" si="388"/>
        <v>1|1.15#2|1.15#3|1.15#4|1.15#5|1.1</v>
      </c>
    </row>
    <row r="401" s="6" customFormat="1" ht="16.5" spans="1:20">
      <c r="A401" s="6">
        <v>1010407</v>
      </c>
      <c r="B401" s="6">
        <v>24001</v>
      </c>
      <c r="C401" s="6">
        <v>3</v>
      </c>
      <c r="D401" s="6">
        <v>5</v>
      </c>
      <c r="E401" s="6" t="str">
        <f t="shared" si="389"/>
        <v>204001:11</v>
      </c>
      <c r="F401" s="11" t="s">
        <v>377</v>
      </c>
      <c r="G401" s="6">
        <v>0</v>
      </c>
      <c r="H401" s="6">
        <v>0</v>
      </c>
      <c r="I401" s="6" t="s">
        <v>40</v>
      </c>
      <c r="K401" s="6" t="str">
        <f t="shared" si="386"/>
        <v>204001</v>
      </c>
      <c r="L401" s="4">
        <v>11</v>
      </c>
      <c r="M401" s="6" t="s">
        <v>486</v>
      </c>
      <c r="O401" s="13" t="str">
        <f t="shared" si="396"/>
        <v>1.15</v>
      </c>
      <c r="P401" s="13" t="str">
        <f t="shared" si="398"/>
        <v>1.15</v>
      </c>
      <c r="Q401" s="13" t="str">
        <f t="shared" si="400"/>
        <v>1.15</v>
      </c>
      <c r="R401" s="13" t="str">
        <f>Q401</f>
        <v>1.15</v>
      </c>
      <c r="S401" s="13" t="str">
        <f>R401</f>
        <v>1.15</v>
      </c>
      <c r="T401" s="6" t="str">
        <f t="shared" si="388"/>
        <v>1|1.15#2|1.15#3|1.15#4|1.15#5|1.15</v>
      </c>
    </row>
    <row r="402" s="6" customFormat="1" ht="16.5" spans="1:20">
      <c r="A402" s="6">
        <v>1010408</v>
      </c>
      <c r="B402" s="6">
        <v>24001</v>
      </c>
      <c r="C402" s="6">
        <v>3</v>
      </c>
      <c r="D402" s="6">
        <v>6</v>
      </c>
      <c r="E402" s="6" t="str">
        <f t="shared" si="389"/>
        <v>204001:30</v>
      </c>
      <c r="F402" s="11">
        <v>0</v>
      </c>
      <c r="G402" s="6">
        <v>11002</v>
      </c>
      <c r="H402" s="6" t="s">
        <v>407</v>
      </c>
      <c r="I402" s="6">
        <v>0</v>
      </c>
      <c r="K402" s="6" t="str">
        <f t="shared" si="386"/>
        <v>204001</v>
      </c>
      <c r="L402" s="13">
        <v>30</v>
      </c>
      <c r="M402" s="6" t="s">
        <v>483</v>
      </c>
      <c r="O402" s="13" t="str">
        <f t="shared" ref="O402:S402" si="401">O401</f>
        <v>1.15</v>
      </c>
      <c r="P402" s="13" t="str">
        <f t="shared" si="401"/>
        <v>1.15</v>
      </c>
      <c r="Q402" s="13" t="str">
        <f t="shared" si="401"/>
        <v>1.15</v>
      </c>
      <c r="R402" s="13" t="str">
        <f t="shared" si="401"/>
        <v>1.15</v>
      </c>
      <c r="S402" s="13" t="str">
        <f t="shared" si="401"/>
        <v>1.15</v>
      </c>
      <c r="T402" s="6" t="str">
        <f t="shared" si="388"/>
        <v>1|1.15#2|1.15#3|1.15#4|1.15#5|1.15</v>
      </c>
    </row>
    <row r="403" s="6" customFormat="1" ht="16.5" spans="1:20">
      <c r="A403" s="6">
        <v>1010409</v>
      </c>
      <c r="B403" s="6">
        <v>24001</v>
      </c>
      <c r="C403" s="6">
        <v>4</v>
      </c>
      <c r="D403" s="6">
        <v>0</v>
      </c>
      <c r="E403" s="6" t="str">
        <f t="shared" si="389"/>
        <v>204001:13</v>
      </c>
      <c r="F403" s="11" t="s">
        <v>379</v>
      </c>
      <c r="G403" s="6">
        <v>0</v>
      </c>
      <c r="H403" s="6">
        <v>0</v>
      </c>
      <c r="I403" s="6" t="s">
        <v>67</v>
      </c>
      <c r="K403" s="6" t="str">
        <f t="shared" si="386"/>
        <v>204001</v>
      </c>
      <c r="L403" s="4">
        <v>13</v>
      </c>
      <c r="M403" s="6" t="s">
        <v>487</v>
      </c>
      <c r="O403" s="15" t="str">
        <f>O402</f>
        <v>1.15</v>
      </c>
      <c r="P403" s="15" t="str">
        <f t="shared" ref="P403:S403" si="402">O403</f>
        <v>1.15</v>
      </c>
      <c r="Q403" s="15" t="str">
        <f t="shared" si="402"/>
        <v>1.15</v>
      </c>
      <c r="R403" s="15" t="str">
        <f>P403</f>
        <v>1.15</v>
      </c>
      <c r="S403" s="15" t="str">
        <f t="shared" si="402"/>
        <v>1.15</v>
      </c>
      <c r="T403" s="6" t="str">
        <f t="shared" si="388"/>
        <v>1|1.15#2|1.15#3|1.15#4|1.15#5|1.15</v>
      </c>
    </row>
    <row r="404" s="6" customFormat="1" ht="16.5" spans="1:20">
      <c r="A404" s="6">
        <v>1010410</v>
      </c>
      <c r="B404" s="6">
        <v>24001</v>
      </c>
      <c r="C404" s="6">
        <v>4</v>
      </c>
      <c r="D404" s="6">
        <v>1</v>
      </c>
      <c r="E404" s="6" t="str">
        <f t="shared" si="389"/>
        <v>204001:13</v>
      </c>
      <c r="F404" s="11" t="s">
        <v>381</v>
      </c>
      <c r="G404" s="6">
        <v>0</v>
      </c>
      <c r="H404" s="6">
        <v>0</v>
      </c>
      <c r="I404" s="6" t="s">
        <v>69</v>
      </c>
      <c r="K404" s="6" t="str">
        <f t="shared" si="386"/>
        <v>204001</v>
      </c>
      <c r="L404" s="4">
        <v>13</v>
      </c>
      <c r="M404" s="6" t="s">
        <v>487</v>
      </c>
      <c r="O404" s="13" t="str">
        <f t="shared" ref="O404:O408" si="403">RIGHT(F404,LEN(F404)-2)</f>
        <v>1.2</v>
      </c>
      <c r="P404" s="13" t="str">
        <f t="shared" ref="P404:S404" si="404">P403</f>
        <v>1.15</v>
      </c>
      <c r="Q404" s="13" t="str">
        <f t="shared" si="404"/>
        <v>1.15</v>
      </c>
      <c r="R404" s="13" t="str">
        <f t="shared" si="404"/>
        <v>1.15</v>
      </c>
      <c r="S404" s="13" t="str">
        <f t="shared" si="404"/>
        <v>1.15</v>
      </c>
      <c r="T404" s="6" t="str">
        <f t="shared" si="388"/>
        <v>1|1.2#2|1.15#3|1.15#4|1.15#5|1.15</v>
      </c>
    </row>
    <row r="405" s="6" customFormat="1" ht="16.5" spans="1:20">
      <c r="A405" s="6">
        <v>1010411</v>
      </c>
      <c r="B405" s="6">
        <v>24001</v>
      </c>
      <c r="C405" s="6">
        <v>4</v>
      </c>
      <c r="D405" s="6">
        <v>2</v>
      </c>
      <c r="E405" s="6" t="str">
        <f t="shared" si="389"/>
        <v>204001:13</v>
      </c>
      <c r="F405" s="11" t="s">
        <v>382</v>
      </c>
      <c r="G405" s="6">
        <v>0</v>
      </c>
      <c r="H405" s="6">
        <v>0</v>
      </c>
      <c r="I405" s="6" t="s">
        <v>71</v>
      </c>
      <c r="K405" s="6" t="str">
        <f t="shared" si="386"/>
        <v>204001</v>
      </c>
      <c r="L405" s="4">
        <v>13</v>
      </c>
      <c r="M405" s="6" t="s">
        <v>487</v>
      </c>
      <c r="O405" s="13" t="str">
        <f t="shared" si="403"/>
        <v>1.2</v>
      </c>
      <c r="P405" s="13" t="str">
        <f t="shared" ref="P405:P408" si="405">O405</f>
        <v>1.2</v>
      </c>
      <c r="Q405" s="13" t="str">
        <f t="shared" ref="Q405:S405" si="406">Q404</f>
        <v>1.15</v>
      </c>
      <c r="R405" s="13" t="str">
        <f t="shared" si="406"/>
        <v>1.15</v>
      </c>
      <c r="S405" s="13" t="str">
        <f t="shared" si="406"/>
        <v>1.15</v>
      </c>
      <c r="T405" s="6" t="str">
        <f t="shared" si="388"/>
        <v>1|1.2#2|1.2#3|1.15#4|1.15#5|1.15</v>
      </c>
    </row>
    <row r="406" s="6" customFormat="1" ht="16.5" spans="1:20">
      <c r="A406" s="6">
        <v>1010412</v>
      </c>
      <c r="B406" s="6">
        <v>24001</v>
      </c>
      <c r="C406" s="6">
        <v>4</v>
      </c>
      <c r="D406" s="6">
        <v>3</v>
      </c>
      <c r="E406" s="6" t="str">
        <f t="shared" si="389"/>
        <v>204001:17</v>
      </c>
      <c r="F406" s="11" t="s">
        <v>383</v>
      </c>
      <c r="G406" s="6">
        <v>0</v>
      </c>
      <c r="H406" s="6">
        <v>0</v>
      </c>
      <c r="I406" s="6" t="s">
        <v>73</v>
      </c>
      <c r="K406" s="6" t="str">
        <f t="shared" si="386"/>
        <v>204001</v>
      </c>
      <c r="L406" s="4">
        <v>17</v>
      </c>
      <c r="M406" s="6" t="s">
        <v>487</v>
      </c>
      <c r="O406" s="13" t="str">
        <f t="shared" si="403"/>
        <v>1.2</v>
      </c>
      <c r="P406" s="13" t="str">
        <f t="shared" si="405"/>
        <v>1.2</v>
      </c>
      <c r="Q406" s="13" t="str">
        <f t="shared" ref="Q406:Q408" si="407">P406</f>
        <v>1.2</v>
      </c>
      <c r="R406" s="13" t="str">
        <f>R405</f>
        <v>1.15</v>
      </c>
      <c r="S406" s="13" t="str">
        <f>S405</f>
        <v>1.15</v>
      </c>
      <c r="T406" s="6" t="str">
        <f t="shared" si="388"/>
        <v>1|1.2#2|1.2#3|1.2#4|1.15#5|1.15</v>
      </c>
    </row>
    <row r="407" s="6" customFormat="1" ht="16.5" spans="1:20">
      <c r="A407" s="6">
        <v>1010413</v>
      </c>
      <c r="B407" s="6">
        <v>24001</v>
      </c>
      <c r="C407" s="6">
        <v>4</v>
      </c>
      <c r="D407" s="6">
        <v>4</v>
      </c>
      <c r="E407" s="6" t="str">
        <f t="shared" si="389"/>
        <v>204001:17</v>
      </c>
      <c r="F407" s="11" t="s">
        <v>384</v>
      </c>
      <c r="G407" s="6">
        <v>0</v>
      </c>
      <c r="H407" s="6">
        <v>0</v>
      </c>
      <c r="I407" s="6" t="s">
        <v>75</v>
      </c>
      <c r="K407" s="6" t="str">
        <f t="shared" si="386"/>
        <v>204001</v>
      </c>
      <c r="L407" s="4">
        <v>17</v>
      </c>
      <c r="M407" s="6" t="s">
        <v>487</v>
      </c>
      <c r="O407" s="13" t="str">
        <f t="shared" si="403"/>
        <v>1.2</v>
      </c>
      <c r="P407" s="13" t="str">
        <f t="shared" si="405"/>
        <v>1.2</v>
      </c>
      <c r="Q407" s="13" t="str">
        <f t="shared" si="407"/>
        <v>1.2</v>
      </c>
      <c r="R407" s="13" t="str">
        <f>Q407</f>
        <v>1.2</v>
      </c>
      <c r="S407" s="13" t="str">
        <f>S406</f>
        <v>1.15</v>
      </c>
      <c r="T407" s="6" t="str">
        <f t="shared" si="388"/>
        <v>1|1.2#2|1.2#3|1.2#4|1.2#5|1.15</v>
      </c>
    </row>
    <row r="408" s="6" customFormat="1" ht="16.5" spans="1:20">
      <c r="A408" s="6">
        <v>1010414</v>
      </c>
      <c r="B408" s="6">
        <v>24001</v>
      </c>
      <c r="C408" s="6">
        <v>4</v>
      </c>
      <c r="D408" s="6">
        <v>5</v>
      </c>
      <c r="E408" s="6" t="str">
        <f t="shared" si="389"/>
        <v>204001:17</v>
      </c>
      <c r="F408" s="11" t="s">
        <v>385</v>
      </c>
      <c r="G408" s="6">
        <v>0</v>
      </c>
      <c r="H408" s="6">
        <v>0</v>
      </c>
      <c r="I408" s="6" t="s">
        <v>40</v>
      </c>
      <c r="K408" s="6" t="str">
        <f t="shared" si="386"/>
        <v>204001</v>
      </c>
      <c r="L408" s="4">
        <v>17</v>
      </c>
      <c r="M408" s="6" t="s">
        <v>190</v>
      </c>
      <c r="O408" s="13" t="str">
        <f t="shared" si="403"/>
        <v>1.2</v>
      </c>
      <c r="P408" s="13" t="str">
        <f t="shared" si="405"/>
        <v>1.2</v>
      </c>
      <c r="Q408" s="13" t="str">
        <f t="shared" si="407"/>
        <v>1.2</v>
      </c>
      <c r="R408" s="13" t="str">
        <f>Q408</f>
        <v>1.2</v>
      </c>
      <c r="S408" s="13" t="str">
        <f>R408</f>
        <v>1.2</v>
      </c>
      <c r="T408" s="6" t="str">
        <f t="shared" si="388"/>
        <v>1|1.2#2|1.2#3|1.2#4|1.2#5|1.2</v>
      </c>
    </row>
    <row r="409" s="6" customFormat="1" ht="16.5" spans="1:20">
      <c r="A409" s="6">
        <v>1010415</v>
      </c>
      <c r="B409" s="6">
        <v>24001</v>
      </c>
      <c r="C409" s="6">
        <v>4</v>
      </c>
      <c r="D409" s="6">
        <v>6</v>
      </c>
      <c r="E409" s="6" t="str">
        <f t="shared" si="389"/>
        <v>204001:60</v>
      </c>
      <c r="F409" s="11">
        <v>0</v>
      </c>
      <c r="G409" s="6">
        <v>11002</v>
      </c>
      <c r="H409" s="6" t="s">
        <v>407</v>
      </c>
      <c r="I409" s="6">
        <v>0</v>
      </c>
      <c r="K409" s="6" t="str">
        <f t="shared" si="386"/>
        <v>204001</v>
      </c>
      <c r="L409" s="13">
        <v>60</v>
      </c>
      <c r="M409" s="6" t="s">
        <v>483</v>
      </c>
      <c r="O409" s="13" t="str">
        <f t="shared" ref="O409:S409" si="408">O408</f>
        <v>1.2</v>
      </c>
      <c r="P409" s="13" t="str">
        <f t="shared" si="408"/>
        <v>1.2</v>
      </c>
      <c r="Q409" s="13" t="str">
        <f t="shared" si="408"/>
        <v>1.2</v>
      </c>
      <c r="R409" s="13" t="str">
        <f t="shared" si="408"/>
        <v>1.2</v>
      </c>
      <c r="S409" s="13" t="str">
        <f t="shared" si="408"/>
        <v>1.2</v>
      </c>
      <c r="T409" s="6" t="str">
        <f t="shared" si="388"/>
        <v>1|1.2#2|1.2#3|1.2#4|1.2#5|1.2</v>
      </c>
    </row>
    <row r="410" s="6" customFormat="1" ht="16.5" spans="1:20">
      <c r="A410" s="6">
        <v>1010416</v>
      </c>
      <c r="B410" s="6">
        <v>24001</v>
      </c>
      <c r="C410" s="6">
        <v>5</v>
      </c>
      <c r="D410" s="6">
        <v>0</v>
      </c>
      <c r="E410" s="6" t="str">
        <f t="shared" si="389"/>
        <v>204001:18</v>
      </c>
      <c r="F410" s="11" t="s">
        <v>386</v>
      </c>
      <c r="G410" s="6">
        <v>0</v>
      </c>
      <c r="H410" s="6">
        <v>0</v>
      </c>
      <c r="I410" s="6" t="s">
        <v>79</v>
      </c>
      <c r="K410" s="6" t="str">
        <f t="shared" si="386"/>
        <v>204001</v>
      </c>
      <c r="L410" s="4">
        <v>18</v>
      </c>
      <c r="M410" s="6" t="s">
        <v>488</v>
      </c>
      <c r="O410" s="15" t="str">
        <f>O409</f>
        <v>1.2</v>
      </c>
      <c r="P410" s="15" t="str">
        <f t="shared" ref="P410:S410" si="409">O410</f>
        <v>1.2</v>
      </c>
      <c r="Q410" s="15" t="str">
        <f t="shared" si="409"/>
        <v>1.2</v>
      </c>
      <c r="R410" s="15" t="str">
        <f>P410</f>
        <v>1.2</v>
      </c>
      <c r="S410" s="15" t="str">
        <f t="shared" si="409"/>
        <v>1.2</v>
      </c>
      <c r="T410" s="6" t="str">
        <f t="shared" si="388"/>
        <v>1|1.2#2|1.2#3|1.2#4|1.2#5|1.2</v>
      </c>
    </row>
    <row r="411" s="6" customFormat="1" ht="16.5" spans="1:20">
      <c r="A411" s="6">
        <v>1010417</v>
      </c>
      <c r="B411" s="6">
        <v>24001</v>
      </c>
      <c r="C411" s="6">
        <v>5</v>
      </c>
      <c r="D411" s="6">
        <v>1</v>
      </c>
      <c r="E411" s="6" t="str">
        <f t="shared" si="389"/>
        <v>204001:18</v>
      </c>
      <c r="F411" s="11" t="s">
        <v>388</v>
      </c>
      <c r="G411" s="6">
        <v>0</v>
      </c>
      <c r="H411" s="6">
        <v>0</v>
      </c>
      <c r="I411" s="6" t="s">
        <v>81</v>
      </c>
      <c r="K411" s="6" t="str">
        <f t="shared" si="386"/>
        <v>204001</v>
      </c>
      <c r="L411" s="4">
        <v>18</v>
      </c>
      <c r="M411" s="6" t="s">
        <v>488</v>
      </c>
      <c r="O411" s="13" t="str">
        <f t="shared" ref="O411:O415" si="410">RIGHT(F411,LEN(F411)-2)</f>
        <v>1.3</v>
      </c>
      <c r="P411" s="13" t="str">
        <f t="shared" ref="P411:S411" si="411">P410</f>
        <v>1.2</v>
      </c>
      <c r="Q411" s="13" t="str">
        <f t="shared" si="411"/>
        <v>1.2</v>
      </c>
      <c r="R411" s="13" t="str">
        <f t="shared" si="411"/>
        <v>1.2</v>
      </c>
      <c r="S411" s="13" t="str">
        <f t="shared" si="411"/>
        <v>1.2</v>
      </c>
      <c r="T411" s="6" t="str">
        <f t="shared" si="388"/>
        <v>1|1.3#2|1.2#3|1.2#4|1.2#5|1.2</v>
      </c>
    </row>
    <row r="412" s="6" customFormat="1" ht="16.5" spans="1:20">
      <c r="A412" s="6">
        <v>1010418</v>
      </c>
      <c r="B412" s="6">
        <v>24001</v>
      </c>
      <c r="C412" s="6">
        <v>5</v>
      </c>
      <c r="D412" s="6">
        <v>2</v>
      </c>
      <c r="E412" s="6" t="str">
        <f t="shared" si="389"/>
        <v>204001:18</v>
      </c>
      <c r="F412" s="11" t="s">
        <v>389</v>
      </c>
      <c r="G412" s="6">
        <v>0</v>
      </c>
      <c r="H412" s="6">
        <v>0</v>
      </c>
      <c r="I412" s="6" t="s">
        <v>83</v>
      </c>
      <c r="K412" s="6" t="str">
        <f t="shared" si="386"/>
        <v>204001</v>
      </c>
      <c r="L412" s="4">
        <v>18</v>
      </c>
      <c r="M412" s="6" t="s">
        <v>488</v>
      </c>
      <c r="O412" s="13" t="str">
        <f t="shared" si="410"/>
        <v>1.3</v>
      </c>
      <c r="P412" s="13" t="str">
        <f t="shared" ref="P412:P415" si="412">O412</f>
        <v>1.3</v>
      </c>
      <c r="Q412" s="13" t="str">
        <f t="shared" ref="Q412:S412" si="413">Q411</f>
        <v>1.2</v>
      </c>
      <c r="R412" s="13" t="str">
        <f t="shared" si="413"/>
        <v>1.2</v>
      </c>
      <c r="S412" s="13" t="str">
        <f t="shared" si="413"/>
        <v>1.2</v>
      </c>
      <c r="T412" s="6" t="str">
        <f t="shared" si="388"/>
        <v>1|1.3#2|1.3#3|1.2#4|1.2#5|1.2</v>
      </c>
    </row>
    <row r="413" s="6" customFormat="1" ht="16.5" spans="1:20">
      <c r="A413" s="6">
        <v>1010419</v>
      </c>
      <c r="B413" s="6">
        <v>24001</v>
      </c>
      <c r="C413" s="6">
        <v>5</v>
      </c>
      <c r="D413" s="6">
        <v>3</v>
      </c>
      <c r="E413" s="6" t="str">
        <f t="shared" si="389"/>
        <v>204001:22</v>
      </c>
      <c r="F413" s="11" t="s">
        <v>390</v>
      </c>
      <c r="G413" s="6">
        <v>0</v>
      </c>
      <c r="H413" s="6">
        <v>0</v>
      </c>
      <c r="I413" s="6" t="s">
        <v>85</v>
      </c>
      <c r="K413" s="6" t="str">
        <f t="shared" si="386"/>
        <v>204001</v>
      </c>
      <c r="L413" s="4">
        <v>22</v>
      </c>
      <c r="M413" s="6" t="s">
        <v>488</v>
      </c>
      <c r="O413" s="13" t="str">
        <f t="shared" si="410"/>
        <v>1.3</v>
      </c>
      <c r="P413" s="13" t="str">
        <f t="shared" si="412"/>
        <v>1.3</v>
      </c>
      <c r="Q413" s="13" t="str">
        <f t="shared" ref="Q413:Q415" si="414">P413</f>
        <v>1.3</v>
      </c>
      <c r="R413" s="13" t="str">
        <f>R412</f>
        <v>1.2</v>
      </c>
      <c r="S413" s="13" t="str">
        <f>S412</f>
        <v>1.2</v>
      </c>
      <c r="T413" s="6" t="str">
        <f t="shared" si="388"/>
        <v>1|1.3#2|1.3#3|1.3#4|1.2#5|1.2</v>
      </c>
    </row>
    <row r="414" s="6" customFormat="1" ht="16.5" spans="1:20">
      <c r="A414" s="6">
        <v>1010420</v>
      </c>
      <c r="B414" s="6">
        <v>24001</v>
      </c>
      <c r="C414" s="6">
        <v>5</v>
      </c>
      <c r="D414" s="6">
        <v>4</v>
      </c>
      <c r="E414" s="6" t="str">
        <f t="shared" si="389"/>
        <v>204001:22</v>
      </c>
      <c r="F414" s="11" t="s">
        <v>391</v>
      </c>
      <c r="G414" s="6">
        <v>0</v>
      </c>
      <c r="H414" s="6">
        <v>0</v>
      </c>
      <c r="I414" s="6" t="s">
        <v>87</v>
      </c>
      <c r="K414" s="6" t="str">
        <f t="shared" si="386"/>
        <v>204001</v>
      </c>
      <c r="L414" s="4">
        <v>22</v>
      </c>
      <c r="M414" s="6" t="s">
        <v>488</v>
      </c>
      <c r="O414" s="13" t="str">
        <f t="shared" si="410"/>
        <v>1.3</v>
      </c>
      <c r="P414" s="13" t="str">
        <f t="shared" si="412"/>
        <v>1.3</v>
      </c>
      <c r="Q414" s="13" t="str">
        <f t="shared" si="414"/>
        <v>1.3</v>
      </c>
      <c r="R414" s="13" t="str">
        <f>Q414</f>
        <v>1.3</v>
      </c>
      <c r="S414" s="13" t="str">
        <f>S413</f>
        <v>1.2</v>
      </c>
      <c r="T414" s="6" t="str">
        <f t="shared" si="388"/>
        <v>1|1.3#2|1.3#3|1.3#4|1.3#5|1.2</v>
      </c>
    </row>
    <row r="415" s="6" customFormat="1" ht="16.5" spans="1:20">
      <c r="A415" s="6">
        <v>1010421</v>
      </c>
      <c r="B415" s="6">
        <v>24001</v>
      </c>
      <c r="C415" s="6">
        <v>5</v>
      </c>
      <c r="D415" s="6">
        <v>5</v>
      </c>
      <c r="E415" s="6" t="str">
        <f t="shared" si="389"/>
        <v>204001:22</v>
      </c>
      <c r="F415" s="11" t="s">
        <v>392</v>
      </c>
      <c r="G415" s="6">
        <v>0</v>
      </c>
      <c r="H415" s="6">
        <v>0</v>
      </c>
      <c r="I415" s="6" t="s">
        <v>40</v>
      </c>
      <c r="K415" s="6" t="str">
        <f t="shared" si="386"/>
        <v>204001</v>
      </c>
      <c r="L415" s="4">
        <v>22</v>
      </c>
      <c r="M415" s="6" t="s">
        <v>489</v>
      </c>
      <c r="O415" s="13" t="str">
        <f t="shared" si="410"/>
        <v>1.3</v>
      </c>
      <c r="P415" s="13" t="str">
        <f t="shared" si="412"/>
        <v>1.3</v>
      </c>
      <c r="Q415" s="13" t="str">
        <f t="shared" si="414"/>
        <v>1.3</v>
      </c>
      <c r="R415" s="13" t="str">
        <f>Q415</f>
        <v>1.3</v>
      </c>
      <c r="S415" s="13" t="str">
        <f>R415</f>
        <v>1.3</v>
      </c>
      <c r="T415" s="6" t="str">
        <f t="shared" si="388"/>
        <v>1|1.3#2|1.3#3|1.3#4|1.3#5|1.3</v>
      </c>
    </row>
    <row r="416" s="6" customFormat="1" ht="16.5" spans="1:20">
      <c r="A416" s="6">
        <v>1010422</v>
      </c>
      <c r="B416" s="6">
        <v>24001</v>
      </c>
      <c r="C416" s="6">
        <v>5</v>
      </c>
      <c r="D416" s="6">
        <v>6</v>
      </c>
      <c r="E416" s="6" t="str">
        <f t="shared" si="389"/>
        <v>204001:60</v>
      </c>
      <c r="F416" s="11">
        <v>0</v>
      </c>
      <c r="G416" s="6">
        <v>11002</v>
      </c>
      <c r="H416" s="6" t="s">
        <v>407</v>
      </c>
      <c r="I416" s="6">
        <v>0</v>
      </c>
      <c r="K416" s="6" t="str">
        <f t="shared" si="386"/>
        <v>204001</v>
      </c>
      <c r="L416" s="13">
        <v>60</v>
      </c>
      <c r="M416" s="6" t="s">
        <v>483</v>
      </c>
      <c r="O416" s="13" t="str">
        <f t="shared" ref="O416:S416" si="415">O415</f>
        <v>1.3</v>
      </c>
      <c r="P416" s="13" t="str">
        <f t="shared" si="415"/>
        <v>1.3</v>
      </c>
      <c r="Q416" s="13" t="str">
        <f t="shared" si="415"/>
        <v>1.3</v>
      </c>
      <c r="R416" s="13" t="str">
        <f t="shared" si="415"/>
        <v>1.3</v>
      </c>
      <c r="S416" s="13" t="str">
        <f t="shared" si="415"/>
        <v>1.3</v>
      </c>
      <c r="T416" s="6" t="str">
        <f t="shared" si="388"/>
        <v>1|1.3#2|1.3#3|1.3#4|1.3#5|1.3</v>
      </c>
    </row>
    <row r="417" s="6" customFormat="1" ht="16.5" spans="1:20">
      <c r="A417" s="6">
        <v>1010423</v>
      </c>
      <c r="B417" s="6">
        <v>24001</v>
      </c>
      <c r="C417" s="6">
        <v>6</v>
      </c>
      <c r="D417" s="6">
        <v>0</v>
      </c>
      <c r="E417" s="6" t="str">
        <f t="shared" si="389"/>
        <v>204001:24</v>
      </c>
      <c r="F417" s="11" t="s">
        <v>394</v>
      </c>
      <c r="G417" s="6">
        <v>0</v>
      </c>
      <c r="H417" s="6">
        <v>0</v>
      </c>
      <c r="I417" s="6" t="s">
        <v>90</v>
      </c>
      <c r="K417" s="6" t="str">
        <f t="shared" si="386"/>
        <v>204001</v>
      </c>
      <c r="L417" s="4">
        <v>24</v>
      </c>
      <c r="M417" s="6" t="s">
        <v>490</v>
      </c>
      <c r="O417" s="15" t="str">
        <f>O416</f>
        <v>1.3</v>
      </c>
      <c r="P417" s="15" t="str">
        <f t="shared" ref="P417:S417" si="416">O417</f>
        <v>1.3</v>
      </c>
      <c r="Q417" s="15" t="str">
        <f t="shared" si="416"/>
        <v>1.3</v>
      </c>
      <c r="R417" s="15" t="str">
        <f>P417</f>
        <v>1.3</v>
      </c>
      <c r="S417" s="15" t="str">
        <f t="shared" si="416"/>
        <v>1.3</v>
      </c>
      <c r="T417" s="6" t="str">
        <f t="shared" si="388"/>
        <v>1|1.3#2|1.3#3|1.3#4|1.3#5|1.3</v>
      </c>
    </row>
    <row r="418" s="6" customFormat="1" ht="16.5" spans="1:20">
      <c r="A418" s="6">
        <v>1010424</v>
      </c>
      <c r="B418" s="6">
        <v>24001</v>
      </c>
      <c r="C418" s="6">
        <v>6</v>
      </c>
      <c r="D418" s="6">
        <v>1</v>
      </c>
      <c r="E418" s="6" t="str">
        <f t="shared" si="389"/>
        <v>204001:24</v>
      </c>
      <c r="F418" s="11" t="s">
        <v>396</v>
      </c>
      <c r="G418" s="6">
        <v>0</v>
      </c>
      <c r="H418" s="6">
        <v>0</v>
      </c>
      <c r="I418" s="6" t="s">
        <v>92</v>
      </c>
      <c r="K418" s="6" t="str">
        <f t="shared" si="386"/>
        <v>204001</v>
      </c>
      <c r="L418" s="4">
        <v>24</v>
      </c>
      <c r="M418" s="6" t="s">
        <v>490</v>
      </c>
      <c r="O418" s="13" t="str">
        <f t="shared" ref="O418:O422" si="417">RIGHT(F418,LEN(F418)-2)</f>
        <v>1.4</v>
      </c>
      <c r="P418" s="13" t="str">
        <f t="shared" ref="P418:S418" si="418">P417</f>
        <v>1.3</v>
      </c>
      <c r="Q418" s="13" t="str">
        <f t="shared" si="418"/>
        <v>1.3</v>
      </c>
      <c r="R418" s="13" t="str">
        <f t="shared" si="418"/>
        <v>1.3</v>
      </c>
      <c r="S418" s="13" t="str">
        <f t="shared" si="418"/>
        <v>1.3</v>
      </c>
      <c r="T418" s="6" t="str">
        <f t="shared" si="388"/>
        <v>1|1.4#2|1.3#3|1.3#4|1.3#5|1.3</v>
      </c>
    </row>
    <row r="419" s="6" customFormat="1" ht="16.5" spans="1:20">
      <c r="A419" s="6">
        <v>1010425</v>
      </c>
      <c r="B419" s="6">
        <v>24001</v>
      </c>
      <c r="C419" s="6">
        <v>6</v>
      </c>
      <c r="D419" s="6">
        <v>2</v>
      </c>
      <c r="E419" s="6" t="str">
        <f t="shared" si="389"/>
        <v>204001:24</v>
      </c>
      <c r="F419" s="11" t="s">
        <v>397</v>
      </c>
      <c r="G419" s="6">
        <v>0</v>
      </c>
      <c r="H419" s="6">
        <v>0</v>
      </c>
      <c r="I419" s="6" t="s">
        <v>94</v>
      </c>
      <c r="K419" s="6" t="str">
        <f t="shared" si="386"/>
        <v>204001</v>
      </c>
      <c r="L419" s="4">
        <v>24</v>
      </c>
      <c r="M419" s="6" t="s">
        <v>490</v>
      </c>
      <c r="O419" s="13" t="str">
        <f t="shared" si="417"/>
        <v>1.4</v>
      </c>
      <c r="P419" s="13" t="str">
        <f t="shared" ref="P419:P422" si="419">O419</f>
        <v>1.4</v>
      </c>
      <c r="Q419" s="13" t="str">
        <f t="shared" ref="Q419:S419" si="420">Q418</f>
        <v>1.3</v>
      </c>
      <c r="R419" s="13" t="str">
        <f t="shared" si="420"/>
        <v>1.3</v>
      </c>
      <c r="S419" s="13" t="str">
        <f t="shared" si="420"/>
        <v>1.3</v>
      </c>
      <c r="T419" s="6" t="str">
        <f t="shared" si="388"/>
        <v>1|1.4#2|1.4#3|1.3#4|1.3#5|1.3</v>
      </c>
    </row>
    <row r="420" s="6" customFormat="1" ht="16.5" spans="1:20">
      <c r="A420" s="6">
        <v>1010426</v>
      </c>
      <c r="B420" s="6">
        <v>24001</v>
      </c>
      <c r="C420" s="6">
        <v>6</v>
      </c>
      <c r="D420" s="6">
        <v>3</v>
      </c>
      <c r="E420" s="6" t="str">
        <f t="shared" si="389"/>
        <v>204001:24</v>
      </c>
      <c r="F420" s="11" t="s">
        <v>398</v>
      </c>
      <c r="G420" s="6">
        <v>0</v>
      </c>
      <c r="H420" s="6">
        <v>0</v>
      </c>
      <c r="I420" s="6" t="s">
        <v>96</v>
      </c>
      <c r="K420" s="6" t="str">
        <f t="shared" si="386"/>
        <v>204001</v>
      </c>
      <c r="L420" s="4">
        <v>24</v>
      </c>
      <c r="M420" s="6" t="s">
        <v>490</v>
      </c>
      <c r="O420" s="13" t="str">
        <f t="shared" si="417"/>
        <v>1.4</v>
      </c>
      <c r="P420" s="13" t="str">
        <f t="shared" si="419"/>
        <v>1.4</v>
      </c>
      <c r="Q420" s="13" t="str">
        <f t="shared" ref="Q420:Q422" si="421">P420</f>
        <v>1.4</v>
      </c>
      <c r="R420" s="13" t="str">
        <f>R419</f>
        <v>1.3</v>
      </c>
      <c r="S420" s="13" t="str">
        <f t="shared" ref="S420:S427" si="422">S419</f>
        <v>1.3</v>
      </c>
      <c r="T420" s="6" t="str">
        <f t="shared" si="388"/>
        <v>1|1.4#2|1.4#3|1.4#4|1.3#5|1.3</v>
      </c>
    </row>
    <row r="421" s="6" customFormat="1" ht="16.5" spans="1:20">
      <c r="A421" s="6">
        <v>1010427</v>
      </c>
      <c r="B421" s="6">
        <v>24001</v>
      </c>
      <c r="C421" s="6">
        <v>6</v>
      </c>
      <c r="D421" s="6">
        <v>4</v>
      </c>
      <c r="E421" s="6" t="str">
        <f t="shared" si="389"/>
        <v>204001:24</v>
      </c>
      <c r="F421" s="11" t="s">
        <v>399</v>
      </c>
      <c r="G421" s="6">
        <v>0</v>
      </c>
      <c r="H421" s="6">
        <v>0</v>
      </c>
      <c r="I421" s="6" t="s">
        <v>98</v>
      </c>
      <c r="K421" s="6" t="str">
        <f t="shared" si="386"/>
        <v>204001</v>
      </c>
      <c r="L421" s="4">
        <v>24</v>
      </c>
      <c r="M421" s="6" t="s">
        <v>490</v>
      </c>
      <c r="O421" s="13" t="str">
        <f t="shared" si="417"/>
        <v>1.4</v>
      </c>
      <c r="P421" s="13" t="str">
        <f t="shared" si="419"/>
        <v>1.4</v>
      </c>
      <c r="Q421" s="13" t="str">
        <f t="shared" si="421"/>
        <v>1.4</v>
      </c>
      <c r="R421" s="13" t="str">
        <f>Q421</f>
        <v>1.4</v>
      </c>
      <c r="S421" s="13" t="str">
        <f t="shared" si="422"/>
        <v>1.3</v>
      </c>
      <c r="T421" s="6" t="str">
        <f t="shared" si="388"/>
        <v>1|1.4#2|1.4#3|1.4#4|1.4#5|1.3</v>
      </c>
    </row>
    <row r="422" s="6" customFormat="1" ht="16.5" spans="1:20">
      <c r="A422" s="6">
        <v>1010428</v>
      </c>
      <c r="B422" s="6">
        <v>24001</v>
      </c>
      <c r="C422" s="6">
        <v>6</v>
      </c>
      <c r="D422" s="6">
        <v>5</v>
      </c>
      <c r="E422" s="6" t="str">
        <f t="shared" si="389"/>
        <v>204001:60</v>
      </c>
      <c r="F422" s="11" t="s">
        <v>400</v>
      </c>
      <c r="G422" s="6">
        <v>0</v>
      </c>
      <c r="H422" s="6">
        <v>0</v>
      </c>
      <c r="I422" s="6" t="s">
        <v>40</v>
      </c>
      <c r="K422" s="6" t="str">
        <f t="shared" si="386"/>
        <v>204001</v>
      </c>
      <c r="L422" s="4">
        <v>60</v>
      </c>
      <c r="M422" s="6" t="s">
        <v>489</v>
      </c>
      <c r="O422" s="13" t="str">
        <f t="shared" si="417"/>
        <v>1.4</v>
      </c>
      <c r="P422" s="13" t="str">
        <f t="shared" si="419"/>
        <v>1.4</v>
      </c>
      <c r="Q422" s="13" t="str">
        <f t="shared" si="421"/>
        <v>1.4</v>
      </c>
      <c r="R422" s="13" t="str">
        <f>Q422</f>
        <v>1.4</v>
      </c>
      <c r="S422" s="13" t="str">
        <f>R422</f>
        <v>1.4</v>
      </c>
      <c r="T422" s="6" t="str">
        <f t="shared" si="388"/>
        <v>1|1.4#2|1.4#3|1.4#4|1.4#5|1.4</v>
      </c>
    </row>
    <row r="423" s="6" customFormat="1" ht="16.5" spans="1:20">
      <c r="A423" s="6">
        <v>1010429</v>
      </c>
      <c r="B423" s="6">
        <v>24001</v>
      </c>
      <c r="C423" s="6">
        <v>6</v>
      </c>
      <c r="D423" s="6">
        <v>6</v>
      </c>
      <c r="E423" s="6" t="str">
        <f t="shared" si="389"/>
        <v>204001:0</v>
      </c>
      <c r="F423" s="11">
        <v>0</v>
      </c>
      <c r="G423" s="6">
        <v>11002</v>
      </c>
      <c r="H423" s="6" t="s">
        <v>407</v>
      </c>
      <c r="I423" s="6">
        <v>0</v>
      </c>
      <c r="K423" s="6" t="str">
        <f t="shared" si="386"/>
        <v>204001</v>
      </c>
      <c r="L423" s="4">
        <v>0</v>
      </c>
      <c r="M423" s="6" t="s">
        <v>483</v>
      </c>
      <c r="O423" s="13" t="str">
        <f t="shared" ref="O423:S423" si="423">O422</f>
        <v>1.4</v>
      </c>
      <c r="P423" s="13" t="str">
        <f t="shared" si="423"/>
        <v>1.4</v>
      </c>
      <c r="Q423" s="13" t="str">
        <f t="shared" si="423"/>
        <v>1.4</v>
      </c>
      <c r="R423" s="13" t="str">
        <f t="shared" si="423"/>
        <v>1.4</v>
      </c>
      <c r="S423" s="13" t="str">
        <f t="shared" si="423"/>
        <v>1.4</v>
      </c>
      <c r="T423" s="6" t="str">
        <f t="shared" si="388"/>
        <v>1|1.4#2|1.4#3|1.4#4|1.4#5|1.4</v>
      </c>
    </row>
    <row r="424" s="6" customFormat="1" ht="16.5" spans="1:20">
      <c r="A424" s="6">
        <v>1010430</v>
      </c>
      <c r="B424" s="6">
        <v>25001</v>
      </c>
      <c r="C424" s="6">
        <v>1</v>
      </c>
      <c r="D424" s="6">
        <v>0</v>
      </c>
      <c r="E424" s="6" t="str">
        <f t="shared" si="389"/>
        <v>205001:2</v>
      </c>
      <c r="F424" s="11" t="s">
        <v>356</v>
      </c>
      <c r="G424" s="6">
        <v>0</v>
      </c>
      <c r="H424" s="6">
        <v>0</v>
      </c>
      <c r="I424" s="6" t="s">
        <v>25</v>
      </c>
      <c r="K424" s="6" t="str">
        <f t="shared" si="386"/>
        <v>205001</v>
      </c>
      <c r="L424" s="4">
        <v>2</v>
      </c>
      <c r="M424" s="6" t="s">
        <v>491</v>
      </c>
      <c r="O424" s="13">
        <v>1</v>
      </c>
      <c r="P424" s="13">
        <f t="shared" ref="P424:S424" si="424">O424</f>
        <v>1</v>
      </c>
      <c r="Q424" s="13">
        <f t="shared" si="424"/>
        <v>1</v>
      </c>
      <c r="R424" s="13">
        <f>P424</f>
        <v>1</v>
      </c>
      <c r="S424" s="13">
        <f t="shared" si="424"/>
        <v>1</v>
      </c>
      <c r="T424" s="6" t="str">
        <f t="shared" si="388"/>
        <v>1|1#2|1#3|1#4|1#5|1</v>
      </c>
    </row>
    <row r="425" s="6" customFormat="1" ht="16.5" spans="1:20">
      <c r="A425" s="6">
        <v>1010431</v>
      </c>
      <c r="B425" s="6">
        <v>25001</v>
      </c>
      <c r="C425" s="6">
        <v>1</v>
      </c>
      <c r="D425" s="6">
        <v>1</v>
      </c>
      <c r="E425" s="6" t="str">
        <f t="shared" si="389"/>
        <v>205001:2</v>
      </c>
      <c r="F425" s="11" t="s">
        <v>358</v>
      </c>
      <c r="G425" s="6">
        <v>0</v>
      </c>
      <c r="H425" s="6">
        <v>0</v>
      </c>
      <c r="I425" s="6" t="s">
        <v>28</v>
      </c>
      <c r="K425" s="6" t="str">
        <f t="shared" si="386"/>
        <v>205001</v>
      </c>
      <c r="L425" s="4">
        <v>2</v>
      </c>
      <c r="M425" s="6" t="s">
        <v>491</v>
      </c>
      <c r="O425" s="13" t="str">
        <f t="shared" ref="O425:O429" si="425">RIGHT(F425,LEN(F425)-2)</f>
        <v>1.05</v>
      </c>
      <c r="P425" s="13">
        <v>1</v>
      </c>
      <c r="Q425" s="13">
        <f>Q424</f>
        <v>1</v>
      </c>
      <c r="R425" s="13">
        <f>R424</f>
        <v>1</v>
      </c>
      <c r="S425" s="13">
        <f t="shared" si="422"/>
        <v>1</v>
      </c>
      <c r="T425" s="6" t="str">
        <f t="shared" si="388"/>
        <v>1|1.05#2|1#3|1#4|1#5|1</v>
      </c>
    </row>
    <row r="426" s="6" customFormat="1" ht="16.5" spans="1:20">
      <c r="A426" s="6">
        <v>1010432</v>
      </c>
      <c r="B426" s="6">
        <v>25001</v>
      </c>
      <c r="C426" s="6">
        <v>1</v>
      </c>
      <c r="D426" s="6">
        <v>2</v>
      </c>
      <c r="E426" s="6" t="str">
        <f t="shared" si="389"/>
        <v>205001:2</v>
      </c>
      <c r="F426" s="11" t="s">
        <v>359</v>
      </c>
      <c r="G426" s="6">
        <v>0</v>
      </c>
      <c r="H426" s="6">
        <v>0</v>
      </c>
      <c r="I426" s="6" t="s">
        <v>31</v>
      </c>
      <c r="K426" s="6" t="str">
        <f t="shared" si="386"/>
        <v>205001</v>
      </c>
      <c r="L426" s="4">
        <v>2</v>
      </c>
      <c r="M426" s="6" t="s">
        <v>491</v>
      </c>
      <c r="O426" s="13" t="str">
        <f t="shared" si="425"/>
        <v>1.05</v>
      </c>
      <c r="P426" s="13" t="str">
        <f t="shared" ref="P426:P429" si="426">O426</f>
        <v>1.05</v>
      </c>
      <c r="Q426" s="13">
        <v>1</v>
      </c>
      <c r="R426" s="13">
        <f>R425</f>
        <v>1</v>
      </c>
      <c r="S426" s="13">
        <f t="shared" si="422"/>
        <v>1</v>
      </c>
      <c r="T426" s="6" t="str">
        <f t="shared" si="388"/>
        <v>1|1.05#2|1.05#3|1#4|1#5|1</v>
      </c>
    </row>
    <row r="427" s="6" customFormat="1" ht="16.5" spans="1:20">
      <c r="A427" s="6">
        <v>1010433</v>
      </c>
      <c r="B427" s="6">
        <v>25001</v>
      </c>
      <c r="C427" s="6">
        <v>1</v>
      </c>
      <c r="D427" s="6">
        <v>3</v>
      </c>
      <c r="E427" s="6" t="str">
        <f t="shared" si="389"/>
        <v>205001:3</v>
      </c>
      <c r="F427" s="11" t="s">
        <v>360</v>
      </c>
      <c r="G427" s="6">
        <v>0</v>
      </c>
      <c r="H427" s="6">
        <v>0</v>
      </c>
      <c r="I427" s="6" t="s">
        <v>34</v>
      </c>
      <c r="K427" s="6" t="str">
        <f t="shared" si="386"/>
        <v>205001</v>
      </c>
      <c r="L427" s="4">
        <v>3</v>
      </c>
      <c r="M427" s="6" t="s">
        <v>491</v>
      </c>
      <c r="O427" s="13" t="str">
        <f t="shared" si="425"/>
        <v>1.05</v>
      </c>
      <c r="P427" s="13" t="str">
        <f t="shared" si="426"/>
        <v>1.05</v>
      </c>
      <c r="Q427" s="13" t="str">
        <f t="shared" ref="Q427:Q429" si="427">P427</f>
        <v>1.05</v>
      </c>
      <c r="R427" s="13">
        <v>1</v>
      </c>
      <c r="S427" s="13">
        <f t="shared" si="422"/>
        <v>1</v>
      </c>
      <c r="T427" s="6" t="str">
        <f t="shared" si="388"/>
        <v>1|1.05#2|1.05#3|1.05#4|1#5|1</v>
      </c>
    </row>
    <row r="428" s="6" customFormat="1" ht="16.5" spans="1:20">
      <c r="A428" s="6">
        <v>1010434</v>
      </c>
      <c r="B428" s="6">
        <v>25001</v>
      </c>
      <c r="C428" s="6">
        <v>1</v>
      </c>
      <c r="D428" s="6">
        <v>4</v>
      </c>
      <c r="E428" s="6" t="str">
        <f t="shared" si="389"/>
        <v>205001:3</v>
      </c>
      <c r="F428" s="11" t="s">
        <v>361</v>
      </c>
      <c r="G428" s="6">
        <v>0</v>
      </c>
      <c r="H428" s="6">
        <v>0</v>
      </c>
      <c r="I428" s="6" t="s">
        <v>37</v>
      </c>
      <c r="K428" s="6" t="str">
        <f t="shared" si="386"/>
        <v>205001</v>
      </c>
      <c r="L428" s="4">
        <v>3</v>
      </c>
      <c r="M428" s="6" t="s">
        <v>491</v>
      </c>
      <c r="O428" s="13" t="str">
        <f t="shared" si="425"/>
        <v>1.05</v>
      </c>
      <c r="P428" s="13" t="str">
        <f t="shared" si="426"/>
        <v>1.05</v>
      </c>
      <c r="Q428" s="13" t="str">
        <f t="shared" si="427"/>
        <v>1.05</v>
      </c>
      <c r="R428" s="13" t="str">
        <f>Q428</f>
        <v>1.05</v>
      </c>
      <c r="S428" s="13">
        <v>1</v>
      </c>
      <c r="T428" s="6" t="str">
        <f t="shared" si="388"/>
        <v>1|1.05#2|1.05#3|1.05#4|1.05#5|1</v>
      </c>
    </row>
    <row r="429" s="6" customFormat="1" ht="16.5" spans="1:20">
      <c r="A429" s="6">
        <v>1010435</v>
      </c>
      <c r="B429" s="6">
        <v>25001</v>
      </c>
      <c r="C429" s="6">
        <v>1</v>
      </c>
      <c r="D429" s="6">
        <v>5</v>
      </c>
      <c r="E429" s="6" t="str">
        <f t="shared" si="389"/>
        <v>205001:3</v>
      </c>
      <c r="F429" s="11" t="s">
        <v>362</v>
      </c>
      <c r="G429" s="6">
        <v>0</v>
      </c>
      <c r="H429" s="6">
        <v>0</v>
      </c>
      <c r="I429" s="6" t="s">
        <v>40</v>
      </c>
      <c r="K429" s="6" t="str">
        <f t="shared" si="386"/>
        <v>205001</v>
      </c>
      <c r="L429" s="4">
        <v>3</v>
      </c>
      <c r="M429" s="6" t="s">
        <v>492</v>
      </c>
      <c r="O429" s="13" t="str">
        <f t="shared" si="425"/>
        <v>1.05</v>
      </c>
      <c r="P429" s="13" t="str">
        <f t="shared" si="426"/>
        <v>1.05</v>
      </c>
      <c r="Q429" s="13" t="str">
        <f t="shared" si="427"/>
        <v>1.05</v>
      </c>
      <c r="R429" s="13" t="str">
        <f>Q429</f>
        <v>1.05</v>
      </c>
      <c r="S429" s="13" t="str">
        <f>R429</f>
        <v>1.05</v>
      </c>
      <c r="T429" s="6" t="str">
        <f t="shared" si="388"/>
        <v>1|1.05#2|1.05#3|1.05#4|1.05#5|1.05</v>
      </c>
    </row>
    <row r="430" s="6" customFormat="1" ht="16.5" spans="1:20">
      <c r="A430" s="6">
        <v>1010436</v>
      </c>
      <c r="B430" s="6">
        <v>25001</v>
      </c>
      <c r="C430" s="6">
        <v>1</v>
      </c>
      <c r="D430" s="6">
        <v>6</v>
      </c>
      <c r="E430" s="6" t="str">
        <f t="shared" si="389"/>
        <v>205001:5</v>
      </c>
      <c r="F430" s="11">
        <v>0</v>
      </c>
      <c r="G430" s="6">
        <v>11002</v>
      </c>
      <c r="H430" s="6" t="s">
        <v>407</v>
      </c>
      <c r="I430" s="6">
        <v>0</v>
      </c>
      <c r="K430" s="6" t="str">
        <f t="shared" si="386"/>
        <v>205001</v>
      </c>
      <c r="L430" s="13">
        <v>5</v>
      </c>
      <c r="M430" s="6" t="s">
        <v>493</v>
      </c>
      <c r="O430" s="13" t="str">
        <f t="shared" ref="O430:S430" si="428">O429</f>
        <v>1.05</v>
      </c>
      <c r="P430" s="13" t="str">
        <f t="shared" si="428"/>
        <v>1.05</v>
      </c>
      <c r="Q430" s="13" t="str">
        <f t="shared" si="428"/>
        <v>1.05</v>
      </c>
      <c r="R430" s="13" t="str">
        <f t="shared" si="428"/>
        <v>1.05</v>
      </c>
      <c r="S430" s="13" t="str">
        <f t="shared" si="428"/>
        <v>1.05</v>
      </c>
      <c r="T430" s="6" t="str">
        <f t="shared" si="388"/>
        <v>1|1.05#2|1.05#3|1.05#4|1.05#5|1.05</v>
      </c>
    </row>
    <row r="431" s="6" customFormat="1" ht="16.5" spans="1:20">
      <c r="A431" s="6">
        <v>1010437</v>
      </c>
      <c r="B431" s="6">
        <v>25001</v>
      </c>
      <c r="C431" s="6">
        <v>2</v>
      </c>
      <c r="D431" s="6">
        <v>0</v>
      </c>
      <c r="E431" s="6" t="str">
        <f t="shared" si="389"/>
        <v>205001:5</v>
      </c>
      <c r="F431" s="11" t="s">
        <v>364</v>
      </c>
      <c r="G431" s="6">
        <v>0</v>
      </c>
      <c r="H431" s="6">
        <v>0</v>
      </c>
      <c r="I431" s="6" t="s">
        <v>43</v>
      </c>
      <c r="K431" s="6" t="str">
        <f t="shared" si="386"/>
        <v>205001</v>
      </c>
      <c r="L431" s="4">
        <v>5</v>
      </c>
      <c r="M431" s="6" t="s">
        <v>494</v>
      </c>
      <c r="O431" s="15" t="str">
        <f>O430</f>
        <v>1.05</v>
      </c>
      <c r="P431" s="15" t="str">
        <f t="shared" ref="P431:S431" si="429">O431</f>
        <v>1.05</v>
      </c>
      <c r="Q431" s="15" t="str">
        <f t="shared" si="429"/>
        <v>1.05</v>
      </c>
      <c r="R431" s="15" t="str">
        <f>P431</f>
        <v>1.05</v>
      </c>
      <c r="S431" s="15" t="str">
        <f t="shared" si="429"/>
        <v>1.05</v>
      </c>
      <c r="T431" s="6" t="str">
        <f t="shared" si="388"/>
        <v>1|1.05#2|1.05#3|1.05#4|1.05#5|1.05</v>
      </c>
    </row>
    <row r="432" s="6" customFormat="1" ht="16.5" spans="1:20">
      <c r="A432" s="6">
        <v>1010438</v>
      </c>
      <c r="B432" s="6">
        <v>25001</v>
      </c>
      <c r="C432" s="6">
        <v>2</v>
      </c>
      <c r="D432" s="6">
        <v>1</v>
      </c>
      <c r="E432" s="6" t="str">
        <f t="shared" si="389"/>
        <v>205001:5</v>
      </c>
      <c r="F432" s="11" t="s">
        <v>366</v>
      </c>
      <c r="G432" s="6">
        <v>0</v>
      </c>
      <c r="H432" s="6">
        <v>0</v>
      </c>
      <c r="I432" s="6" t="s">
        <v>45</v>
      </c>
      <c r="K432" s="6" t="str">
        <f t="shared" si="386"/>
        <v>205001</v>
      </c>
      <c r="L432" s="4">
        <v>5</v>
      </c>
      <c r="M432" s="6" t="s">
        <v>494</v>
      </c>
      <c r="O432" s="13" t="str">
        <f t="shared" ref="O432:O436" si="430">RIGHT(F432,LEN(F432)-2)</f>
        <v>1.1</v>
      </c>
      <c r="P432" s="13">
        <v>1.05</v>
      </c>
      <c r="Q432" s="13" t="str">
        <f t="shared" ref="Q432:S432" si="431">Q431</f>
        <v>1.05</v>
      </c>
      <c r="R432" s="13" t="str">
        <f t="shared" si="431"/>
        <v>1.05</v>
      </c>
      <c r="S432" s="13" t="str">
        <f t="shared" si="431"/>
        <v>1.05</v>
      </c>
      <c r="T432" s="6" t="str">
        <f t="shared" si="388"/>
        <v>1|1.1#2|1.05#3|1.05#4|1.05#5|1.05</v>
      </c>
    </row>
    <row r="433" s="6" customFormat="1" ht="16.5" spans="1:20">
      <c r="A433" s="6">
        <v>1010439</v>
      </c>
      <c r="B433" s="6">
        <v>25001</v>
      </c>
      <c r="C433" s="6">
        <v>2</v>
      </c>
      <c r="D433" s="6">
        <v>2</v>
      </c>
      <c r="E433" s="6" t="str">
        <f t="shared" si="389"/>
        <v>205001:5</v>
      </c>
      <c r="F433" s="11" t="s">
        <v>367</v>
      </c>
      <c r="G433" s="6">
        <v>0</v>
      </c>
      <c r="H433" s="6">
        <v>0</v>
      </c>
      <c r="I433" s="6" t="s">
        <v>47</v>
      </c>
      <c r="K433" s="6" t="str">
        <f t="shared" si="386"/>
        <v>205001</v>
      </c>
      <c r="L433" s="4">
        <v>5</v>
      </c>
      <c r="M433" s="6" t="s">
        <v>494</v>
      </c>
      <c r="O433" s="13" t="str">
        <f t="shared" si="430"/>
        <v>1.1</v>
      </c>
      <c r="P433" s="13" t="str">
        <f t="shared" ref="P433:P436" si="432">O433</f>
        <v>1.1</v>
      </c>
      <c r="Q433" s="13">
        <v>1.05</v>
      </c>
      <c r="R433" s="13" t="str">
        <f>R432</f>
        <v>1.05</v>
      </c>
      <c r="S433" s="13" t="str">
        <f>S432</f>
        <v>1.05</v>
      </c>
      <c r="T433" s="6" t="str">
        <f t="shared" si="388"/>
        <v>1|1.1#2|1.1#3|1.05#4|1.05#5|1.05</v>
      </c>
    </row>
    <row r="434" s="6" customFormat="1" ht="16.5" spans="1:20">
      <c r="A434" s="6">
        <v>1010440</v>
      </c>
      <c r="B434" s="6">
        <v>25001</v>
      </c>
      <c r="C434" s="6">
        <v>2</v>
      </c>
      <c r="D434" s="6">
        <v>3</v>
      </c>
      <c r="E434" s="6" t="str">
        <f t="shared" si="389"/>
        <v>205001:6</v>
      </c>
      <c r="F434" s="11" t="s">
        <v>368</v>
      </c>
      <c r="G434" s="6">
        <v>0</v>
      </c>
      <c r="H434" s="6">
        <v>0</v>
      </c>
      <c r="I434" s="6" t="s">
        <v>49</v>
      </c>
      <c r="K434" s="6" t="str">
        <f t="shared" si="386"/>
        <v>205001</v>
      </c>
      <c r="L434" s="4">
        <v>6</v>
      </c>
      <c r="M434" s="6" t="s">
        <v>494</v>
      </c>
      <c r="O434" s="13" t="str">
        <f t="shared" si="430"/>
        <v>1.1</v>
      </c>
      <c r="P434" s="13" t="str">
        <f t="shared" si="432"/>
        <v>1.1</v>
      </c>
      <c r="Q434" s="13" t="str">
        <f t="shared" ref="Q434:Q436" si="433">P434</f>
        <v>1.1</v>
      </c>
      <c r="R434" s="13">
        <v>1.05</v>
      </c>
      <c r="S434" s="13" t="str">
        <f>S433</f>
        <v>1.05</v>
      </c>
      <c r="T434" s="6" t="str">
        <f t="shared" si="388"/>
        <v>1|1.1#2|1.1#3|1.1#4|1.05#5|1.05</v>
      </c>
    </row>
    <row r="435" s="6" customFormat="1" ht="16.5" spans="1:20">
      <c r="A435" s="6">
        <v>1010441</v>
      </c>
      <c r="B435" s="6">
        <v>25001</v>
      </c>
      <c r="C435" s="6">
        <v>2</v>
      </c>
      <c r="D435" s="6">
        <v>4</v>
      </c>
      <c r="E435" s="6" t="str">
        <f t="shared" si="389"/>
        <v>205001:6</v>
      </c>
      <c r="F435" s="11" t="s">
        <v>369</v>
      </c>
      <c r="G435" s="6">
        <v>0</v>
      </c>
      <c r="H435" s="6">
        <v>0</v>
      </c>
      <c r="I435" s="6" t="s">
        <v>51</v>
      </c>
      <c r="K435" s="6" t="str">
        <f t="shared" si="386"/>
        <v>205001</v>
      </c>
      <c r="L435" s="4">
        <v>6</v>
      </c>
      <c r="M435" s="6" t="s">
        <v>494</v>
      </c>
      <c r="O435" s="13" t="str">
        <f t="shared" si="430"/>
        <v>1.1</v>
      </c>
      <c r="P435" s="13" t="str">
        <f t="shared" si="432"/>
        <v>1.1</v>
      </c>
      <c r="Q435" s="13" t="str">
        <f t="shared" si="433"/>
        <v>1.1</v>
      </c>
      <c r="R435" s="13" t="str">
        <f>Q435</f>
        <v>1.1</v>
      </c>
      <c r="S435" s="13">
        <v>1.05</v>
      </c>
      <c r="T435" s="6" t="str">
        <f t="shared" si="388"/>
        <v>1|1.1#2|1.1#3|1.1#4|1.1#5|1.05</v>
      </c>
    </row>
    <row r="436" s="6" customFormat="1" ht="16.5" spans="1:20">
      <c r="A436" s="6">
        <v>1010442</v>
      </c>
      <c r="B436" s="6">
        <v>25001</v>
      </c>
      <c r="C436" s="6">
        <v>2</v>
      </c>
      <c r="D436" s="6">
        <v>5</v>
      </c>
      <c r="E436" s="6" t="str">
        <f t="shared" si="389"/>
        <v>205001:6</v>
      </c>
      <c r="F436" s="11" t="s">
        <v>370</v>
      </c>
      <c r="G436" s="6">
        <v>0</v>
      </c>
      <c r="H436" s="6">
        <v>0</v>
      </c>
      <c r="I436" s="6" t="s">
        <v>40</v>
      </c>
      <c r="K436" s="6" t="str">
        <f t="shared" si="386"/>
        <v>205001</v>
      </c>
      <c r="L436" s="4">
        <v>6</v>
      </c>
      <c r="M436" s="6" t="s">
        <v>199</v>
      </c>
      <c r="O436" s="13" t="str">
        <f t="shared" si="430"/>
        <v>1.1</v>
      </c>
      <c r="P436" s="13" t="str">
        <f t="shared" si="432"/>
        <v>1.1</v>
      </c>
      <c r="Q436" s="13" t="str">
        <f t="shared" si="433"/>
        <v>1.1</v>
      </c>
      <c r="R436" s="13" t="str">
        <f>Q436</f>
        <v>1.1</v>
      </c>
      <c r="S436" s="13" t="str">
        <f>R436</f>
        <v>1.1</v>
      </c>
      <c r="T436" s="6" t="str">
        <f t="shared" si="388"/>
        <v>1|1.1#2|1.1#3|1.1#4|1.1#5|1.1</v>
      </c>
    </row>
    <row r="437" s="6" customFormat="1" ht="16.5" spans="1:20">
      <c r="A437" s="6">
        <v>1010443</v>
      </c>
      <c r="B437" s="6">
        <v>25001</v>
      </c>
      <c r="C437" s="6">
        <v>2</v>
      </c>
      <c r="D437" s="6">
        <v>6</v>
      </c>
      <c r="E437" s="6" t="str">
        <f t="shared" si="389"/>
        <v>205001:7</v>
      </c>
      <c r="F437" s="11">
        <v>0</v>
      </c>
      <c r="G437" s="6">
        <v>11002</v>
      </c>
      <c r="H437" s="6" t="s">
        <v>407</v>
      </c>
      <c r="I437" s="6">
        <v>0</v>
      </c>
      <c r="K437" s="6" t="str">
        <f t="shared" si="386"/>
        <v>205001</v>
      </c>
      <c r="L437" s="13">
        <v>7</v>
      </c>
      <c r="M437" s="6" t="s">
        <v>493</v>
      </c>
      <c r="O437" s="13" t="str">
        <f t="shared" ref="O437:S437" si="434">O436</f>
        <v>1.1</v>
      </c>
      <c r="P437" s="13" t="str">
        <f t="shared" si="434"/>
        <v>1.1</v>
      </c>
      <c r="Q437" s="13" t="str">
        <f t="shared" si="434"/>
        <v>1.1</v>
      </c>
      <c r="R437" s="13" t="str">
        <f t="shared" si="434"/>
        <v>1.1</v>
      </c>
      <c r="S437" s="13" t="str">
        <f t="shared" si="434"/>
        <v>1.1</v>
      </c>
      <c r="T437" s="6" t="str">
        <f t="shared" si="388"/>
        <v>1|1.1#2|1.1#3|1.1#4|1.1#5|1.1</v>
      </c>
    </row>
    <row r="438" s="6" customFormat="1" ht="16.5" spans="1:20">
      <c r="A438" s="6">
        <v>1010444</v>
      </c>
      <c r="B438" s="6">
        <v>25001</v>
      </c>
      <c r="C438" s="6">
        <v>3</v>
      </c>
      <c r="D438" s="6">
        <v>0</v>
      </c>
      <c r="E438" s="6" t="str">
        <f t="shared" si="389"/>
        <v>205001:9</v>
      </c>
      <c r="F438" s="11" t="s">
        <v>371</v>
      </c>
      <c r="G438" s="6">
        <v>0</v>
      </c>
      <c r="H438" s="6">
        <v>0</v>
      </c>
      <c r="I438" s="6" t="s">
        <v>55</v>
      </c>
      <c r="K438" s="6" t="str">
        <f t="shared" si="386"/>
        <v>205001</v>
      </c>
      <c r="L438" s="4">
        <v>9</v>
      </c>
      <c r="M438" s="6" t="s">
        <v>495</v>
      </c>
      <c r="O438" s="15" t="str">
        <f>O437</f>
        <v>1.1</v>
      </c>
      <c r="P438" s="15" t="str">
        <f t="shared" ref="P438:S438" si="435">O438</f>
        <v>1.1</v>
      </c>
      <c r="Q438" s="15" t="str">
        <f t="shared" si="435"/>
        <v>1.1</v>
      </c>
      <c r="R438" s="15" t="str">
        <f>P438</f>
        <v>1.1</v>
      </c>
      <c r="S438" s="15" t="str">
        <f t="shared" si="435"/>
        <v>1.1</v>
      </c>
      <c r="T438" s="6" t="str">
        <f t="shared" si="388"/>
        <v>1|1.1#2|1.1#3|1.1#4|1.1#5|1.1</v>
      </c>
    </row>
    <row r="439" s="6" customFormat="1" ht="16.5" spans="1:20">
      <c r="A439" s="6">
        <v>1010445</v>
      </c>
      <c r="B439" s="6">
        <v>25001</v>
      </c>
      <c r="C439" s="6">
        <v>3</v>
      </c>
      <c r="D439" s="6">
        <v>1</v>
      </c>
      <c r="E439" s="6" t="str">
        <f t="shared" si="389"/>
        <v>205001:9</v>
      </c>
      <c r="F439" s="11" t="s">
        <v>373</v>
      </c>
      <c r="G439" s="6">
        <v>0</v>
      </c>
      <c r="H439" s="6">
        <v>0</v>
      </c>
      <c r="I439" s="6" t="s">
        <v>57</v>
      </c>
      <c r="K439" s="6" t="str">
        <f t="shared" si="386"/>
        <v>205001</v>
      </c>
      <c r="L439" s="4">
        <v>9</v>
      </c>
      <c r="M439" s="6" t="s">
        <v>495</v>
      </c>
      <c r="O439" s="13" t="str">
        <f t="shared" ref="O439:O443" si="436">RIGHT(F439,LEN(F439)-2)</f>
        <v>1.15</v>
      </c>
      <c r="P439" s="13" t="str">
        <f t="shared" ref="P439:S439" si="437">P438</f>
        <v>1.1</v>
      </c>
      <c r="Q439" s="13" t="str">
        <f t="shared" si="437"/>
        <v>1.1</v>
      </c>
      <c r="R439" s="13" t="str">
        <f t="shared" si="437"/>
        <v>1.1</v>
      </c>
      <c r="S439" s="13" t="str">
        <f t="shared" si="437"/>
        <v>1.1</v>
      </c>
      <c r="T439" s="6" t="str">
        <f t="shared" si="388"/>
        <v>1|1.15#2|1.1#3|1.1#4|1.1#5|1.1</v>
      </c>
    </row>
    <row r="440" s="6" customFormat="1" ht="16.5" spans="1:20">
      <c r="A440" s="6">
        <v>1010446</v>
      </c>
      <c r="B440" s="6">
        <v>25001</v>
      </c>
      <c r="C440" s="6">
        <v>3</v>
      </c>
      <c r="D440" s="6">
        <v>2</v>
      </c>
      <c r="E440" s="6" t="str">
        <f t="shared" si="389"/>
        <v>205001:9</v>
      </c>
      <c r="F440" s="11" t="s">
        <v>374</v>
      </c>
      <c r="G440" s="6">
        <v>0</v>
      </c>
      <c r="H440" s="6">
        <v>0</v>
      </c>
      <c r="I440" s="6" t="s">
        <v>59</v>
      </c>
      <c r="K440" s="6" t="str">
        <f t="shared" si="386"/>
        <v>205001</v>
      </c>
      <c r="L440" s="4">
        <v>9</v>
      </c>
      <c r="M440" s="6" t="s">
        <v>495</v>
      </c>
      <c r="O440" s="13" t="str">
        <f t="shared" si="436"/>
        <v>1.15</v>
      </c>
      <c r="P440" s="13" t="str">
        <f t="shared" ref="P440:P443" si="438">O440</f>
        <v>1.15</v>
      </c>
      <c r="Q440" s="13" t="str">
        <f t="shared" ref="Q440:S440" si="439">Q439</f>
        <v>1.1</v>
      </c>
      <c r="R440" s="13" t="str">
        <f t="shared" si="439"/>
        <v>1.1</v>
      </c>
      <c r="S440" s="13" t="str">
        <f t="shared" si="439"/>
        <v>1.1</v>
      </c>
      <c r="T440" s="6" t="str">
        <f t="shared" si="388"/>
        <v>1|1.15#2|1.15#3|1.1#4|1.1#5|1.1</v>
      </c>
    </row>
    <row r="441" s="6" customFormat="1" ht="16.5" spans="1:20">
      <c r="A441" s="6">
        <v>1010447</v>
      </c>
      <c r="B441" s="6">
        <v>25001</v>
      </c>
      <c r="C441" s="6">
        <v>3</v>
      </c>
      <c r="D441" s="6">
        <v>3</v>
      </c>
      <c r="E441" s="6" t="str">
        <f t="shared" si="389"/>
        <v>205001:11</v>
      </c>
      <c r="F441" s="11" t="s">
        <v>375</v>
      </c>
      <c r="G441" s="6">
        <v>0</v>
      </c>
      <c r="H441" s="6">
        <v>0</v>
      </c>
      <c r="I441" s="6" t="s">
        <v>61</v>
      </c>
      <c r="K441" s="6" t="str">
        <f t="shared" si="386"/>
        <v>205001</v>
      </c>
      <c r="L441" s="4">
        <v>11</v>
      </c>
      <c r="M441" s="6" t="s">
        <v>495</v>
      </c>
      <c r="O441" s="13" t="str">
        <f t="shared" si="436"/>
        <v>1.15</v>
      </c>
      <c r="P441" s="13" t="str">
        <f t="shared" si="438"/>
        <v>1.15</v>
      </c>
      <c r="Q441" s="13" t="str">
        <f t="shared" ref="Q441:Q443" si="440">P441</f>
        <v>1.15</v>
      </c>
      <c r="R441" s="13" t="str">
        <f>R440</f>
        <v>1.1</v>
      </c>
      <c r="S441" s="13" t="str">
        <f>S440</f>
        <v>1.1</v>
      </c>
      <c r="T441" s="6" t="str">
        <f t="shared" si="388"/>
        <v>1|1.15#2|1.15#3|1.15#4|1.1#5|1.1</v>
      </c>
    </row>
    <row r="442" s="6" customFormat="1" ht="16.5" spans="1:20">
      <c r="A442" s="6">
        <v>1010448</v>
      </c>
      <c r="B442" s="6">
        <v>25001</v>
      </c>
      <c r="C442" s="6">
        <v>3</v>
      </c>
      <c r="D442" s="6">
        <v>4</v>
      </c>
      <c r="E442" s="6" t="str">
        <f t="shared" si="389"/>
        <v>205001:11</v>
      </c>
      <c r="F442" s="11" t="s">
        <v>376</v>
      </c>
      <c r="G442" s="6">
        <v>0</v>
      </c>
      <c r="H442" s="6">
        <v>0</v>
      </c>
      <c r="I442" s="6" t="s">
        <v>63</v>
      </c>
      <c r="K442" s="6" t="str">
        <f t="shared" si="386"/>
        <v>205001</v>
      </c>
      <c r="L442" s="4">
        <v>11</v>
      </c>
      <c r="M442" s="6" t="s">
        <v>495</v>
      </c>
      <c r="O442" s="13" t="str">
        <f t="shared" si="436"/>
        <v>1.15</v>
      </c>
      <c r="P442" s="13" t="str">
        <f t="shared" si="438"/>
        <v>1.15</v>
      </c>
      <c r="Q442" s="13" t="str">
        <f t="shared" si="440"/>
        <v>1.15</v>
      </c>
      <c r="R442" s="13" t="str">
        <f>Q442</f>
        <v>1.15</v>
      </c>
      <c r="S442" s="13" t="str">
        <f>S441</f>
        <v>1.1</v>
      </c>
      <c r="T442" s="6" t="str">
        <f t="shared" si="388"/>
        <v>1|1.15#2|1.15#3|1.15#4|1.15#5|1.1</v>
      </c>
    </row>
    <row r="443" s="6" customFormat="1" ht="16.5" spans="1:20">
      <c r="A443" s="6">
        <v>1010449</v>
      </c>
      <c r="B443" s="6">
        <v>25001</v>
      </c>
      <c r="C443" s="6">
        <v>3</v>
      </c>
      <c r="D443" s="6">
        <v>5</v>
      </c>
      <c r="E443" s="6" t="str">
        <f t="shared" si="389"/>
        <v>205001:11</v>
      </c>
      <c r="F443" s="11" t="s">
        <v>377</v>
      </c>
      <c r="G443" s="6">
        <v>0</v>
      </c>
      <c r="H443" s="6">
        <v>0</v>
      </c>
      <c r="I443" s="6" t="s">
        <v>40</v>
      </c>
      <c r="K443" s="6" t="str">
        <f t="shared" si="386"/>
        <v>205001</v>
      </c>
      <c r="L443" s="4">
        <v>11</v>
      </c>
      <c r="M443" s="6" t="s">
        <v>496</v>
      </c>
      <c r="O443" s="13" t="str">
        <f t="shared" si="436"/>
        <v>1.15</v>
      </c>
      <c r="P443" s="13" t="str">
        <f t="shared" si="438"/>
        <v>1.15</v>
      </c>
      <c r="Q443" s="13" t="str">
        <f t="shared" si="440"/>
        <v>1.15</v>
      </c>
      <c r="R443" s="13" t="str">
        <f>Q443</f>
        <v>1.15</v>
      </c>
      <c r="S443" s="13" t="str">
        <f>R443</f>
        <v>1.15</v>
      </c>
      <c r="T443" s="6" t="str">
        <f t="shared" si="388"/>
        <v>1|1.15#2|1.15#3|1.15#4|1.15#5|1.15</v>
      </c>
    </row>
    <row r="444" s="6" customFormat="1" ht="16.5" spans="1:20">
      <c r="A444" s="6">
        <v>1010450</v>
      </c>
      <c r="B444" s="6">
        <v>25001</v>
      </c>
      <c r="C444" s="6">
        <v>3</v>
      </c>
      <c r="D444" s="6">
        <v>6</v>
      </c>
      <c r="E444" s="6" t="str">
        <f t="shared" si="389"/>
        <v>205001:30</v>
      </c>
      <c r="F444" s="11">
        <v>0</v>
      </c>
      <c r="G444" s="6">
        <v>11002</v>
      </c>
      <c r="H444" s="6" t="s">
        <v>407</v>
      </c>
      <c r="I444" s="6">
        <v>0</v>
      </c>
      <c r="K444" s="6" t="str">
        <f t="shared" si="386"/>
        <v>205001</v>
      </c>
      <c r="L444" s="13">
        <v>30</v>
      </c>
      <c r="M444" s="6" t="s">
        <v>493</v>
      </c>
      <c r="O444" s="13" t="str">
        <f t="shared" ref="O444:S444" si="441">O443</f>
        <v>1.15</v>
      </c>
      <c r="P444" s="13" t="str">
        <f t="shared" si="441"/>
        <v>1.15</v>
      </c>
      <c r="Q444" s="13" t="str">
        <f t="shared" si="441"/>
        <v>1.15</v>
      </c>
      <c r="R444" s="13" t="str">
        <f t="shared" si="441"/>
        <v>1.15</v>
      </c>
      <c r="S444" s="13" t="str">
        <f t="shared" si="441"/>
        <v>1.15</v>
      </c>
      <c r="T444" s="6" t="str">
        <f t="shared" si="388"/>
        <v>1|1.15#2|1.15#3|1.15#4|1.15#5|1.15</v>
      </c>
    </row>
    <row r="445" s="6" customFormat="1" ht="16.5" spans="1:20">
      <c r="A445" s="6">
        <v>1010451</v>
      </c>
      <c r="B445" s="6">
        <v>25001</v>
      </c>
      <c r="C445" s="6">
        <v>4</v>
      </c>
      <c r="D445" s="6">
        <v>0</v>
      </c>
      <c r="E445" s="6" t="str">
        <f t="shared" si="389"/>
        <v>205001:13</v>
      </c>
      <c r="F445" s="11" t="s">
        <v>379</v>
      </c>
      <c r="G445" s="6">
        <v>0</v>
      </c>
      <c r="H445" s="6">
        <v>0</v>
      </c>
      <c r="I445" s="6" t="s">
        <v>67</v>
      </c>
      <c r="K445" s="6" t="str">
        <f t="shared" si="386"/>
        <v>205001</v>
      </c>
      <c r="L445" s="4">
        <v>13</v>
      </c>
      <c r="M445" s="6" t="s">
        <v>497</v>
      </c>
      <c r="O445" s="15" t="str">
        <f>O444</f>
        <v>1.15</v>
      </c>
      <c r="P445" s="15" t="str">
        <f t="shared" ref="P445:S445" si="442">O445</f>
        <v>1.15</v>
      </c>
      <c r="Q445" s="15" t="str">
        <f t="shared" si="442"/>
        <v>1.15</v>
      </c>
      <c r="R445" s="15" t="str">
        <f>P445</f>
        <v>1.15</v>
      </c>
      <c r="S445" s="15" t="str">
        <f t="shared" si="442"/>
        <v>1.15</v>
      </c>
      <c r="T445" s="6" t="str">
        <f t="shared" si="388"/>
        <v>1|1.15#2|1.15#3|1.15#4|1.15#5|1.15</v>
      </c>
    </row>
    <row r="446" s="6" customFormat="1" ht="16.5" spans="1:20">
      <c r="A446" s="6">
        <v>1010452</v>
      </c>
      <c r="B446" s="6">
        <v>25001</v>
      </c>
      <c r="C446" s="6">
        <v>4</v>
      </c>
      <c r="D446" s="6">
        <v>1</v>
      </c>
      <c r="E446" s="6" t="str">
        <f t="shared" si="389"/>
        <v>205001:13</v>
      </c>
      <c r="F446" s="11" t="s">
        <v>381</v>
      </c>
      <c r="G446" s="6">
        <v>0</v>
      </c>
      <c r="H446" s="6">
        <v>0</v>
      </c>
      <c r="I446" s="6" t="s">
        <v>69</v>
      </c>
      <c r="K446" s="6" t="str">
        <f t="shared" si="386"/>
        <v>205001</v>
      </c>
      <c r="L446" s="4">
        <v>13</v>
      </c>
      <c r="M446" s="6" t="s">
        <v>497</v>
      </c>
      <c r="O446" s="13" t="str">
        <f t="shared" ref="O446:O450" si="443">RIGHT(F446,LEN(F446)-2)</f>
        <v>1.2</v>
      </c>
      <c r="P446" s="13" t="str">
        <f t="shared" ref="P446:S446" si="444">P445</f>
        <v>1.15</v>
      </c>
      <c r="Q446" s="13" t="str">
        <f t="shared" si="444"/>
        <v>1.15</v>
      </c>
      <c r="R446" s="13" t="str">
        <f t="shared" si="444"/>
        <v>1.15</v>
      </c>
      <c r="S446" s="13" t="str">
        <f t="shared" si="444"/>
        <v>1.15</v>
      </c>
      <c r="T446" s="6" t="str">
        <f t="shared" si="388"/>
        <v>1|1.2#2|1.15#3|1.15#4|1.15#5|1.15</v>
      </c>
    </row>
    <row r="447" s="6" customFormat="1" ht="16.5" spans="1:20">
      <c r="A447" s="6">
        <v>1010453</v>
      </c>
      <c r="B447" s="6">
        <v>25001</v>
      </c>
      <c r="C447" s="6">
        <v>4</v>
      </c>
      <c r="D447" s="6">
        <v>2</v>
      </c>
      <c r="E447" s="6" t="str">
        <f t="shared" si="389"/>
        <v>205001:13</v>
      </c>
      <c r="F447" s="11" t="s">
        <v>382</v>
      </c>
      <c r="G447" s="6">
        <v>0</v>
      </c>
      <c r="H447" s="6">
        <v>0</v>
      </c>
      <c r="I447" s="6" t="s">
        <v>71</v>
      </c>
      <c r="K447" s="6" t="str">
        <f t="shared" si="386"/>
        <v>205001</v>
      </c>
      <c r="L447" s="4">
        <v>13</v>
      </c>
      <c r="M447" s="6" t="s">
        <v>497</v>
      </c>
      <c r="O447" s="13" t="str">
        <f t="shared" si="443"/>
        <v>1.2</v>
      </c>
      <c r="P447" s="13" t="str">
        <f t="shared" ref="P447:P450" si="445">O447</f>
        <v>1.2</v>
      </c>
      <c r="Q447" s="13" t="str">
        <f t="shared" ref="Q447:S447" si="446">Q446</f>
        <v>1.15</v>
      </c>
      <c r="R447" s="13" t="str">
        <f t="shared" si="446"/>
        <v>1.15</v>
      </c>
      <c r="S447" s="13" t="str">
        <f t="shared" si="446"/>
        <v>1.15</v>
      </c>
      <c r="T447" s="6" t="str">
        <f t="shared" si="388"/>
        <v>1|1.2#2|1.2#3|1.15#4|1.15#5|1.15</v>
      </c>
    </row>
    <row r="448" s="6" customFormat="1" ht="16.5" spans="1:20">
      <c r="A448" s="6">
        <v>1010454</v>
      </c>
      <c r="B448" s="6">
        <v>25001</v>
      </c>
      <c r="C448" s="6">
        <v>4</v>
      </c>
      <c r="D448" s="6">
        <v>3</v>
      </c>
      <c r="E448" s="6" t="str">
        <f t="shared" si="389"/>
        <v>205001:17</v>
      </c>
      <c r="F448" s="11" t="s">
        <v>383</v>
      </c>
      <c r="G448" s="6">
        <v>0</v>
      </c>
      <c r="H448" s="6">
        <v>0</v>
      </c>
      <c r="I448" s="6" t="s">
        <v>73</v>
      </c>
      <c r="K448" s="6" t="str">
        <f t="shared" si="386"/>
        <v>205001</v>
      </c>
      <c r="L448" s="4">
        <v>17</v>
      </c>
      <c r="M448" s="6" t="s">
        <v>497</v>
      </c>
      <c r="O448" s="13" t="str">
        <f t="shared" si="443"/>
        <v>1.2</v>
      </c>
      <c r="P448" s="13" t="str">
        <f t="shared" si="445"/>
        <v>1.2</v>
      </c>
      <c r="Q448" s="13" t="str">
        <f t="shared" ref="Q448:Q450" si="447">P448</f>
        <v>1.2</v>
      </c>
      <c r="R448" s="13" t="str">
        <f>R447</f>
        <v>1.15</v>
      </c>
      <c r="S448" s="13" t="str">
        <f>S447</f>
        <v>1.15</v>
      </c>
      <c r="T448" s="6" t="str">
        <f t="shared" si="388"/>
        <v>1|1.2#2|1.2#3|1.2#4|1.15#5|1.15</v>
      </c>
    </row>
    <row r="449" s="6" customFormat="1" ht="16.5" spans="1:20">
      <c r="A449" s="6">
        <v>1010455</v>
      </c>
      <c r="B449" s="6">
        <v>25001</v>
      </c>
      <c r="C449" s="6">
        <v>4</v>
      </c>
      <c r="D449" s="6">
        <v>4</v>
      </c>
      <c r="E449" s="6" t="str">
        <f t="shared" si="389"/>
        <v>205001:17</v>
      </c>
      <c r="F449" s="11" t="s">
        <v>384</v>
      </c>
      <c r="G449" s="6">
        <v>0</v>
      </c>
      <c r="H449" s="6">
        <v>0</v>
      </c>
      <c r="I449" s="6" t="s">
        <v>75</v>
      </c>
      <c r="K449" s="6" t="str">
        <f t="shared" si="386"/>
        <v>205001</v>
      </c>
      <c r="L449" s="4">
        <v>17</v>
      </c>
      <c r="M449" s="6" t="s">
        <v>497</v>
      </c>
      <c r="O449" s="13" t="str">
        <f t="shared" si="443"/>
        <v>1.2</v>
      </c>
      <c r="P449" s="13" t="str">
        <f t="shared" si="445"/>
        <v>1.2</v>
      </c>
      <c r="Q449" s="13" t="str">
        <f t="shared" si="447"/>
        <v>1.2</v>
      </c>
      <c r="R449" s="13" t="str">
        <f>Q449</f>
        <v>1.2</v>
      </c>
      <c r="S449" s="13" t="str">
        <f>S448</f>
        <v>1.15</v>
      </c>
      <c r="T449" s="6" t="str">
        <f t="shared" si="388"/>
        <v>1|1.2#2|1.2#3|1.2#4|1.2#5|1.15</v>
      </c>
    </row>
    <row r="450" s="6" customFormat="1" ht="16.5" spans="1:20">
      <c r="A450" s="6">
        <v>1010456</v>
      </c>
      <c r="B450" s="6">
        <v>25001</v>
      </c>
      <c r="C450" s="6">
        <v>4</v>
      </c>
      <c r="D450" s="6">
        <v>5</v>
      </c>
      <c r="E450" s="6" t="str">
        <f t="shared" si="389"/>
        <v>205001:17</v>
      </c>
      <c r="F450" s="11" t="s">
        <v>385</v>
      </c>
      <c r="G450" s="6">
        <v>0</v>
      </c>
      <c r="H450" s="6">
        <v>0</v>
      </c>
      <c r="I450" s="6" t="s">
        <v>40</v>
      </c>
      <c r="K450" s="6" t="str">
        <f t="shared" si="386"/>
        <v>205001</v>
      </c>
      <c r="L450" s="4">
        <v>17</v>
      </c>
      <c r="M450" s="6" t="s">
        <v>201</v>
      </c>
      <c r="O450" s="13" t="str">
        <f t="shared" si="443"/>
        <v>1.2</v>
      </c>
      <c r="P450" s="13" t="str">
        <f t="shared" si="445"/>
        <v>1.2</v>
      </c>
      <c r="Q450" s="13" t="str">
        <f t="shared" si="447"/>
        <v>1.2</v>
      </c>
      <c r="R450" s="13" t="str">
        <f>Q450</f>
        <v>1.2</v>
      </c>
      <c r="S450" s="13" t="str">
        <f>R450</f>
        <v>1.2</v>
      </c>
      <c r="T450" s="6" t="str">
        <f t="shared" si="388"/>
        <v>1|1.2#2|1.2#3|1.2#4|1.2#5|1.2</v>
      </c>
    </row>
    <row r="451" s="6" customFormat="1" ht="16.5" spans="1:20">
      <c r="A451" s="6">
        <v>1010457</v>
      </c>
      <c r="B451" s="6">
        <v>25001</v>
      </c>
      <c r="C451" s="6">
        <v>4</v>
      </c>
      <c r="D451" s="6">
        <v>6</v>
      </c>
      <c r="E451" s="6" t="str">
        <f t="shared" si="389"/>
        <v>205001:60</v>
      </c>
      <c r="F451" s="11">
        <v>0</v>
      </c>
      <c r="G451" s="6">
        <v>11002</v>
      </c>
      <c r="H451" s="6" t="s">
        <v>407</v>
      </c>
      <c r="I451" s="6">
        <v>0</v>
      </c>
      <c r="K451" s="6" t="str">
        <f t="shared" si="386"/>
        <v>205001</v>
      </c>
      <c r="L451" s="13">
        <v>60</v>
      </c>
      <c r="M451" s="6" t="s">
        <v>493</v>
      </c>
      <c r="O451" s="13" t="str">
        <f t="shared" ref="O451:S451" si="448">O450</f>
        <v>1.2</v>
      </c>
      <c r="P451" s="13" t="str">
        <f t="shared" si="448"/>
        <v>1.2</v>
      </c>
      <c r="Q451" s="13" t="str">
        <f t="shared" si="448"/>
        <v>1.2</v>
      </c>
      <c r="R451" s="13" t="str">
        <f t="shared" si="448"/>
        <v>1.2</v>
      </c>
      <c r="S451" s="13" t="str">
        <f t="shared" si="448"/>
        <v>1.2</v>
      </c>
      <c r="T451" s="6" t="str">
        <f t="shared" si="388"/>
        <v>1|1.2#2|1.2#3|1.2#4|1.2#5|1.2</v>
      </c>
    </row>
    <row r="452" s="6" customFormat="1" ht="16.5" spans="1:20">
      <c r="A452" s="6">
        <v>1010458</v>
      </c>
      <c r="B452" s="6">
        <v>25001</v>
      </c>
      <c r="C452" s="6">
        <v>5</v>
      </c>
      <c r="D452" s="6">
        <v>0</v>
      </c>
      <c r="E452" s="6" t="str">
        <f t="shared" si="389"/>
        <v>205001:18</v>
      </c>
      <c r="F452" s="11" t="s">
        <v>386</v>
      </c>
      <c r="G452" s="6">
        <v>0</v>
      </c>
      <c r="H452" s="6">
        <v>0</v>
      </c>
      <c r="I452" s="6" t="s">
        <v>79</v>
      </c>
      <c r="K452" s="6" t="str">
        <f t="shared" si="386"/>
        <v>205001</v>
      </c>
      <c r="L452" s="4">
        <v>18</v>
      </c>
      <c r="M452" s="6" t="s">
        <v>498</v>
      </c>
      <c r="O452" s="15" t="str">
        <f>O451</f>
        <v>1.2</v>
      </c>
      <c r="P452" s="15" t="str">
        <f t="shared" ref="P452:S452" si="449">O452</f>
        <v>1.2</v>
      </c>
      <c r="Q452" s="15" t="str">
        <f t="shared" si="449"/>
        <v>1.2</v>
      </c>
      <c r="R452" s="15" t="str">
        <f>P452</f>
        <v>1.2</v>
      </c>
      <c r="S452" s="15" t="str">
        <f t="shared" si="449"/>
        <v>1.2</v>
      </c>
      <c r="T452" s="6" t="str">
        <f t="shared" si="388"/>
        <v>1|1.2#2|1.2#3|1.2#4|1.2#5|1.2</v>
      </c>
    </row>
    <row r="453" s="6" customFormat="1" ht="16.5" spans="1:20">
      <c r="A453" s="6">
        <v>1010459</v>
      </c>
      <c r="B453" s="6">
        <v>25001</v>
      </c>
      <c r="C453" s="6">
        <v>5</v>
      </c>
      <c r="D453" s="6">
        <v>1</v>
      </c>
      <c r="E453" s="6" t="str">
        <f t="shared" si="389"/>
        <v>205001:18</v>
      </c>
      <c r="F453" s="11" t="s">
        <v>388</v>
      </c>
      <c r="G453" s="6">
        <v>0</v>
      </c>
      <c r="H453" s="6">
        <v>0</v>
      </c>
      <c r="I453" s="6" t="s">
        <v>81</v>
      </c>
      <c r="K453" s="6" t="str">
        <f t="shared" ref="K453:K516" si="450">LEFT(M453,6)</f>
        <v>205001</v>
      </c>
      <c r="L453" s="4">
        <v>18</v>
      </c>
      <c r="M453" s="6" t="s">
        <v>498</v>
      </c>
      <c r="O453" s="13" t="str">
        <f t="shared" ref="O453:O457" si="451">RIGHT(F453,LEN(F453)-2)</f>
        <v>1.3</v>
      </c>
      <c r="P453" s="13" t="str">
        <f t="shared" ref="P453:S453" si="452">P452</f>
        <v>1.2</v>
      </c>
      <c r="Q453" s="13" t="str">
        <f t="shared" si="452"/>
        <v>1.2</v>
      </c>
      <c r="R453" s="13" t="str">
        <f t="shared" si="452"/>
        <v>1.2</v>
      </c>
      <c r="S453" s="13" t="str">
        <f t="shared" si="452"/>
        <v>1.2</v>
      </c>
      <c r="T453" s="6" t="str">
        <f t="shared" ref="T453:T516" si="453">$O$2&amp;$P$3&amp;O453&amp;$O$1&amp;$P$2&amp;$P$3&amp;P453&amp;$O$1&amp;$Q$2&amp;$P$3&amp;Q453&amp;$O$1&amp;$R$2&amp;$P$3&amp;R453&amp;$O$1&amp;$S$2&amp;$P$3&amp;S453</f>
        <v>1|1.3#2|1.2#3|1.2#4|1.2#5|1.2</v>
      </c>
    </row>
    <row r="454" s="6" customFormat="1" ht="16.5" spans="1:20">
      <c r="A454" s="6">
        <v>1010460</v>
      </c>
      <c r="B454" s="6">
        <v>25001</v>
      </c>
      <c r="C454" s="6">
        <v>5</v>
      </c>
      <c r="D454" s="6">
        <v>2</v>
      </c>
      <c r="E454" s="6" t="str">
        <f t="shared" ref="E454:E517" si="454">K454&amp;$K$3&amp;L454</f>
        <v>205001:18</v>
      </c>
      <c r="F454" s="11" t="s">
        <v>389</v>
      </c>
      <c r="G454" s="6">
        <v>0</v>
      </c>
      <c r="H454" s="6">
        <v>0</v>
      </c>
      <c r="I454" s="6" t="s">
        <v>83</v>
      </c>
      <c r="K454" s="6" t="str">
        <f t="shared" si="450"/>
        <v>205001</v>
      </c>
      <c r="L454" s="4">
        <v>18</v>
      </c>
      <c r="M454" s="6" t="s">
        <v>498</v>
      </c>
      <c r="O454" s="13" t="str">
        <f t="shared" si="451"/>
        <v>1.3</v>
      </c>
      <c r="P454" s="13" t="str">
        <f t="shared" ref="P454:P457" si="455">O454</f>
        <v>1.3</v>
      </c>
      <c r="Q454" s="13" t="str">
        <f t="shared" ref="Q454:S454" si="456">Q453</f>
        <v>1.2</v>
      </c>
      <c r="R454" s="13" t="str">
        <f t="shared" si="456"/>
        <v>1.2</v>
      </c>
      <c r="S454" s="13" t="str">
        <f t="shared" si="456"/>
        <v>1.2</v>
      </c>
      <c r="T454" s="6" t="str">
        <f t="shared" si="453"/>
        <v>1|1.3#2|1.3#3|1.2#4|1.2#5|1.2</v>
      </c>
    </row>
    <row r="455" s="6" customFormat="1" ht="16.5" spans="1:20">
      <c r="A455" s="6">
        <v>1010461</v>
      </c>
      <c r="B455" s="6">
        <v>25001</v>
      </c>
      <c r="C455" s="6">
        <v>5</v>
      </c>
      <c r="D455" s="6">
        <v>3</v>
      </c>
      <c r="E455" s="6" t="str">
        <f t="shared" si="454"/>
        <v>205001:22</v>
      </c>
      <c r="F455" s="11" t="s">
        <v>390</v>
      </c>
      <c r="G455" s="6">
        <v>0</v>
      </c>
      <c r="H455" s="6">
        <v>0</v>
      </c>
      <c r="I455" s="6" t="s">
        <v>85</v>
      </c>
      <c r="K455" s="6" t="str">
        <f t="shared" si="450"/>
        <v>205001</v>
      </c>
      <c r="L455" s="4">
        <v>22</v>
      </c>
      <c r="M455" s="6" t="s">
        <v>498</v>
      </c>
      <c r="O455" s="13" t="str">
        <f t="shared" si="451"/>
        <v>1.3</v>
      </c>
      <c r="P455" s="13" t="str">
        <f t="shared" si="455"/>
        <v>1.3</v>
      </c>
      <c r="Q455" s="13" t="str">
        <f t="shared" ref="Q455:Q457" si="457">P455</f>
        <v>1.3</v>
      </c>
      <c r="R455" s="13" t="str">
        <f>R454</f>
        <v>1.2</v>
      </c>
      <c r="S455" s="13" t="str">
        <f>S454</f>
        <v>1.2</v>
      </c>
      <c r="T455" s="6" t="str">
        <f t="shared" si="453"/>
        <v>1|1.3#2|1.3#3|1.3#4|1.2#5|1.2</v>
      </c>
    </row>
    <row r="456" s="6" customFormat="1" ht="16.5" spans="1:20">
      <c r="A456" s="6">
        <v>1010462</v>
      </c>
      <c r="B456" s="6">
        <v>25001</v>
      </c>
      <c r="C456" s="6">
        <v>5</v>
      </c>
      <c r="D456" s="6">
        <v>4</v>
      </c>
      <c r="E456" s="6" t="str">
        <f t="shared" si="454"/>
        <v>205001:22</v>
      </c>
      <c r="F456" s="11" t="s">
        <v>391</v>
      </c>
      <c r="G456" s="6">
        <v>0</v>
      </c>
      <c r="H456" s="6">
        <v>0</v>
      </c>
      <c r="I456" s="6" t="s">
        <v>87</v>
      </c>
      <c r="K456" s="6" t="str">
        <f t="shared" si="450"/>
        <v>205001</v>
      </c>
      <c r="L456" s="4">
        <v>22</v>
      </c>
      <c r="M456" s="6" t="s">
        <v>498</v>
      </c>
      <c r="O456" s="13" t="str">
        <f t="shared" si="451"/>
        <v>1.3</v>
      </c>
      <c r="P456" s="13" t="str">
        <f t="shared" si="455"/>
        <v>1.3</v>
      </c>
      <c r="Q456" s="13" t="str">
        <f t="shared" si="457"/>
        <v>1.3</v>
      </c>
      <c r="R456" s="13" t="str">
        <f>Q456</f>
        <v>1.3</v>
      </c>
      <c r="S456" s="13" t="str">
        <f>S455</f>
        <v>1.2</v>
      </c>
      <c r="T456" s="6" t="str">
        <f t="shared" si="453"/>
        <v>1|1.3#2|1.3#3|1.3#4|1.3#5|1.2</v>
      </c>
    </row>
    <row r="457" s="6" customFormat="1" ht="16.5" spans="1:20">
      <c r="A457" s="6">
        <v>1010463</v>
      </c>
      <c r="B457" s="6">
        <v>25001</v>
      </c>
      <c r="C457" s="6">
        <v>5</v>
      </c>
      <c r="D457" s="6">
        <v>5</v>
      </c>
      <c r="E457" s="6" t="str">
        <f t="shared" si="454"/>
        <v>205001:22</v>
      </c>
      <c r="F457" s="11" t="s">
        <v>392</v>
      </c>
      <c r="G457" s="6">
        <v>0</v>
      </c>
      <c r="H457" s="6">
        <v>0</v>
      </c>
      <c r="I457" s="6" t="s">
        <v>40</v>
      </c>
      <c r="K457" s="6" t="str">
        <f t="shared" si="450"/>
        <v>205001</v>
      </c>
      <c r="L457" s="4">
        <v>22</v>
      </c>
      <c r="M457" s="6" t="s">
        <v>499</v>
      </c>
      <c r="O457" s="13" t="str">
        <f t="shared" si="451"/>
        <v>1.3</v>
      </c>
      <c r="P457" s="13" t="str">
        <f t="shared" si="455"/>
        <v>1.3</v>
      </c>
      <c r="Q457" s="13" t="str">
        <f t="shared" si="457"/>
        <v>1.3</v>
      </c>
      <c r="R457" s="13" t="str">
        <f>Q457</f>
        <v>1.3</v>
      </c>
      <c r="S457" s="13" t="str">
        <f>R457</f>
        <v>1.3</v>
      </c>
      <c r="T457" s="6" t="str">
        <f t="shared" si="453"/>
        <v>1|1.3#2|1.3#3|1.3#4|1.3#5|1.3</v>
      </c>
    </row>
    <row r="458" s="6" customFormat="1" ht="16.5" spans="1:20">
      <c r="A458" s="6">
        <v>1010464</v>
      </c>
      <c r="B458" s="6">
        <v>25001</v>
      </c>
      <c r="C458" s="6">
        <v>5</v>
      </c>
      <c r="D458" s="6">
        <v>6</v>
      </c>
      <c r="E458" s="6" t="str">
        <f t="shared" si="454"/>
        <v>205001:60</v>
      </c>
      <c r="F458" s="11">
        <v>0</v>
      </c>
      <c r="G458" s="6">
        <v>11002</v>
      </c>
      <c r="H458" s="6" t="s">
        <v>407</v>
      </c>
      <c r="I458" s="6">
        <v>0</v>
      </c>
      <c r="K458" s="6" t="str">
        <f t="shared" si="450"/>
        <v>205001</v>
      </c>
      <c r="L458" s="13">
        <v>60</v>
      </c>
      <c r="M458" s="6" t="s">
        <v>493</v>
      </c>
      <c r="O458" s="13" t="str">
        <f t="shared" ref="O458:S458" si="458">O457</f>
        <v>1.3</v>
      </c>
      <c r="P458" s="13" t="str">
        <f t="shared" si="458"/>
        <v>1.3</v>
      </c>
      <c r="Q458" s="13" t="str">
        <f t="shared" si="458"/>
        <v>1.3</v>
      </c>
      <c r="R458" s="13" t="str">
        <f t="shared" si="458"/>
        <v>1.3</v>
      </c>
      <c r="S458" s="13" t="str">
        <f t="shared" si="458"/>
        <v>1.3</v>
      </c>
      <c r="T458" s="6" t="str">
        <f t="shared" si="453"/>
        <v>1|1.3#2|1.3#3|1.3#4|1.3#5|1.3</v>
      </c>
    </row>
    <row r="459" s="6" customFormat="1" ht="16.5" spans="1:20">
      <c r="A459" s="6">
        <v>1010465</v>
      </c>
      <c r="B459" s="6">
        <v>25001</v>
      </c>
      <c r="C459" s="6">
        <v>6</v>
      </c>
      <c r="D459" s="6">
        <v>0</v>
      </c>
      <c r="E459" s="6" t="str">
        <f t="shared" si="454"/>
        <v>205001:24</v>
      </c>
      <c r="F459" s="11" t="s">
        <v>394</v>
      </c>
      <c r="G459" s="6">
        <v>0</v>
      </c>
      <c r="H459" s="6">
        <v>0</v>
      </c>
      <c r="I459" s="6" t="s">
        <v>90</v>
      </c>
      <c r="K459" s="6" t="str">
        <f t="shared" si="450"/>
        <v>205001</v>
      </c>
      <c r="L459" s="4">
        <v>24</v>
      </c>
      <c r="M459" s="6" t="s">
        <v>500</v>
      </c>
      <c r="O459" s="15" t="str">
        <f>O458</f>
        <v>1.3</v>
      </c>
      <c r="P459" s="15" t="str">
        <f t="shared" ref="P459:S459" si="459">O459</f>
        <v>1.3</v>
      </c>
      <c r="Q459" s="15" t="str">
        <f t="shared" si="459"/>
        <v>1.3</v>
      </c>
      <c r="R459" s="15" t="str">
        <f>P459</f>
        <v>1.3</v>
      </c>
      <c r="S459" s="15" t="str">
        <f t="shared" si="459"/>
        <v>1.3</v>
      </c>
      <c r="T459" s="6" t="str">
        <f t="shared" si="453"/>
        <v>1|1.3#2|1.3#3|1.3#4|1.3#5|1.3</v>
      </c>
    </row>
    <row r="460" s="6" customFormat="1" ht="16.5" spans="1:20">
      <c r="A460" s="6">
        <v>1010466</v>
      </c>
      <c r="B460" s="6">
        <v>25001</v>
      </c>
      <c r="C460" s="6">
        <v>6</v>
      </c>
      <c r="D460" s="6">
        <v>1</v>
      </c>
      <c r="E460" s="6" t="str">
        <f t="shared" si="454"/>
        <v>205001:24</v>
      </c>
      <c r="F460" s="11" t="s">
        <v>396</v>
      </c>
      <c r="G460" s="6">
        <v>0</v>
      </c>
      <c r="H460" s="6">
        <v>0</v>
      </c>
      <c r="I460" s="6" t="s">
        <v>92</v>
      </c>
      <c r="K460" s="6" t="str">
        <f t="shared" si="450"/>
        <v>205001</v>
      </c>
      <c r="L460" s="4">
        <v>24</v>
      </c>
      <c r="M460" s="6" t="s">
        <v>500</v>
      </c>
      <c r="O460" s="13" t="str">
        <f t="shared" ref="O460:O464" si="460">RIGHT(F460,LEN(F460)-2)</f>
        <v>1.4</v>
      </c>
      <c r="P460" s="13" t="str">
        <f t="shared" ref="P460:S460" si="461">P459</f>
        <v>1.3</v>
      </c>
      <c r="Q460" s="13" t="str">
        <f t="shared" si="461"/>
        <v>1.3</v>
      </c>
      <c r="R460" s="13" t="str">
        <f t="shared" si="461"/>
        <v>1.3</v>
      </c>
      <c r="S460" s="13" t="str">
        <f t="shared" si="461"/>
        <v>1.3</v>
      </c>
      <c r="T460" s="6" t="str">
        <f t="shared" si="453"/>
        <v>1|1.4#2|1.3#3|1.3#4|1.3#5|1.3</v>
      </c>
    </row>
    <row r="461" s="6" customFormat="1" ht="16.5" spans="1:20">
      <c r="A461" s="6">
        <v>1010467</v>
      </c>
      <c r="B461" s="6">
        <v>25001</v>
      </c>
      <c r="C461" s="6">
        <v>6</v>
      </c>
      <c r="D461" s="6">
        <v>2</v>
      </c>
      <c r="E461" s="6" t="str">
        <f t="shared" si="454"/>
        <v>205001:24</v>
      </c>
      <c r="F461" s="11" t="s">
        <v>397</v>
      </c>
      <c r="G461" s="6">
        <v>0</v>
      </c>
      <c r="H461" s="6">
        <v>0</v>
      </c>
      <c r="I461" s="6" t="s">
        <v>94</v>
      </c>
      <c r="K461" s="6" t="str">
        <f t="shared" si="450"/>
        <v>205001</v>
      </c>
      <c r="L461" s="4">
        <v>24</v>
      </c>
      <c r="M461" s="6" t="s">
        <v>500</v>
      </c>
      <c r="O461" s="13" t="str">
        <f t="shared" si="460"/>
        <v>1.4</v>
      </c>
      <c r="P461" s="13" t="str">
        <f t="shared" ref="P461:P464" si="462">O461</f>
        <v>1.4</v>
      </c>
      <c r="Q461" s="13" t="str">
        <f t="shared" ref="Q461:S461" si="463">Q460</f>
        <v>1.3</v>
      </c>
      <c r="R461" s="13" t="str">
        <f t="shared" si="463"/>
        <v>1.3</v>
      </c>
      <c r="S461" s="13" t="str">
        <f t="shared" si="463"/>
        <v>1.3</v>
      </c>
      <c r="T461" s="6" t="str">
        <f t="shared" si="453"/>
        <v>1|1.4#2|1.4#3|1.3#4|1.3#5|1.3</v>
      </c>
    </row>
    <row r="462" s="6" customFormat="1" ht="16.5" spans="1:20">
      <c r="A462" s="6">
        <v>1010468</v>
      </c>
      <c r="B462" s="6">
        <v>25001</v>
      </c>
      <c r="C462" s="6">
        <v>6</v>
      </c>
      <c r="D462" s="6">
        <v>3</v>
      </c>
      <c r="E462" s="6" t="str">
        <f t="shared" si="454"/>
        <v>205001:24</v>
      </c>
      <c r="F462" s="11" t="s">
        <v>398</v>
      </c>
      <c r="G462" s="6">
        <v>0</v>
      </c>
      <c r="H462" s="6">
        <v>0</v>
      </c>
      <c r="I462" s="6" t="s">
        <v>96</v>
      </c>
      <c r="K462" s="6" t="str">
        <f t="shared" si="450"/>
        <v>205001</v>
      </c>
      <c r="L462" s="4">
        <v>24</v>
      </c>
      <c r="M462" s="6" t="s">
        <v>500</v>
      </c>
      <c r="O462" s="13" t="str">
        <f t="shared" si="460"/>
        <v>1.4</v>
      </c>
      <c r="P462" s="13" t="str">
        <f t="shared" si="462"/>
        <v>1.4</v>
      </c>
      <c r="Q462" s="13" t="str">
        <f t="shared" ref="Q462:Q464" si="464">P462</f>
        <v>1.4</v>
      </c>
      <c r="R462" s="13" t="str">
        <f>R461</f>
        <v>1.3</v>
      </c>
      <c r="S462" s="13" t="str">
        <f t="shared" ref="S462:S469" si="465">S461</f>
        <v>1.3</v>
      </c>
      <c r="T462" s="6" t="str">
        <f t="shared" si="453"/>
        <v>1|1.4#2|1.4#3|1.4#4|1.3#5|1.3</v>
      </c>
    </row>
    <row r="463" s="6" customFormat="1" ht="16.5" spans="1:20">
      <c r="A463" s="6">
        <v>1010469</v>
      </c>
      <c r="B463" s="6">
        <v>25001</v>
      </c>
      <c r="C463" s="6">
        <v>6</v>
      </c>
      <c r="D463" s="6">
        <v>4</v>
      </c>
      <c r="E463" s="6" t="str">
        <f t="shared" si="454"/>
        <v>205001:24</v>
      </c>
      <c r="F463" s="11" t="s">
        <v>399</v>
      </c>
      <c r="G463" s="6">
        <v>0</v>
      </c>
      <c r="H463" s="6">
        <v>0</v>
      </c>
      <c r="I463" s="6" t="s">
        <v>98</v>
      </c>
      <c r="K463" s="6" t="str">
        <f t="shared" si="450"/>
        <v>205001</v>
      </c>
      <c r="L463" s="4">
        <v>24</v>
      </c>
      <c r="M463" s="6" t="s">
        <v>500</v>
      </c>
      <c r="O463" s="13" t="str">
        <f t="shared" si="460"/>
        <v>1.4</v>
      </c>
      <c r="P463" s="13" t="str">
        <f t="shared" si="462"/>
        <v>1.4</v>
      </c>
      <c r="Q463" s="13" t="str">
        <f t="shared" si="464"/>
        <v>1.4</v>
      </c>
      <c r="R463" s="13" t="str">
        <f>Q463</f>
        <v>1.4</v>
      </c>
      <c r="S463" s="13" t="str">
        <f t="shared" si="465"/>
        <v>1.3</v>
      </c>
      <c r="T463" s="6" t="str">
        <f t="shared" si="453"/>
        <v>1|1.4#2|1.4#3|1.4#4|1.4#5|1.3</v>
      </c>
    </row>
    <row r="464" s="6" customFormat="1" ht="16.5" spans="1:20">
      <c r="A464" s="6">
        <v>1010470</v>
      </c>
      <c r="B464" s="6">
        <v>25001</v>
      </c>
      <c r="C464" s="6">
        <v>6</v>
      </c>
      <c r="D464" s="6">
        <v>5</v>
      </c>
      <c r="E464" s="6" t="str">
        <f t="shared" si="454"/>
        <v>205001:60</v>
      </c>
      <c r="F464" s="11" t="s">
        <v>400</v>
      </c>
      <c r="G464" s="6">
        <v>0</v>
      </c>
      <c r="H464" s="6">
        <v>0</v>
      </c>
      <c r="I464" s="6" t="s">
        <v>40</v>
      </c>
      <c r="K464" s="6" t="str">
        <f t="shared" si="450"/>
        <v>205001</v>
      </c>
      <c r="L464" s="4">
        <v>60</v>
      </c>
      <c r="M464" s="6" t="s">
        <v>499</v>
      </c>
      <c r="O464" s="13" t="str">
        <f t="shared" si="460"/>
        <v>1.4</v>
      </c>
      <c r="P464" s="13" t="str">
        <f t="shared" si="462"/>
        <v>1.4</v>
      </c>
      <c r="Q464" s="13" t="str">
        <f t="shared" si="464"/>
        <v>1.4</v>
      </c>
      <c r="R464" s="13" t="str">
        <f>Q464</f>
        <v>1.4</v>
      </c>
      <c r="S464" s="13" t="str">
        <f>R464</f>
        <v>1.4</v>
      </c>
      <c r="T464" s="6" t="str">
        <f t="shared" si="453"/>
        <v>1|1.4#2|1.4#3|1.4#4|1.4#5|1.4</v>
      </c>
    </row>
    <row r="465" s="6" customFormat="1" ht="16.5" spans="1:20">
      <c r="A465" s="6">
        <v>1010471</v>
      </c>
      <c r="B465" s="6">
        <v>25001</v>
      </c>
      <c r="C465" s="6">
        <v>6</v>
      </c>
      <c r="D465" s="6">
        <v>6</v>
      </c>
      <c r="E465" s="6" t="str">
        <f t="shared" si="454"/>
        <v>205001:0</v>
      </c>
      <c r="F465" s="11">
        <v>0</v>
      </c>
      <c r="G465" s="6">
        <v>11002</v>
      </c>
      <c r="H465" s="6" t="s">
        <v>407</v>
      </c>
      <c r="I465" s="6">
        <v>0</v>
      </c>
      <c r="K465" s="6" t="str">
        <f t="shared" si="450"/>
        <v>205001</v>
      </c>
      <c r="L465" s="4">
        <v>0</v>
      </c>
      <c r="M465" s="6" t="s">
        <v>493</v>
      </c>
      <c r="O465" s="13" t="str">
        <f t="shared" ref="O465:S465" si="466">O464</f>
        <v>1.4</v>
      </c>
      <c r="P465" s="13" t="str">
        <f t="shared" si="466"/>
        <v>1.4</v>
      </c>
      <c r="Q465" s="13" t="str">
        <f t="shared" si="466"/>
        <v>1.4</v>
      </c>
      <c r="R465" s="13" t="str">
        <f t="shared" si="466"/>
        <v>1.4</v>
      </c>
      <c r="S465" s="13" t="str">
        <f t="shared" si="466"/>
        <v>1.4</v>
      </c>
      <c r="T465" s="6" t="str">
        <f t="shared" si="453"/>
        <v>1|1.4#2|1.4#3|1.4#4|1.4#5|1.4</v>
      </c>
    </row>
    <row r="466" s="6" customFormat="1" ht="16.5" spans="1:20">
      <c r="A466" s="6">
        <v>1010472</v>
      </c>
      <c r="B466" s="6">
        <v>26001</v>
      </c>
      <c r="C466" s="6">
        <v>1</v>
      </c>
      <c r="D466" s="6">
        <v>0</v>
      </c>
      <c r="E466" s="6" t="str">
        <f t="shared" si="454"/>
        <v>206001:2</v>
      </c>
      <c r="F466" s="11" t="s">
        <v>356</v>
      </c>
      <c r="G466" s="6">
        <v>0</v>
      </c>
      <c r="H466" s="6">
        <v>0</v>
      </c>
      <c r="I466" s="6" t="s">
        <v>25</v>
      </c>
      <c r="K466" s="6" t="str">
        <f t="shared" si="450"/>
        <v>206001</v>
      </c>
      <c r="L466" s="4">
        <v>2</v>
      </c>
      <c r="M466" s="6" t="s">
        <v>501</v>
      </c>
      <c r="O466" s="13">
        <v>1</v>
      </c>
      <c r="P466" s="13">
        <f t="shared" ref="P466:S466" si="467">O466</f>
        <v>1</v>
      </c>
      <c r="Q466" s="13">
        <f t="shared" si="467"/>
        <v>1</v>
      </c>
      <c r="R466" s="13">
        <f>P466</f>
        <v>1</v>
      </c>
      <c r="S466" s="13">
        <f t="shared" si="467"/>
        <v>1</v>
      </c>
      <c r="T466" s="6" t="str">
        <f t="shared" si="453"/>
        <v>1|1#2|1#3|1#4|1#5|1</v>
      </c>
    </row>
    <row r="467" s="6" customFormat="1" ht="16.5" spans="1:20">
      <c r="A467" s="6">
        <v>1010473</v>
      </c>
      <c r="B467" s="6">
        <v>26001</v>
      </c>
      <c r="C467" s="6">
        <v>1</v>
      </c>
      <c r="D467" s="6">
        <v>1</v>
      </c>
      <c r="E467" s="6" t="str">
        <f t="shared" si="454"/>
        <v>206001:2</v>
      </c>
      <c r="F467" s="11" t="s">
        <v>358</v>
      </c>
      <c r="G467" s="6">
        <v>0</v>
      </c>
      <c r="H467" s="6">
        <v>0</v>
      </c>
      <c r="I467" s="6" t="s">
        <v>28</v>
      </c>
      <c r="K467" s="6" t="str">
        <f t="shared" si="450"/>
        <v>206001</v>
      </c>
      <c r="L467" s="4">
        <v>2</v>
      </c>
      <c r="M467" s="6" t="s">
        <v>501</v>
      </c>
      <c r="O467" s="13" t="str">
        <f t="shared" ref="O467:O471" si="468">RIGHT(F467,LEN(F467)-2)</f>
        <v>1.05</v>
      </c>
      <c r="P467" s="13">
        <v>1</v>
      </c>
      <c r="Q467" s="13">
        <f>Q466</f>
        <v>1</v>
      </c>
      <c r="R467" s="13">
        <f>R466</f>
        <v>1</v>
      </c>
      <c r="S467" s="13">
        <f t="shared" si="465"/>
        <v>1</v>
      </c>
      <c r="T467" s="6" t="str">
        <f t="shared" si="453"/>
        <v>1|1.05#2|1#3|1#4|1#5|1</v>
      </c>
    </row>
    <row r="468" s="6" customFormat="1" ht="16.5" spans="1:20">
      <c r="A468" s="6">
        <v>1010474</v>
      </c>
      <c r="B468" s="6">
        <v>26001</v>
      </c>
      <c r="C468" s="6">
        <v>1</v>
      </c>
      <c r="D468" s="6">
        <v>2</v>
      </c>
      <c r="E468" s="6" t="str">
        <f t="shared" si="454"/>
        <v>206001:2</v>
      </c>
      <c r="F468" s="11" t="s">
        <v>359</v>
      </c>
      <c r="G468" s="6">
        <v>0</v>
      </c>
      <c r="H468" s="6">
        <v>0</v>
      </c>
      <c r="I468" s="6" t="s">
        <v>31</v>
      </c>
      <c r="K468" s="6" t="str">
        <f t="shared" si="450"/>
        <v>206001</v>
      </c>
      <c r="L468" s="4">
        <v>2</v>
      </c>
      <c r="M468" s="6" t="s">
        <v>501</v>
      </c>
      <c r="O468" s="13" t="str">
        <f t="shared" si="468"/>
        <v>1.05</v>
      </c>
      <c r="P468" s="13" t="str">
        <f t="shared" ref="P468:P471" si="469">O468</f>
        <v>1.05</v>
      </c>
      <c r="Q468" s="13">
        <v>1</v>
      </c>
      <c r="R468" s="13">
        <f>R467</f>
        <v>1</v>
      </c>
      <c r="S468" s="13">
        <f t="shared" si="465"/>
        <v>1</v>
      </c>
      <c r="T468" s="6" t="str">
        <f t="shared" si="453"/>
        <v>1|1.05#2|1.05#3|1#4|1#5|1</v>
      </c>
    </row>
    <row r="469" s="6" customFormat="1" ht="16.5" spans="1:20">
      <c r="A469" s="6">
        <v>1010475</v>
      </c>
      <c r="B469" s="6">
        <v>26001</v>
      </c>
      <c r="C469" s="6">
        <v>1</v>
      </c>
      <c r="D469" s="6">
        <v>3</v>
      </c>
      <c r="E469" s="6" t="str">
        <f t="shared" si="454"/>
        <v>206001:3</v>
      </c>
      <c r="F469" s="11" t="s">
        <v>360</v>
      </c>
      <c r="G469" s="6">
        <v>0</v>
      </c>
      <c r="H469" s="6">
        <v>0</v>
      </c>
      <c r="I469" s="6" t="s">
        <v>34</v>
      </c>
      <c r="K469" s="6" t="str">
        <f t="shared" si="450"/>
        <v>206001</v>
      </c>
      <c r="L469" s="4">
        <v>3</v>
      </c>
      <c r="M469" s="6" t="s">
        <v>501</v>
      </c>
      <c r="O469" s="13" t="str">
        <f t="shared" si="468"/>
        <v>1.05</v>
      </c>
      <c r="P469" s="13" t="str">
        <f t="shared" si="469"/>
        <v>1.05</v>
      </c>
      <c r="Q469" s="13" t="str">
        <f t="shared" ref="Q469:Q471" si="470">P469</f>
        <v>1.05</v>
      </c>
      <c r="R469" s="13">
        <v>1</v>
      </c>
      <c r="S469" s="13">
        <f t="shared" si="465"/>
        <v>1</v>
      </c>
      <c r="T469" s="6" t="str">
        <f t="shared" si="453"/>
        <v>1|1.05#2|1.05#3|1.05#4|1#5|1</v>
      </c>
    </row>
    <row r="470" s="6" customFormat="1" ht="16.5" spans="1:20">
      <c r="A470" s="6">
        <v>1010476</v>
      </c>
      <c r="B470" s="6">
        <v>26001</v>
      </c>
      <c r="C470" s="6">
        <v>1</v>
      </c>
      <c r="D470" s="6">
        <v>4</v>
      </c>
      <c r="E470" s="6" t="str">
        <f t="shared" si="454"/>
        <v>206001:3</v>
      </c>
      <c r="F470" s="11" t="s">
        <v>361</v>
      </c>
      <c r="G470" s="6">
        <v>0</v>
      </c>
      <c r="H470" s="6">
        <v>0</v>
      </c>
      <c r="I470" s="6" t="s">
        <v>37</v>
      </c>
      <c r="K470" s="6" t="str">
        <f t="shared" si="450"/>
        <v>206001</v>
      </c>
      <c r="L470" s="4">
        <v>3</v>
      </c>
      <c r="M470" s="6" t="s">
        <v>501</v>
      </c>
      <c r="O470" s="13" t="str">
        <f t="shared" si="468"/>
        <v>1.05</v>
      </c>
      <c r="P470" s="13" t="str">
        <f t="shared" si="469"/>
        <v>1.05</v>
      </c>
      <c r="Q470" s="13" t="str">
        <f t="shared" si="470"/>
        <v>1.05</v>
      </c>
      <c r="R470" s="13" t="str">
        <f>Q470</f>
        <v>1.05</v>
      </c>
      <c r="S470" s="13">
        <v>1</v>
      </c>
      <c r="T470" s="6" t="str">
        <f t="shared" si="453"/>
        <v>1|1.05#2|1.05#3|1.05#4|1.05#5|1</v>
      </c>
    </row>
    <row r="471" s="6" customFormat="1" ht="16.5" spans="1:20">
      <c r="A471" s="6">
        <v>1010477</v>
      </c>
      <c r="B471" s="6">
        <v>26001</v>
      </c>
      <c r="C471" s="6">
        <v>1</v>
      </c>
      <c r="D471" s="6">
        <v>5</v>
      </c>
      <c r="E471" s="6" t="str">
        <f t="shared" si="454"/>
        <v>206001:3</v>
      </c>
      <c r="F471" s="11" t="s">
        <v>362</v>
      </c>
      <c r="G471" s="6">
        <v>0</v>
      </c>
      <c r="H471" s="6">
        <v>0</v>
      </c>
      <c r="I471" s="6" t="s">
        <v>40</v>
      </c>
      <c r="K471" s="6" t="str">
        <f t="shared" si="450"/>
        <v>206001</v>
      </c>
      <c r="L471" s="4">
        <v>3</v>
      </c>
      <c r="M471" s="6" t="s">
        <v>502</v>
      </c>
      <c r="O471" s="13" t="str">
        <f t="shared" si="468"/>
        <v>1.05</v>
      </c>
      <c r="P471" s="13" t="str">
        <f t="shared" si="469"/>
        <v>1.05</v>
      </c>
      <c r="Q471" s="13" t="str">
        <f t="shared" si="470"/>
        <v>1.05</v>
      </c>
      <c r="R471" s="13" t="str">
        <f>Q471</f>
        <v>1.05</v>
      </c>
      <c r="S471" s="13" t="str">
        <f>R471</f>
        <v>1.05</v>
      </c>
      <c r="T471" s="6" t="str">
        <f t="shared" si="453"/>
        <v>1|1.05#2|1.05#3|1.05#4|1.05#5|1.05</v>
      </c>
    </row>
    <row r="472" s="6" customFormat="1" ht="16.5" spans="1:20">
      <c r="A472" s="6">
        <v>1010478</v>
      </c>
      <c r="B472" s="6">
        <v>26001</v>
      </c>
      <c r="C472" s="6">
        <v>1</v>
      </c>
      <c r="D472" s="6">
        <v>6</v>
      </c>
      <c r="E472" s="6" t="str">
        <f t="shared" si="454"/>
        <v>206001:5</v>
      </c>
      <c r="F472" s="11">
        <v>0</v>
      </c>
      <c r="G472" s="6">
        <v>11002</v>
      </c>
      <c r="H472" s="6" t="s">
        <v>407</v>
      </c>
      <c r="I472" s="6">
        <v>0</v>
      </c>
      <c r="K472" s="6" t="str">
        <f t="shared" si="450"/>
        <v>206001</v>
      </c>
      <c r="L472" s="13">
        <v>5</v>
      </c>
      <c r="M472" s="6" t="s">
        <v>503</v>
      </c>
      <c r="O472" s="13" t="str">
        <f t="shared" ref="O472:S472" si="471">O471</f>
        <v>1.05</v>
      </c>
      <c r="P472" s="13" t="str">
        <f t="shared" si="471"/>
        <v>1.05</v>
      </c>
      <c r="Q472" s="13" t="str">
        <f t="shared" si="471"/>
        <v>1.05</v>
      </c>
      <c r="R472" s="13" t="str">
        <f t="shared" si="471"/>
        <v>1.05</v>
      </c>
      <c r="S472" s="13" t="str">
        <f t="shared" si="471"/>
        <v>1.05</v>
      </c>
      <c r="T472" s="6" t="str">
        <f t="shared" si="453"/>
        <v>1|1.05#2|1.05#3|1.05#4|1.05#5|1.05</v>
      </c>
    </row>
    <row r="473" s="6" customFormat="1" ht="16.5" spans="1:20">
      <c r="A473" s="6">
        <v>1010479</v>
      </c>
      <c r="B473" s="6">
        <v>26001</v>
      </c>
      <c r="C473" s="6">
        <v>2</v>
      </c>
      <c r="D473" s="6">
        <v>0</v>
      </c>
      <c r="E473" s="6" t="str">
        <f t="shared" si="454"/>
        <v>206001:5</v>
      </c>
      <c r="F473" s="11" t="s">
        <v>364</v>
      </c>
      <c r="G473" s="6">
        <v>0</v>
      </c>
      <c r="H473" s="6">
        <v>0</v>
      </c>
      <c r="I473" s="6" t="s">
        <v>43</v>
      </c>
      <c r="K473" s="6" t="str">
        <f t="shared" si="450"/>
        <v>206001</v>
      </c>
      <c r="L473" s="4">
        <v>5</v>
      </c>
      <c r="M473" s="6" t="s">
        <v>504</v>
      </c>
      <c r="O473" s="15" t="str">
        <f>O472</f>
        <v>1.05</v>
      </c>
      <c r="P473" s="15" t="str">
        <f t="shared" ref="P473:S473" si="472">O473</f>
        <v>1.05</v>
      </c>
      <c r="Q473" s="15" t="str">
        <f t="shared" si="472"/>
        <v>1.05</v>
      </c>
      <c r="R473" s="15" t="str">
        <f>P473</f>
        <v>1.05</v>
      </c>
      <c r="S473" s="15" t="str">
        <f t="shared" si="472"/>
        <v>1.05</v>
      </c>
      <c r="T473" s="6" t="str">
        <f t="shared" si="453"/>
        <v>1|1.05#2|1.05#3|1.05#4|1.05#5|1.05</v>
      </c>
    </row>
    <row r="474" s="6" customFormat="1" ht="16.5" spans="1:20">
      <c r="A474" s="6">
        <v>1010480</v>
      </c>
      <c r="B474" s="6">
        <v>26001</v>
      </c>
      <c r="C474" s="6">
        <v>2</v>
      </c>
      <c r="D474" s="6">
        <v>1</v>
      </c>
      <c r="E474" s="6" t="str">
        <f t="shared" si="454"/>
        <v>206001:5</v>
      </c>
      <c r="F474" s="11" t="s">
        <v>366</v>
      </c>
      <c r="G474" s="6">
        <v>0</v>
      </c>
      <c r="H474" s="6">
        <v>0</v>
      </c>
      <c r="I474" s="6" t="s">
        <v>45</v>
      </c>
      <c r="K474" s="6" t="str">
        <f t="shared" si="450"/>
        <v>206001</v>
      </c>
      <c r="L474" s="4">
        <v>5</v>
      </c>
      <c r="M474" s="6" t="s">
        <v>504</v>
      </c>
      <c r="O474" s="13" t="str">
        <f t="shared" ref="O474:O478" si="473">RIGHT(F474,LEN(F474)-2)</f>
        <v>1.1</v>
      </c>
      <c r="P474" s="13">
        <v>1.05</v>
      </c>
      <c r="Q474" s="13" t="str">
        <f t="shared" ref="Q474:S474" si="474">Q473</f>
        <v>1.05</v>
      </c>
      <c r="R474" s="13" t="str">
        <f t="shared" si="474"/>
        <v>1.05</v>
      </c>
      <c r="S474" s="13" t="str">
        <f t="shared" si="474"/>
        <v>1.05</v>
      </c>
      <c r="T474" s="6" t="str">
        <f t="shared" si="453"/>
        <v>1|1.1#2|1.05#3|1.05#4|1.05#5|1.05</v>
      </c>
    </row>
    <row r="475" s="6" customFormat="1" ht="16.5" spans="1:20">
      <c r="A475" s="6">
        <v>1010481</v>
      </c>
      <c r="B475" s="6">
        <v>26001</v>
      </c>
      <c r="C475" s="6">
        <v>2</v>
      </c>
      <c r="D475" s="6">
        <v>2</v>
      </c>
      <c r="E475" s="6" t="str">
        <f t="shared" si="454"/>
        <v>206001:5</v>
      </c>
      <c r="F475" s="11" t="s">
        <v>367</v>
      </c>
      <c r="G475" s="6">
        <v>0</v>
      </c>
      <c r="H475" s="6">
        <v>0</v>
      </c>
      <c r="I475" s="6" t="s">
        <v>47</v>
      </c>
      <c r="K475" s="6" t="str">
        <f t="shared" si="450"/>
        <v>206001</v>
      </c>
      <c r="L475" s="4">
        <v>5</v>
      </c>
      <c r="M475" s="6" t="s">
        <v>504</v>
      </c>
      <c r="O475" s="13" t="str">
        <f t="shared" si="473"/>
        <v>1.1</v>
      </c>
      <c r="P475" s="13" t="str">
        <f t="shared" ref="P475:P478" si="475">O475</f>
        <v>1.1</v>
      </c>
      <c r="Q475" s="13">
        <v>1.05</v>
      </c>
      <c r="R475" s="13" t="str">
        <f>R474</f>
        <v>1.05</v>
      </c>
      <c r="S475" s="13" t="str">
        <f>S474</f>
        <v>1.05</v>
      </c>
      <c r="T475" s="6" t="str">
        <f t="shared" si="453"/>
        <v>1|1.1#2|1.1#3|1.05#4|1.05#5|1.05</v>
      </c>
    </row>
    <row r="476" s="6" customFormat="1" ht="16.5" spans="1:20">
      <c r="A476" s="6">
        <v>1010482</v>
      </c>
      <c r="B476" s="6">
        <v>26001</v>
      </c>
      <c r="C476" s="6">
        <v>2</v>
      </c>
      <c r="D476" s="6">
        <v>3</v>
      </c>
      <c r="E476" s="6" t="str">
        <f t="shared" si="454"/>
        <v>206001:6</v>
      </c>
      <c r="F476" s="11" t="s">
        <v>368</v>
      </c>
      <c r="G476" s="6">
        <v>0</v>
      </c>
      <c r="H476" s="6">
        <v>0</v>
      </c>
      <c r="I476" s="6" t="s">
        <v>49</v>
      </c>
      <c r="K476" s="6" t="str">
        <f t="shared" si="450"/>
        <v>206001</v>
      </c>
      <c r="L476" s="4">
        <v>6</v>
      </c>
      <c r="M476" s="6" t="s">
        <v>504</v>
      </c>
      <c r="O476" s="13" t="str">
        <f t="shared" si="473"/>
        <v>1.1</v>
      </c>
      <c r="P476" s="13" t="str">
        <f t="shared" si="475"/>
        <v>1.1</v>
      </c>
      <c r="Q476" s="13" t="str">
        <f t="shared" ref="Q476:Q478" si="476">P476</f>
        <v>1.1</v>
      </c>
      <c r="R476" s="13">
        <v>1.05</v>
      </c>
      <c r="S476" s="13" t="str">
        <f>S475</f>
        <v>1.05</v>
      </c>
      <c r="T476" s="6" t="str">
        <f t="shared" si="453"/>
        <v>1|1.1#2|1.1#3|1.1#4|1.05#5|1.05</v>
      </c>
    </row>
    <row r="477" s="6" customFormat="1" ht="16.5" spans="1:20">
      <c r="A477" s="6">
        <v>1010483</v>
      </c>
      <c r="B477" s="6">
        <v>26001</v>
      </c>
      <c r="C477" s="6">
        <v>2</v>
      </c>
      <c r="D477" s="6">
        <v>4</v>
      </c>
      <c r="E477" s="6" t="str">
        <f t="shared" si="454"/>
        <v>206001:6</v>
      </c>
      <c r="F477" s="11" t="s">
        <v>369</v>
      </c>
      <c r="G477" s="6">
        <v>0</v>
      </c>
      <c r="H477" s="6">
        <v>0</v>
      </c>
      <c r="I477" s="6" t="s">
        <v>51</v>
      </c>
      <c r="K477" s="6" t="str">
        <f t="shared" si="450"/>
        <v>206001</v>
      </c>
      <c r="L477" s="4">
        <v>6</v>
      </c>
      <c r="M477" s="6" t="s">
        <v>504</v>
      </c>
      <c r="O477" s="13" t="str">
        <f t="shared" si="473"/>
        <v>1.1</v>
      </c>
      <c r="P477" s="13" t="str">
        <f t="shared" si="475"/>
        <v>1.1</v>
      </c>
      <c r="Q477" s="13" t="str">
        <f t="shared" si="476"/>
        <v>1.1</v>
      </c>
      <c r="R477" s="13" t="str">
        <f>Q477</f>
        <v>1.1</v>
      </c>
      <c r="S477" s="13">
        <v>1.05</v>
      </c>
      <c r="T477" s="6" t="str">
        <f t="shared" si="453"/>
        <v>1|1.1#2|1.1#3|1.1#4|1.1#5|1.05</v>
      </c>
    </row>
    <row r="478" s="6" customFormat="1" ht="16.5" spans="1:20">
      <c r="A478" s="6">
        <v>1010484</v>
      </c>
      <c r="B478" s="6">
        <v>26001</v>
      </c>
      <c r="C478" s="6">
        <v>2</v>
      </c>
      <c r="D478" s="6">
        <v>5</v>
      </c>
      <c r="E478" s="6" t="str">
        <f t="shared" si="454"/>
        <v>206001:6</v>
      </c>
      <c r="F478" s="11" t="s">
        <v>370</v>
      </c>
      <c r="G478" s="6">
        <v>0</v>
      </c>
      <c r="H478" s="6">
        <v>0</v>
      </c>
      <c r="I478" s="6" t="s">
        <v>40</v>
      </c>
      <c r="K478" s="6" t="str">
        <f t="shared" si="450"/>
        <v>206001</v>
      </c>
      <c r="L478" s="4">
        <v>6</v>
      </c>
      <c r="M478" s="6" t="s">
        <v>210</v>
      </c>
      <c r="O478" s="13" t="str">
        <f t="shared" si="473"/>
        <v>1.1</v>
      </c>
      <c r="P478" s="13" t="str">
        <f t="shared" si="475"/>
        <v>1.1</v>
      </c>
      <c r="Q478" s="13" t="str">
        <f t="shared" si="476"/>
        <v>1.1</v>
      </c>
      <c r="R478" s="13" t="str">
        <f>Q478</f>
        <v>1.1</v>
      </c>
      <c r="S478" s="13" t="str">
        <f>R478</f>
        <v>1.1</v>
      </c>
      <c r="T478" s="6" t="str">
        <f t="shared" si="453"/>
        <v>1|1.1#2|1.1#3|1.1#4|1.1#5|1.1</v>
      </c>
    </row>
    <row r="479" s="6" customFormat="1" ht="16.5" spans="1:20">
      <c r="A479" s="6">
        <v>1010485</v>
      </c>
      <c r="B479" s="6">
        <v>26001</v>
      </c>
      <c r="C479" s="6">
        <v>2</v>
      </c>
      <c r="D479" s="6">
        <v>6</v>
      </c>
      <c r="E479" s="6" t="str">
        <f t="shared" si="454"/>
        <v>206001:7</v>
      </c>
      <c r="F479" s="11">
        <v>0</v>
      </c>
      <c r="G479" s="6">
        <v>11002</v>
      </c>
      <c r="H479" s="6" t="s">
        <v>407</v>
      </c>
      <c r="I479" s="6">
        <v>0</v>
      </c>
      <c r="K479" s="6" t="str">
        <f t="shared" si="450"/>
        <v>206001</v>
      </c>
      <c r="L479" s="13">
        <v>7</v>
      </c>
      <c r="M479" s="6" t="s">
        <v>503</v>
      </c>
      <c r="O479" s="13" t="str">
        <f t="shared" ref="O479:S479" si="477">O478</f>
        <v>1.1</v>
      </c>
      <c r="P479" s="13" t="str">
        <f t="shared" si="477"/>
        <v>1.1</v>
      </c>
      <c r="Q479" s="13" t="str">
        <f t="shared" si="477"/>
        <v>1.1</v>
      </c>
      <c r="R479" s="13" t="str">
        <f t="shared" si="477"/>
        <v>1.1</v>
      </c>
      <c r="S479" s="13" t="str">
        <f t="shared" si="477"/>
        <v>1.1</v>
      </c>
      <c r="T479" s="6" t="str">
        <f t="shared" si="453"/>
        <v>1|1.1#2|1.1#3|1.1#4|1.1#5|1.1</v>
      </c>
    </row>
    <row r="480" s="6" customFormat="1" ht="16.5" spans="1:20">
      <c r="A480" s="6">
        <v>1010486</v>
      </c>
      <c r="B480" s="6">
        <v>26001</v>
      </c>
      <c r="C480" s="6">
        <v>3</v>
      </c>
      <c r="D480" s="6">
        <v>0</v>
      </c>
      <c r="E480" s="6" t="str">
        <f t="shared" si="454"/>
        <v>206001:9</v>
      </c>
      <c r="F480" s="11" t="s">
        <v>371</v>
      </c>
      <c r="G480" s="6">
        <v>0</v>
      </c>
      <c r="H480" s="6">
        <v>0</v>
      </c>
      <c r="I480" s="6" t="s">
        <v>55</v>
      </c>
      <c r="K480" s="6" t="str">
        <f t="shared" si="450"/>
        <v>206001</v>
      </c>
      <c r="L480" s="4">
        <v>9</v>
      </c>
      <c r="M480" s="6" t="s">
        <v>505</v>
      </c>
      <c r="O480" s="15" t="str">
        <f>O479</f>
        <v>1.1</v>
      </c>
      <c r="P480" s="15" t="str">
        <f t="shared" ref="P480:S480" si="478">O480</f>
        <v>1.1</v>
      </c>
      <c r="Q480" s="15" t="str">
        <f t="shared" si="478"/>
        <v>1.1</v>
      </c>
      <c r="R480" s="15" t="str">
        <f>P480</f>
        <v>1.1</v>
      </c>
      <c r="S480" s="15" t="str">
        <f t="shared" si="478"/>
        <v>1.1</v>
      </c>
      <c r="T480" s="6" t="str">
        <f t="shared" si="453"/>
        <v>1|1.1#2|1.1#3|1.1#4|1.1#5|1.1</v>
      </c>
    </row>
    <row r="481" s="6" customFormat="1" ht="16.5" spans="1:20">
      <c r="A481" s="6">
        <v>1010487</v>
      </c>
      <c r="B481" s="6">
        <v>26001</v>
      </c>
      <c r="C481" s="6">
        <v>3</v>
      </c>
      <c r="D481" s="6">
        <v>1</v>
      </c>
      <c r="E481" s="6" t="str">
        <f t="shared" si="454"/>
        <v>206001:9</v>
      </c>
      <c r="F481" s="11" t="s">
        <v>373</v>
      </c>
      <c r="G481" s="6">
        <v>0</v>
      </c>
      <c r="H481" s="6">
        <v>0</v>
      </c>
      <c r="I481" s="6" t="s">
        <v>57</v>
      </c>
      <c r="K481" s="6" t="str">
        <f t="shared" si="450"/>
        <v>206001</v>
      </c>
      <c r="L481" s="4">
        <v>9</v>
      </c>
      <c r="M481" s="6" t="s">
        <v>505</v>
      </c>
      <c r="O481" s="13" t="str">
        <f t="shared" ref="O481:O485" si="479">RIGHT(F481,LEN(F481)-2)</f>
        <v>1.15</v>
      </c>
      <c r="P481" s="13" t="str">
        <f t="shared" ref="P481:S481" si="480">P480</f>
        <v>1.1</v>
      </c>
      <c r="Q481" s="13" t="str">
        <f t="shared" si="480"/>
        <v>1.1</v>
      </c>
      <c r="R481" s="13" t="str">
        <f t="shared" si="480"/>
        <v>1.1</v>
      </c>
      <c r="S481" s="13" t="str">
        <f t="shared" si="480"/>
        <v>1.1</v>
      </c>
      <c r="T481" s="6" t="str">
        <f t="shared" si="453"/>
        <v>1|1.15#2|1.1#3|1.1#4|1.1#5|1.1</v>
      </c>
    </row>
    <row r="482" s="6" customFormat="1" ht="16.5" spans="1:20">
      <c r="A482" s="6">
        <v>1010488</v>
      </c>
      <c r="B482" s="6">
        <v>26001</v>
      </c>
      <c r="C482" s="6">
        <v>3</v>
      </c>
      <c r="D482" s="6">
        <v>2</v>
      </c>
      <c r="E482" s="6" t="str">
        <f t="shared" si="454"/>
        <v>206001:9</v>
      </c>
      <c r="F482" s="11" t="s">
        <v>374</v>
      </c>
      <c r="G482" s="6">
        <v>0</v>
      </c>
      <c r="H482" s="6">
        <v>0</v>
      </c>
      <c r="I482" s="6" t="s">
        <v>59</v>
      </c>
      <c r="K482" s="6" t="str">
        <f t="shared" si="450"/>
        <v>206001</v>
      </c>
      <c r="L482" s="4">
        <v>9</v>
      </c>
      <c r="M482" s="6" t="s">
        <v>505</v>
      </c>
      <c r="O482" s="13" t="str">
        <f t="shared" si="479"/>
        <v>1.15</v>
      </c>
      <c r="P482" s="13" t="str">
        <f t="shared" ref="P482:P485" si="481">O482</f>
        <v>1.15</v>
      </c>
      <c r="Q482" s="13" t="str">
        <f t="shared" ref="Q482:S482" si="482">Q481</f>
        <v>1.1</v>
      </c>
      <c r="R482" s="13" t="str">
        <f t="shared" si="482"/>
        <v>1.1</v>
      </c>
      <c r="S482" s="13" t="str">
        <f t="shared" si="482"/>
        <v>1.1</v>
      </c>
      <c r="T482" s="6" t="str">
        <f t="shared" si="453"/>
        <v>1|1.15#2|1.15#3|1.1#4|1.1#5|1.1</v>
      </c>
    </row>
    <row r="483" s="6" customFormat="1" ht="16.5" spans="1:20">
      <c r="A483" s="6">
        <v>1010489</v>
      </c>
      <c r="B483" s="6">
        <v>26001</v>
      </c>
      <c r="C483" s="6">
        <v>3</v>
      </c>
      <c r="D483" s="6">
        <v>3</v>
      </c>
      <c r="E483" s="6" t="str">
        <f t="shared" si="454"/>
        <v>206001:11</v>
      </c>
      <c r="F483" s="11" t="s">
        <v>375</v>
      </c>
      <c r="G483" s="6">
        <v>0</v>
      </c>
      <c r="H483" s="6">
        <v>0</v>
      </c>
      <c r="I483" s="6" t="s">
        <v>61</v>
      </c>
      <c r="K483" s="6" t="str">
        <f t="shared" si="450"/>
        <v>206001</v>
      </c>
      <c r="L483" s="4">
        <v>11</v>
      </c>
      <c r="M483" s="6" t="s">
        <v>505</v>
      </c>
      <c r="O483" s="13" t="str">
        <f t="shared" si="479"/>
        <v>1.15</v>
      </c>
      <c r="P483" s="13" t="str">
        <f t="shared" si="481"/>
        <v>1.15</v>
      </c>
      <c r="Q483" s="13" t="str">
        <f t="shared" ref="Q483:Q485" si="483">P483</f>
        <v>1.15</v>
      </c>
      <c r="R483" s="13" t="str">
        <f>R482</f>
        <v>1.1</v>
      </c>
      <c r="S483" s="13" t="str">
        <f>S482</f>
        <v>1.1</v>
      </c>
      <c r="T483" s="6" t="str">
        <f t="shared" si="453"/>
        <v>1|1.15#2|1.15#3|1.15#4|1.1#5|1.1</v>
      </c>
    </row>
    <row r="484" s="6" customFormat="1" ht="16.5" spans="1:20">
      <c r="A484" s="6">
        <v>1010490</v>
      </c>
      <c r="B484" s="6">
        <v>26001</v>
      </c>
      <c r="C484" s="6">
        <v>3</v>
      </c>
      <c r="D484" s="6">
        <v>4</v>
      </c>
      <c r="E484" s="6" t="str">
        <f t="shared" si="454"/>
        <v>206001:11</v>
      </c>
      <c r="F484" s="11" t="s">
        <v>376</v>
      </c>
      <c r="G484" s="6">
        <v>0</v>
      </c>
      <c r="H484" s="6">
        <v>0</v>
      </c>
      <c r="I484" s="6" t="s">
        <v>63</v>
      </c>
      <c r="K484" s="6" t="str">
        <f t="shared" si="450"/>
        <v>206001</v>
      </c>
      <c r="L484" s="4">
        <v>11</v>
      </c>
      <c r="M484" s="6" t="s">
        <v>505</v>
      </c>
      <c r="O484" s="13" t="str">
        <f t="shared" si="479"/>
        <v>1.15</v>
      </c>
      <c r="P484" s="13" t="str">
        <f t="shared" si="481"/>
        <v>1.15</v>
      </c>
      <c r="Q484" s="13" t="str">
        <f t="shared" si="483"/>
        <v>1.15</v>
      </c>
      <c r="R484" s="13" t="str">
        <f>Q484</f>
        <v>1.15</v>
      </c>
      <c r="S484" s="13" t="str">
        <f>S483</f>
        <v>1.1</v>
      </c>
      <c r="T484" s="6" t="str">
        <f t="shared" si="453"/>
        <v>1|1.15#2|1.15#3|1.15#4|1.15#5|1.1</v>
      </c>
    </row>
    <row r="485" s="6" customFormat="1" ht="16.5" spans="1:20">
      <c r="A485" s="6">
        <v>1010491</v>
      </c>
      <c r="B485" s="6">
        <v>26001</v>
      </c>
      <c r="C485" s="6">
        <v>3</v>
      </c>
      <c r="D485" s="6">
        <v>5</v>
      </c>
      <c r="E485" s="6" t="str">
        <f t="shared" si="454"/>
        <v>206001:11</v>
      </c>
      <c r="F485" s="11" t="s">
        <v>377</v>
      </c>
      <c r="G485" s="6">
        <v>0</v>
      </c>
      <c r="H485" s="6">
        <v>0</v>
      </c>
      <c r="I485" s="6" t="s">
        <v>40</v>
      </c>
      <c r="K485" s="6" t="str">
        <f t="shared" si="450"/>
        <v>206001</v>
      </c>
      <c r="L485" s="4">
        <v>11</v>
      </c>
      <c r="M485" s="6" t="s">
        <v>506</v>
      </c>
      <c r="O485" s="13" t="str">
        <f t="shared" si="479"/>
        <v>1.15</v>
      </c>
      <c r="P485" s="13" t="str">
        <f t="shared" si="481"/>
        <v>1.15</v>
      </c>
      <c r="Q485" s="13" t="str">
        <f t="shared" si="483"/>
        <v>1.15</v>
      </c>
      <c r="R485" s="13" t="str">
        <f>Q485</f>
        <v>1.15</v>
      </c>
      <c r="S485" s="13" t="str">
        <f>R485</f>
        <v>1.15</v>
      </c>
      <c r="T485" s="6" t="str">
        <f t="shared" si="453"/>
        <v>1|1.15#2|1.15#3|1.15#4|1.15#5|1.15</v>
      </c>
    </row>
    <row r="486" s="6" customFormat="1" ht="16.5" spans="1:20">
      <c r="A486" s="6">
        <v>1010492</v>
      </c>
      <c r="B486" s="6">
        <v>26001</v>
      </c>
      <c r="C486" s="6">
        <v>3</v>
      </c>
      <c r="D486" s="6">
        <v>6</v>
      </c>
      <c r="E486" s="6" t="str">
        <f t="shared" si="454"/>
        <v>206001:30</v>
      </c>
      <c r="F486" s="11">
        <v>0</v>
      </c>
      <c r="G486" s="6">
        <v>11002</v>
      </c>
      <c r="H486" s="6" t="s">
        <v>407</v>
      </c>
      <c r="I486" s="6">
        <v>0</v>
      </c>
      <c r="K486" s="6" t="str">
        <f t="shared" si="450"/>
        <v>206001</v>
      </c>
      <c r="L486" s="13">
        <v>30</v>
      </c>
      <c r="M486" s="6" t="s">
        <v>503</v>
      </c>
      <c r="O486" s="13" t="str">
        <f t="shared" ref="O486:S486" si="484">O485</f>
        <v>1.15</v>
      </c>
      <c r="P486" s="13" t="str">
        <f t="shared" si="484"/>
        <v>1.15</v>
      </c>
      <c r="Q486" s="13" t="str">
        <f t="shared" si="484"/>
        <v>1.15</v>
      </c>
      <c r="R486" s="13" t="str">
        <f t="shared" si="484"/>
        <v>1.15</v>
      </c>
      <c r="S486" s="13" t="str">
        <f t="shared" si="484"/>
        <v>1.15</v>
      </c>
      <c r="T486" s="6" t="str">
        <f t="shared" si="453"/>
        <v>1|1.15#2|1.15#3|1.15#4|1.15#5|1.15</v>
      </c>
    </row>
    <row r="487" s="6" customFormat="1" ht="16.5" spans="1:20">
      <c r="A487" s="6">
        <v>1010493</v>
      </c>
      <c r="B487" s="6">
        <v>26001</v>
      </c>
      <c r="C487" s="6">
        <v>4</v>
      </c>
      <c r="D487" s="6">
        <v>0</v>
      </c>
      <c r="E487" s="6" t="str">
        <f t="shared" si="454"/>
        <v>206001:13</v>
      </c>
      <c r="F487" s="11" t="s">
        <v>379</v>
      </c>
      <c r="G487" s="6">
        <v>0</v>
      </c>
      <c r="H487" s="6">
        <v>0</v>
      </c>
      <c r="I487" s="6" t="s">
        <v>67</v>
      </c>
      <c r="K487" s="6" t="str">
        <f t="shared" si="450"/>
        <v>206001</v>
      </c>
      <c r="L487" s="4">
        <v>13</v>
      </c>
      <c r="M487" s="6" t="s">
        <v>507</v>
      </c>
      <c r="O487" s="15" t="str">
        <f>O486</f>
        <v>1.15</v>
      </c>
      <c r="P487" s="15" t="str">
        <f t="shared" ref="P487:S487" si="485">O487</f>
        <v>1.15</v>
      </c>
      <c r="Q487" s="15" t="str">
        <f t="shared" si="485"/>
        <v>1.15</v>
      </c>
      <c r="R487" s="15" t="str">
        <f>P487</f>
        <v>1.15</v>
      </c>
      <c r="S487" s="15" t="str">
        <f t="shared" si="485"/>
        <v>1.15</v>
      </c>
      <c r="T487" s="6" t="str">
        <f t="shared" si="453"/>
        <v>1|1.15#2|1.15#3|1.15#4|1.15#5|1.15</v>
      </c>
    </row>
    <row r="488" s="6" customFormat="1" ht="16.5" spans="1:20">
      <c r="A488" s="6">
        <v>1010494</v>
      </c>
      <c r="B488" s="6">
        <v>26001</v>
      </c>
      <c r="C488" s="6">
        <v>4</v>
      </c>
      <c r="D488" s="6">
        <v>1</v>
      </c>
      <c r="E488" s="6" t="str">
        <f t="shared" si="454"/>
        <v>206001:13</v>
      </c>
      <c r="F488" s="11" t="s">
        <v>381</v>
      </c>
      <c r="G488" s="6">
        <v>0</v>
      </c>
      <c r="H488" s="6">
        <v>0</v>
      </c>
      <c r="I488" s="6" t="s">
        <v>69</v>
      </c>
      <c r="K488" s="6" t="str">
        <f t="shared" si="450"/>
        <v>206001</v>
      </c>
      <c r="L488" s="4">
        <v>13</v>
      </c>
      <c r="M488" s="6" t="s">
        <v>507</v>
      </c>
      <c r="O488" s="13" t="str">
        <f t="shared" ref="O488:O492" si="486">RIGHT(F488,LEN(F488)-2)</f>
        <v>1.2</v>
      </c>
      <c r="P488" s="13" t="str">
        <f t="shared" ref="P488:S488" si="487">P487</f>
        <v>1.15</v>
      </c>
      <c r="Q488" s="13" t="str">
        <f t="shared" si="487"/>
        <v>1.15</v>
      </c>
      <c r="R488" s="13" t="str">
        <f t="shared" si="487"/>
        <v>1.15</v>
      </c>
      <c r="S488" s="13" t="str">
        <f t="shared" si="487"/>
        <v>1.15</v>
      </c>
      <c r="T488" s="6" t="str">
        <f t="shared" si="453"/>
        <v>1|1.2#2|1.15#3|1.15#4|1.15#5|1.15</v>
      </c>
    </row>
    <row r="489" s="6" customFormat="1" ht="16.5" spans="1:20">
      <c r="A489" s="6">
        <v>1010495</v>
      </c>
      <c r="B489" s="6">
        <v>26001</v>
      </c>
      <c r="C489" s="6">
        <v>4</v>
      </c>
      <c r="D489" s="6">
        <v>2</v>
      </c>
      <c r="E489" s="6" t="str">
        <f t="shared" si="454"/>
        <v>206001:13</v>
      </c>
      <c r="F489" s="11" t="s">
        <v>382</v>
      </c>
      <c r="G489" s="6">
        <v>0</v>
      </c>
      <c r="H489" s="6">
        <v>0</v>
      </c>
      <c r="I489" s="6" t="s">
        <v>71</v>
      </c>
      <c r="K489" s="6" t="str">
        <f t="shared" si="450"/>
        <v>206001</v>
      </c>
      <c r="L489" s="4">
        <v>13</v>
      </c>
      <c r="M489" s="6" t="s">
        <v>507</v>
      </c>
      <c r="O489" s="13" t="str">
        <f t="shared" si="486"/>
        <v>1.2</v>
      </c>
      <c r="P489" s="13" t="str">
        <f t="shared" ref="P489:P492" si="488">O489</f>
        <v>1.2</v>
      </c>
      <c r="Q489" s="13" t="str">
        <f t="shared" ref="Q489:S489" si="489">Q488</f>
        <v>1.15</v>
      </c>
      <c r="R489" s="13" t="str">
        <f t="shared" si="489"/>
        <v>1.15</v>
      </c>
      <c r="S489" s="13" t="str">
        <f t="shared" si="489"/>
        <v>1.15</v>
      </c>
      <c r="T489" s="6" t="str">
        <f t="shared" si="453"/>
        <v>1|1.2#2|1.2#3|1.15#4|1.15#5|1.15</v>
      </c>
    </row>
    <row r="490" s="6" customFormat="1" ht="16.5" spans="1:20">
      <c r="A490" s="6">
        <v>1010496</v>
      </c>
      <c r="B490" s="6">
        <v>26001</v>
      </c>
      <c r="C490" s="6">
        <v>4</v>
      </c>
      <c r="D490" s="6">
        <v>3</v>
      </c>
      <c r="E490" s="6" t="str">
        <f t="shared" si="454"/>
        <v>206001:17</v>
      </c>
      <c r="F490" s="11" t="s">
        <v>383</v>
      </c>
      <c r="G490" s="6">
        <v>0</v>
      </c>
      <c r="H490" s="6">
        <v>0</v>
      </c>
      <c r="I490" s="6" t="s">
        <v>73</v>
      </c>
      <c r="K490" s="6" t="str">
        <f t="shared" si="450"/>
        <v>206001</v>
      </c>
      <c r="L490" s="4">
        <v>17</v>
      </c>
      <c r="M490" s="6" t="s">
        <v>507</v>
      </c>
      <c r="O490" s="13" t="str">
        <f t="shared" si="486"/>
        <v>1.2</v>
      </c>
      <c r="P490" s="13" t="str">
        <f t="shared" si="488"/>
        <v>1.2</v>
      </c>
      <c r="Q490" s="13" t="str">
        <f t="shared" ref="Q490:Q492" si="490">P490</f>
        <v>1.2</v>
      </c>
      <c r="R490" s="13" t="str">
        <f>R489</f>
        <v>1.15</v>
      </c>
      <c r="S490" s="13" t="str">
        <f>S489</f>
        <v>1.15</v>
      </c>
      <c r="T490" s="6" t="str">
        <f t="shared" si="453"/>
        <v>1|1.2#2|1.2#3|1.2#4|1.15#5|1.15</v>
      </c>
    </row>
    <row r="491" s="6" customFormat="1" ht="16.5" spans="1:20">
      <c r="A491" s="6">
        <v>1010497</v>
      </c>
      <c r="B491" s="6">
        <v>26001</v>
      </c>
      <c r="C491" s="6">
        <v>4</v>
      </c>
      <c r="D491" s="6">
        <v>4</v>
      </c>
      <c r="E491" s="6" t="str">
        <f t="shared" si="454"/>
        <v>206001:17</v>
      </c>
      <c r="F491" s="11" t="s">
        <v>384</v>
      </c>
      <c r="G491" s="6">
        <v>0</v>
      </c>
      <c r="H491" s="6">
        <v>0</v>
      </c>
      <c r="I491" s="6" t="s">
        <v>75</v>
      </c>
      <c r="K491" s="6" t="str">
        <f t="shared" si="450"/>
        <v>206001</v>
      </c>
      <c r="L491" s="4">
        <v>17</v>
      </c>
      <c r="M491" s="6" t="s">
        <v>507</v>
      </c>
      <c r="O491" s="13" t="str">
        <f t="shared" si="486"/>
        <v>1.2</v>
      </c>
      <c r="P491" s="13" t="str">
        <f t="shared" si="488"/>
        <v>1.2</v>
      </c>
      <c r="Q491" s="13" t="str">
        <f t="shared" si="490"/>
        <v>1.2</v>
      </c>
      <c r="R491" s="13" t="str">
        <f>Q491</f>
        <v>1.2</v>
      </c>
      <c r="S491" s="13" t="str">
        <f>S490</f>
        <v>1.15</v>
      </c>
      <c r="T491" s="6" t="str">
        <f t="shared" si="453"/>
        <v>1|1.2#2|1.2#3|1.2#4|1.2#5|1.15</v>
      </c>
    </row>
    <row r="492" s="6" customFormat="1" ht="16.5" spans="1:20">
      <c r="A492" s="6">
        <v>1010498</v>
      </c>
      <c r="B492" s="6">
        <v>26001</v>
      </c>
      <c r="C492" s="6">
        <v>4</v>
      </c>
      <c r="D492" s="6">
        <v>5</v>
      </c>
      <c r="E492" s="6" t="str">
        <f t="shared" si="454"/>
        <v>206001:17</v>
      </c>
      <c r="F492" s="11" t="s">
        <v>385</v>
      </c>
      <c r="G492" s="6">
        <v>0</v>
      </c>
      <c r="H492" s="6">
        <v>0</v>
      </c>
      <c r="I492" s="6" t="s">
        <v>40</v>
      </c>
      <c r="K492" s="6" t="str">
        <f t="shared" si="450"/>
        <v>206001</v>
      </c>
      <c r="L492" s="4">
        <v>17</v>
      </c>
      <c r="M492" s="6" t="s">
        <v>212</v>
      </c>
      <c r="O492" s="13" t="str">
        <f t="shared" si="486"/>
        <v>1.2</v>
      </c>
      <c r="P492" s="13" t="str">
        <f t="shared" si="488"/>
        <v>1.2</v>
      </c>
      <c r="Q492" s="13" t="str">
        <f t="shared" si="490"/>
        <v>1.2</v>
      </c>
      <c r="R492" s="13" t="str">
        <f>Q492</f>
        <v>1.2</v>
      </c>
      <c r="S492" s="13" t="str">
        <f>R492</f>
        <v>1.2</v>
      </c>
      <c r="T492" s="6" t="str">
        <f t="shared" si="453"/>
        <v>1|1.2#2|1.2#3|1.2#4|1.2#5|1.2</v>
      </c>
    </row>
    <row r="493" s="6" customFormat="1" ht="16.5" spans="1:20">
      <c r="A493" s="6">
        <v>1010499</v>
      </c>
      <c r="B493" s="6">
        <v>26001</v>
      </c>
      <c r="C493" s="6">
        <v>4</v>
      </c>
      <c r="D493" s="6">
        <v>6</v>
      </c>
      <c r="E493" s="6" t="str">
        <f t="shared" si="454"/>
        <v>206001:60</v>
      </c>
      <c r="F493" s="11">
        <v>0</v>
      </c>
      <c r="G493" s="6">
        <v>11002</v>
      </c>
      <c r="H493" s="6" t="s">
        <v>407</v>
      </c>
      <c r="I493" s="6">
        <v>0</v>
      </c>
      <c r="K493" s="6" t="str">
        <f t="shared" si="450"/>
        <v>206001</v>
      </c>
      <c r="L493" s="13">
        <v>60</v>
      </c>
      <c r="M493" s="6" t="s">
        <v>503</v>
      </c>
      <c r="O493" s="13" t="str">
        <f t="shared" ref="O493:S493" si="491">O492</f>
        <v>1.2</v>
      </c>
      <c r="P493" s="13" t="str">
        <f t="shared" si="491"/>
        <v>1.2</v>
      </c>
      <c r="Q493" s="13" t="str">
        <f t="shared" si="491"/>
        <v>1.2</v>
      </c>
      <c r="R493" s="13" t="str">
        <f t="shared" si="491"/>
        <v>1.2</v>
      </c>
      <c r="S493" s="13" t="str">
        <f t="shared" si="491"/>
        <v>1.2</v>
      </c>
      <c r="T493" s="6" t="str">
        <f t="shared" si="453"/>
        <v>1|1.2#2|1.2#3|1.2#4|1.2#5|1.2</v>
      </c>
    </row>
    <row r="494" s="6" customFormat="1" ht="16.5" spans="1:20">
      <c r="A494" s="6">
        <v>1010500</v>
      </c>
      <c r="B494" s="6">
        <v>26001</v>
      </c>
      <c r="C494" s="6">
        <v>5</v>
      </c>
      <c r="D494" s="6">
        <v>0</v>
      </c>
      <c r="E494" s="6" t="str">
        <f t="shared" si="454"/>
        <v>206001:18</v>
      </c>
      <c r="F494" s="11" t="s">
        <v>386</v>
      </c>
      <c r="G494" s="6">
        <v>0</v>
      </c>
      <c r="H494" s="6">
        <v>0</v>
      </c>
      <c r="I494" s="6" t="s">
        <v>79</v>
      </c>
      <c r="K494" s="6" t="str">
        <f t="shared" si="450"/>
        <v>206001</v>
      </c>
      <c r="L494" s="4">
        <v>18</v>
      </c>
      <c r="M494" s="6" t="s">
        <v>508</v>
      </c>
      <c r="O494" s="15" t="str">
        <f>O493</f>
        <v>1.2</v>
      </c>
      <c r="P494" s="15" t="str">
        <f t="shared" ref="P494:S494" si="492">O494</f>
        <v>1.2</v>
      </c>
      <c r="Q494" s="15" t="str">
        <f t="shared" si="492"/>
        <v>1.2</v>
      </c>
      <c r="R494" s="15" t="str">
        <f>P494</f>
        <v>1.2</v>
      </c>
      <c r="S494" s="15" t="str">
        <f t="shared" si="492"/>
        <v>1.2</v>
      </c>
      <c r="T494" s="6" t="str">
        <f t="shared" si="453"/>
        <v>1|1.2#2|1.2#3|1.2#4|1.2#5|1.2</v>
      </c>
    </row>
    <row r="495" s="6" customFormat="1" ht="16.5" spans="1:20">
      <c r="A495" s="6">
        <v>1010501</v>
      </c>
      <c r="B495" s="6">
        <v>26001</v>
      </c>
      <c r="C495" s="6">
        <v>5</v>
      </c>
      <c r="D495" s="6">
        <v>1</v>
      </c>
      <c r="E495" s="6" t="str">
        <f t="shared" si="454"/>
        <v>206001:18</v>
      </c>
      <c r="F495" s="11" t="s">
        <v>388</v>
      </c>
      <c r="G495" s="6">
        <v>0</v>
      </c>
      <c r="H495" s="6">
        <v>0</v>
      </c>
      <c r="I495" s="6" t="s">
        <v>81</v>
      </c>
      <c r="K495" s="6" t="str">
        <f t="shared" si="450"/>
        <v>206001</v>
      </c>
      <c r="L495" s="4">
        <v>18</v>
      </c>
      <c r="M495" s="6" t="s">
        <v>508</v>
      </c>
      <c r="O495" s="13" t="str">
        <f t="shared" ref="O495:O499" si="493">RIGHT(F495,LEN(F495)-2)</f>
        <v>1.3</v>
      </c>
      <c r="P495" s="13" t="str">
        <f t="shared" ref="P495:S495" si="494">P494</f>
        <v>1.2</v>
      </c>
      <c r="Q495" s="13" t="str">
        <f t="shared" si="494"/>
        <v>1.2</v>
      </c>
      <c r="R495" s="13" t="str">
        <f t="shared" si="494"/>
        <v>1.2</v>
      </c>
      <c r="S495" s="13" t="str">
        <f t="shared" si="494"/>
        <v>1.2</v>
      </c>
      <c r="T495" s="6" t="str">
        <f t="shared" si="453"/>
        <v>1|1.3#2|1.2#3|1.2#4|1.2#5|1.2</v>
      </c>
    </row>
    <row r="496" s="6" customFormat="1" ht="16.5" spans="1:20">
      <c r="A496" s="6">
        <v>1010502</v>
      </c>
      <c r="B496" s="6">
        <v>26001</v>
      </c>
      <c r="C496" s="6">
        <v>5</v>
      </c>
      <c r="D496" s="6">
        <v>2</v>
      </c>
      <c r="E496" s="6" t="str">
        <f t="shared" si="454"/>
        <v>206001:18</v>
      </c>
      <c r="F496" s="11" t="s">
        <v>389</v>
      </c>
      <c r="G496" s="6">
        <v>0</v>
      </c>
      <c r="H496" s="6">
        <v>0</v>
      </c>
      <c r="I496" s="6" t="s">
        <v>83</v>
      </c>
      <c r="K496" s="6" t="str">
        <f t="shared" si="450"/>
        <v>206001</v>
      </c>
      <c r="L496" s="4">
        <v>18</v>
      </c>
      <c r="M496" s="6" t="s">
        <v>508</v>
      </c>
      <c r="O496" s="13" t="str">
        <f t="shared" si="493"/>
        <v>1.3</v>
      </c>
      <c r="P496" s="13" t="str">
        <f t="shared" ref="P496:P499" si="495">O496</f>
        <v>1.3</v>
      </c>
      <c r="Q496" s="13" t="str">
        <f t="shared" ref="Q496:S496" si="496">Q495</f>
        <v>1.2</v>
      </c>
      <c r="R496" s="13" t="str">
        <f t="shared" si="496"/>
        <v>1.2</v>
      </c>
      <c r="S496" s="13" t="str">
        <f t="shared" si="496"/>
        <v>1.2</v>
      </c>
      <c r="T496" s="6" t="str">
        <f t="shared" si="453"/>
        <v>1|1.3#2|1.3#3|1.2#4|1.2#5|1.2</v>
      </c>
    </row>
    <row r="497" s="6" customFormat="1" ht="16.5" spans="1:20">
      <c r="A497" s="6">
        <v>1010503</v>
      </c>
      <c r="B497" s="6">
        <v>26001</v>
      </c>
      <c r="C497" s="6">
        <v>5</v>
      </c>
      <c r="D497" s="6">
        <v>3</v>
      </c>
      <c r="E497" s="6" t="str">
        <f t="shared" si="454"/>
        <v>206001:22</v>
      </c>
      <c r="F497" s="11" t="s">
        <v>390</v>
      </c>
      <c r="G497" s="6">
        <v>0</v>
      </c>
      <c r="H497" s="6">
        <v>0</v>
      </c>
      <c r="I497" s="6" t="s">
        <v>85</v>
      </c>
      <c r="K497" s="6" t="str">
        <f t="shared" si="450"/>
        <v>206001</v>
      </c>
      <c r="L497" s="4">
        <v>22</v>
      </c>
      <c r="M497" s="6" t="s">
        <v>508</v>
      </c>
      <c r="O497" s="13" t="str">
        <f t="shared" si="493"/>
        <v>1.3</v>
      </c>
      <c r="P497" s="13" t="str">
        <f t="shared" si="495"/>
        <v>1.3</v>
      </c>
      <c r="Q497" s="13" t="str">
        <f t="shared" ref="Q497:Q499" si="497">P497</f>
        <v>1.3</v>
      </c>
      <c r="R497" s="13" t="str">
        <f>R496</f>
        <v>1.2</v>
      </c>
      <c r="S497" s="13" t="str">
        <f>S496</f>
        <v>1.2</v>
      </c>
      <c r="T497" s="6" t="str">
        <f t="shared" si="453"/>
        <v>1|1.3#2|1.3#3|1.3#4|1.2#5|1.2</v>
      </c>
    </row>
    <row r="498" s="6" customFormat="1" ht="16.5" spans="1:20">
      <c r="A498" s="6">
        <v>1010504</v>
      </c>
      <c r="B498" s="6">
        <v>26001</v>
      </c>
      <c r="C498" s="6">
        <v>5</v>
      </c>
      <c r="D498" s="6">
        <v>4</v>
      </c>
      <c r="E498" s="6" t="str">
        <f t="shared" si="454"/>
        <v>206001:22</v>
      </c>
      <c r="F498" s="11" t="s">
        <v>391</v>
      </c>
      <c r="G498" s="6">
        <v>0</v>
      </c>
      <c r="H498" s="6">
        <v>0</v>
      </c>
      <c r="I498" s="6" t="s">
        <v>87</v>
      </c>
      <c r="K498" s="6" t="str">
        <f t="shared" si="450"/>
        <v>206001</v>
      </c>
      <c r="L498" s="4">
        <v>22</v>
      </c>
      <c r="M498" s="6" t="s">
        <v>508</v>
      </c>
      <c r="O498" s="13" t="str">
        <f t="shared" si="493"/>
        <v>1.3</v>
      </c>
      <c r="P498" s="13" t="str">
        <f t="shared" si="495"/>
        <v>1.3</v>
      </c>
      <c r="Q498" s="13" t="str">
        <f t="shared" si="497"/>
        <v>1.3</v>
      </c>
      <c r="R498" s="13" t="str">
        <f>Q498</f>
        <v>1.3</v>
      </c>
      <c r="S498" s="13" t="str">
        <f>S497</f>
        <v>1.2</v>
      </c>
      <c r="T498" s="6" t="str">
        <f t="shared" si="453"/>
        <v>1|1.3#2|1.3#3|1.3#4|1.3#5|1.2</v>
      </c>
    </row>
    <row r="499" s="6" customFormat="1" ht="16.5" spans="1:20">
      <c r="A499" s="6">
        <v>1010505</v>
      </c>
      <c r="B499" s="6">
        <v>26001</v>
      </c>
      <c r="C499" s="6">
        <v>5</v>
      </c>
      <c r="D499" s="6">
        <v>5</v>
      </c>
      <c r="E499" s="6" t="str">
        <f t="shared" si="454"/>
        <v>206001:22</v>
      </c>
      <c r="F499" s="11" t="s">
        <v>392</v>
      </c>
      <c r="G499" s="6">
        <v>0</v>
      </c>
      <c r="H499" s="6">
        <v>0</v>
      </c>
      <c r="I499" s="6" t="s">
        <v>40</v>
      </c>
      <c r="K499" s="6" t="str">
        <f t="shared" si="450"/>
        <v>206001</v>
      </c>
      <c r="L499" s="4">
        <v>22</v>
      </c>
      <c r="M499" s="6" t="s">
        <v>509</v>
      </c>
      <c r="O499" s="13" t="str">
        <f t="shared" si="493"/>
        <v>1.3</v>
      </c>
      <c r="P499" s="13" t="str">
        <f t="shared" si="495"/>
        <v>1.3</v>
      </c>
      <c r="Q499" s="13" t="str">
        <f t="shared" si="497"/>
        <v>1.3</v>
      </c>
      <c r="R499" s="13" t="str">
        <f>Q499</f>
        <v>1.3</v>
      </c>
      <c r="S499" s="13" t="str">
        <f>R499</f>
        <v>1.3</v>
      </c>
      <c r="T499" s="6" t="str">
        <f t="shared" si="453"/>
        <v>1|1.3#2|1.3#3|1.3#4|1.3#5|1.3</v>
      </c>
    </row>
    <row r="500" s="6" customFormat="1" ht="16.5" spans="1:20">
      <c r="A500" s="6">
        <v>1010506</v>
      </c>
      <c r="B500" s="6">
        <v>26001</v>
      </c>
      <c r="C500" s="6">
        <v>5</v>
      </c>
      <c r="D500" s="6">
        <v>6</v>
      </c>
      <c r="E500" s="6" t="str">
        <f t="shared" si="454"/>
        <v>206001:60</v>
      </c>
      <c r="F500" s="11">
        <v>0</v>
      </c>
      <c r="G500" s="6">
        <v>11002</v>
      </c>
      <c r="H500" s="6" t="s">
        <v>407</v>
      </c>
      <c r="I500" s="6">
        <v>0</v>
      </c>
      <c r="K500" s="6" t="str">
        <f t="shared" si="450"/>
        <v>206001</v>
      </c>
      <c r="L500" s="13">
        <v>60</v>
      </c>
      <c r="M500" s="6" t="s">
        <v>503</v>
      </c>
      <c r="O500" s="13" t="str">
        <f t="shared" ref="O500:S500" si="498">O499</f>
        <v>1.3</v>
      </c>
      <c r="P500" s="13" t="str">
        <f t="shared" si="498"/>
        <v>1.3</v>
      </c>
      <c r="Q500" s="13" t="str">
        <f t="shared" si="498"/>
        <v>1.3</v>
      </c>
      <c r="R500" s="13" t="str">
        <f t="shared" si="498"/>
        <v>1.3</v>
      </c>
      <c r="S500" s="13" t="str">
        <f t="shared" si="498"/>
        <v>1.3</v>
      </c>
      <c r="T500" s="6" t="str">
        <f t="shared" si="453"/>
        <v>1|1.3#2|1.3#3|1.3#4|1.3#5|1.3</v>
      </c>
    </row>
    <row r="501" s="6" customFormat="1" ht="16.5" spans="1:20">
      <c r="A501" s="6">
        <v>1010507</v>
      </c>
      <c r="B501" s="6">
        <v>26001</v>
      </c>
      <c r="C501" s="6">
        <v>6</v>
      </c>
      <c r="D501" s="6">
        <v>0</v>
      </c>
      <c r="E501" s="6" t="str">
        <f t="shared" si="454"/>
        <v>206001:24</v>
      </c>
      <c r="F501" s="11" t="s">
        <v>394</v>
      </c>
      <c r="G501" s="6">
        <v>0</v>
      </c>
      <c r="H501" s="6">
        <v>0</v>
      </c>
      <c r="I501" s="6" t="s">
        <v>90</v>
      </c>
      <c r="K501" s="6" t="str">
        <f t="shared" si="450"/>
        <v>206001</v>
      </c>
      <c r="L501" s="4">
        <v>24</v>
      </c>
      <c r="M501" s="6" t="s">
        <v>510</v>
      </c>
      <c r="O501" s="15" t="str">
        <f>O500</f>
        <v>1.3</v>
      </c>
      <c r="P501" s="15" t="str">
        <f t="shared" ref="P501:S501" si="499">O501</f>
        <v>1.3</v>
      </c>
      <c r="Q501" s="15" t="str">
        <f t="shared" si="499"/>
        <v>1.3</v>
      </c>
      <c r="R501" s="15" t="str">
        <f>P501</f>
        <v>1.3</v>
      </c>
      <c r="S501" s="15" t="str">
        <f t="shared" si="499"/>
        <v>1.3</v>
      </c>
      <c r="T501" s="6" t="str">
        <f t="shared" si="453"/>
        <v>1|1.3#2|1.3#3|1.3#4|1.3#5|1.3</v>
      </c>
    </row>
    <row r="502" s="6" customFormat="1" ht="16.5" spans="1:20">
      <c r="A502" s="6">
        <v>1010508</v>
      </c>
      <c r="B502" s="6">
        <v>26001</v>
      </c>
      <c r="C502" s="6">
        <v>6</v>
      </c>
      <c r="D502" s="6">
        <v>1</v>
      </c>
      <c r="E502" s="6" t="str">
        <f t="shared" si="454"/>
        <v>206001:24</v>
      </c>
      <c r="F502" s="11" t="s">
        <v>396</v>
      </c>
      <c r="G502" s="6">
        <v>0</v>
      </c>
      <c r="H502" s="6">
        <v>0</v>
      </c>
      <c r="I502" s="6" t="s">
        <v>92</v>
      </c>
      <c r="K502" s="6" t="str">
        <f t="shared" si="450"/>
        <v>206001</v>
      </c>
      <c r="L502" s="4">
        <v>24</v>
      </c>
      <c r="M502" s="6" t="s">
        <v>510</v>
      </c>
      <c r="O502" s="13" t="str">
        <f t="shared" ref="O502:O506" si="500">RIGHT(F502,LEN(F502)-2)</f>
        <v>1.4</v>
      </c>
      <c r="P502" s="13" t="str">
        <f t="shared" ref="P502:S502" si="501">P501</f>
        <v>1.3</v>
      </c>
      <c r="Q502" s="13" t="str">
        <f t="shared" si="501"/>
        <v>1.3</v>
      </c>
      <c r="R502" s="13" t="str">
        <f t="shared" si="501"/>
        <v>1.3</v>
      </c>
      <c r="S502" s="13" t="str">
        <f t="shared" si="501"/>
        <v>1.3</v>
      </c>
      <c r="T502" s="6" t="str">
        <f t="shared" si="453"/>
        <v>1|1.4#2|1.3#3|1.3#4|1.3#5|1.3</v>
      </c>
    </row>
    <row r="503" s="6" customFormat="1" ht="16.5" spans="1:20">
      <c r="A503" s="6">
        <v>1010509</v>
      </c>
      <c r="B503" s="6">
        <v>26001</v>
      </c>
      <c r="C503" s="6">
        <v>6</v>
      </c>
      <c r="D503" s="6">
        <v>2</v>
      </c>
      <c r="E503" s="6" t="str">
        <f t="shared" si="454"/>
        <v>206001:24</v>
      </c>
      <c r="F503" s="11" t="s">
        <v>397</v>
      </c>
      <c r="G503" s="6">
        <v>0</v>
      </c>
      <c r="H503" s="6">
        <v>0</v>
      </c>
      <c r="I503" s="6" t="s">
        <v>94</v>
      </c>
      <c r="K503" s="6" t="str">
        <f t="shared" si="450"/>
        <v>206001</v>
      </c>
      <c r="L503" s="4">
        <v>24</v>
      </c>
      <c r="M503" s="6" t="s">
        <v>510</v>
      </c>
      <c r="O503" s="13" t="str">
        <f t="shared" si="500"/>
        <v>1.4</v>
      </c>
      <c r="P503" s="13" t="str">
        <f t="shared" ref="P503:P506" si="502">O503</f>
        <v>1.4</v>
      </c>
      <c r="Q503" s="13" t="str">
        <f t="shared" ref="Q503:S503" si="503">Q502</f>
        <v>1.3</v>
      </c>
      <c r="R503" s="13" t="str">
        <f t="shared" si="503"/>
        <v>1.3</v>
      </c>
      <c r="S503" s="13" t="str">
        <f t="shared" si="503"/>
        <v>1.3</v>
      </c>
      <c r="T503" s="6" t="str">
        <f t="shared" si="453"/>
        <v>1|1.4#2|1.4#3|1.3#4|1.3#5|1.3</v>
      </c>
    </row>
    <row r="504" s="6" customFormat="1" ht="16.5" spans="1:20">
      <c r="A504" s="6">
        <v>1010510</v>
      </c>
      <c r="B504" s="6">
        <v>26001</v>
      </c>
      <c r="C504" s="6">
        <v>6</v>
      </c>
      <c r="D504" s="6">
        <v>3</v>
      </c>
      <c r="E504" s="6" t="str">
        <f t="shared" si="454"/>
        <v>206001:24</v>
      </c>
      <c r="F504" s="11" t="s">
        <v>398</v>
      </c>
      <c r="G504" s="6">
        <v>0</v>
      </c>
      <c r="H504" s="6">
        <v>0</v>
      </c>
      <c r="I504" s="6" t="s">
        <v>96</v>
      </c>
      <c r="K504" s="6" t="str">
        <f t="shared" si="450"/>
        <v>206001</v>
      </c>
      <c r="L504" s="4">
        <v>24</v>
      </c>
      <c r="M504" s="6" t="s">
        <v>510</v>
      </c>
      <c r="O504" s="13" t="str">
        <f t="shared" si="500"/>
        <v>1.4</v>
      </c>
      <c r="P504" s="13" t="str">
        <f t="shared" si="502"/>
        <v>1.4</v>
      </c>
      <c r="Q504" s="13" t="str">
        <f t="shared" ref="Q504:Q506" si="504">P504</f>
        <v>1.4</v>
      </c>
      <c r="R504" s="13" t="str">
        <f>R503</f>
        <v>1.3</v>
      </c>
      <c r="S504" s="13" t="str">
        <f t="shared" ref="S504:S511" si="505">S503</f>
        <v>1.3</v>
      </c>
      <c r="T504" s="6" t="str">
        <f t="shared" si="453"/>
        <v>1|1.4#2|1.4#3|1.4#4|1.3#5|1.3</v>
      </c>
    </row>
    <row r="505" s="6" customFormat="1" ht="16.5" spans="1:20">
      <c r="A505" s="6">
        <v>1010511</v>
      </c>
      <c r="B505" s="6">
        <v>26001</v>
      </c>
      <c r="C505" s="6">
        <v>6</v>
      </c>
      <c r="D505" s="6">
        <v>4</v>
      </c>
      <c r="E505" s="6" t="str">
        <f t="shared" si="454"/>
        <v>206001:24</v>
      </c>
      <c r="F505" s="11" t="s">
        <v>399</v>
      </c>
      <c r="G505" s="6">
        <v>0</v>
      </c>
      <c r="H505" s="6">
        <v>0</v>
      </c>
      <c r="I505" s="6" t="s">
        <v>98</v>
      </c>
      <c r="K505" s="6" t="str">
        <f t="shared" si="450"/>
        <v>206001</v>
      </c>
      <c r="L505" s="4">
        <v>24</v>
      </c>
      <c r="M505" s="6" t="s">
        <v>510</v>
      </c>
      <c r="O505" s="13" t="str">
        <f t="shared" si="500"/>
        <v>1.4</v>
      </c>
      <c r="P505" s="13" t="str">
        <f t="shared" si="502"/>
        <v>1.4</v>
      </c>
      <c r="Q505" s="13" t="str">
        <f t="shared" si="504"/>
        <v>1.4</v>
      </c>
      <c r="R505" s="13" t="str">
        <f>Q505</f>
        <v>1.4</v>
      </c>
      <c r="S505" s="13" t="str">
        <f t="shared" si="505"/>
        <v>1.3</v>
      </c>
      <c r="T505" s="6" t="str">
        <f t="shared" si="453"/>
        <v>1|1.4#2|1.4#3|1.4#4|1.4#5|1.3</v>
      </c>
    </row>
    <row r="506" s="6" customFormat="1" ht="16.5" spans="1:20">
      <c r="A506" s="6">
        <v>1010512</v>
      </c>
      <c r="B506" s="6">
        <v>26001</v>
      </c>
      <c r="C506" s="6">
        <v>6</v>
      </c>
      <c r="D506" s="6">
        <v>5</v>
      </c>
      <c r="E506" s="6" t="str">
        <f t="shared" si="454"/>
        <v>206001:60</v>
      </c>
      <c r="F506" s="11" t="s">
        <v>400</v>
      </c>
      <c r="G506" s="6">
        <v>0</v>
      </c>
      <c r="H506" s="6">
        <v>0</v>
      </c>
      <c r="I506" s="6" t="s">
        <v>40</v>
      </c>
      <c r="K506" s="6" t="str">
        <f t="shared" si="450"/>
        <v>206001</v>
      </c>
      <c r="L506" s="4">
        <v>60</v>
      </c>
      <c r="M506" s="6" t="s">
        <v>509</v>
      </c>
      <c r="O506" s="13" t="str">
        <f t="shared" si="500"/>
        <v>1.4</v>
      </c>
      <c r="P506" s="13" t="str">
        <f t="shared" si="502"/>
        <v>1.4</v>
      </c>
      <c r="Q506" s="13" t="str">
        <f t="shared" si="504"/>
        <v>1.4</v>
      </c>
      <c r="R506" s="13" t="str">
        <f>Q506</f>
        <v>1.4</v>
      </c>
      <c r="S506" s="13" t="str">
        <f>R506</f>
        <v>1.4</v>
      </c>
      <c r="T506" s="6" t="str">
        <f t="shared" si="453"/>
        <v>1|1.4#2|1.4#3|1.4#4|1.4#5|1.4</v>
      </c>
    </row>
    <row r="507" s="6" customFormat="1" ht="16.5" spans="1:20">
      <c r="A507" s="6">
        <v>1010513</v>
      </c>
      <c r="B507" s="6">
        <v>26001</v>
      </c>
      <c r="C507" s="6">
        <v>6</v>
      </c>
      <c r="D507" s="6">
        <v>6</v>
      </c>
      <c r="E507" s="6" t="str">
        <f t="shared" si="454"/>
        <v>206001:0</v>
      </c>
      <c r="F507" s="11">
        <v>0</v>
      </c>
      <c r="G507" s="6">
        <v>11002</v>
      </c>
      <c r="H507" s="6" t="s">
        <v>407</v>
      </c>
      <c r="I507" s="6">
        <v>0</v>
      </c>
      <c r="K507" s="6" t="str">
        <f t="shared" si="450"/>
        <v>206001</v>
      </c>
      <c r="L507" s="4">
        <v>0</v>
      </c>
      <c r="M507" s="6" t="s">
        <v>503</v>
      </c>
      <c r="O507" s="13" t="str">
        <f t="shared" ref="O507:S507" si="506">O506</f>
        <v>1.4</v>
      </c>
      <c r="P507" s="13" t="str">
        <f t="shared" si="506"/>
        <v>1.4</v>
      </c>
      <c r="Q507" s="13" t="str">
        <f t="shared" si="506"/>
        <v>1.4</v>
      </c>
      <c r="R507" s="13" t="str">
        <f t="shared" si="506"/>
        <v>1.4</v>
      </c>
      <c r="S507" s="13" t="str">
        <f t="shared" si="506"/>
        <v>1.4</v>
      </c>
      <c r="T507" s="6" t="str">
        <f t="shared" si="453"/>
        <v>1|1.4#2|1.4#3|1.4#4|1.4#5|1.4</v>
      </c>
    </row>
    <row r="508" s="6" customFormat="1" ht="16.5" spans="1:20">
      <c r="A508" s="6">
        <v>1010514</v>
      </c>
      <c r="B508" s="6">
        <v>28001</v>
      </c>
      <c r="C508" s="6">
        <v>1</v>
      </c>
      <c r="D508" s="6">
        <v>0</v>
      </c>
      <c r="E508" s="6" t="str">
        <f t="shared" si="454"/>
        <v>208001:2</v>
      </c>
      <c r="F508" s="11" t="s">
        <v>356</v>
      </c>
      <c r="G508" s="6">
        <v>0</v>
      </c>
      <c r="H508" s="6">
        <v>0</v>
      </c>
      <c r="I508" s="6" t="s">
        <v>25</v>
      </c>
      <c r="K508" s="6" t="str">
        <f t="shared" si="450"/>
        <v>208001</v>
      </c>
      <c r="L508" s="4">
        <v>2</v>
      </c>
      <c r="M508" s="6" t="s">
        <v>511</v>
      </c>
      <c r="O508" s="13">
        <v>1</v>
      </c>
      <c r="P508" s="13">
        <f t="shared" ref="P508:S508" si="507">O508</f>
        <v>1</v>
      </c>
      <c r="Q508" s="13">
        <f t="shared" si="507"/>
        <v>1</v>
      </c>
      <c r="R508" s="13">
        <f>P508</f>
        <v>1</v>
      </c>
      <c r="S508" s="13">
        <f t="shared" si="507"/>
        <v>1</v>
      </c>
      <c r="T508" s="6" t="str">
        <f t="shared" si="453"/>
        <v>1|1#2|1#3|1#4|1#5|1</v>
      </c>
    </row>
    <row r="509" s="6" customFormat="1" ht="16.5" spans="1:20">
      <c r="A509" s="6">
        <v>1010515</v>
      </c>
      <c r="B509" s="6">
        <v>28001</v>
      </c>
      <c r="C509" s="6">
        <v>1</v>
      </c>
      <c r="D509" s="6">
        <v>1</v>
      </c>
      <c r="E509" s="6" t="str">
        <f t="shared" si="454"/>
        <v>208001:2</v>
      </c>
      <c r="F509" s="11" t="s">
        <v>358</v>
      </c>
      <c r="G509" s="6">
        <v>0</v>
      </c>
      <c r="H509" s="6">
        <v>0</v>
      </c>
      <c r="I509" s="6" t="s">
        <v>28</v>
      </c>
      <c r="K509" s="6" t="str">
        <f t="shared" si="450"/>
        <v>208001</v>
      </c>
      <c r="L509" s="4">
        <v>2</v>
      </c>
      <c r="M509" s="6" t="s">
        <v>511</v>
      </c>
      <c r="O509" s="13" t="str">
        <f t="shared" ref="O509:O513" si="508">RIGHT(F509,LEN(F509)-2)</f>
        <v>1.05</v>
      </c>
      <c r="P509" s="13">
        <v>1</v>
      </c>
      <c r="Q509" s="13">
        <f>Q508</f>
        <v>1</v>
      </c>
      <c r="R509" s="13">
        <f>R508</f>
        <v>1</v>
      </c>
      <c r="S509" s="13">
        <f t="shared" si="505"/>
        <v>1</v>
      </c>
      <c r="T509" s="6" t="str">
        <f t="shared" si="453"/>
        <v>1|1.05#2|1#3|1#4|1#5|1</v>
      </c>
    </row>
    <row r="510" s="6" customFormat="1" ht="16.5" spans="1:20">
      <c r="A510" s="6">
        <v>1010516</v>
      </c>
      <c r="B510" s="6">
        <v>28001</v>
      </c>
      <c r="C510" s="6">
        <v>1</v>
      </c>
      <c r="D510" s="6">
        <v>2</v>
      </c>
      <c r="E510" s="6" t="str">
        <f t="shared" si="454"/>
        <v>208001:2</v>
      </c>
      <c r="F510" s="11" t="s">
        <v>359</v>
      </c>
      <c r="G510" s="6">
        <v>0</v>
      </c>
      <c r="H510" s="6">
        <v>0</v>
      </c>
      <c r="I510" s="6" t="s">
        <v>31</v>
      </c>
      <c r="K510" s="6" t="str">
        <f t="shared" si="450"/>
        <v>208001</v>
      </c>
      <c r="L510" s="4">
        <v>2</v>
      </c>
      <c r="M510" s="6" t="s">
        <v>511</v>
      </c>
      <c r="O510" s="13" t="str">
        <f t="shared" si="508"/>
        <v>1.05</v>
      </c>
      <c r="P510" s="13" t="str">
        <f t="shared" ref="P510:P513" si="509">O510</f>
        <v>1.05</v>
      </c>
      <c r="Q510" s="13">
        <v>1</v>
      </c>
      <c r="R510" s="13">
        <f>R509</f>
        <v>1</v>
      </c>
      <c r="S510" s="13">
        <f t="shared" si="505"/>
        <v>1</v>
      </c>
      <c r="T510" s="6" t="str">
        <f t="shared" si="453"/>
        <v>1|1.05#2|1.05#3|1#4|1#5|1</v>
      </c>
    </row>
    <row r="511" s="6" customFormat="1" ht="16.5" spans="1:20">
      <c r="A511" s="6">
        <v>1010517</v>
      </c>
      <c r="B511" s="6">
        <v>28001</v>
      </c>
      <c r="C511" s="6">
        <v>1</v>
      </c>
      <c r="D511" s="6">
        <v>3</v>
      </c>
      <c r="E511" s="6" t="str">
        <f t="shared" si="454"/>
        <v>208001:3</v>
      </c>
      <c r="F511" s="11" t="s">
        <v>360</v>
      </c>
      <c r="G511" s="6">
        <v>0</v>
      </c>
      <c r="H511" s="6">
        <v>0</v>
      </c>
      <c r="I511" s="6" t="s">
        <v>34</v>
      </c>
      <c r="K511" s="6" t="str">
        <f t="shared" si="450"/>
        <v>208001</v>
      </c>
      <c r="L511" s="4">
        <v>3</v>
      </c>
      <c r="M511" s="6" t="s">
        <v>511</v>
      </c>
      <c r="O511" s="13" t="str">
        <f t="shared" si="508"/>
        <v>1.05</v>
      </c>
      <c r="P511" s="13" t="str">
        <f t="shared" si="509"/>
        <v>1.05</v>
      </c>
      <c r="Q511" s="13" t="str">
        <f t="shared" ref="Q511:Q513" si="510">P511</f>
        <v>1.05</v>
      </c>
      <c r="R511" s="13">
        <v>1</v>
      </c>
      <c r="S511" s="13">
        <f t="shared" si="505"/>
        <v>1</v>
      </c>
      <c r="T511" s="6" t="str">
        <f t="shared" si="453"/>
        <v>1|1.05#2|1.05#3|1.05#4|1#5|1</v>
      </c>
    </row>
    <row r="512" s="6" customFormat="1" ht="16.5" spans="1:20">
      <c r="A512" s="6">
        <v>1010518</v>
      </c>
      <c r="B512" s="6">
        <v>28001</v>
      </c>
      <c r="C512" s="6">
        <v>1</v>
      </c>
      <c r="D512" s="6">
        <v>4</v>
      </c>
      <c r="E512" s="6" t="str">
        <f t="shared" si="454"/>
        <v>208001:3</v>
      </c>
      <c r="F512" s="11" t="s">
        <v>361</v>
      </c>
      <c r="G512" s="6">
        <v>0</v>
      </c>
      <c r="H512" s="6">
        <v>0</v>
      </c>
      <c r="I512" s="6" t="s">
        <v>37</v>
      </c>
      <c r="K512" s="6" t="str">
        <f t="shared" si="450"/>
        <v>208001</v>
      </c>
      <c r="L512" s="4">
        <v>3</v>
      </c>
      <c r="M512" s="6" t="s">
        <v>511</v>
      </c>
      <c r="O512" s="13" t="str">
        <f t="shared" si="508"/>
        <v>1.05</v>
      </c>
      <c r="P512" s="13" t="str">
        <f t="shared" si="509"/>
        <v>1.05</v>
      </c>
      <c r="Q512" s="13" t="str">
        <f t="shared" si="510"/>
        <v>1.05</v>
      </c>
      <c r="R512" s="13" t="str">
        <f>Q512</f>
        <v>1.05</v>
      </c>
      <c r="S512" s="13">
        <v>1</v>
      </c>
      <c r="T512" s="6" t="str">
        <f t="shared" si="453"/>
        <v>1|1.05#2|1.05#3|1.05#4|1.05#5|1</v>
      </c>
    </row>
    <row r="513" s="6" customFormat="1" ht="16.5" spans="1:20">
      <c r="A513" s="6">
        <v>1010519</v>
      </c>
      <c r="B513" s="6">
        <v>28001</v>
      </c>
      <c r="C513" s="6">
        <v>1</v>
      </c>
      <c r="D513" s="6">
        <v>5</v>
      </c>
      <c r="E513" s="6" t="str">
        <f t="shared" si="454"/>
        <v>208001:3</v>
      </c>
      <c r="F513" s="11" t="s">
        <v>362</v>
      </c>
      <c r="G513" s="6">
        <v>0</v>
      </c>
      <c r="H513" s="6">
        <v>0</v>
      </c>
      <c r="I513" s="6" t="s">
        <v>40</v>
      </c>
      <c r="K513" s="6" t="str">
        <f t="shared" si="450"/>
        <v>208001</v>
      </c>
      <c r="L513" s="4">
        <v>3</v>
      </c>
      <c r="M513" s="6" t="s">
        <v>512</v>
      </c>
      <c r="O513" s="13" t="str">
        <f t="shared" si="508"/>
        <v>1.05</v>
      </c>
      <c r="P513" s="13" t="str">
        <f t="shared" si="509"/>
        <v>1.05</v>
      </c>
      <c r="Q513" s="13" t="str">
        <f t="shared" si="510"/>
        <v>1.05</v>
      </c>
      <c r="R513" s="13" t="str">
        <f>Q513</f>
        <v>1.05</v>
      </c>
      <c r="S513" s="13" t="str">
        <f>R513</f>
        <v>1.05</v>
      </c>
      <c r="T513" s="6" t="str">
        <f t="shared" si="453"/>
        <v>1|1.05#2|1.05#3|1.05#4|1.05#5|1.05</v>
      </c>
    </row>
    <row r="514" s="6" customFormat="1" ht="16.5" spans="1:20">
      <c r="A514" s="6">
        <v>1010520</v>
      </c>
      <c r="B514" s="6">
        <v>28001</v>
      </c>
      <c r="C514" s="6">
        <v>1</v>
      </c>
      <c r="D514" s="6">
        <v>6</v>
      </c>
      <c r="E514" s="6" t="str">
        <f t="shared" si="454"/>
        <v>208001:5</v>
      </c>
      <c r="F514" s="11">
        <v>0</v>
      </c>
      <c r="G514" s="6">
        <v>11002</v>
      </c>
      <c r="H514" s="6" t="s">
        <v>407</v>
      </c>
      <c r="I514" s="6">
        <v>0</v>
      </c>
      <c r="K514" s="6" t="str">
        <f t="shared" si="450"/>
        <v>208001</v>
      </c>
      <c r="L514" s="13">
        <v>5</v>
      </c>
      <c r="M514" s="6" t="s">
        <v>513</v>
      </c>
      <c r="O514" s="13" t="str">
        <f t="shared" ref="O514:S514" si="511">O513</f>
        <v>1.05</v>
      </c>
      <c r="P514" s="13" t="str">
        <f t="shared" si="511"/>
        <v>1.05</v>
      </c>
      <c r="Q514" s="13" t="str">
        <f t="shared" si="511"/>
        <v>1.05</v>
      </c>
      <c r="R514" s="13" t="str">
        <f t="shared" si="511"/>
        <v>1.05</v>
      </c>
      <c r="S514" s="13" t="str">
        <f t="shared" si="511"/>
        <v>1.05</v>
      </c>
      <c r="T514" s="6" t="str">
        <f t="shared" si="453"/>
        <v>1|1.05#2|1.05#3|1.05#4|1.05#5|1.05</v>
      </c>
    </row>
    <row r="515" s="6" customFormat="1" ht="16.5" spans="1:20">
      <c r="A515" s="6">
        <v>1010521</v>
      </c>
      <c r="B515" s="6">
        <v>28001</v>
      </c>
      <c r="C515" s="6">
        <v>2</v>
      </c>
      <c r="D515" s="6">
        <v>0</v>
      </c>
      <c r="E515" s="6" t="str">
        <f t="shared" si="454"/>
        <v>208001:5</v>
      </c>
      <c r="F515" s="11" t="s">
        <v>364</v>
      </c>
      <c r="G515" s="6">
        <v>0</v>
      </c>
      <c r="H515" s="6">
        <v>0</v>
      </c>
      <c r="I515" s="6" t="s">
        <v>43</v>
      </c>
      <c r="K515" s="6" t="str">
        <f t="shared" si="450"/>
        <v>208001</v>
      </c>
      <c r="L515" s="4">
        <v>5</v>
      </c>
      <c r="M515" s="6" t="s">
        <v>514</v>
      </c>
      <c r="O515" s="15" t="str">
        <f>O514</f>
        <v>1.05</v>
      </c>
      <c r="P515" s="15" t="str">
        <f t="shared" ref="P515:S515" si="512">O515</f>
        <v>1.05</v>
      </c>
      <c r="Q515" s="15" t="str">
        <f t="shared" si="512"/>
        <v>1.05</v>
      </c>
      <c r="R515" s="15" t="str">
        <f>P515</f>
        <v>1.05</v>
      </c>
      <c r="S515" s="15" t="str">
        <f t="shared" si="512"/>
        <v>1.05</v>
      </c>
      <c r="T515" s="6" t="str">
        <f t="shared" si="453"/>
        <v>1|1.05#2|1.05#3|1.05#4|1.05#5|1.05</v>
      </c>
    </row>
    <row r="516" s="6" customFormat="1" ht="16.5" spans="1:20">
      <c r="A516" s="6">
        <v>1010522</v>
      </c>
      <c r="B516" s="6">
        <v>28001</v>
      </c>
      <c r="C516" s="6">
        <v>2</v>
      </c>
      <c r="D516" s="6">
        <v>1</v>
      </c>
      <c r="E516" s="6" t="str">
        <f t="shared" si="454"/>
        <v>208001:5</v>
      </c>
      <c r="F516" s="11" t="s">
        <v>366</v>
      </c>
      <c r="G516" s="6">
        <v>0</v>
      </c>
      <c r="H516" s="6">
        <v>0</v>
      </c>
      <c r="I516" s="6" t="s">
        <v>45</v>
      </c>
      <c r="K516" s="6" t="str">
        <f t="shared" si="450"/>
        <v>208001</v>
      </c>
      <c r="L516" s="4">
        <v>5</v>
      </c>
      <c r="M516" s="6" t="s">
        <v>514</v>
      </c>
      <c r="O516" s="13" t="str">
        <f t="shared" ref="O516:O520" si="513">RIGHT(F516,LEN(F516)-2)</f>
        <v>1.1</v>
      </c>
      <c r="P516" s="13">
        <v>1.05</v>
      </c>
      <c r="Q516" s="13" t="str">
        <f t="shared" ref="Q516:S516" si="514">Q515</f>
        <v>1.05</v>
      </c>
      <c r="R516" s="13" t="str">
        <f t="shared" si="514"/>
        <v>1.05</v>
      </c>
      <c r="S516" s="13" t="str">
        <f t="shared" si="514"/>
        <v>1.05</v>
      </c>
      <c r="T516" s="6" t="str">
        <f t="shared" si="453"/>
        <v>1|1.1#2|1.05#3|1.05#4|1.05#5|1.05</v>
      </c>
    </row>
    <row r="517" s="6" customFormat="1" ht="16.5" spans="1:20">
      <c r="A517" s="6">
        <v>1010523</v>
      </c>
      <c r="B517" s="6">
        <v>28001</v>
      </c>
      <c r="C517" s="6">
        <v>2</v>
      </c>
      <c r="D517" s="6">
        <v>2</v>
      </c>
      <c r="E517" s="6" t="str">
        <f t="shared" si="454"/>
        <v>208001:5</v>
      </c>
      <c r="F517" s="11" t="s">
        <v>367</v>
      </c>
      <c r="G517" s="6">
        <v>0</v>
      </c>
      <c r="H517" s="6">
        <v>0</v>
      </c>
      <c r="I517" s="6" t="s">
        <v>47</v>
      </c>
      <c r="K517" s="6" t="str">
        <f t="shared" ref="K517:K580" si="515">LEFT(M517,6)</f>
        <v>208001</v>
      </c>
      <c r="L517" s="4">
        <v>5</v>
      </c>
      <c r="M517" s="6" t="s">
        <v>514</v>
      </c>
      <c r="O517" s="13" t="str">
        <f t="shared" si="513"/>
        <v>1.1</v>
      </c>
      <c r="P517" s="13" t="str">
        <f t="shared" ref="P517:P520" si="516">O517</f>
        <v>1.1</v>
      </c>
      <c r="Q517" s="13">
        <v>1.05</v>
      </c>
      <c r="R517" s="13" t="str">
        <f>R516</f>
        <v>1.05</v>
      </c>
      <c r="S517" s="13" t="str">
        <f>S516</f>
        <v>1.05</v>
      </c>
      <c r="T517" s="6" t="str">
        <f t="shared" ref="T517:T580" si="517">$O$2&amp;$P$3&amp;O517&amp;$O$1&amp;$P$2&amp;$P$3&amp;P517&amp;$O$1&amp;$Q$2&amp;$P$3&amp;Q517&amp;$O$1&amp;$R$2&amp;$P$3&amp;R517&amp;$O$1&amp;$S$2&amp;$P$3&amp;S517</f>
        <v>1|1.1#2|1.1#3|1.05#4|1.05#5|1.05</v>
      </c>
    </row>
    <row r="518" s="6" customFormat="1" ht="16.5" spans="1:20">
      <c r="A518" s="6">
        <v>1010524</v>
      </c>
      <c r="B518" s="6">
        <v>28001</v>
      </c>
      <c r="C518" s="6">
        <v>2</v>
      </c>
      <c r="D518" s="6">
        <v>3</v>
      </c>
      <c r="E518" s="6" t="str">
        <f t="shared" ref="E518:E581" si="518">K518&amp;$K$3&amp;L518</f>
        <v>208001:6</v>
      </c>
      <c r="F518" s="11" t="s">
        <v>368</v>
      </c>
      <c r="G518" s="6">
        <v>0</v>
      </c>
      <c r="H518" s="6">
        <v>0</v>
      </c>
      <c r="I518" s="6" t="s">
        <v>49</v>
      </c>
      <c r="K518" s="6" t="str">
        <f t="shared" si="515"/>
        <v>208001</v>
      </c>
      <c r="L518" s="4">
        <v>6</v>
      </c>
      <c r="M518" s="6" t="s">
        <v>514</v>
      </c>
      <c r="O518" s="13" t="str">
        <f t="shared" si="513"/>
        <v>1.1</v>
      </c>
      <c r="P518" s="13" t="str">
        <f t="shared" si="516"/>
        <v>1.1</v>
      </c>
      <c r="Q518" s="13" t="str">
        <f t="shared" ref="Q518:Q520" si="519">P518</f>
        <v>1.1</v>
      </c>
      <c r="R518" s="13">
        <v>1.05</v>
      </c>
      <c r="S518" s="13" t="str">
        <f>S517</f>
        <v>1.05</v>
      </c>
      <c r="T518" s="6" t="str">
        <f t="shared" si="517"/>
        <v>1|1.1#2|1.1#3|1.1#4|1.05#5|1.05</v>
      </c>
    </row>
    <row r="519" s="6" customFormat="1" ht="16.5" spans="1:20">
      <c r="A519" s="6">
        <v>1010525</v>
      </c>
      <c r="B519" s="6">
        <v>28001</v>
      </c>
      <c r="C519" s="6">
        <v>2</v>
      </c>
      <c r="D519" s="6">
        <v>4</v>
      </c>
      <c r="E519" s="6" t="str">
        <f t="shared" si="518"/>
        <v>208001:6</v>
      </c>
      <c r="F519" s="11" t="s">
        <v>369</v>
      </c>
      <c r="G519" s="6">
        <v>0</v>
      </c>
      <c r="H519" s="6">
        <v>0</v>
      </c>
      <c r="I519" s="6" t="s">
        <v>51</v>
      </c>
      <c r="K519" s="6" t="str">
        <f t="shared" si="515"/>
        <v>208001</v>
      </c>
      <c r="L519" s="4">
        <v>6</v>
      </c>
      <c r="M519" s="6" t="s">
        <v>514</v>
      </c>
      <c r="O519" s="13" t="str">
        <f t="shared" si="513"/>
        <v>1.1</v>
      </c>
      <c r="P519" s="13" t="str">
        <f t="shared" si="516"/>
        <v>1.1</v>
      </c>
      <c r="Q519" s="13" t="str">
        <f t="shared" si="519"/>
        <v>1.1</v>
      </c>
      <c r="R519" s="13" t="str">
        <f>Q519</f>
        <v>1.1</v>
      </c>
      <c r="S519" s="13">
        <v>1.05</v>
      </c>
      <c r="T519" s="6" t="str">
        <f t="shared" si="517"/>
        <v>1|1.1#2|1.1#3|1.1#4|1.1#5|1.05</v>
      </c>
    </row>
    <row r="520" s="6" customFormat="1" ht="16.5" spans="1:20">
      <c r="A520" s="6">
        <v>1010526</v>
      </c>
      <c r="B520" s="6">
        <v>28001</v>
      </c>
      <c r="C520" s="6">
        <v>2</v>
      </c>
      <c r="D520" s="6">
        <v>5</v>
      </c>
      <c r="E520" s="6" t="str">
        <f t="shared" si="518"/>
        <v>208001:6</v>
      </c>
      <c r="F520" s="11" t="s">
        <v>370</v>
      </c>
      <c r="G520" s="6">
        <v>0</v>
      </c>
      <c r="H520" s="6">
        <v>0</v>
      </c>
      <c r="I520" s="6" t="s">
        <v>40</v>
      </c>
      <c r="K520" s="6" t="str">
        <f t="shared" si="515"/>
        <v>208001</v>
      </c>
      <c r="L520" s="4">
        <v>6</v>
      </c>
      <c r="M520" s="6" t="s">
        <v>221</v>
      </c>
      <c r="O520" s="13" t="str">
        <f t="shared" si="513"/>
        <v>1.1</v>
      </c>
      <c r="P520" s="13" t="str">
        <f t="shared" si="516"/>
        <v>1.1</v>
      </c>
      <c r="Q520" s="13" t="str">
        <f t="shared" si="519"/>
        <v>1.1</v>
      </c>
      <c r="R520" s="13" t="str">
        <f>Q520</f>
        <v>1.1</v>
      </c>
      <c r="S520" s="13" t="str">
        <f>R520</f>
        <v>1.1</v>
      </c>
      <c r="T520" s="6" t="str">
        <f t="shared" si="517"/>
        <v>1|1.1#2|1.1#3|1.1#4|1.1#5|1.1</v>
      </c>
    </row>
    <row r="521" s="6" customFormat="1" ht="16.5" spans="1:20">
      <c r="A521" s="6">
        <v>1010527</v>
      </c>
      <c r="B521" s="6">
        <v>28001</v>
      </c>
      <c r="C521" s="6">
        <v>2</v>
      </c>
      <c r="D521" s="6">
        <v>6</v>
      </c>
      <c r="E521" s="6" t="str">
        <f t="shared" si="518"/>
        <v>208001:7</v>
      </c>
      <c r="F521" s="11">
        <v>0</v>
      </c>
      <c r="G521" s="6">
        <v>11002</v>
      </c>
      <c r="H521" s="6" t="s">
        <v>407</v>
      </c>
      <c r="I521" s="6">
        <v>0</v>
      </c>
      <c r="K521" s="6" t="str">
        <f t="shared" si="515"/>
        <v>208001</v>
      </c>
      <c r="L521" s="13">
        <v>7</v>
      </c>
      <c r="M521" s="6" t="s">
        <v>513</v>
      </c>
      <c r="O521" s="13" t="str">
        <f t="shared" ref="O521:S521" si="520">O520</f>
        <v>1.1</v>
      </c>
      <c r="P521" s="13" t="str">
        <f t="shared" si="520"/>
        <v>1.1</v>
      </c>
      <c r="Q521" s="13" t="str">
        <f t="shared" si="520"/>
        <v>1.1</v>
      </c>
      <c r="R521" s="13" t="str">
        <f t="shared" si="520"/>
        <v>1.1</v>
      </c>
      <c r="S521" s="13" t="str">
        <f t="shared" si="520"/>
        <v>1.1</v>
      </c>
      <c r="T521" s="6" t="str">
        <f t="shared" si="517"/>
        <v>1|1.1#2|1.1#3|1.1#4|1.1#5|1.1</v>
      </c>
    </row>
    <row r="522" s="6" customFormat="1" ht="16.5" spans="1:20">
      <c r="A522" s="6">
        <v>1010528</v>
      </c>
      <c r="B522" s="6">
        <v>28001</v>
      </c>
      <c r="C522" s="6">
        <v>3</v>
      </c>
      <c r="D522" s="6">
        <v>0</v>
      </c>
      <c r="E522" s="6" t="str">
        <f t="shared" si="518"/>
        <v>208001:9</v>
      </c>
      <c r="F522" s="11" t="s">
        <v>371</v>
      </c>
      <c r="G522" s="6">
        <v>0</v>
      </c>
      <c r="H522" s="6">
        <v>0</v>
      </c>
      <c r="I522" s="6" t="s">
        <v>55</v>
      </c>
      <c r="K522" s="6" t="str">
        <f t="shared" si="515"/>
        <v>208001</v>
      </c>
      <c r="L522" s="4">
        <v>9</v>
      </c>
      <c r="M522" s="6" t="s">
        <v>515</v>
      </c>
      <c r="O522" s="15" t="str">
        <f>O521</f>
        <v>1.1</v>
      </c>
      <c r="P522" s="15" t="str">
        <f t="shared" ref="P522:S522" si="521">O522</f>
        <v>1.1</v>
      </c>
      <c r="Q522" s="15" t="str">
        <f t="shared" si="521"/>
        <v>1.1</v>
      </c>
      <c r="R522" s="15" t="str">
        <f>P522</f>
        <v>1.1</v>
      </c>
      <c r="S522" s="15" t="str">
        <f t="shared" si="521"/>
        <v>1.1</v>
      </c>
      <c r="T522" s="6" t="str">
        <f t="shared" si="517"/>
        <v>1|1.1#2|1.1#3|1.1#4|1.1#5|1.1</v>
      </c>
    </row>
    <row r="523" s="6" customFormat="1" ht="16.5" spans="1:20">
      <c r="A523" s="6">
        <v>1010529</v>
      </c>
      <c r="B523" s="6">
        <v>28001</v>
      </c>
      <c r="C523" s="6">
        <v>3</v>
      </c>
      <c r="D523" s="6">
        <v>1</v>
      </c>
      <c r="E523" s="6" t="str">
        <f t="shared" si="518"/>
        <v>208001:9</v>
      </c>
      <c r="F523" s="11" t="s">
        <v>373</v>
      </c>
      <c r="G523" s="6">
        <v>0</v>
      </c>
      <c r="H523" s="6">
        <v>0</v>
      </c>
      <c r="I523" s="6" t="s">
        <v>57</v>
      </c>
      <c r="K523" s="6" t="str">
        <f t="shared" si="515"/>
        <v>208001</v>
      </c>
      <c r="L523" s="4">
        <v>9</v>
      </c>
      <c r="M523" s="6" t="s">
        <v>515</v>
      </c>
      <c r="O523" s="13" t="str">
        <f t="shared" ref="O523:O527" si="522">RIGHT(F523,LEN(F523)-2)</f>
        <v>1.15</v>
      </c>
      <c r="P523" s="13" t="str">
        <f t="shared" ref="P523:S523" si="523">P522</f>
        <v>1.1</v>
      </c>
      <c r="Q523" s="13" t="str">
        <f t="shared" si="523"/>
        <v>1.1</v>
      </c>
      <c r="R523" s="13" t="str">
        <f t="shared" si="523"/>
        <v>1.1</v>
      </c>
      <c r="S523" s="13" t="str">
        <f t="shared" si="523"/>
        <v>1.1</v>
      </c>
      <c r="T523" s="6" t="str">
        <f t="shared" si="517"/>
        <v>1|1.15#2|1.1#3|1.1#4|1.1#5|1.1</v>
      </c>
    </row>
    <row r="524" s="6" customFormat="1" ht="16.5" spans="1:20">
      <c r="A524" s="6">
        <v>1010530</v>
      </c>
      <c r="B524" s="6">
        <v>28001</v>
      </c>
      <c r="C524" s="6">
        <v>3</v>
      </c>
      <c r="D524" s="6">
        <v>2</v>
      </c>
      <c r="E524" s="6" t="str">
        <f t="shared" si="518"/>
        <v>208001:9</v>
      </c>
      <c r="F524" s="11" t="s">
        <v>374</v>
      </c>
      <c r="G524" s="6">
        <v>0</v>
      </c>
      <c r="H524" s="6">
        <v>0</v>
      </c>
      <c r="I524" s="6" t="s">
        <v>59</v>
      </c>
      <c r="K524" s="6" t="str">
        <f t="shared" si="515"/>
        <v>208001</v>
      </c>
      <c r="L524" s="4">
        <v>9</v>
      </c>
      <c r="M524" s="6" t="s">
        <v>515</v>
      </c>
      <c r="O524" s="13" t="str">
        <f t="shared" si="522"/>
        <v>1.15</v>
      </c>
      <c r="P524" s="13" t="str">
        <f t="shared" ref="P524:P527" si="524">O524</f>
        <v>1.15</v>
      </c>
      <c r="Q524" s="13" t="str">
        <f t="shared" ref="Q524:S524" si="525">Q523</f>
        <v>1.1</v>
      </c>
      <c r="R524" s="13" t="str">
        <f t="shared" si="525"/>
        <v>1.1</v>
      </c>
      <c r="S524" s="13" t="str">
        <f t="shared" si="525"/>
        <v>1.1</v>
      </c>
      <c r="T524" s="6" t="str">
        <f t="shared" si="517"/>
        <v>1|1.15#2|1.15#3|1.1#4|1.1#5|1.1</v>
      </c>
    </row>
    <row r="525" s="6" customFormat="1" ht="16.5" spans="1:20">
      <c r="A525" s="6">
        <v>1010531</v>
      </c>
      <c r="B525" s="6">
        <v>28001</v>
      </c>
      <c r="C525" s="6">
        <v>3</v>
      </c>
      <c r="D525" s="6">
        <v>3</v>
      </c>
      <c r="E525" s="6" t="str">
        <f t="shared" si="518"/>
        <v>208001:11</v>
      </c>
      <c r="F525" s="11" t="s">
        <v>375</v>
      </c>
      <c r="G525" s="6">
        <v>0</v>
      </c>
      <c r="H525" s="6">
        <v>0</v>
      </c>
      <c r="I525" s="6" t="s">
        <v>61</v>
      </c>
      <c r="K525" s="6" t="str">
        <f t="shared" si="515"/>
        <v>208001</v>
      </c>
      <c r="L525" s="4">
        <v>11</v>
      </c>
      <c r="M525" s="6" t="s">
        <v>515</v>
      </c>
      <c r="O525" s="13" t="str">
        <f t="shared" si="522"/>
        <v>1.15</v>
      </c>
      <c r="P525" s="13" t="str">
        <f t="shared" si="524"/>
        <v>1.15</v>
      </c>
      <c r="Q525" s="13" t="str">
        <f t="shared" ref="Q525:Q527" si="526">P525</f>
        <v>1.15</v>
      </c>
      <c r="R525" s="13" t="str">
        <f>R524</f>
        <v>1.1</v>
      </c>
      <c r="S525" s="13" t="str">
        <f>S524</f>
        <v>1.1</v>
      </c>
      <c r="T525" s="6" t="str">
        <f t="shared" si="517"/>
        <v>1|1.15#2|1.15#3|1.15#4|1.1#5|1.1</v>
      </c>
    </row>
    <row r="526" s="6" customFormat="1" ht="16.5" spans="1:20">
      <c r="A526" s="6">
        <v>1010532</v>
      </c>
      <c r="B526" s="6">
        <v>28001</v>
      </c>
      <c r="C526" s="6">
        <v>3</v>
      </c>
      <c r="D526" s="6">
        <v>4</v>
      </c>
      <c r="E526" s="6" t="str">
        <f t="shared" si="518"/>
        <v>208001:11</v>
      </c>
      <c r="F526" s="11" t="s">
        <v>376</v>
      </c>
      <c r="G526" s="6">
        <v>0</v>
      </c>
      <c r="H526" s="6">
        <v>0</v>
      </c>
      <c r="I526" s="6" t="s">
        <v>63</v>
      </c>
      <c r="K526" s="6" t="str">
        <f t="shared" si="515"/>
        <v>208001</v>
      </c>
      <c r="L526" s="4">
        <v>11</v>
      </c>
      <c r="M526" s="6" t="s">
        <v>515</v>
      </c>
      <c r="O526" s="13" t="str">
        <f t="shared" si="522"/>
        <v>1.15</v>
      </c>
      <c r="P526" s="13" t="str">
        <f t="shared" si="524"/>
        <v>1.15</v>
      </c>
      <c r="Q526" s="13" t="str">
        <f t="shared" si="526"/>
        <v>1.15</v>
      </c>
      <c r="R526" s="13" t="str">
        <f>Q526</f>
        <v>1.15</v>
      </c>
      <c r="S526" s="13" t="str">
        <f>S525</f>
        <v>1.1</v>
      </c>
      <c r="T526" s="6" t="str">
        <f t="shared" si="517"/>
        <v>1|1.15#2|1.15#3|1.15#4|1.15#5|1.1</v>
      </c>
    </row>
    <row r="527" s="6" customFormat="1" ht="16.5" spans="1:20">
      <c r="A527" s="6">
        <v>1010533</v>
      </c>
      <c r="B527" s="6">
        <v>28001</v>
      </c>
      <c r="C527" s="6">
        <v>3</v>
      </c>
      <c r="D527" s="6">
        <v>5</v>
      </c>
      <c r="E527" s="6" t="str">
        <f t="shared" si="518"/>
        <v>208001:11</v>
      </c>
      <c r="F527" s="11" t="s">
        <v>377</v>
      </c>
      <c r="G527" s="6">
        <v>0</v>
      </c>
      <c r="H527" s="6">
        <v>0</v>
      </c>
      <c r="I527" s="6" t="s">
        <v>40</v>
      </c>
      <c r="K527" s="6" t="str">
        <f t="shared" si="515"/>
        <v>208001</v>
      </c>
      <c r="L527" s="4">
        <v>11</v>
      </c>
      <c r="M527" s="6" t="s">
        <v>516</v>
      </c>
      <c r="O527" s="13" t="str">
        <f t="shared" si="522"/>
        <v>1.15</v>
      </c>
      <c r="P527" s="13" t="str">
        <f t="shared" si="524"/>
        <v>1.15</v>
      </c>
      <c r="Q527" s="13" t="str">
        <f t="shared" si="526"/>
        <v>1.15</v>
      </c>
      <c r="R527" s="13" t="str">
        <f>Q527</f>
        <v>1.15</v>
      </c>
      <c r="S527" s="13" t="str">
        <f>R527</f>
        <v>1.15</v>
      </c>
      <c r="T527" s="6" t="str">
        <f t="shared" si="517"/>
        <v>1|1.15#2|1.15#3|1.15#4|1.15#5|1.15</v>
      </c>
    </row>
    <row r="528" s="6" customFormat="1" ht="16.5" spans="1:20">
      <c r="A528" s="6">
        <v>1010534</v>
      </c>
      <c r="B528" s="6">
        <v>28001</v>
      </c>
      <c r="C528" s="6">
        <v>3</v>
      </c>
      <c r="D528" s="6">
        <v>6</v>
      </c>
      <c r="E528" s="6" t="str">
        <f t="shared" si="518"/>
        <v>208001:30</v>
      </c>
      <c r="F528" s="11">
        <v>0</v>
      </c>
      <c r="G528" s="6">
        <v>11002</v>
      </c>
      <c r="H528" s="6" t="s">
        <v>407</v>
      </c>
      <c r="I528" s="6">
        <v>0</v>
      </c>
      <c r="K528" s="6" t="str">
        <f t="shared" si="515"/>
        <v>208001</v>
      </c>
      <c r="L528" s="13">
        <v>30</v>
      </c>
      <c r="M528" s="6" t="s">
        <v>513</v>
      </c>
      <c r="O528" s="13" t="str">
        <f t="shared" ref="O528:S528" si="527">O527</f>
        <v>1.15</v>
      </c>
      <c r="P528" s="13" t="str">
        <f t="shared" si="527"/>
        <v>1.15</v>
      </c>
      <c r="Q528" s="13" t="str">
        <f t="shared" si="527"/>
        <v>1.15</v>
      </c>
      <c r="R528" s="13" t="str">
        <f t="shared" si="527"/>
        <v>1.15</v>
      </c>
      <c r="S528" s="13" t="str">
        <f t="shared" si="527"/>
        <v>1.15</v>
      </c>
      <c r="T528" s="6" t="str">
        <f t="shared" si="517"/>
        <v>1|1.15#2|1.15#3|1.15#4|1.15#5|1.15</v>
      </c>
    </row>
    <row r="529" s="6" customFormat="1" ht="16.5" spans="1:20">
      <c r="A529" s="6">
        <v>1010535</v>
      </c>
      <c r="B529" s="6">
        <v>28001</v>
      </c>
      <c r="C529" s="6">
        <v>4</v>
      </c>
      <c r="D529" s="6">
        <v>0</v>
      </c>
      <c r="E529" s="6" t="str">
        <f t="shared" si="518"/>
        <v>208001:13</v>
      </c>
      <c r="F529" s="11" t="s">
        <v>379</v>
      </c>
      <c r="G529" s="6">
        <v>0</v>
      </c>
      <c r="H529" s="6">
        <v>0</v>
      </c>
      <c r="I529" s="6" t="s">
        <v>67</v>
      </c>
      <c r="K529" s="6" t="str">
        <f t="shared" si="515"/>
        <v>208001</v>
      </c>
      <c r="L529" s="4">
        <v>13</v>
      </c>
      <c r="M529" s="6" t="s">
        <v>517</v>
      </c>
      <c r="O529" s="15" t="str">
        <f>O528</f>
        <v>1.15</v>
      </c>
      <c r="P529" s="15" t="str">
        <f t="shared" ref="P529:S529" si="528">O529</f>
        <v>1.15</v>
      </c>
      <c r="Q529" s="15" t="str">
        <f t="shared" si="528"/>
        <v>1.15</v>
      </c>
      <c r="R529" s="15" t="str">
        <f>P529</f>
        <v>1.15</v>
      </c>
      <c r="S529" s="15" t="str">
        <f t="shared" si="528"/>
        <v>1.15</v>
      </c>
      <c r="T529" s="6" t="str">
        <f t="shared" si="517"/>
        <v>1|1.15#2|1.15#3|1.15#4|1.15#5|1.15</v>
      </c>
    </row>
    <row r="530" s="6" customFormat="1" ht="16.5" spans="1:20">
      <c r="A530" s="6">
        <v>1010536</v>
      </c>
      <c r="B530" s="6">
        <v>28001</v>
      </c>
      <c r="C530" s="6">
        <v>4</v>
      </c>
      <c r="D530" s="6">
        <v>1</v>
      </c>
      <c r="E530" s="6" t="str">
        <f t="shared" si="518"/>
        <v>208001:13</v>
      </c>
      <c r="F530" s="11" t="s">
        <v>381</v>
      </c>
      <c r="G530" s="6">
        <v>0</v>
      </c>
      <c r="H530" s="6">
        <v>0</v>
      </c>
      <c r="I530" s="6" t="s">
        <v>69</v>
      </c>
      <c r="K530" s="6" t="str">
        <f t="shared" si="515"/>
        <v>208001</v>
      </c>
      <c r="L530" s="4">
        <v>13</v>
      </c>
      <c r="M530" s="6" t="s">
        <v>517</v>
      </c>
      <c r="O530" s="13" t="str">
        <f t="shared" ref="O530:O534" si="529">RIGHT(F530,LEN(F530)-2)</f>
        <v>1.2</v>
      </c>
      <c r="P530" s="13" t="str">
        <f t="shared" ref="P530:S530" si="530">P529</f>
        <v>1.15</v>
      </c>
      <c r="Q530" s="13" t="str">
        <f t="shared" si="530"/>
        <v>1.15</v>
      </c>
      <c r="R530" s="13" t="str">
        <f t="shared" si="530"/>
        <v>1.15</v>
      </c>
      <c r="S530" s="13" t="str">
        <f t="shared" si="530"/>
        <v>1.15</v>
      </c>
      <c r="T530" s="6" t="str">
        <f t="shared" si="517"/>
        <v>1|1.2#2|1.15#3|1.15#4|1.15#5|1.15</v>
      </c>
    </row>
    <row r="531" s="6" customFormat="1" ht="16.5" spans="1:20">
      <c r="A531" s="6">
        <v>1010537</v>
      </c>
      <c r="B531" s="6">
        <v>28001</v>
      </c>
      <c r="C531" s="6">
        <v>4</v>
      </c>
      <c r="D531" s="6">
        <v>2</v>
      </c>
      <c r="E531" s="6" t="str">
        <f t="shared" si="518"/>
        <v>208001:13</v>
      </c>
      <c r="F531" s="11" t="s">
        <v>382</v>
      </c>
      <c r="G531" s="6">
        <v>0</v>
      </c>
      <c r="H531" s="6">
        <v>0</v>
      </c>
      <c r="I531" s="6" t="s">
        <v>71</v>
      </c>
      <c r="K531" s="6" t="str">
        <f t="shared" si="515"/>
        <v>208001</v>
      </c>
      <c r="L531" s="4">
        <v>13</v>
      </c>
      <c r="M531" s="6" t="s">
        <v>517</v>
      </c>
      <c r="O531" s="13" t="str">
        <f t="shared" si="529"/>
        <v>1.2</v>
      </c>
      <c r="P531" s="13" t="str">
        <f t="shared" ref="P531:P534" si="531">O531</f>
        <v>1.2</v>
      </c>
      <c r="Q531" s="13" t="str">
        <f t="shared" ref="Q531:S531" si="532">Q530</f>
        <v>1.15</v>
      </c>
      <c r="R531" s="13" t="str">
        <f t="shared" si="532"/>
        <v>1.15</v>
      </c>
      <c r="S531" s="13" t="str">
        <f t="shared" si="532"/>
        <v>1.15</v>
      </c>
      <c r="T531" s="6" t="str">
        <f t="shared" si="517"/>
        <v>1|1.2#2|1.2#3|1.15#4|1.15#5|1.15</v>
      </c>
    </row>
    <row r="532" s="6" customFormat="1" ht="16.5" spans="1:20">
      <c r="A532" s="6">
        <v>1010538</v>
      </c>
      <c r="B532" s="6">
        <v>28001</v>
      </c>
      <c r="C532" s="6">
        <v>4</v>
      </c>
      <c r="D532" s="6">
        <v>3</v>
      </c>
      <c r="E532" s="6" t="str">
        <f t="shared" si="518"/>
        <v>208001:17</v>
      </c>
      <c r="F532" s="11" t="s">
        <v>383</v>
      </c>
      <c r="G532" s="6">
        <v>0</v>
      </c>
      <c r="H532" s="6">
        <v>0</v>
      </c>
      <c r="I532" s="6" t="s">
        <v>73</v>
      </c>
      <c r="K532" s="6" t="str">
        <f t="shared" si="515"/>
        <v>208001</v>
      </c>
      <c r="L532" s="4">
        <v>17</v>
      </c>
      <c r="M532" s="6" t="s">
        <v>517</v>
      </c>
      <c r="O532" s="13" t="str">
        <f t="shared" si="529"/>
        <v>1.2</v>
      </c>
      <c r="P532" s="13" t="str">
        <f t="shared" si="531"/>
        <v>1.2</v>
      </c>
      <c r="Q532" s="13" t="str">
        <f t="shared" ref="Q532:Q534" si="533">P532</f>
        <v>1.2</v>
      </c>
      <c r="R532" s="13" t="str">
        <f>R531</f>
        <v>1.15</v>
      </c>
      <c r="S532" s="13" t="str">
        <f>S531</f>
        <v>1.15</v>
      </c>
      <c r="T532" s="6" t="str">
        <f t="shared" si="517"/>
        <v>1|1.2#2|1.2#3|1.2#4|1.15#5|1.15</v>
      </c>
    </row>
    <row r="533" s="6" customFormat="1" ht="16.5" spans="1:20">
      <c r="A533" s="6">
        <v>1010539</v>
      </c>
      <c r="B533" s="6">
        <v>28001</v>
      </c>
      <c r="C533" s="6">
        <v>4</v>
      </c>
      <c r="D533" s="6">
        <v>4</v>
      </c>
      <c r="E533" s="6" t="str">
        <f t="shared" si="518"/>
        <v>208001:17</v>
      </c>
      <c r="F533" s="11" t="s">
        <v>384</v>
      </c>
      <c r="G533" s="6">
        <v>0</v>
      </c>
      <c r="H533" s="6">
        <v>0</v>
      </c>
      <c r="I533" s="6" t="s">
        <v>75</v>
      </c>
      <c r="K533" s="6" t="str">
        <f t="shared" si="515"/>
        <v>208001</v>
      </c>
      <c r="L533" s="4">
        <v>17</v>
      </c>
      <c r="M533" s="6" t="s">
        <v>517</v>
      </c>
      <c r="O533" s="13" t="str">
        <f t="shared" si="529"/>
        <v>1.2</v>
      </c>
      <c r="P533" s="13" t="str">
        <f t="shared" si="531"/>
        <v>1.2</v>
      </c>
      <c r="Q533" s="13" t="str">
        <f t="shared" si="533"/>
        <v>1.2</v>
      </c>
      <c r="R533" s="13" t="str">
        <f>Q533</f>
        <v>1.2</v>
      </c>
      <c r="S533" s="13" t="str">
        <f>S532</f>
        <v>1.15</v>
      </c>
      <c r="T533" s="6" t="str">
        <f t="shared" si="517"/>
        <v>1|1.2#2|1.2#3|1.2#4|1.2#5|1.15</v>
      </c>
    </row>
    <row r="534" s="6" customFormat="1" ht="16.5" spans="1:20">
      <c r="A534" s="6">
        <v>1010540</v>
      </c>
      <c r="B534" s="6">
        <v>28001</v>
      </c>
      <c r="C534" s="6">
        <v>4</v>
      </c>
      <c r="D534" s="6">
        <v>5</v>
      </c>
      <c r="E534" s="6" t="str">
        <f t="shared" si="518"/>
        <v>208001:17</v>
      </c>
      <c r="F534" s="11" t="s">
        <v>385</v>
      </c>
      <c r="G534" s="6">
        <v>0</v>
      </c>
      <c r="H534" s="6">
        <v>0</v>
      </c>
      <c r="I534" s="6" t="s">
        <v>40</v>
      </c>
      <c r="K534" s="6" t="str">
        <f t="shared" si="515"/>
        <v>208001</v>
      </c>
      <c r="L534" s="4">
        <v>17</v>
      </c>
      <c r="M534" s="6" t="s">
        <v>223</v>
      </c>
      <c r="O534" s="13" t="str">
        <f t="shared" si="529"/>
        <v>1.2</v>
      </c>
      <c r="P534" s="13" t="str">
        <f t="shared" si="531"/>
        <v>1.2</v>
      </c>
      <c r="Q534" s="13" t="str">
        <f t="shared" si="533"/>
        <v>1.2</v>
      </c>
      <c r="R534" s="13" t="str">
        <f>Q534</f>
        <v>1.2</v>
      </c>
      <c r="S534" s="13" t="str">
        <f>R534</f>
        <v>1.2</v>
      </c>
      <c r="T534" s="6" t="str">
        <f t="shared" si="517"/>
        <v>1|1.2#2|1.2#3|1.2#4|1.2#5|1.2</v>
      </c>
    </row>
    <row r="535" s="6" customFormat="1" ht="16.5" spans="1:20">
      <c r="A535" s="6">
        <v>1010541</v>
      </c>
      <c r="B535" s="6">
        <v>28001</v>
      </c>
      <c r="C535" s="6">
        <v>4</v>
      </c>
      <c r="D535" s="6">
        <v>6</v>
      </c>
      <c r="E535" s="6" t="str">
        <f t="shared" si="518"/>
        <v>208001:60</v>
      </c>
      <c r="F535" s="11">
        <v>0</v>
      </c>
      <c r="G535" s="6">
        <v>11002</v>
      </c>
      <c r="H535" s="6" t="s">
        <v>407</v>
      </c>
      <c r="I535" s="6">
        <v>0</v>
      </c>
      <c r="K535" s="6" t="str">
        <f t="shared" si="515"/>
        <v>208001</v>
      </c>
      <c r="L535" s="13">
        <v>60</v>
      </c>
      <c r="M535" s="6" t="s">
        <v>513</v>
      </c>
      <c r="O535" s="13" t="str">
        <f t="shared" ref="O535:S535" si="534">O534</f>
        <v>1.2</v>
      </c>
      <c r="P535" s="13" t="str">
        <f t="shared" si="534"/>
        <v>1.2</v>
      </c>
      <c r="Q535" s="13" t="str">
        <f t="shared" si="534"/>
        <v>1.2</v>
      </c>
      <c r="R535" s="13" t="str">
        <f t="shared" si="534"/>
        <v>1.2</v>
      </c>
      <c r="S535" s="13" t="str">
        <f t="shared" si="534"/>
        <v>1.2</v>
      </c>
      <c r="T535" s="6" t="str">
        <f t="shared" si="517"/>
        <v>1|1.2#2|1.2#3|1.2#4|1.2#5|1.2</v>
      </c>
    </row>
    <row r="536" s="6" customFormat="1" ht="16.5" spans="1:20">
      <c r="A536" s="6">
        <v>1010542</v>
      </c>
      <c r="B536" s="6">
        <v>28001</v>
      </c>
      <c r="C536" s="6">
        <v>5</v>
      </c>
      <c r="D536" s="6">
        <v>0</v>
      </c>
      <c r="E536" s="6" t="str">
        <f t="shared" si="518"/>
        <v>208001:18</v>
      </c>
      <c r="F536" s="11" t="s">
        <v>386</v>
      </c>
      <c r="G536" s="6">
        <v>0</v>
      </c>
      <c r="H536" s="6">
        <v>0</v>
      </c>
      <c r="I536" s="6" t="s">
        <v>79</v>
      </c>
      <c r="K536" s="6" t="str">
        <f t="shared" si="515"/>
        <v>208001</v>
      </c>
      <c r="L536" s="4">
        <v>18</v>
      </c>
      <c r="M536" s="6" t="s">
        <v>518</v>
      </c>
      <c r="O536" s="15" t="str">
        <f>O535</f>
        <v>1.2</v>
      </c>
      <c r="P536" s="15" t="str">
        <f t="shared" ref="P536:S536" si="535">O536</f>
        <v>1.2</v>
      </c>
      <c r="Q536" s="15" t="str">
        <f t="shared" si="535"/>
        <v>1.2</v>
      </c>
      <c r="R536" s="15" t="str">
        <f>P536</f>
        <v>1.2</v>
      </c>
      <c r="S536" s="15" t="str">
        <f t="shared" si="535"/>
        <v>1.2</v>
      </c>
      <c r="T536" s="6" t="str">
        <f t="shared" si="517"/>
        <v>1|1.2#2|1.2#3|1.2#4|1.2#5|1.2</v>
      </c>
    </row>
    <row r="537" s="6" customFormat="1" ht="16.5" spans="1:20">
      <c r="A537" s="6">
        <v>1010543</v>
      </c>
      <c r="B537" s="6">
        <v>28001</v>
      </c>
      <c r="C537" s="6">
        <v>5</v>
      </c>
      <c r="D537" s="6">
        <v>1</v>
      </c>
      <c r="E537" s="6" t="str">
        <f t="shared" si="518"/>
        <v>208001:18</v>
      </c>
      <c r="F537" s="11" t="s">
        <v>388</v>
      </c>
      <c r="G537" s="6">
        <v>0</v>
      </c>
      <c r="H537" s="6">
        <v>0</v>
      </c>
      <c r="I537" s="6" t="s">
        <v>81</v>
      </c>
      <c r="K537" s="6" t="str">
        <f t="shared" si="515"/>
        <v>208001</v>
      </c>
      <c r="L537" s="4">
        <v>18</v>
      </c>
      <c r="M537" s="6" t="s">
        <v>518</v>
      </c>
      <c r="O537" s="13" t="str">
        <f t="shared" ref="O537:O541" si="536">RIGHT(F537,LEN(F537)-2)</f>
        <v>1.3</v>
      </c>
      <c r="P537" s="13" t="str">
        <f t="shared" ref="P537:S537" si="537">P536</f>
        <v>1.2</v>
      </c>
      <c r="Q537" s="13" t="str">
        <f t="shared" si="537"/>
        <v>1.2</v>
      </c>
      <c r="R537" s="13" t="str">
        <f t="shared" si="537"/>
        <v>1.2</v>
      </c>
      <c r="S537" s="13" t="str">
        <f t="shared" si="537"/>
        <v>1.2</v>
      </c>
      <c r="T537" s="6" t="str">
        <f t="shared" si="517"/>
        <v>1|1.3#2|1.2#3|1.2#4|1.2#5|1.2</v>
      </c>
    </row>
    <row r="538" s="6" customFormat="1" ht="16.5" spans="1:20">
      <c r="A538" s="6">
        <v>1010544</v>
      </c>
      <c r="B538" s="6">
        <v>28001</v>
      </c>
      <c r="C538" s="6">
        <v>5</v>
      </c>
      <c r="D538" s="6">
        <v>2</v>
      </c>
      <c r="E538" s="6" t="str">
        <f t="shared" si="518"/>
        <v>208001:18</v>
      </c>
      <c r="F538" s="11" t="s">
        <v>389</v>
      </c>
      <c r="G538" s="6">
        <v>0</v>
      </c>
      <c r="H538" s="6">
        <v>0</v>
      </c>
      <c r="I538" s="6" t="s">
        <v>83</v>
      </c>
      <c r="K538" s="6" t="str">
        <f t="shared" si="515"/>
        <v>208001</v>
      </c>
      <c r="L538" s="4">
        <v>18</v>
      </c>
      <c r="M538" s="6" t="s">
        <v>518</v>
      </c>
      <c r="O538" s="13" t="str">
        <f t="shared" si="536"/>
        <v>1.3</v>
      </c>
      <c r="P538" s="13" t="str">
        <f t="shared" ref="P538:P541" si="538">O538</f>
        <v>1.3</v>
      </c>
      <c r="Q538" s="13" t="str">
        <f t="shared" ref="Q538:S538" si="539">Q537</f>
        <v>1.2</v>
      </c>
      <c r="R538" s="13" t="str">
        <f t="shared" si="539"/>
        <v>1.2</v>
      </c>
      <c r="S538" s="13" t="str">
        <f t="shared" si="539"/>
        <v>1.2</v>
      </c>
      <c r="T538" s="6" t="str">
        <f t="shared" si="517"/>
        <v>1|1.3#2|1.3#3|1.2#4|1.2#5|1.2</v>
      </c>
    </row>
    <row r="539" s="6" customFormat="1" ht="16.5" spans="1:20">
      <c r="A539" s="6">
        <v>1010545</v>
      </c>
      <c r="B539" s="6">
        <v>28001</v>
      </c>
      <c r="C539" s="6">
        <v>5</v>
      </c>
      <c r="D539" s="6">
        <v>3</v>
      </c>
      <c r="E539" s="6" t="str">
        <f t="shared" si="518"/>
        <v>208001:22</v>
      </c>
      <c r="F539" s="11" t="s">
        <v>390</v>
      </c>
      <c r="G539" s="6">
        <v>0</v>
      </c>
      <c r="H539" s="6">
        <v>0</v>
      </c>
      <c r="I539" s="6" t="s">
        <v>85</v>
      </c>
      <c r="K539" s="6" t="str">
        <f t="shared" si="515"/>
        <v>208001</v>
      </c>
      <c r="L539" s="4">
        <v>22</v>
      </c>
      <c r="M539" s="6" t="s">
        <v>518</v>
      </c>
      <c r="O539" s="13" t="str">
        <f t="shared" si="536"/>
        <v>1.3</v>
      </c>
      <c r="P539" s="13" t="str">
        <f t="shared" si="538"/>
        <v>1.3</v>
      </c>
      <c r="Q539" s="13" t="str">
        <f t="shared" ref="Q539:Q541" si="540">P539</f>
        <v>1.3</v>
      </c>
      <c r="R539" s="13" t="str">
        <f>R538</f>
        <v>1.2</v>
      </c>
      <c r="S539" s="13" t="str">
        <f>S538</f>
        <v>1.2</v>
      </c>
      <c r="T539" s="6" t="str">
        <f t="shared" si="517"/>
        <v>1|1.3#2|1.3#3|1.3#4|1.2#5|1.2</v>
      </c>
    </row>
    <row r="540" s="6" customFormat="1" ht="16.5" spans="1:20">
      <c r="A540" s="6">
        <v>1010546</v>
      </c>
      <c r="B540" s="6">
        <v>28001</v>
      </c>
      <c r="C540" s="6">
        <v>5</v>
      </c>
      <c r="D540" s="6">
        <v>4</v>
      </c>
      <c r="E540" s="6" t="str">
        <f t="shared" si="518"/>
        <v>208001:22</v>
      </c>
      <c r="F540" s="11" t="s">
        <v>391</v>
      </c>
      <c r="G540" s="6">
        <v>0</v>
      </c>
      <c r="H540" s="6">
        <v>0</v>
      </c>
      <c r="I540" s="6" t="s">
        <v>87</v>
      </c>
      <c r="K540" s="6" t="str">
        <f t="shared" si="515"/>
        <v>208001</v>
      </c>
      <c r="L540" s="4">
        <v>22</v>
      </c>
      <c r="M540" s="6" t="s">
        <v>518</v>
      </c>
      <c r="O540" s="13" t="str">
        <f t="shared" si="536"/>
        <v>1.3</v>
      </c>
      <c r="P540" s="13" t="str">
        <f t="shared" si="538"/>
        <v>1.3</v>
      </c>
      <c r="Q540" s="13" t="str">
        <f t="shared" si="540"/>
        <v>1.3</v>
      </c>
      <c r="R540" s="13" t="str">
        <f>Q540</f>
        <v>1.3</v>
      </c>
      <c r="S540" s="13" t="str">
        <f>S539</f>
        <v>1.2</v>
      </c>
      <c r="T540" s="6" t="str">
        <f t="shared" si="517"/>
        <v>1|1.3#2|1.3#3|1.3#4|1.3#5|1.2</v>
      </c>
    </row>
    <row r="541" s="6" customFormat="1" ht="16.5" spans="1:20">
      <c r="A541" s="6">
        <v>1010547</v>
      </c>
      <c r="B541" s="6">
        <v>28001</v>
      </c>
      <c r="C541" s="6">
        <v>5</v>
      </c>
      <c r="D541" s="6">
        <v>5</v>
      </c>
      <c r="E541" s="6" t="str">
        <f t="shared" si="518"/>
        <v>208001:22</v>
      </c>
      <c r="F541" s="11" t="s">
        <v>392</v>
      </c>
      <c r="G541" s="6">
        <v>0</v>
      </c>
      <c r="H541" s="6">
        <v>0</v>
      </c>
      <c r="I541" s="6" t="s">
        <v>40</v>
      </c>
      <c r="K541" s="6" t="str">
        <f t="shared" si="515"/>
        <v>208001</v>
      </c>
      <c r="L541" s="4">
        <v>22</v>
      </c>
      <c r="M541" s="6" t="s">
        <v>519</v>
      </c>
      <c r="O541" s="13" t="str">
        <f t="shared" si="536"/>
        <v>1.3</v>
      </c>
      <c r="P541" s="13" t="str">
        <f t="shared" si="538"/>
        <v>1.3</v>
      </c>
      <c r="Q541" s="13" t="str">
        <f t="shared" si="540"/>
        <v>1.3</v>
      </c>
      <c r="R541" s="13" t="str">
        <f>Q541</f>
        <v>1.3</v>
      </c>
      <c r="S541" s="13" t="str">
        <f>R541</f>
        <v>1.3</v>
      </c>
      <c r="T541" s="6" t="str">
        <f t="shared" si="517"/>
        <v>1|1.3#2|1.3#3|1.3#4|1.3#5|1.3</v>
      </c>
    </row>
    <row r="542" s="6" customFormat="1" ht="16.5" spans="1:20">
      <c r="A542" s="6">
        <v>1010548</v>
      </c>
      <c r="B542" s="6">
        <v>28001</v>
      </c>
      <c r="C542" s="6">
        <v>5</v>
      </c>
      <c r="D542" s="6">
        <v>6</v>
      </c>
      <c r="E542" s="6" t="str">
        <f t="shared" si="518"/>
        <v>208001:60</v>
      </c>
      <c r="F542" s="11">
        <v>0</v>
      </c>
      <c r="G542" s="6">
        <v>11002</v>
      </c>
      <c r="H542" s="6" t="s">
        <v>407</v>
      </c>
      <c r="I542" s="6">
        <v>0</v>
      </c>
      <c r="K542" s="6" t="str">
        <f t="shared" si="515"/>
        <v>208001</v>
      </c>
      <c r="L542" s="13">
        <v>60</v>
      </c>
      <c r="M542" s="6" t="s">
        <v>513</v>
      </c>
      <c r="O542" s="13" t="str">
        <f t="shared" ref="O542:S542" si="541">O541</f>
        <v>1.3</v>
      </c>
      <c r="P542" s="13" t="str">
        <f t="shared" si="541"/>
        <v>1.3</v>
      </c>
      <c r="Q542" s="13" t="str">
        <f t="shared" si="541"/>
        <v>1.3</v>
      </c>
      <c r="R542" s="13" t="str">
        <f t="shared" si="541"/>
        <v>1.3</v>
      </c>
      <c r="S542" s="13" t="str">
        <f t="shared" si="541"/>
        <v>1.3</v>
      </c>
      <c r="T542" s="6" t="str">
        <f t="shared" si="517"/>
        <v>1|1.3#2|1.3#3|1.3#4|1.3#5|1.3</v>
      </c>
    </row>
    <row r="543" s="6" customFormat="1" ht="16.5" spans="1:20">
      <c r="A543" s="6">
        <v>1010549</v>
      </c>
      <c r="B543" s="6">
        <v>28001</v>
      </c>
      <c r="C543" s="6">
        <v>6</v>
      </c>
      <c r="D543" s="6">
        <v>0</v>
      </c>
      <c r="E543" s="6" t="str">
        <f t="shared" si="518"/>
        <v>208001:24</v>
      </c>
      <c r="F543" s="11" t="s">
        <v>394</v>
      </c>
      <c r="G543" s="6">
        <v>0</v>
      </c>
      <c r="H543" s="6">
        <v>0</v>
      </c>
      <c r="I543" s="6" t="s">
        <v>90</v>
      </c>
      <c r="K543" s="6" t="str">
        <f t="shared" si="515"/>
        <v>208001</v>
      </c>
      <c r="L543" s="4">
        <v>24</v>
      </c>
      <c r="M543" s="6" t="s">
        <v>520</v>
      </c>
      <c r="O543" s="15" t="str">
        <f>O542</f>
        <v>1.3</v>
      </c>
      <c r="P543" s="15" t="str">
        <f t="shared" ref="P543:S543" si="542">O543</f>
        <v>1.3</v>
      </c>
      <c r="Q543" s="15" t="str">
        <f t="shared" si="542"/>
        <v>1.3</v>
      </c>
      <c r="R543" s="15" t="str">
        <f>P543</f>
        <v>1.3</v>
      </c>
      <c r="S543" s="15" t="str">
        <f t="shared" si="542"/>
        <v>1.3</v>
      </c>
      <c r="T543" s="6" t="str">
        <f t="shared" si="517"/>
        <v>1|1.3#2|1.3#3|1.3#4|1.3#5|1.3</v>
      </c>
    </row>
    <row r="544" s="6" customFormat="1" ht="16.5" spans="1:20">
      <c r="A544" s="6">
        <v>1010550</v>
      </c>
      <c r="B544" s="6">
        <v>28001</v>
      </c>
      <c r="C544" s="6">
        <v>6</v>
      </c>
      <c r="D544" s="6">
        <v>1</v>
      </c>
      <c r="E544" s="6" t="str">
        <f t="shared" si="518"/>
        <v>208001:24</v>
      </c>
      <c r="F544" s="11" t="s">
        <v>396</v>
      </c>
      <c r="G544" s="6">
        <v>0</v>
      </c>
      <c r="H544" s="6">
        <v>0</v>
      </c>
      <c r="I544" s="6" t="s">
        <v>92</v>
      </c>
      <c r="K544" s="6" t="str">
        <f t="shared" si="515"/>
        <v>208001</v>
      </c>
      <c r="L544" s="4">
        <v>24</v>
      </c>
      <c r="M544" s="6" t="s">
        <v>520</v>
      </c>
      <c r="O544" s="13" t="str">
        <f t="shared" ref="O544:O548" si="543">RIGHT(F544,LEN(F544)-2)</f>
        <v>1.4</v>
      </c>
      <c r="P544" s="13" t="str">
        <f t="shared" ref="P544:S544" si="544">P543</f>
        <v>1.3</v>
      </c>
      <c r="Q544" s="13" t="str">
        <f t="shared" si="544"/>
        <v>1.3</v>
      </c>
      <c r="R544" s="13" t="str">
        <f t="shared" si="544"/>
        <v>1.3</v>
      </c>
      <c r="S544" s="13" t="str">
        <f t="shared" si="544"/>
        <v>1.3</v>
      </c>
      <c r="T544" s="6" t="str">
        <f t="shared" si="517"/>
        <v>1|1.4#2|1.3#3|1.3#4|1.3#5|1.3</v>
      </c>
    </row>
    <row r="545" s="6" customFormat="1" ht="16.5" spans="1:20">
      <c r="A545" s="6">
        <v>1010551</v>
      </c>
      <c r="B545" s="6">
        <v>28001</v>
      </c>
      <c r="C545" s="6">
        <v>6</v>
      </c>
      <c r="D545" s="6">
        <v>2</v>
      </c>
      <c r="E545" s="6" t="str">
        <f t="shared" si="518"/>
        <v>208001:24</v>
      </c>
      <c r="F545" s="11" t="s">
        <v>397</v>
      </c>
      <c r="G545" s="6">
        <v>0</v>
      </c>
      <c r="H545" s="6">
        <v>0</v>
      </c>
      <c r="I545" s="6" t="s">
        <v>94</v>
      </c>
      <c r="K545" s="6" t="str">
        <f t="shared" si="515"/>
        <v>208001</v>
      </c>
      <c r="L545" s="4">
        <v>24</v>
      </c>
      <c r="M545" s="6" t="s">
        <v>520</v>
      </c>
      <c r="O545" s="13" t="str">
        <f t="shared" si="543"/>
        <v>1.4</v>
      </c>
      <c r="P545" s="13" t="str">
        <f t="shared" ref="P545:P548" si="545">O545</f>
        <v>1.4</v>
      </c>
      <c r="Q545" s="13" t="str">
        <f t="shared" ref="Q545:S545" si="546">Q544</f>
        <v>1.3</v>
      </c>
      <c r="R545" s="13" t="str">
        <f t="shared" si="546"/>
        <v>1.3</v>
      </c>
      <c r="S545" s="13" t="str">
        <f t="shared" si="546"/>
        <v>1.3</v>
      </c>
      <c r="T545" s="6" t="str">
        <f t="shared" si="517"/>
        <v>1|1.4#2|1.4#3|1.3#4|1.3#5|1.3</v>
      </c>
    </row>
    <row r="546" s="6" customFormat="1" ht="16.5" spans="1:20">
      <c r="A546" s="6">
        <v>1010552</v>
      </c>
      <c r="B546" s="6">
        <v>28001</v>
      </c>
      <c r="C546" s="6">
        <v>6</v>
      </c>
      <c r="D546" s="6">
        <v>3</v>
      </c>
      <c r="E546" s="6" t="str">
        <f t="shared" si="518"/>
        <v>208001:24</v>
      </c>
      <c r="F546" s="11" t="s">
        <v>398</v>
      </c>
      <c r="G546" s="6">
        <v>0</v>
      </c>
      <c r="H546" s="6">
        <v>0</v>
      </c>
      <c r="I546" s="6" t="s">
        <v>96</v>
      </c>
      <c r="K546" s="6" t="str">
        <f t="shared" si="515"/>
        <v>208001</v>
      </c>
      <c r="L546" s="4">
        <v>24</v>
      </c>
      <c r="M546" s="6" t="s">
        <v>520</v>
      </c>
      <c r="O546" s="13" t="str">
        <f t="shared" si="543"/>
        <v>1.4</v>
      </c>
      <c r="P546" s="13" t="str">
        <f t="shared" si="545"/>
        <v>1.4</v>
      </c>
      <c r="Q546" s="13" t="str">
        <f t="shared" ref="Q546:Q548" si="547">P546</f>
        <v>1.4</v>
      </c>
      <c r="R546" s="13" t="str">
        <f>R545</f>
        <v>1.3</v>
      </c>
      <c r="S546" s="13" t="str">
        <f t="shared" ref="S546:S553" si="548">S545</f>
        <v>1.3</v>
      </c>
      <c r="T546" s="6" t="str">
        <f t="shared" si="517"/>
        <v>1|1.4#2|1.4#3|1.4#4|1.3#5|1.3</v>
      </c>
    </row>
    <row r="547" s="6" customFormat="1" ht="16.5" spans="1:20">
      <c r="A547" s="6">
        <v>1010553</v>
      </c>
      <c r="B547" s="6">
        <v>28001</v>
      </c>
      <c r="C547" s="6">
        <v>6</v>
      </c>
      <c r="D547" s="6">
        <v>4</v>
      </c>
      <c r="E547" s="6" t="str">
        <f t="shared" si="518"/>
        <v>208001:24</v>
      </c>
      <c r="F547" s="11" t="s">
        <v>399</v>
      </c>
      <c r="G547" s="6">
        <v>0</v>
      </c>
      <c r="H547" s="6">
        <v>0</v>
      </c>
      <c r="I547" s="6" t="s">
        <v>98</v>
      </c>
      <c r="K547" s="6" t="str">
        <f t="shared" si="515"/>
        <v>208001</v>
      </c>
      <c r="L547" s="4">
        <v>24</v>
      </c>
      <c r="M547" s="6" t="s">
        <v>520</v>
      </c>
      <c r="O547" s="13" t="str">
        <f t="shared" si="543"/>
        <v>1.4</v>
      </c>
      <c r="P547" s="13" t="str">
        <f t="shared" si="545"/>
        <v>1.4</v>
      </c>
      <c r="Q547" s="13" t="str">
        <f t="shared" si="547"/>
        <v>1.4</v>
      </c>
      <c r="R547" s="13" t="str">
        <f>Q547</f>
        <v>1.4</v>
      </c>
      <c r="S547" s="13" t="str">
        <f t="shared" si="548"/>
        <v>1.3</v>
      </c>
      <c r="T547" s="6" t="str">
        <f t="shared" si="517"/>
        <v>1|1.4#2|1.4#3|1.4#4|1.4#5|1.3</v>
      </c>
    </row>
    <row r="548" s="6" customFormat="1" ht="16.5" spans="1:20">
      <c r="A548" s="6">
        <v>1010554</v>
      </c>
      <c r="B548" s="6">
        <v>28001</v>
      </c>
      <c r="C548" s="6">
        <v>6</v>
      </c>
      <c r="D548" s="6">
        <v>5</v>
      </c>
      <c r="E548" s="6" t="str">
        <f t="shared" si="518"/>
        <v>208001:60</v>
      </c>
      <c r="F548" s="11" t="s">
        <v>400</v>
      </c>
      <c r="G548" s="6">
        <v>0</v>
      </c>
      <c r="H548" s="6">
        <v>0</v>
      </c>
      <c r="I548" s="6" t="s">
        <v>40</v>
      </c>
      <c r="K548" s="6" t="str">
        <f t="shared" si="515"/>
        <v>208001</v>
      </c>
      <c r="L548" s="4">
        <v>60</v>
      </c>
      <c r="M548" s="6" t="s">
        <v>519</v>
      </c>
      <c r="O548" s="13" t="str">
        <f t="shared" si="543"/>
        <v>1.4</v>
      </c>
      <c r="P548" s="13" t="str">
        <f t="shared" si="545"/>
        <v>1.4</v>
      </c>
      <c r="Q548" s="13" t="str">
        <f t="shared" si="547"/>
        <v>1.4</v>
      </c>
      <c r="R548" s="13" t="str">
        <f>Q548</f>
        <v>1.4</v>
      </c>
      <c r="S548" s="13" t="str">
        <f>R548</f>
        <v>1.4</v>
      </c>
      <c r="T548" s="6" t="str">
        <f t="shared" si="517"/>
        <v>1|1.4#2|1.4#3|1.4#4|1.4#5|1.4</v>
      </c>
    </row>
    <row r="549" s="6" customFormat="1" ht="16.5" spans="1:20">
      <c r="A549" s="6">
        <v>1010555</v>
      </c>
      <c r="B549" s="6">
        <v>28001</v>
      </c>
      <c r="C549" s="6">
        <v>6</v>
      </c>
      <c r="D549" s="6">
        <v>6</v>
      </c>
      <c r="E549" s="6" t="str">
        <f t="shared" si="518"/>
        <v>208001:0</v>
      </c>
      <c r="F549" s="11">
        <v>0</v>
      </c>
      <c r="G549" s="6">
        <v>11002</v>
      </c>
      <c r="H549" s="6" t="s">
        <v>407</v>
      </c>
      <c r="I549" s="6">
        <v>0</v>
      </c>
      <c r="K549" s="6" t="str">
        <f t="shared" si="515"/>
        <v>208001</v>
      </c>
      <c r="L549" s="4">
        <v>0</v>
      </c>
      <c r="M549" s="6" t="s">
        <v>513</v>
      </c>
      <c r="O549" s="13" t="str">
        <f t="shared" ref="O549:S549" si="549">O548</f>
        <v>1.4</v>
      </c>
      <c r="P549" s="13" t="str">
        <f t="shared" si="549"/>
        <v>1.4</v>
      </c>
      <c r="Q549" s="13" t="str">
        <f t="shared" si="549"/>
        <v>1.4</v>
      </c>
      <c r="R549" s="13" t="str">
        <f t="shared" si="549"/>
        <v>1.4</v>
      </c>
      <c r="S549" s="13" t="str">
        <f t="shared" si="549"/>
        <v>1.4</v>
      </c>
      <c r="T549" s="6" t="str">
        <f t="shared" si="517"/>
        <v>1|1.4#2|1.4#3|1.4#4|1.4#5|1.4</v>
      </c>
    </row>
    <row r="550" s="6" customFormat="1" ht="16.5" spans="1:20">
      <c r="A550" s="6">
        <v>1010556</v>
      </c>
      <c r="B550" s="6">
        <v>31001</v>
      </c>
      <c r="C550" s="6">
        <v>1</v>
      </c>
      <c r="D550" s="6">
        <v>0</v>
      </c>
      <c r="E550" s="6" t="str">
        <f t="shared" si="518"/>
        <v>301001:2</v>
      </c>
      <c r="F550" s="11" t="s">
        <v>356</v>
      </c>
      <c r="G550" s="6">
        <v>0</v>
      </c>
      <c r="H550" s="6">
        <v>0</v>
      </c>
      <c r="I550" s="6" t="s">
        <v>25</v>
      </c>
      <c r="K550" s="6" t="str">
        <f t="shared" si="515"/>
        <v>301001</v>
      </c>
      <c r="L550" s="4">
        <v>2</v>
      </c>
      <c r="M550" s="6" t="s">
        <v>521</v>
      </c>
      <c r="O550" s="13">
        <v>1</v>
      </c>
      <c r="P550" s="13">
        <f t="shared" ref="P550:S550" si="550">O550</f>
        <v>1</v>
      </c>
      <c r="Q550" s="13">
        <f t="shared" si="550"/>
        <v>1</v>
      </c>
      <c r="R550" s="13">
        <f>P550</f>
        <v>1</v>
      </c>
      <c r="S550" s="13">
        <f t="shared" si="550"/>
        <v>1</v>
      </c>
      <c r="T550" s="6" t="str">
        <f t="shared" si="517"/>
        <v>1|1#2|1#3|1#4|1#5|1</v>
      </c>
    </row>
    <row r="551" s="6" customFormat="1" ht="16.5" spans="1:20">
      <c r="A551" s="6">
        <v>1010557</v>
      </c>
      <c r="B551" s="6">
        <v>31001</v>
      </c>
      <c r="C551" s="6">
        <v>1</v>
      </c>
      <c r="D551" s="6">
        <v>1</v>
      </c>
      <c r="E551" s="6" t="str">
        <f t="shared" si="518"/>
        <v>301001:2</v>
      </c>
      <c r="F551" s="11" t="s">
        <v>358</v>
      </c>
      <c r="G551" s="6">
        <v>0</v>
      </c>
      <c r="H551" s="6">
        <v>0</v>
      </c>
      <c r="I551" s="6" t="s">
        <v>28</v>
      </c>
      <c r="K551" s="6" t="str">
        <f t="shared" si="515"/>
        <v>301001</v>
      </c>
      <c r="L551" s="4">
        <v>2</v>
      </c>
      <c r="M551" s="6" t="s">
        <v>521</v>
      </c>
      <c r="O551" s="13" t="str">
        <f t="shared" ref="O551:O555" si="551">RIGHT(F551,LEN(F551)-2)</f>
        <v>1.05</v>
      </c>
      <c r="P551" s="13">
        <v>1</v>
      </c>
      <c r="Q551" s="13">
        <f>Q550</f>
        <v>1</v>
      </c>
      <c r="R551" s="13">
        <f>R550</f>
        <v>1</v>
      </c>
      <c r="S551" s="13">
        <f t="shared" si="548"/>
        <v>1</v>
      </c>
      <c r="T551" s="6" t="str">
        <f t="shared" si="517"/>
        <v>1|1.05#2|1#3|1#4|1#5|1</v>
      </c>
    </row>
    <row r="552" s="6" customFormat="1" ht="16.5" spans="1:20">
      <c r="A552" s="6">
        <v>1010558</v>
      </c>
      <c r="B552" s="6">
        <v>31001</v>
      </c>
      <c r="C552" s="6">
        <v>1</v>
      </c>
      <c r="D552" s="6">
        <v>2</v>
      </c>
      <c r="E552" s="6" t="str">
        <f t="shared" si="518"/>
        <v>301001:2</v>
      </c>
      <c r="F552" s="11" t="s">
        <v>359</v>
      </c>
      <c r="G552" s="6">
        <v>0</v>
      </c>
      <c r="H552" s="6">
        <v>0</v>
      </c>
      <c r="I552" s="6" t="s">
        <v>31</v>
      </c>
      <c r="K552" s="6" t="str">
        <f t="shared" si="515"/>
        <v>301001</v>
      </c>
      <c r="L552" s="4">
        <v>2</v>
      </c>
      <c r="M552" s="6" t="s">
        <v>521</v>
      </c>
      <c r="O552" s="13" t="str">
        <f t="shared" si="551"/>
        <v>1.05</v>
      </c>
      <c r="P552" s="13" t="str">
        <f t="shared" ref="P552:P555" si="552">O552</f>
        <v>1.05</v>
      </c>
      <c r="Q552" s="13">
        <v>1</v>
      </c>
      <c r="R552" s="13">
        <f>R551</f>
        <v>1</v>
      </c>
      <c r="S552" s="13">
        <f t="shared" si="548"/>
        <v>1</v>
      </c>
      <c r="T552" s="6" t="str">
        <f t="shared" si="517"/>
        <v>1|1.05#2|1.05#3|1#4|1#5|1</v>
      </c>
    </row>
    <row r="553" s="6" customFormat="1" ht="16.5" spans="1:20">
      <c r="A553" s="6">
        <v>1010559</v>
      </c>
      <c r="B553" s="6">
        <v>31001</v>
      </c>
      <c r="C553" s="6">
        <v>1</v>
      </c>
      <c r="D553" s="6">
        <v>3</v>
      </c>
      <c r="E553" s="6" t="str">
        <f t="shared" si="518"/>
        <v>301001:3</v>
      </c>
      <c r="F553" s="11" t="s">
        <v>360</v>
      </c>
      <c r="G553" s="6">
        <v>0</v>
      </c>
      <c r="H553" s="6">
        <v>0</v>
      </c>
      <c r="I553" s="6" t="s">
        <v>34</v>
      </c>
      <c r="K553" s="6" t="str">
        <f t="shared" si="515"/>
        <v>301001</v>
      </c>
      <c r="L553" s="4">
        <v>3</v>
      </c>
      <c r="M553" s="6" t="s">
        <v>521</v>
      </c>
      <c r="O553" s="13" t="str">
        <f t="shared" si="551"/>
        <v>1.05</v>
      </c>
      <c r="P553" s="13" t="str">
        <f t="shared" si="552"/>
        <v>1.05</v>
      </c>
      <c r="Q553" s="13" t="str">
        <f t="shared" ref="Q553:Q555" si="553">P553</f>
        <v>1.05</v>
      </c>
      <c r="R553" s="13">
        <v>1</v>
      </c>
      <c r="S553" s="13">
        <f t="shared" si="548"/>
        <v>1</v>
      </c>
      <c r="T553" s="6" t="str">
        <f t="shared" si="517"/>
        <v>1|1.05#2|1.05#3|1.05#4|1#5|1</v>
      </c>
    </row>
    <row r="554" s="6" customFormat="1" ht="16.5" spans="1:20">
      <c r="A554" s="6">
        <v>1010560</v>
      </c>
      <c r="B554" s="6">
        <v>31001</v>
      </c>
      <c r="C554" s="6">
        <v>1</v>
      </c>
      <c r="D554" s="6">
        <v>4</v>
      </c>
      <c r="E554" s="6" t="str">
        <f t="shared" si="518"/>
        <v>301001:3</v>
      </c>
      <c r="F554" s="11" t="s">
        <v>361</v>
      </c>
      <c r="G554" s="6">
        <v>0</v>
      </c>
      <c r="H554" s="6">
        <v>0</v>
      </c>
      <c r="I554" s="6" t="s">
        <v>37</v>
      </c>
      <c r="K554" s="6" t="str">
        <f t="shared" si="515"/>
        <v>301001</v>
      </c>
      <c r="L554" s="4">
        <v>3</v>
      </c>
      <c r="M554" s="6" t="s">
        <v>521</v>
      </c>
      <c r="O554" s="13" t="str">
        <f t="shared" si="551"/>
        <v>1.05</v>
      </c>
      <c r="P554" s="13" t="str">
        <f t="shared" si="552"/>
        <v>1.05</v>
      </c>
      <c r="Q554" s="13" t="str">
        <f t="shared" si="553"/>
        <v>1.05</v>
      </c>
      <c r="R554" s="13" t="str">
        <f>Q554</f>
        <v>1.05</v>
      </c>
      <c r="S554" s="13">
        <v>1</v>
      </c>
      <c r="T554" s="6" t="str">
        <f t="shared" si="517"/>
        <v>1|1.05#2|1.05#3|1.05#4|1.05#5|1</v>
      </c>
    </row>
    <row r="555" s="6" customFormat="1" ht="16.5" spans="1:20">
      <c r="A555" s="6">
        <v>1010561</v>
      </c>
      <c r="B555" s="6">
        <v>31001</v>
      </c>
      <c r="C555" s="6">
        <v>1</v>
      </c>
      <c r="D555" s="6">
        <v>5</v>
      </c>
      <c r="E555" s="6" t="str">
        <f t="shared" si="518"/>
        <v>301001:3</v>
      </c>
      <c r="F555" s="11" t="s">
        <v>362</v>
      </c>
      <c r="G555" s="6">
        <v>0</v>
      </c>
      <c r="H555" s="6">
        <v>0</v>
      </c>
      <c r="I555" s="6" t="s">
        <v>40</v>
      </c>
      <c r="K555" s="6" t="str">
        <f t="shared" si="515"/>
        <v>301001</v>
      </c>
      <c r="L555" s="4">
        <v>3</v>
      </c>
      <c r="M555" s="6" t="s">
        <v>522</v>
      </c>
      <c r="O555" s="13" t="str">
        <f t="shared" si="551"/>
        <v>1.05</v>
      </c>
      <c r="P555" s="13" t="str">
        <f t="shared" si="552"/>
        <v>1.05</v>
      </c>
      <c r="Q555" s="13" t="str">
        <f t="shared" si="553"/>
        <v>1.05</v>
      </c>
      <c r="R555" s="13" t="str">
        <f>Q555</f>
        <v>1.05</v>
      </c>
      <c r="S555" s="13" t="str">
        <f>R555</f>
        <v>1.05</v>
      </c>
      <c r="T555" s="6" t="str">
        <f t="shared" si="517"/>
        <v>1|1.05#2|1.05#3|1.05#4|1.05#5|1.05</v>
      </c>
    </row>
    <row r="556" s="6" customFormat="1" ht="16.5" spans="1:20">
      <c r="A556" s="6">
        <v>1010562</v>
      </c>
      <c r="B556" s="6">
        <v>31001</v>
      </c>
      <c r="C556" s="6">
        <v>1</v>
      </c>
      <c r="D556" s="6">
        <v>6</v>
      </c>
      <c r="E556" s="6" t="str">
        <f t="shared" si="518"/>
        <v>301001:5</v>
      </c>
      <c r="F556" s="11">
        <v>0</v>
      </c>
      <c r="G556" s="6">
        <v>11002</v>
      </c>
      <c r="H556" s="6" t="s">
        <v>407</v>
      </c>
      <c r="I556" s="6">
        <v>0</v>
      </c>
      <c r="K556" s="6" t="str">
        <f t="shared" si="515"/>
        <v>301001</v>
      </c>
      <c r="L556" s="13">
        <v>5</v>
      </c>
      <c r="M556" s="6" t="s">
        <v>523</v>
      </c>
      <c r="O556" s="13" t="str">
        <f t="shared" ref="O556:S556" si="554">O555</f>
        <v>1.05</v>
      </c>
      <c r="P556" s="13" t="str">
        <f t="shared" si="554"/>
        <v>1.05</v>
      </c>
      <c r="Q556" s="13" t="str">
        <f t="shared" si="554"/>
        <v>1.05</v>
      </c>
      <c r="R556" s="13" t="str">
        <f t="shared" si="554"/>
        <v>1.05</v>
      </c>
      <c r="S556" s="13" t="str">
        <f t="shared" si="554"/>
        <v>1.05</v>
      </c>
      <c r="T556" s="6" t="str">
        <f t="shared" si="517"/>
        <v>1|1.05#2|1.05#3|1.05#4|1.05#5|1.05</v>
      </c>
    </row>
    <row r="557" s="6" customFormat="1" ht="16.5" spans="1:20">
      <c r="A557" s="6">
        <v>1010563</v>
      </c>
      <c r="B557" s="6">
        <v>31001</v>
      </c>
      <c r="C557" s="6">
        <v>2</v>
      </c>
      <c r="D557" s="6">
        <v>0</v>
      </c>
      <c r="E557" s="6" t="str">
        <f t="shared" si="518"/>
        <v>301001:5</v>
      </c>
      <c r="F557" s="11" t="s">
        <v>364</v>
      </c>
      <c r="G557" s="6">
        <v>0</v>
      </c>
      <c r="H557" s="6">
        <v>0</v>
      </c>
      <c r="I557" s="6" t="s">
        <v>43</v>
      </c>
      <c r="K557" s="6" t="str">
        <f t="shared" si="515"/>
        <v>301001</v>
      </c>
      <c r="L557" s="4">
        <v>5</v>
      </c>
      <c r="M557" s="6" t="s">
        <v>524</v>
      </c>
      <c r="O557" s="15" t="str">
        <f>O556</f>
        <v>1.05</v>
      </c>
      <c r="P557" s="15" t="str">
        <f t="shared" ref="P557:S557" si="555">O557</f>
        <v>1.05</v>
      </c>
      <c r="Q557" s="15" t="str">
        <f t="shared" si="555"/>
        <v>1.05</v>
      </c>
      <c r="R557" s="15" t="str">
        <f>P557</f>
        <v>1.05</v>
      </c>
      <c r="S557" s="15" t="str">
        <f t="shared" si="555"/>
        <v>1.05</v>
      </c>
      <c r="T557" s="6" t="str">
        <f t="shared" si="517"/>
        <v>1|1.05#2|1.05#3|1.05#4|1.05#5|1.05</v>
      </c>
    </row>
    <row r="558" s="6" customFormat="1" ht="16.5" spans="1:20">
      <c r="A558" s="6">
        <v>1010564</v>
      </c>
      <c r="B558" s="6">
        <v>31001</v>
      </c>
      <c r="C558" s="6">
        <v>2</v>
      </c>
      <c r="D558" s="6">
        <v>1</v>
      </c>
      <c r="E558" s="6" t="str">
        <f t="shared" si="518"/>
        <v>301001:5</v>
      </c>
      <c r="F558" s="11" t="s">
        <v>366</v>
      </c>
      <c r="G558" s="6">
        <v>0</v>
      </c>
      <c r="H558" s="6">
        <v>0</v>
      </c>
      <c r="I558" s="6" t="s">
        <v>45</v>
      </c>
      <c r="K558" s="6" t="str">
        <f t="shared" si="515"/>
        <v>301001</v>
      </c>
      <c r="L558" s="4">
        <v>5</v>
      </c>
      <c r="M558" s="6" t="s">
        <v>524</v>
      </c>
      <c r="O558" s="13" t="str">
        <f t="shared" ref="O558:O562" si="556">RIGHT(F558,LEN(F558)-2)</f>
        <v>1.1</v>
      </c>
      <c r="P558" s="13">
        <v>1.05</v>
      </c>
      <c r="Q558" s="13" t="str">
        <f t="shared" ref="Q558:S558" si="557">Q557</f>
        <v>1.05</v>
      </c>
      <c r="R558" s="13" t="str">
        <f t="shared" si="557"/>
        <v>1.05</v>
      </c>
      <c r="S558" s="13" t="str">
        <f t="shared" si="557"/>
        <v>1.05</v>
      </c>
      <c r="T558" s="6" t="str">
        <f t="shared" si="517"/>
        <v>1|1.1#2|1.05#3|1.05#4|1.05#5|1.05</v>
      </c>
    </row>
    <row r="559" s="6" customFormat="1" ht="16.5" spans="1:20">
      <c r="A559" s="6">
        <v>1010565</v>
      </c>
      <c r="B559" s="6">
        <v>31001</v>
      </c>
      <c r="C559" s="6">
        <v>2</v>
      </c>
      <c r="D559" s="6">
        <v>2</v>
      </c>
      <c r="E559" s="6" t="str">
        <f t="shared" si="518"/>
        <v>301001:5</v>
      </c>
      <c r="F559" s="11" t="s">
        <v>367</v>
      </c>
      <c r="G559" s="6">
        <v>0</v>
      </c>
      <c r="H559" s="6">
        <v>0</v>
      </c>
      <c r="I559" s="6" t="s">
        <v>47</v>
      </c>
      <c r="K559" s="6" t="str">
        <f t="shared" si="515"/>
        <v>301001</v>
      </c>
      <c r="L559" s="4">
        <v>5</v>
      </c>
      <c r="M559" s="6" t="s">
        <v>524</v>
      </c>
      <c r="O559" s="13" t="str">
        <f t="shared" si="556"/>
        <v>1.1</v>
      </c>
      <c r="P559" s="13" t="str">
        <f t="shared" ref="P559:P562" si="558">O559</f>
        <v>1.1</v>
      </c>
      <c r="Q559" s="13">
        <v>1.05</v>
      </c>
      <c r="R559" s="13" t="str">
        <f>R558</f>
        <v>1.05</v>
      </c>
      <c r="S559" s="13" t="str">
        <f>S558</f>
        <v>1.05</v>
      </c>
      <c r="T559" s="6" t="str">
        <f t="shared" si="517"/>
        <v>1|1.1#2|1.1#3|1.05#4|1.05#5|1.05</v>
      </c>
    </row>
    <row r="560" s="6" customFormat="1" ht="16.5" spans="1:20">
      <c r="A560" s="6">
        <v>1010566</v>
      </c>
      <c r="B560" s="6">
        <v>31001</v>
      </c>
      <c r="C560" s="6">
        <v>2</v>
      </c>
      <c r="D560" s="6">
        <v>3</v>
      </c>
      <c r="E560" s="6" t="str">
        <f t="shared" si="518"/>
        <v>301001:6</v>
      </c>
      <c r="F560" s="11" t="s">
        <v>368</v>
      </c>
      <c r="G560" s="6">
        <v>0</v>
      </c>
      <c r="H560" s="6">
        <v>0</v>
      </c>
      <c r="I560" s="6" t="s">
        <v>49</v>
      </c>
      <c r="K560" s="6" t="str">
        <f t="shared" si="515"/>
        <v>301001</v>
      </c>
      <c r="L560" s="4">
        <v>6</v>
      </c>
      <c r="M560" s="6" t="s">
        <v>524</v>
      </c>
      <c r="O560" s="13" t="str">
        <f t="shared" si="556"/>
        <v>1.1</v>
      </c>
      <c r="P560" s="13" t="str">
        <f t="shared" si="558"/>
        <v>1.1</v>
      </c>
      <c r="Q560" s="13" t="str">
        <f t="shared" ref="Q560:Q562" si="559">P560</f>
        <v>1.1</v>
      </c>
      <c r="R560" s="13">
        <v>1.05</v>
      </c>
      <c r="S560" s="13" t="str">
        <f>S559</f>
        <v>1.05</v>
      </c>
      <c r="T560" s="6" t="str">
        <f t="shared" si="517"/>
        <v>1|1.1#2|1.1#3|1.1#4|1.05#5|1.05</v>
      </c>
    </row>
    <row r="561" s="6" customFormat="1" ht="16.5" spans="1:20">
      <c r="A561" s="6">
        <v>1010567</v>
      </c>
      <c r="B561" s="6">
        <v>31001</v>
      </c>
      <c r="C561" s="6">
        <v>2</v>
      </c>
      <c r="D561" s="6">
        <v>4</v>
      </c>
      <c r="E561" s="6" t="str">
        <f t="shared" si="518"/>
        <v>301001:6</v>
      </c>
      <c r="F561" s="11" t="s">
        <v>369</v>
      </c>
      <c r="G561" s="6">
        <v>0</v>
      </c>
      <c r="H561" s="6">
        <v>0</v>
      </c>
      <c r="I561" s="6" t="s">
        <v>51</v>
      </c>
      <c r="K561" s="6" t="str">
        <f t="shared" si="515"/>
        <v>301001</v>
      </c>
      <c r="L561" s="4">
        <v>6</v>
      </c>
      <c r="M561" s="6" t="s">
        <v>524</v>
      </c>
      <c r="O561" s="13" t="str">
        <f t="shared" si="556"/>
        <v>1.1</v>
      </c>
      <c r="P561" s="13" t="str">
        <f t="shared" si="558"/>
        <v>1.1</v>
      </c>
      <c r="Q561" s="13" t="str">
        <f t="shared" si="559"/>
        <v>1.1</v>
      </c>
      <c r="R561" s="13" t="str">
        <f>Q561</f>
        <v>1.1</v>
      </c>
      <c r="S561" s="13">
        <v>1.05</v>
      </c>
      <c r="T561" s="6" t="str">
        <f t="shared" si="517"/>
        <v>1|1.1#2|1.1#3|1.1#4|1.1#5|1.05</v>
      </c>
    </row>
    <row r="562" s="6" customFormat="1" ht="16.5" spans="1:20">
      <c r="A562" s="6">
        <v>1010568</v>
      </c>
      <c r="B562" s="6">
        <v>31001</v>
      </c>
      <c r="C562" s="6">
        <v>2</v>
      </c>
      <c r="D562" s="6">
        <v>5</v>
      </c>
      <c r="E562" s="6" t="str">
        <f t="shared" si="518"/>
        <v>301001:6</v>
      </c>
      <c r="F562" s="11" t="s">
        <v>370</v>
      </c>
      <c r="G562" s="6">
        <v>0</v>
      </c>
      <c r="H562" s="6">
        <v>0</v>
      </c>
      <c r="I562" s="6" t="s">
        <v>40</v>
      </c>
      <c r="K562" s="6" t="str">
        <f t="shared" si="515"/>
        <v>301001</v>
      </c>
      <c r="L562" s="4">
        <v>6</v>
      </c>
      <c r="M562" s="6" t="s">
        <v>232</v>
      </c>
      <c r="O562" s="13" t="str">
        <f t="shared" si="556"/>
        <v>1.1</v>
      </c>
      <c r="P562" s="13" t="str">
        <f t="shared" si="558"/>
        <v>1.1</v>
      </c>
      <c r="Q562" s="13" t="str">
        <f t="shared" si="559"/>
        <v>1.1</v>
      </c>
      <c r="R562" s="13" t="str">
        <f>Q562</f>
        <v>1.1</v>
      </c>
      <c r="S562" s="13" t="str">
        <f>R562</f>
        <v>1.1</v>
      </c>
      <c r="T562" s="6" t="str">
        <f t="shared" si="517"/>
        <v>1|1.1#2|1.1#3|1.1#4|1.1#5|1.1</v>
      </c>
    </row>
    <row r="563" s="6" customFormat="1" ht="16.5" spans="1:20">
      <c r="A563" s="6">
        <v>1010569</v>
      </c>
      <c r="B563" s="6">
        <v>31001</v>
      </c>
      <c r="C563" s="6">
        <v>2</v>
      </c>
      <c r="D563" s="6">
        <v>6</v>
      </c>
      <c r="E563" s="6" t="str">
        <f t="shared" si="518"/>
        <v>301001:7</v>
      </c>
      <c r="F563" s="11">
        <v>0</v>
      </c>
      <c r="G563" s="6">
        <v>11002</v>
      </c>
      <c r="H563" s="6" t="s">
        <v>407</v>
      </c>
      <c r="I563" s="6">
        <v>0</v>
      </c>
      <c r="K563" s="6" t="str">
        <f t="shared" si="515"/>
        <v>301001</v>
      </c>
      <c r="L563" s="13">
        <v>7</v>
      </c>
      <c r="M563" s="6" t="s">
        <v>523</v>
      </c>
      <c r="O563" s="13" t="str">
        <f t="shared" ref="O563:S563" si="560">O562</f>
        <v>1.1</v>
      </c>
      <c r="P563" s="13" t="str">
        <f t="shared" si="560"/>
        <v>1.1</v>
      </c>
      <c r="Q563" s="13" t="str">
        <f t="shared" si="560"/>
        <v>1.1</v>
      </c>
      <c r="R563" s="13" t="str">
        <f t="shared" si="560"/>
        <v>1.1</v>
      </c>
      <c r="S563" s="13" t="str">
        <f t="shared" si="560"/>
        <v>1.1</v>
      </c>
      <c r="T563" s="6" t="str">
        <f t="shared" si="517"/>
        <v>1|1.1#2|1.1#3|1.1#4|1.1#5|1.1</v>
      </c>
    </row>
    <row r="564" s="6" customFormat="1" ht="16.5" spans="1:20">
      <c r="A564" s="6">
        <v>1010570</v>
      </c>
      <c r="B564" s="6">
        <v>31001</v>
      </c>
      <c r="C564" s="6">
        <v>3</v>
      </c>
      <c r="D564" s="6">
        <v>0</v>
      </c>
      <c r="E564" s="6" t="str">
        <f t="shared" si="518"/>
        <v>301001:9</v>
      </c>
      <c r="F564" s="11" t="s">
        <v>371</v>
      </c>
      <c r="G564" s="6">
        <v>0</v>
      </c>
      <c r="H564" s="6">
        <v>0</v>
      </c>
      <c r="I564" s="6" t="s">
        <v>55</v>
      </c>
      <c r="K564" s="6" t="str">
        <f t="shared" si="515"/>
        <v>301001</v>
      </c>
      <c r="L564" s="4">
        <v>9</v>
      </c>
      <c r="M564" s="6" t="s">
        <v>525</v>
      </c>
      <c r="O564" s="15" t="str">
        <f>O563</f>
        <v>1.1</v>
      </c>
      <c r="P564" s="15" t="str">
        <f t="shared" ref="P564:S564" si="561">O564</f>
        <v>1.1</v>
      </c>
      <c r="Q564" s="15" t="str">
        <f t="shared" si="561"/>
        <v>1.1</v>
      </c>
      <c r="R564" s="15" t="str">
        <f>P564</f>
        <v>1.1</v>
      </c>
      <c r="S564" s="15" t="str">
        <f t="shared" si="561"/>
        <v>1.1</v>
      </c>
      <c r="T564" s="6" t="str">
        <f t="shared" si="517"/>
        <v>1|1.1#2|1.1#3|1.1#4|1.1#5|1.1</v>
      </c>
    </row>
    <row r="565" s="6" customFormat="1" ht="16.5" spans="1:20">
      <c r="A565" s="6">
        <v>1010571</v>
      </c>
      <c r="B565" s="6">
        <v>31001</v>
      </c>
      <c r="C565" s="6">
        <v>3</v>
      </c>
      <c r="D565" s="6">
        <v>1</v>
      </c>
      <c r="E565" s="6" t="str">
        <f t="shared" si="518"/>
        <v>301001:9</v>
      </c>
      <c r="F565" s="11" t="s">
        <v>373</v>
      </c>
      <c r="G565" s="6">
        <v>0</v>
      </c>
      <c r="H565" s="6">
        <v>0</v>
      </c>
      <c r="I565" s="6" t="s">
        <v>57</v>
      </c>
      <c r="K565" s="6" t="str">
        <f t="shared" si="515"/>
        <v>301001</v>
      </c>
      <c r="L565" s="4">
        <v>9</v>
      </c>
      <c r="M565" s="6" t="s">
        <v>525</v>
      </c>
      <c r="O565" s="13" t="str">
        <f t="shared" ref="O565:O569" si="562">RIGHT(F565,LEN(F565)-2)</f>
        <v>1.15</v>
      </c>
      <c r="P565" s="13" t="str">
        <f t="shared" ref="P565:S565" si="563">P564</f>
        <v>1.1</v>
      </c>
      <c r="Q565" s="13" t="str">
        <f t="shared" si="563"/>
        <v>1.1</v>
      </c>
      <c r="R565" s="13" t="str">
        <f t="shared" si="563"/>
        <v>1.1</v>
      </c>
      <c r="S565" s="13" t="str">
        <f t="shared" si="563"/>
        <v>1.1</v>
      </c>
      <c r="T565" s="6" t="str">
        <f t="shared" si="517"/>
        <v>1|1.15#2|1.1#3|1.1#4|1.1#5|1.1</v>
      </c>
    </row>
    <row r="566" s="6" customFormat="1" ht="16.5" spans="1:20">
      <c r="A566" s="6">
        <v>1010572</v>
      </c>
      <c r="B566" s="6">
        <v>31001</v>
      </c>
      <c r="C566" s="6">
        <v>3</v>
      </c>
      <c r="D566" s="6">
        <v>2</v>
      </c>
      <c r="E566" s="6" t="str">
        <f t="shared" si="518"/>
        <v>301001:9</v>
      </c>
      <c r="F566" s="11" t="s">
        <v>374</v>
      </c>
      <c r="G566" s="6">
        <v>0</v>
      </c>
      <c r="H566" s="6">
        <v>0</v>
      </c>
      <c r="I566" s="6" t="s">
        <v>59</v>
      </c>
      <c r="K566" s="6" t="str">
        <f t="shared" si="515"/>
        <v>301001</v>
      </c>
      <c r="L566" s="4">
        <v>9</v>
      </c>
      <c r="M566" s="6" t="s">
        <v>525</v>
      </c>
      <c r="O566" s="13" t="str">
        <f t="shared" si="562"/>
        <v>1.15</v>
      </c>
      <c r="P566" s="13" t="str">
        <f t="shared" ref="P566:P569" si="564">O566</f>
        <v>1.15</v>
      </c>
      <c r="Q566" s="13" t="str">
        <f t="shared" ref="Q566:S566" si="565">Q565</f>
        <v>1.1</v>
      </c>
      <c r="R566" s="13" t="str">
        <f t="shared" si="565"/>
        <v>1.1</v>
      </c>
      <c r="S566" s="13" t="str">
        <f t="shared" si="565"/>
        <v>1.1</v>
      </c>
      <c r="T566" s="6" t="str">
        <f t="shared" si="517"/>
        <v>1|1.15#2|1.15#3|1.1#4|1.1#5|1.1</v>
      </c>
    </row>
    <row r="567" s="6" customFormat="1" ht="16.5" spans="1:20">
      <c r="A567" s="6">
        <v>1010573</v>
      </c>
      <c r="B567" s="6">
        <v>31001</v>
      </c>
      <c r="C567" s="6">
        <v>3</v>
      </c>
      <c r="D567" s="6">
        <v>3</v>
      </c>
      <c r="E567" s="6" t="str">
        <f t="shared" si="518"/>
        <v>301001:11</v>
      </c>
      <c r="F567" s="11" t="s">
        <v>375</v>
      </c>
      <c r="G567" s="6">
        <v>0</v>
      </c>
      <c r="H567" s="6">
        <v>0</v>
      </c>
      <c r="I567" s="6" t="s">
        <v>61</v>
      </c>
      <c r="K567" s="6" t="str">
        <f t="shared" si="515"/>
        <v>301001</v>
      </c>
      <c r="L567" s="4">
        <v>11</v>
      </c>
      <c r="M567" s="6" t="s">
        <v>525</v>
      </c>
      <c r="O567" s="13" t="str">
        <f t="shared" si="562"/>
        <v>1.15</v>
      </c>
      <c r="P567" s="13" t="str">
        <f t="shared" si="564"/>
        <v>1.15</v>
      </c>
      <c r="Q567" s="13" t="str">
        <f t="shared" ref="Q567:Q569" si="566">P567</f>
        <v>1.15</v>
      </c>
      <c r="R567" s="13" t="str">
        <f>R566</f>
        <v>1.1</v>
      </c>
      <c r="S567" s="13" t="str">
        <f>S566</f>
        <v>1.1</v>
      </c>
      <c r="T567" s="6" t="str">
        <f t="shared" si="517"/>
        <v>1|1.15#2|1.15#3|1.15#4|1.1#5|1.1</v>
      </c>
    </row>
    <row r="568" s="6" customFormat="1" ht="16.5" spans="1:20">
      <c r="A568" s="6">
        <v>1010574</v>
      </c>
      <c r="B568" s="6">
        <v>31001</v>
      </c>
      <c r="C568" s="6">
        <v>3</v>
      </c>
      <c r="D568" s="6">
        <v>4</v>
      </c>
      <c r="E568" s="6" t="str">
        <f t="shared" si="518"/>
        <v>301001:11</v>
      </c>
      <c r="F568" s="11" t="s">
        <v>376</v>
      </c>
      <c r="G568" s="6">
        <v>0</v>
      </c>
      <c r="H568" s="6">
        <v>0</v>
      </c>
      <c r="I568" s="6" t="s">
        <v>63</v>
      </c>
      <c r="K568" s="6" t="str">
        <f t="shared" si="515"/>
        <v>301001</v>
      </c>
      <c r="L568" s="4">
        <v>11</v>
      </c>
      <c r="M568" s="6" t="s">
        <v>525</v>
      </c>
      <c r="O568" s="13" t="str">
        <f t="shared" si="562"/>
        <v>1.15</v>
      </c>
      <c r="P568" s="13" t="str">
        <f t="shared" si="564"/>
        <v>1.15</v>
      </c>
      <c r="Q568" s="13" t="str">
        <f t="shared" si="566"/>
        <v>1.15</v>
      </c>
      <c r="R568" s="13" t="str">
        <f>Q568</f>
        <v>1.15</v>
      </c>
      <c r="S568" s="13" t="str">
        <f>S567</f>
        <v>1.1</v>
      </c>
      <c r="T568" s="6" t="str">
        <f t="shared" si="517"/>
        <v>1|1.15#2|1.15#3|1.15#4|1.15#5|1.1</v>
      </c>
    </row>
    <row r="569" s="6" customFormat="1" ht="16.5" spans="1:20">
      <c r="A569" s="6">
        <v>1010575</v>
      </c>
      <c r="B569" s="6">
        <v>31001</v>
      </c>
      <c r="C569" s="6">
        <v>3</v>
      </c>
      <c r="D569" s="6">
        <v>5</v>
      </c>
      <c r="E569" s="6" t="str">
        <f t="shared" si="518"/>
        <v>301001:11</v>
      </c>
      <c r="F569" s="11" t="s">
        <v>377</v>
      </c>
      <c r="G569" s="6">
        <v>0</v>
      </c>
      <c r="H569" s="6">
        <v>0</v>
      </c>
      <c r="I569" s="6" t="s">
        <v>40</v>
      </c>
      <c r="K569" s="6" t="str">
        <f t="shared" si="515"/>
        <v>301001</v>
      </c>
      <c r="L569" s="4">
        <v>11</v>
      </c>
      <c r="M569" s="6" t="s">
        <v>526</v>
      </c>
      <c r="O569" s="13" t="str">
        <f t="shared" si="562"/>
        <v>1.15</v>
      </c>
      <c r="P569" s="13" t="str">
        <f t="shared" si="564"/>
        <v>1.15</v>
      </c>
      <c r="Q569" s="13" t="str">
        <f t="shared" si="566"/>
        <v>1.15</v>
      </c>
      <c r="R569" s="13" t="str">
        <f>Q569</f>
        <v>1.15</v>
      </c>
      <c r="S569" s="13" t="str">
        <f>R569</f>
        <v>1.15</v>
      </c>
      <c r="T569" s="6" t="str">
        <f t="shared" si="517"/>
        <v>1|1.15#2|1.15#3|1.15#4|1.15#5|1.15</v>
      </c>
    </row>
    <row r="570" s="6" customFormat="1" ht="16.5" spans="1:20">
      <c r="A570" s="6">
        <v>1010576</v>
      </c>
      <c r="B570" s="6">
        <v>31001</v>
      </c>
      <c r="C570" s="6">
        <v>3</v>
      </c>
      <c r="D570" s="6">
        <v>6</v>
      </c>
      <c r="E570" s="6" t="str">
        <f t="shared" si="518"/>
        <v>301001:30</v>
      </c>
      <c r="F570" s="11">
        <v>0</v>
      </c>
      <c r="G570" s="6">
        <v>11002</v>
      </c>
      <c r="H570" s="6" t="s">
        <v>407</v>
      </c>
      <c r="I570" s="6">
        <v>0</v>
      </c>
      <c r="K570" s="6" t="str">
        <f t="shared" si="515"/>
        <v>301001</v>
      </c>
      <c r="L570" s="13">
        <v>30</v>
      </c>
      <c r="M570" s="6" t="s">
        <v>523</v>
      </c>
      <c r="O570" s="13" t="str">
        <f t="shared" ref="O570:S570" si="567">O569</f>
        <v>1.15</v>
      </c>
      <c r="P570" s="13" t="str">
        <f t="shared" si="567"/>
        <v>1.15</v>
      </c>
      <c r="Q570" s="13" t="str">
        <f t="shared" si="567"/>
        <v>1.15</v>
      </c>
      <c r="R570" s="13" t="str">
        <f t="shared" si="567"/>
        <v>1.15</v>
      </c>
      <c r="S570" s="13" t="str">
        <f t="shared" si="567"/>
        <v>1.15</v>
      </c>
      <c r="T570" s="6" t="str">
        <f t="shared" si="517"/>
        <v>1|1.15#2|1.15#3|1.15#4|1.15#5|1.15</v>
      </c>
    </row>
    <row r="571" s="6" customFormat="1" ht="16.5" spans="1:20">
      <c r="A571" s="6">
        <v>1010577</v>
      </c>
      <c r="B571" s="6">
        <v>31001</v>
      </c>
      <c r="C571" s="6">
        <v>4</v>
      </c>
      <c r="D571" s="6">
        <v>0</v>
      </c>
      <c r="E571" s="6" t="str">
        <f t="shared" si="518"/>
        <v>301001:13</v>
      </c>
      <c r="F571" s="11" t="s">
        <v>379</v>
      </c>
      <c r="G571" s="6">
        <v>0</v>
      </c>
      <c r="H571" s="6">
        <v>0</v>
      </c>
      <c r="I571" s="6" t="s">
        <v>67</v>
      </c>
      <c r="K571" s="6" t="str">
        <f t="shared" si="515"/>
        <v>301001</v>
      </c>
      <c r="L571" s="4">
        <v>13</v>
      </c>
      <c r="M571" s="6" t="s">
        <v>527</v>
      </c>
      <c r="O571" s="15" t="str">
        <f>O570</f>
        <v>1.15</v>
      </c>
      <c r="P571" s="15" t="str">
        <f t="shared" ref="P571:S571" si="568">O571</f>
        <v>1.15</v>
      </c>
      <c r="Q571" s="15" t="str">
        <f t="shared" si="568"/>
        <v>1.15</v>
      </c>
      <c r="R571" s="15" t="str">
        <f>P571</f>
        <v>1.15</v>
      </c>
      <c r="S571" s="15" t="str">
        <f t="shared" si="568"/>
        <v>1.15</v>
      </c>
      <c r="T571" s="6" t="str">
        <f t="shared" si="517"/>
        <v>1|1.15#2|1.15#3|1.15#4|1.15#5|1.15</v>
      </c>
    </row>
    <row r="572" s="6" customFormat="1" ht="16.5" spans="1:20">
      <c r="A572" s="6">
        <v>1010578</v>
      </c>
      <c r="B572" s="6">
        <v>31001</v>
      </c>
      <c r="C572" s="6">
        <v>4</v>
      </c>
      <c r="D572" s="6">
        <v>1</v>
      </c>
      <c r="E572" s="6" t="str">
        <f t="shared" si="518"/>
        <v>301001:13</v>
      </c>
      <c r="F572" s="11" t="s">
        <v>381</v>
      </c>
      <c r="G572" s="6">
        <v>0</v>
      </c>
      <c r="H572" s="6">
        <v>0</v>
      </c>
      <c r="I572" s="6" t="s">
        <v>69</v>
      </c>
      <c r="K572" s="6" t="str">
        <f t="shared" si="515"/>
        <v>301001</v>
      </c>
      <c r="L572" s="4">
        <v>13</v>
      </c>
      <c r="M572" s="6" t="s">
        <v>527</v>
      </c>
      <c r="O572" s="13" t="str">
        <f t="shared" ref="O572:O576" si="569">RIGHT(F572,LEN(F572)-2)</f>
        <v>1.2</v>
      </c>
      <c r="P572" s="13" t="str">
        <f t="shared" ref="P572:S572" si="570">P571</f>
        <v>1.15</v>
      </c>
      <c r="Q572" s="13" t="str">
        <f t="shared" si="570"/>
        <v>1.15</v>
      </c>
      <c r="R572" s="13" t="str">
        <f t="shared" si="570"/>
        <v>1.15</v>
      </c>
      <c r="S572" s="13" t="str">
        <f t="shared" si="570"/>
        <v>1.15</v>
      </c>
      <c r="T572" s="6" t="str">
        <f t="shared" si="517"/>
        <v>1|1.2#2|1.15#3|1.15#4|1.15#5|1.15</v>
      </c>
    </row>
    <row r="573" s="6" customFormat="1" ht="16.5" spans="1:20">
      <c r="A573" s="6">
        <v>1010579</v>
      </c>
      <c r="B573" s="6">
        <v>31001</v>
      </c>
      <c r="C573" s="6">
        <v>4</v>
      </c>
      <c r="D573" s="6">
        <v>2</v>
      </c>
      <c r="E573" s="6" t="str">
        <f t="shared" si="518"/>
        <v>301001:13</v>
      </c>
      <c r="F573" s="11" t="s">
        <v>382</v>
      </c>
      <c r="G573" s="6">
        <v>0</v>
      </c>
      <c r="H573" s="6">
        <v>0</v>
      </c>
      <c r="I573" s="6" t="s">
        <v>71</v>
      </c>
      <c r="K573" s="6" t="str">
        <f t="shared" si="515"/>
        <v>301001</v>
      </c>
      <c r="L573" s="4">
        <v>13</v>
      </c>
      <c r="M573" s="6" t="s">
        <v>527</v>
      </c>
      <c r="O573" s="13" t="str">
        <f t="shared" si="569"/>
        <v>1.2</v>
      </c>
      <c r="P573" s="13" t="str">
        <f t="shared" ref="P573:P576" si="571">O573</f>
        <v>1.2</v>
      </c>
      <c r="Q573" s="13" t="str">
        <f t="shared" ref="Q573:S573" si="572">Q572</f>
        <v>1.15</v>
      </c>
      <c r="R573" s="13" t="str">
        <f t="shared" si="572"/>
        <v>1.15</v>
      </c>
      <c r="S573" s="13" t="str">
        <f t="shared" si="572"/>
        <v>1.15</v>
      </c>
      <c r="T573" s="6" t="str">
        <f t="shared" si="517"/>
        <v>1|1.2#2|1.2#3|1.15#4|1.15#5|1.15</v>
      </c>
    </row>
    <row r="574" s="6" customFormat="1" ht="16.5" spans="1:20">
      <c r="A574" s="6">
        <v>1010580</v>
      </c>
      <c r="B574" s="6">
        <v>31001</v>
      </c>
      <c r="C574" s="6">
        <v>4</v>
      </c>
      <c r="D574" s="6">
        <v>3</v>
      </c>
      <c r="E574" s="6" t="str">
        <f t="shared" si="518"/>
        <v>301001:17</v>
      </c>
      <c r="F574" s="11" t="s">
        <v>383</v>
      </c>
      <c r="G574" s="6">
        <v>0</v>
      </c>
      <c r="H574" s="6">
        <v>0</v>
      </c>
      <c r="I574" s="6" t="s">
        <v>73</v>
      </c>
      <c r="K574" s="6" t="str">
        <f t="shared" si="515"/>
        <v>301001</v>
      </c>
      <c r="L574" s="4">
        <v>17</v>
      </c>
      <c r="M574" s="6" t="s">
        <v>527</v>
      </c>
      <c r="O574" s="13" t="str">
        <f t="shared" si="569"/>
        <v>1.2</v>
      </c>
      <c r="P574" s="13" t="str">
        <f t="shared" si="571"/>
        <v>1.2</v>
      </c>
      <c r="Q574" s="13" t="str">
        <f t="shared" ref="Q574:Q576" si="573">P574</f>
        <v>1.2</v>
      </c>
      <c r="R574" s="13" t="str">
        <f>R573</f>
        <v>1.15</v>
      </c>
      <c r="S574" s="13" t="str">
        <f>S573</f>
        <v>1.15</v>
      </c>
      <c r="T574" s="6" t="str">
        <f t="shared" si="517"/>
        <v>1|1.2#2|1.2#3|1.2#4|1.15#5|1.15</v>
      </c>
    </row>
    <row r="575" s="6" customFormat="1" ht="16.5" spans="1:20">
      <c r="A575" s="6">
        <v>1010581</v>
      </c>
      <c r="B575" s="6">
        <v>31001</v>
      </c>
      <c r="C575" s="6">
        <v>4</v>
      </c>
      <c r="D575" s="6">
        <v>4</v>
      </c>
      <c r="E575" s="6" t="str">
        <f t="shared" si="518"/>
        <v>301001:17</v>
      </c>
      <c r="F575" s="11" t="s">
        <v>384</v>
      </c>
      <c r="G575" s="6">
        <v>0</v>
      </c>
      <c r="H575" s="6">
        <v>0</v>
      </c>
      <c r="I575" s="6" t="s">
        <v>75</v>
      </c>
      <c r="K575" s="6" t="str">
        <f t="shared" si="515"/>
        <v>301001</v>
      </c>
      <c r="L575" s="4">
        <v>17</v>
      </c>
      <c r="M575" s="6" t="s">
        <v>527</v>
      </c>
      <c r="O575" s="13" t="str">
        <f t="shared" si="569"/>
        <v>1.2</v>
      </c>
      <c r="P575" s="13" t="str">
        <f t="shared" si="571"/>
        <v>1.2</v>
      </c>
      <c r="Q575" s="13" t="str">
        <f t="shared" si="573"/>
        <v>1.2</v>
      </c>
      <c r="R575" s="13" t="str">
        <f>Q575</f>
        <v>1.2</v>
      </c>
      <c r="S575" s="13" t="str">
        <f>S574</f>
        <v>1.15</v>
      </c>
      <c r="T575" s="6" t="str">
        <f t="shared" si="517"/>
        <v>1|1.2#2|1.2#3|1.2#4|1.2#5|1.15</v>
      </c>
    </row>
    <row r="576" s="6" customFormat="1" ht="16.5" spans="1:20">
      <c r="A576" s="6">
        <v>1010582</v>
      </c>
      <c r="B576" s="6">
        <v>31001</v>
      </c>
      <c r="C576" s="6">
        <v>4</v>
      </c>
      <c r="D576" s="6">
        <v>5</v>
      </c>
      <c r="E576" s="6" t="str">
        <f t="shared" si="518"/>
        <v>301001:17</v>
      </c>
      <c r="F576" s="11" t="s">
        <v>385</v>
      </c>
      <c r="G576" s="6">
        <v>0</v>
      </c>
      <c r="H576" s="6">
        <v>0</v>
      </c>
      <c r="I576" s="6" t="s">
        <v>40</v>
      </c>
      <c r="K576" s="6" t="str">
        <f t="shared" si="515"/>
        <v>301001</v>
      </c>
      <c r="L576" s="4">
        <v>17</v>
      </c>
      <c r="M576" s="6" t="s">
        <v>234</v>
      </c>
      <c r="O576" s="13" t="str">
        <f t="shared" si="569"/>
        <v>1.2</v>
      </c>
      <c r="P576" s="13" t="str">
        <f t="shared" si="571"/>
        <v>1.2</v>
      </c>
      <c r="Q576" s="13" t="str">
        <f t="shared" si="573"/>
        <v>1.2</v>
      </c>
      <c r="R576" s="13" t="str">
        <f>Q576</f>
        <v>1.2</v>
      </c>
      <c r="S576" s="13" t="str">
        <f>R576</f>
        <v>1.2</v>
      </c>
      <c r="T576" s="6" t="str">
        <f t="shared" si="517"/>
        <v>1|1.2#2|1.2#3|1.2#4|1.2#5|1.2</v>
      </c>
    </row>
    <row r="577" s="6" customFormat="1" ht="16.5" spans="1:20">
      <c r="A577" s="6">
        <v>1010583</v>
      </c>
      <c r="B577" s="6">
        <v>31001</v>
      </c>
      <c r="C577" s="6">
        <v>4</v>
      </c>
      <c r="D577" s="6">
        <v>6</v>
      </c>
      <c r="E577" s="6" t="str">
        <f t="shared" si="518"/>
        <v>301001:60</v>
      </c>
      <c r="F577" s="11">
        <v>0</v>
      </c>
      <c r="G577" s="6">
        <v>11002</v>
      </c>
      <c r="H577" s="6" t="s">
        <v>407</v>
      </c>
      <c r="I577" s="6">
        <v>0</v>
      </c>
      <c r="K577" s="6" t="str">
        <f t="shared" si="515"/>
        <v>301001</v>
      </c>
      <c r="L577" s="13">
        <v>60</v>
      </c>
      <c r="M577" s="6" t="s">
        <v>523</v>
      </c>
      <c r="O577" s="13" t="str">
        <f t="shared" ref="O577:S577" si="574">O576</f>
        <v>1.2</v>
      </c>
      <c r="P577" s="13" t="str">
        <f t="shared" si="574"/>
        <v>1.2</v>
      </c>
      <c r="Q577" s="13" t="str">
        <f t="shared" si="574"/>
        <v>1.2</v>
      </c>
      <c r="R577" s="13" t="str">
        <f t="shared" si="574"/>
        <v>1.2</v>
      </c>
      <c r="S577" s="13" t="str">
        <f t="shared" si="574"/>
        <v>1.2</v>
      </c>
      <c r="T577" s="6" t="str">
        <f t="shared" si="517"/>
        <v>1|1.2#2|1.2#3|1.2#4|1.2#5|1.2</v>
      </c>
    </row>
    <row r="578" s="6" customFormat="1" ht="16.5" spans="1:20">
      <c r="A578" s="6">
        <v>1010584</v>
      </c>
      <c r="B578" s="6">
        <v>31001</v>
      </c>
      <c r="C578" s="6">
        <v>5</v>
      </c>
      <c r="D578" s="6">
        <v>0</v>
      </c>
      <c r="E578" s="6" t="str">
        <f t="shared" si="518"/>
        <v>301001:18</v>
      </c>
      <c r="F578" s="11" t="s">
        <v>386</v>
      </c>
      <c r="G578" s="6">
        <v>0</v>
      </c>
      <c r="H578" s="6">
        <v>0</v>
      </c>
      <c r="I578" s="6" t="s">
        <v>79</v>
      </c>
      <c r="K578" s="6" t="str">
        <f t="shared" si="515"/>
        <v>301001</v>
      </c>
      <c r="L578" s="4">
        <v>18</v>
      </c>
      <c r="M578" s="6" t="s">
        <v>528</v>
      </c>
      <c r="O578" s="15" t="str">
        <f>O577</f>
        <v>1.2</v>
      </c>
      <c r="P578" s="15" t="str">
        <f t="shared" ref="P578:S578" si="575">O578</f>
        <v>1.2</v>
      </c>
      <c r="Q578" s="15" t="str">
        <f t="shared" si="575"/>
        <v>1.2</v>
      </c>
      <c r="R578" s="15" t="str">
        <f>P578</f>
        <v>1.2</v>
      </c>
      <c r="S578" s="15" t="str">
        <f t="shared" si="575"/>
        <v>1.2</v>
      </c>
      <c r="T578" s="6" t="str">
        <f t="shared" si="517"/>
        <v>1|1.2#2|1.2#3|1.2#4|1.2#5|1.2</v>
      </c>
    </row>
    <row r="579" s="6" customFormat="1" ht="16.5" spans="1:20">
      <c r="A579" s="6">
        <v>1010585</v>
      </c>
      <c r="B579" s="6">
        <v>31001</v>
      </c>
      <c r="C579" s="6">
        <v>5</v>
      </c>
      <c r="D579" s="6">
        <v>1</v>
      </c>
      <c r="E579" s="6" t="str">
        <f t="shared" si="518"/>
        <v>301001:18</v>
      </c>
      <c r="F579" s="11" t="s">
        <v>388</v>
      </c>
      <c r="G579" s="6">
        <v>0</v>
      </c>
      <c r="H579" s="6">
        <v>0</v>
      </c>
      <c r="I579" s="6" t="s">
        <v>81</v>
      </c>
      <c r="K579" s="6" t="str">
        <f t="shared" si="515"/>
        <v>301001</v>
      </c>
      <c r="L579" s="4">
        <v>18</v>
      </c>
      <c r="M579" s="6" t="s">
        <v>528</v>
      </c>
      <c r="O579" s="13" t="str">
        <f t="shared" ref="O579:O583" si="576">RIGHT(F579,LEN(F579)-2)</f>
        <v>1.3</v>
      </c>
      <c r="P579" s="13" t="str">
        <f t="shared" ref="P579:S579" si="577">P578</f>
        <v>1.2</v>
      </c>
      <c r="Q579" s="13" t="str">
        <f t="shared" si="577"/>
        <v>1.2</v>
      </c>
      <c r="R579" s="13" t="str">
        <f t="shared" si="577"/>
        <v>1.2</v>
      </c>
      <c r="S579" s="13" t="str">
        <f t="shared" si="577"/>
        <v>1.2</v>
      </c>
      <c r="T579" s="6" t="str">
        <f t="shared" si="517"/>
        <v>1|1.3#2|1.2#3|1.2#4|1.2#5|1.2</v>
      </c>
    </row>
    <row r="580" s="6" customFormat="1" ht="16.5" spans="1:20">
      <c r="A580" s="6">
        <v>1010586</v>
      </c>
      <c r="B580" s="6">
        <v>31001</v>
      </c>
      <c r="C580" s="6">
        <v>5</v>
      </c>
      <c r="D580" s="6">
        <v>2</v>
      </c>
      <c r="E580" s="6" t="str">
        <f t="shared" si="518"/>
        <v>301001:18</v>
      </c>
      <c r="F580" s="11" t="s">
        <v>389</v>
      </c>
      <c r="G580" s="6">
        <v>0</v>
      </c>
      <c r="H580" s="6">
        <v>0</v>
      </c>
      <c r="I580" s="6" t="s">
        <v>83</v>
      </c>
      <c r="K580" s="6" t="str">
        <f t="shared" si="515"/>
        <v>301001</v>
      </c>
      <c r="L580" s="4">
        <v>18</v>
      </c>
      <c r="M580" s="6" t="s">
        <v>528</v>
      </c>
      <c r="O580" s="13" t="str">
        <f t="shared" si="576"/>
        <v>1.3</v>
      </c>
      <c r="P580" s="13" t="str">
        <f t="shared" ref="P580:P583" si="578">O580</f>
        <v>1.3</v>
      </c>
      <c r="Q580" s="13" t="str">
        <f t="shared" ref="Q580:S580" si="579">Q579</f>
        <v>1.2</v>
      </c>
      <c r="R580" s="13" t="str">
        <f t="shared" si="579"/>
        <v>1.2</v>
      </c>
      <c r="S580" s="13" t="str">
        <f t="shared" si="579"/>
        <v>1.2</v>
      </c>
      <c r="T580" s="6" t="str">
        <f t="shared" si="517"/>
        <v>1|1.3#2|1.3#3|1.2#4|1.2#5|1.2</v>
      </c>
    </row>
    <row r="581" s="6" customFormat="1" ht="16.5" spans="1:20">
      <c r="A581" s="6">
        <v>1010587</v>
      </c>
      <c r="B581" s="6">
        <v>31001</v>
      </c>
      <c r="C581" s="6">
        <v>5</v>
      </c>
      <c r="D581" s="6">
        <v>3</v>
      </c>
      <c r="E581" s="6" t="str">
        <f t="shared" si="518"/>
        <v>301001:22</v>
      </c>
      <c r="F581" s="11" t="s">
        <v>390</v>
      </c>
      <c r="G581" s="6">
        <v>0</v>
      </c>
      <c r="H581" s="6">
        <v>0</v>
      </c>
      <c r="I581" s="6" t="s">
        <v>85</v>
      </c>
      <c r="K581" s="6" t="str">
        <f t="shared" ref="K581:K644" si="580">LEFT(M581,6)</f>
        <v>301001</v>
      </c>
      <c r="L581" s="4">
        <v>22</v>
      </c>
      <c r="M581" s="6" t="s">
        <v>528</v>
      </c>
      <c r="O581" s="13" t="str">
        <f t="shared" si="576"/>
        <v>1.3</v>
      </c>
      <c r="P581" s="13" t="str">
        <f t="shared" si="578"/>
        <v>1.3</v>
      </c>
      <c r="Q581" s="13" t="str">
        <f t="shared" ref="Q581:Q583" si="581">P581</f>
        <v>1.3</v>
      </c>
      <c r="R581" s="13" t="str">
        <f>R580</f>
        <v>1.2</v>
      </c>
      <c r="S581" s="13" t="str">
        <f>S580</f>
        <v>1.2</v>
      </c>
      <c r="T581" s="6" t="str">
        <f t="shared" ref="T581:T644" si="582">$O$2&amp;$P$3&amp;O581&amp;$O$1&amp;$P$2&amp;$P$3&amp;P581&amp;$O$1&amp;$Q$2&amp;$P$3&amp;Q581&amp;$O$1&amp;$R$2&amp;$P$3&amp;R581&amp;$O$1&amp;$S$2&amp;$P$3&amp;S581</f>
        <v>1|1.3#2|1.3#3|1.3#4|1.2#5|1.2</v>
      </c>
    </row>
    <row r="582" s="6" customFormat="1" ht="16.5" spans="1:20">
      <c r="A582" s="6">
        <v>1010588</v>
      </c>
      <c r="B582" s="6">
        <v>31001</v>
      </c>
      <c r="C582" s="6">
        <v>5</v>
      </c>
      <c r="D582" s="6">
        <v>4</v>
      </c>
      <c r="E582" s="6" t="str">
        <f t="shared" ref="E582:E645" si="583">K582&amp;$K$3&amp;L582</f>
        <v>301001:22</v>
      </c>
      <c r="F582" s="11" t="s">
        <v>391</v>
      </c>
      <c r="G582" s="6">
        <v>0</v>
      </c>
      <c r="H582" s="6">
        <v>0</v>
      </c>
      <c r="I582" s="6" t="s">
        <v>87</v>
      </c>
      <c r="K582" s="6" t="str">
        <f t="shared" si="580"/>
        <v>301001</v>
      </c>
      <c r="L582" s="4">
        <v>22</v>
      </c>
      <c r="M582" s="6" t="s">
        <v>528</v>
      </c>
      <c r="O582" s="13" t="str">
        <f t="shared" si="576"/>
        <v>1.3</v>
      </c>
      <c r="P582" s="13" t="str">
        <f t="shared" si="578"/>
        <v>1.3</v>
      </c>
      <c r="Q582" s="13" t="str">
        <f t="shared" si="581"/>
        <v>1.3</v>
      </c>
      <c r="R582" s="13" t="str">
        <f>Q582</f>
        <v>1.3</v>
      </c>
      <c r="S582" s="13" t="str">
        <f>S581</f>
        <v>1.2</v>
      </c>
      <c r="T582" s="6" t="str">
        <f t="shared" si="582"/>
        <v>1|1.3#2|1.3#3|1.3#4|1.3#5|1.2</v>
      </c>
    </row>
    <row r="583" s="6" customFormat="1" ht="16.5" spans="1:20">
      <c r="A583" s="6">
        <v>1010589</v>
      </c>
      <c r="B583" s="6">
        <v>31001</v>
      </c>
      <c r="C583" s="6">
        <v>5</v>
      </c>
      <c r="D583" s="6">
        <v>5</v>
      </c>
      <c r="E583" s="6" t="str">
        <f t="shared" si="583"/>
        <v>301001:22</v>
      </c>
      <c r="F583" s="11" t="s">
        <v>392</v>
      </c>
      <c r="G583" s="6">
        <v>0</v>
      </c>
      <c r="H583" s="6">
        <v>0</v>
      </c>
      <c r="I583" s="6" t="s">
        <v>40</v>
      </c>
      <c r="K583" s="6" t="str">
        <f t="shared" si="580"/>
        <v>301001</v>
      </c>
      <c r="L583" s="4">
        <v>22</v>
      </c>
      <c r="M583" s="6" t="s">
        <v>529</v>
      </c>
      <c r="O583" s="13" t="str">
        <f t="shared" si="576"/>
        <v>1.3</v>
      </c>
      <c r="P583" s="13" t="str">
        <f t="shared" si="578"/>
        <v>1.3</v>
      </c>
      <c r="Q583" s="13" t="str">
        <f t="shared" si="581"/>
        <v>1.3</v>
      </c>
      <c r="R583" s="13" t="str">
        <f>Q583</f>
        <v>1.3</v>
      </c>
      <c r="S583" s="13" t="str">
        <f>R583</f>
        <v>1.3</v>
      </c>
      <c r="T583" s="6" t="str">
        <f t="shared" si="582"/>
        <v>1|1.3#2|1.3#3|1.3#4|1.3#5|1.3</v>
      </c>
    </row>
    <row r="584" s="6" customFormat="1" ht="16.5" spans="1:20">
      <c r="A584" s="6">
        <v>1010590</v>
      </c>
      <c r="B584" s="6">
        <v>31001</v>
      </c>
      <c r="C584" s="6">
        <v>5</v>
      </c>
      <c r="D584" s="6">
        <v>6</v>
      </c>
      <c r="E584" s="6" t="str">
        <f t="shared" si="583"/>
        <v>301001:60</v>
      </c>
      <c r="F584" s="11">
        <v>0</v>
      </c>
      <c r="G584" s="6">
        <v>11002</v>
      </c>
      <c r="H584" s="6" t="s">
        <v>407</v>
      </c>
      <c r="I584" s="6">
        <v>0</v>
      </c>
      <c r="K584" s="6" t="str">
        <f t="shared" si="580"/>
        <v>301001</v>
      </c>
      <c r="L584" s="13">
        <v>60</v>
      </c>
      <c r="M584" s="6" t="s">
        <v>523</v>
      </c>
      <c r="O584" s="13" t="str">
        <f t="shared" ref="O584:S584" si="584">O583</f>
        <v>1.3</v>
      </c>
      <c r="P584" s="13" t="str">
        <f t="shared" si="584"/>
        <v>1.3</v>
      </c>
      <c r="Q584" s="13" t="str">
        <f t="shared" si="584"/>
        <v>1.3</v>
      </c>
      <c r="R584" s="13" t="str">
        <f t="shared" si="584"/>
        <v>1.3</v>
      </c>
      <c r="S584" s="13" t="str">
        <f t="shared" si="584"/>
        <v>1.3</v>
      </c>
      <c r="T584" s="6" t="str">
        <f t="shared" si="582"/>
        <v>1|1.3#2|1.3#3|1.3#4|1.3#5|1.3</v>
      </c>
    </row>
    <row r="585" s="6" customFormat="1" ht="16.5" spans="1:20">
      <c r="A585" s="6">
        <v>1010591</v>
      </c>
      <c r="B585" s="6">
        <v>31001</v>
      </c>
      <c r="C585" s="6">
        <v>6</v>
      </c>
      <c r="D585" s="6">
        <v>0</v>
      </c>
      <c r="E585" s="6" t="str">
        <f t="shared" si="583"/>
        <v>301001:24</v>
      </c>
      <c r="F585" s="11" t="s">
        <v>394</v>
      </c>
      <c r="G585" s="6">
        <v>0</v>
      </c>
      <c r="H585" s="6">
        <v>0</v>
      </c>
      <c r="I585" s="6" t="s">
        <v>90</v>
      </c>
      <c r="K585" s="6" t="str">
        <f t="shared" si="580"/>
        <v>301001</v>
      </c>
      <c r="L585" s="4">
        <v>24</v>
      </c>
      <c r="M585" s="6" t="s">
        <v>530</v>
      </c>
      <c r="O585" s="15" t="str">
        <f>O584</f>
        <v>1.3</v>
      </c>
      <c r="P585" s="15" t="str">
        <f t="shared" ref="P585:S585" si="585">O585</f>
        <v>1.3</v>
      </c>
      <c r="Q585" s="15" t="str">
        <f t="shared" si="585"/>
        <v>1.3</v>
      </c>
      <c r="R585" s="15" t="str">
        <f>P585</f>
        <v>1.3</v>
      </c>
      <c r="S585" s="15" t="str">
        <f t="shared" si="585"/>
        <v>1.3</v>
      </c>
      <c r="T585" s="6" t="str">
        <f t="shared" si="582"/>
        <v>1|1.3#2|1.3#3|1.3#4|1.3#5|1.3</v>
      </c>
    </row>
    <row r="586" s="6" customFormat="1" ht="16.5" spans="1:20">
      <c r="A586" s="6">
        <v>1010592</v>
      </c>
      <c r="B586" s="6">
        <v>31001</v>
      </c>
      <c r="C586" s="6">
        <v>6</v>
      </c>
      <c r="D586" s="6">
        <v>1</v>
      </c>
      <c r="E586" s="6" t="str">
        <f t="shared" si="583"/>
        <v>301001:24</v>
      </c>
      <c r="F586" s="11" t="s">
        <v>396</v>
      </c>
      <c r="G586" s="6">
        <v>0</v>
      </c>
      <c r="H586" s="6">
        <v>0</v>
      </c>
      <c r="I586" s="6" t="s">
        <v>92</v>
      </c>
      <c r="K586" s="6" t="str">
        <f t="shared" si="580"/>
        <v>301001</v>
      </c>
      <c r="L586" s="4">
        <v>24</v>
      </c>
      <c r="M586" s="6" t="s">
        <v>530</v>
      </c>
      <c r="O586" s="13" t="str">
        <f t="shared" ref="O586:O590" si="586">RIGHT(F586,LEN(F586)-2)</f>
        <v>1.4</v>
      </c>
      <c r="P586" s="13" t="str">
        <f t="shared" ref="P586:S586" si="587">P585</f>
        <v>1.3</v>
      </c>
      <c r="Q586" s="13" t="str">
        <f t="shared" si="587"/>
        <v>1.3</v>
      </c>
      <c r="R586" s="13" t="str">
        <f t="shared" si="587"/>
        <v>1.3</v>
      </c>
      <c r="S586" s="13" t="str">
        <f t="shared" si="587"/>
        <v>1.3</v>
      </c>
      <c r="T586" s="6" t="str">
        <f t="shared" si="582"/>
        <v>1|1.4#2|1.3#3|1.3#4|1.3#5|1.3</v>
      </c>
    </row>
    <row r="587" s="6" customFormat="1" ht="16.5" spans="1:20">
      <c r="A587" s="6">
        <v>1010593</v>
      </c>
      <c r="B587" s="6">
        <v>31001</v>
      </c>
      <c r="C587" s="6">
        <v>6</v>
      </c>
      <c r="D587" s="6">
        <v>2</v>
      </c>
      <c r="E587" s="6" t="str">
        <f t="shared" si="583"/>
        <v>301001:24</v>
      </c>
      <c r="F587" s="11" t="s">
        <v>397</v>
      </c>
      <c r="G587" s="6">
        <v>0</v>
      </c>
      <c r="H587" s="6">
        <v>0</v>
      </c>
      <c r="I587" s="6" t="s">
        <v>94</v>
      </c>
      <c r="K587" s="6" t="str">
        <f t="shared" si="580"/>
        <v>301001</v>
      </c>
      <c r="L587" s="4">
        <v>24</v>
      </c>
      <c r="M587" s="6" t="s">
        <v>530</v>
      </c>
      <c r="O587" s="13" t="str">
        <f t="shared" si="586"/>
        <v>1.4</v>
      </c>
      <c r="P587" s="13" t="str">
        <f t="shared" ref="P587:P590" si="588">O587</f>
        <v>1.4</v>
      </c>
      <c r="Q587" s="13" t="str">
        <f t="shared" ref="Q587:S587" si="589">Q586</f>
        <v>1.3</v>
      </c>
      <c r="R587" s="13" t="str">
        <f t="shared" si="589"/>
        <v>1.3</v>
      </c>
      <c r="S587" s="13" t="str">
        <f t="shared" si="589"/>
        <v>1.3</v>
      </c>
      <c r="T587" s="6" t="str">
        <f t="shared" si="582"/>
        <v>1|1.4#2|1.4#3|1.3#4|1.3#5|1.3</v>
      </c>
    </row>
    <row r="588" s="6" customFormat="1" ht="16.5" spans="1:20">
      <c r="A588" s="6">
        <v>1010594</v>
      </c>
      <c r="B588" s="6">
        <v>31001</v>
      </c>
      <c r="C588" s="6">
        <v>6</v>
      </c>
      <c r="D588" s="6">
        <v>3</v>
      </c>
      <c r="E588" s="6" t="str">
        <f t="shared" si="583"/>
        <v>301001:24</v>
      </c>
      <c r="F588" s="11" t="s">
        <v>398</v>
      </c>
      <c r="G588" s="6">
        <v>0</v>
      </c>
      <c r="H588" s="6">
        <v>0</v>
      </c>
      <c r="I588" s="6" t="s">
        <v>96</v>
      </c>
      <c r="K588" s="6" t="str">
        <f t="shared" si="580"/>
        <v>301001</v>
      </c>
      <c r="L588" s="4">
        <v>24</v>
      </c>
      <c r="M588" s="6" t="s">
        <v>530</v>
      </c>
      <c r="O588" s="13" t="str">
        <f t="shared" si="586"/>
        <v>1.4</v>
      </c>
      <c r="P588" s="13" t="str">
        <f t="shared" si="588"/>
        <v>1.4</v>
      </c>
      <c r="Q588" s="13" t="str">
        <f t="shared" ref="Q588:Q590" si="590">P588</f>
        <v>1.4</v>
      </c>
      <c r="R588" s="13" t="str">
        <f>R587</f>
        <v>1.3</v>
      </c>
      <c r="S588" s="13" t="str">
        <f t="shared" ref="S588:S595" si="591">S587</f>
        <v>1.3</v>
      </c>
      <c r="T588" s="6" t="str">
        <f t="shared" si="582"/>
        <v>1|1.4#2|1.4#3|1.4#4|1.3#5|1.3</v>
      </c>
    </row>
    <row r="589" s="6" customFormat="1" ht="16.5" spans="1:20">
      <c r="A589" s="6">
        <v>1010595</v>
      </c>
      <c r="B589" s="6">
        <v>31001</v>
      </c>
      <c r="C589" s="6">
        <v>6</v>
      </c>
      <c r="D589" s="6">
        <v>4</v>
      </c>
      <c r="E589" s="6" t="str">
        <f t="shared" si="583"/>
        <v>301001:24</v>
      </c>
      <c r="F589" s="11" t="s">
        <v>399</v>
      </c>
      <c r="G589" s="6">
        <v>0</v>
      </c>
      <c r="H589" s="6">
        <v>0</v>
      </c>
      <c r="I589" s="6" t="s">
        <v>98</v>
      </c>
      <c r="K589" s="6" t="str">
        <f t="shared" si="580"/>
        <v>301001</v>
      </c>
      <c r="L589" s="4">
        <v>24</v>
      </c>
      <c r="M589" s="6" t="s">
        <v>530</v>
      </c>
      <c r="O589" s="13" t="str">
        <f t="shared" si="586"/>
        <v>1.4</v>
      </c>
      <c r="P589" s="13" t="str">
        <f t="shared" si="588"/>
        <v>1.4</v>
      </c>
      <c r="Q589" s="13" t="str">
        <f t="shared" si="590"/>
        <v>1.4</v>
      </c>
      <c r="R589" s="13" t="str">
        <f>Q589</f>
        <v>1.4</v>
      </c>
      <c r="S589" s="13" t="str">
        <f t="shared" si="591"/>
        <v>1.3</v>
      </c>
      <c r="T589" s="6" t="str">
        <f t="shared" si="582"/>
        <v>1|1.4#2|1.4#3|1.4#4|1.4#5|1.3</v>
      </c>
    </row>
    <row r="590" s="6" customFormat="1" ht="16.5" spans="1:20">
      <c r="A590" s="6">
        <v>1010596</v>
      </c>
      <c r="B590" s="6">
        <v>31001</v>
      </c>
      <c r="C590" s="6">
        <v>6</v>
      </c>
      <c r="D590" s="6">
        <v>5</v>
      </c>
      <c r="E590" s="6" t="str">
        <f t="shared" si="583"/>
        <v>301001:60</v>
      </c>
      <c r="F590" s="11" t="s">
        <v>400</v>
      </c>
      <c r="G590" s="6">
        <v>0</v>
      </c>
      <c r="H590" s="6">
        <v>0</v>
      </c>
      <c r="I590" s="6" t="s">
        <v>40</v>
      </c>
      <c r="K590" s="6" t="str">
        <f t="shared" si="580"/>
        <v>301001</v>
      </c>
      <c r="L590" s="4">
        <v>60</v>
      </c>
      <c r="M590" s="6" t="s">
        <v>529</v>
      </c>
      <c r="O590" s="13" t="str">
        <f t="shared" si="586"/>
        <v>1.4</v>
      </c>
      <c r="P590" s="13" t="str">
        <f t="shared" si="588"/>
        <v>1.4</v>
      </c>
      <c r="Q590" s="13" t="str">
        <f t="shared" si="590"/>
        <v>1.4</v>
      </c>
      <c r="R590" s="13" t="str">
        <f>Q590</f>
        <v>1.4</v>
      </c>
      <c r="S590" s="13" t="str">
        <f>R590</f>
        <v>1.4</v>
      </c>
      <c r="T590" s="6" t="str">
        <f t="shared" si="582"/>
        <v>1|1.4#2|1.4#3|1.4#4|1.4#5|1.4</v>
      </c>
    </row>
    <row r="591" s="6" customFormat="1" ht="16.5" spans="1:20">
      <c r="A591" s="6">
        <v>1010597</v>
      </c>
      <c r="B591" s="6">
        <v>31001</v>
      </c>
      <c r="C591" s="6">
        <v>6</v>
      </c>
      <c r="D591" s="6">
        <v>6</v>
      </c>
      <c r="E591" s="6" t="str">
        <f t="shared" si="583"/>
        <v>301001:0</v>
      </c>
      <c r="F591" s="11">
        <v>0</v>
      </c>
      <c r="G591" s="6">
        <v>11002</v>
      </c>
      <c r="H591" s="6" t="s">
        <v>407</v>
      </c>
      <c r="I591" s="6">
        <v>0</v>
      </c>
      <c r="K591" s="6" t="str">
        <f t="shared" si="580"/>
        <v>301001</v>
      </c>
      <c r="L591" s="4">
        <v>0</v>
      </c>
      <c r="M591" s="6" t="s">
        <v>523</v>
      </c>
      <c r="O591" s="13" t="str">
        <f t="shared" ref="O591:S591" si="592">O590</f>
        <v>1.4</v>
      </c>
      <c r="P591" s="13" t="str">
        <f t="shared" si="592"/>
        <v>1.4</v>
      </c>
      <c r="Q591" s="13" t="str">
        <f t="shared" si="592"/>
        <v>1.4</v>
      </c>
      <c r="R591" s="13" t="str">
        <f t="shared" si="592"/>
        <v>1.4</v>
      </c>
      <c r="S591" s="13" t="str">
        <f t="shared" si="592"/>
        <v>1.4</v>
      </c>
      <c r="T591" s="6" t="str">
        <f t="shared" si="582"/>
        <v>1|1.4#2|1.4#3|1.4#4|1.4#5|1.4</v>
      </c>
    </row>
    <row r="592" s="6" customFormat="1" ht="16.5" spans="1:20">
      <c r="A592" s="6">
        <v>1010598</v>
      </c>
      <c r="B592" s="6">
        <v>31002</v>
      </c>
      <c r="C592" s="6">
        <v>1</v>
      </c>
      <c r="D592" s="6">
        <v>0</v>
      </c>
      <c r="E592" s="6" t="str">
        <f t="shared" si="583"/>
        <v>301002:2</v>
      </c>
      <c r="F592" s="11" t="s">
        <v>356</v>
      </c>
      <c r="G592" s="6">
        <v>0</v>
      </c>
      <c r="H592" s="6">
        <v>0</v>
      </c>
      <c r="I592" s="6" t="s">
        <v>25</v>
      </c>
      <c r="K592" s="6" t="str">
        <f t="shared" si="580"/>
        <v>301002</v>
      </c>
      <c r="L592" s="4">
        <v>2</v>
      </c>
      <c r="M592" s="6" t="s">
        <v>531</v>
      </c>
      <c r="O592" s="13">
        <v>1</v>
      </c>
      <c r="P592" s="13">
        <f t="shared" ref="P592:S592" si="593">O592</f>
        <v>1</v>
      </c>
      <c r="Q592" s="13">
        <f t="shared" si="593"/>
        <v>1</v>
      </c>
      <c r="R592" s="13">
        <f>P592</f>
        <v>1</v>
      </c>
      <c r="S592" s="13">
        <f t="shared" si="593"/>
        <v>1</v>
      </c>
      <c r="T592" s="6" t="str">
        <f t="shared" si="582"/>
        <v>1|1#2|1#3|1#4|1#5|1</v>
      </c>
    </row>
    <row r="593" s="6" customFormat="1" ht="16.5" spans="1:20">
      <c r="A593" s="6">
        <v>1010599</v>
      </c>
      <c r="B593" s="6">
        <v>31002</v>
      </c>
      <c r="C593" s="6">
        <v>1</v>
      </c>
      <c r="D593" s="6">
        <v>1</v>
      </c>
      <c r="E593" s="6" t="str">
        <f t="shared" si="583"/>
        <v>301002:2</v>
      </c>
      <c r="F593" s="11" t="s">
        <v>358</v>
      </c>
      <c r="G593" s="6">
        <v>0</v>
      </c>
      <c r="H593" s="6">
        <v>0</v>
      </c>
      <c r="I593" s="6" t="s">
        <v>28</v>
      </c>
      <c r="K593" s="6" t="str">
        <f t="shared" si="580"/>
        <v>301002</v>
      </c>
      <c r="L593" s="4">
        <v>2</v>
      </c>
      <c r="M593" s="6" t="s">
        <v>531</v>
      </c>
      <c r="O593" s="13" t="str">
        <f t="shared" ref="O593:O597" si="594">RIGHT(F593,LEN(F593)-2)</f>
        <v>1.05</v>
      </c>
      <c r="P593" s="13">
        <v>1</v>
      </c>
      <c r="Q593" s="13">
        <f>Q592</f>
        <v>1</v>
      </c>
      <c r="R593" s="13">
        <f>R592</f>
        <v>1</v>
      </c>
      <c r="S593" s="13">
        <f t="shared" si="591"/>
        <v>1</v>
      </c>
      <c r="T593" s="6" t="str">
        <f t="shared" si="582"/>
        <v>1|1.05#2|1#3|1#4|1#5|1</v>
      </c>
    </row>
    <row r="594" s="6" customFormat="1" ht="16.5" spans="1:20">
      <c r="A594" s="6">
        <v>1010600</v>
      </c>
      <c r="B594" s="6">
        <v>31002</v>
      </c>
      <c r="C594" s="6">
        <v>1</v>
      </c>
      <c r="D594" s="6">
        <v>2</v>
      </c>
      <c r="E594" s="6" t="str">
        <f t="shared" si="583"/>
        <v>301002:2</v>
      </c>
      <c r="F594" s="11" t="s">
        <v>359</v>
      </c>
      <c r="G594" s="6">
        <v>0</v>
      </c>
      <c r="H594" s="6">
        <v>0</v>
      </c>
      <c r="I594" s="6" t="s">
        <v>31</v>
      </c>
      <c r="K594" s="6" t="str">
        <f t="shared" si="580"/>
        <v>301002</v>
      </c>
      <c r="L594" s="4">
        <v>2</v>
      </c>
      <c r="M594" s="6" t="s">
        <v>531</v>
      </c>
      <c r="O594" s="13" t="str">
        <f t="shared" si="594"/>
        <v>1.05</v>
      </c>
      <c r="P594" s="13" t="str">
        <f t="shared" ref="P594:P597" si="595">O594</f>
        <v>1.05</v>
      </c>
      <c r="Q594" s="13">
        <v>1</v>
      </c>
      <c r="R594" s="13">
        <f>R593</f>
        <v>1</v>
      </c>
      <c r="S594" s="13">
        <f t="shared" si="591"/>
        <v>1</v>
      </c>
      <c r="T594" s="6" t="str">
        <f t="shared" si="582"/>
        <v>1|1.05#2|1.05#3|1#4|1#5|1</v>
      </c>
    </row>
    <row r="595" s="6" customFormat="1" ht="16.5" spans="1:20">
      <c r="A595" s="6">
        <v>1010601</v>
      </c>
      <c r="B595" s="6">
        <v>31002</v>
      </c>
      <c r="C595" s="6">
        <v>1</v>
      </c>
      <c r="D595" s="6">
        <v>3</v>
      </c>
      <c r="E595" s="6" t="str">
        <f t="shared" si="583"/>
        <v>301002:3</v>
      </c>
      <c r="F595" s="11" t="s">
        <v>360</v>
      </c>
      <c r="G595" s="6">
        <v>0</v>
      </c>
      <c r="H595" s="6">
        <v>0</v>
      </c>
      <c r="I595" s="6" t="s">
        <v>34</v>
      </c>
      <c r="K595" s="6" t="str">
        <f t="shared" si="580"/>
        <v>301002</v>
      </c>
      <c r="L595" s="4">
        <v>3</v>
      </c>
      <c r="M595" s="6" t="s">
        <v>531</v>
      </c>
      <c r="O595" s="13" t="str">
        <f t="shared" si="594"/>
        <v>1.05</v>
      </c>
      <c r="P595" s="13" t="str">
        <f t="shared" si="595"/>
        <v>1.05</v>
      </c>
      <c r="Q595" s="13" t="str">
        <f t="shared" ref="Q595:Q597" si="596">P595</f>
        <v>1.05</v>
      </c>
      <c r="R595" s="13">
        <v>1</v>
      </c>
      <c r="S595" s="13">
        <f t="shared" si="591"/>
        <v>1</v>
      </c>
      <c r="T595" s="6" t="str">
        <f t="shared" si="582"/>
        <v>1|1.05#2|1.05#3|1.05#4|1#5|1</v>
      </c>
    </row>
    <row r="596" s="6" customFormat="1" ht="16.5" spans="1:20">
      <c r="A596" s="6">
        <v>1010602</v>
      </c>
      <c r="B596" s="6">
        <v>31002</v>
      </c>
      <c r="C596" s="6">
        <v>1</v>
      </c>
      <c r="D596" s="6">
        <v>4</v>
      </c>
      <c r="E596" s="6" t="str">
        <f t="shared" si="583"/>
        <v>301002:3</v>
      </c>
      <c r="F596" s="11" t="s">
        <v>361</v>
      </c>
      <c r="G596" s="6">
        <v>0</v>
      </c>
      <c r="H596" s="6">
        <v>0</v>
      </c>
      <c r="I596" s="6" t="s">
        <v>37</v>
      </c>
      <c r="K596" s="6" t="str">
        <f t="shared" si="580"/>
        <v>301002</v>
      </c>
      <c r="L596" s="4">
        <v>3</v>
      </c>
      <c r="M596" s="6" t="s">
        <v>531</v>
      </c>
      <c r="O596" s="13" t="str">
        <f t="shared" si="594"/>
        <v>1.05</v>
      </c>
      <c r="P596" s="13" t="str">
        <f t="shared" si="595"/>
        <v>1.05</v>
      </c>
      <c r="Q596" s="13" t="str">
        <f t="shared" si="596"/>
        <v>1.05</v>
      </c>
      <c r="R596" s="13" t="str">
        <f>Q596</f>
        <v>1.05</v>
      </c>
      <c r="S596" s="13">
        <v>1</v>
      </c>
      <c r="T596" s="6" t="str">
        <f t="shared" si="582"/>
        <v>1|1.05#2|1.05#3|1.05#4|1.05#5|1</v>
      </c>
    </row>
    <row r="597" s="6" customFormat="1" ht="16.5" spans="1:20">
      <c r="A597" s="6">
        <v>1010603</v>
      </c>
      <c r="B597" s="6">
        <v>31002</v>
      </c>
      <c r="C597" s="6">
        <v>1</v>
      </c>
      <c r="D597" s="6">
        <v>5</v>
      </c>
      <c r="E597" s="6" t="str">
        <f t="shared" si="583"/>
        <v>301002:3</v>
      </c>
      <c r="F597" s="11" t="s">
        <v>362</v>
      </c>
      <c r="G597" s="6">
        <v>0</v>
      </c>
      <c r="H597" s="6">
        <v>0</v>
      </c>
      <c r="I597" s="6" t="s">
        <v>40</v>
      </c>
      <c r="K597" s="6" t="str">
        <f t="shared" si="580"/>
        <v>301002</v>
      </c>
      <c r="L597" s="4">
        <v>3</v>
      </c>
      <c r="M597" s="6" t="s">
        <v>532</v>
      </c>
      <c r="O597" s="13" t="str">
        <f t="shared" si="594"/>
        <v>1.05</v>
      </c>
      <c r="P597" s="13" t="str">
        <f t="shared" si="595"/>
        <v>1.05</v>
      </c>
      <c r="Q597" s="13" t="str">
        <f t="shared" si="596"/>
        <v>1.05</v>
      </c>
      <c r="R597" s="13" t="str">
        <f>Q597</f>
        <v>1.05</v>
      </c>
      <c r="S597" s="13" t="str">
        <f>R597</f>
        <v>1.05</v>
      </c>
      <c r="T597" s="6" t="str">
        <f t="shared" si="582"/>
        <v>1|1.05#2|1.05#3|1.05#4|1.05#5|1.05</v>
      </c>
    </row>
    <row r="598" s="6" customFormat="1" ht="16.5" spans="1:20">
      <c r="A598" s="6">
        <v>1010604</v>
      </c>
      <c r="B598" s="6">
        <v>31002</v>
      </c>
      <c r="C598" s="6">
        <v>1</v>
      </c>
      <c r="D598" s="6">
        <v>6</v>
      </c>
      <c r="E598" s="6" t="str">
        <f t="shared" si="583"/>
        <v>301002:5</v>
      </c>
      <c r="F598" s="11">
        <v>0</v>
      </c>
      <c r="G598" s="6">
        <v>11002</v>
      </c>
      <c r="H598" s="6" t="s">
        <v>407</v>
      </c>
      <c r="I598" s="6">
        <v>0</v>
      </c>
      <c r="K598" s="6" t="str">
        <f t="shared" si="580"/>
        <v>301002</v>
      </c>
      <c r="L598" s="13">
        <v>5</v>
      </c>
      <c r="M598" s="6" t="s">
        <v>533</v>
      </c>
      <c r="O598" s="13" t="str">
        <f t="shared" ref="O598:S598" si="597">O597</f>
        <v>1.05</v>
      </c>
      <c r="P598" s="13" t="str">
        <f t="shared" si="597"/>
        <v>1.05</v>
      </c>
      <c r="Q598" s="13" t="str">
        <f t="shared" si="597"/>
        <v>1.05</v>
      </c>
      <c r="R598" s="13" t="str">
        <f t="shared" si="597"/>
        <v>1.05</v>
      </c>
      <c r="S598" s="13" t="str">
        <f t="shared" si="597"/>
        <v>1.05</v>
      </c>
      <c r="T598" s="6" t="str">
        <f t="shared" si="582"/>
        <v>1|1.05#2|1.05#3|1.05#4|1.05#5|1.05</v>
      </c>
    </row>
    <row r="599" s="6" customFormat="1" ht="16.5" spans="1:20">
      <c r="A599" s="6">
        <v>1010605</v>
      </c>
      <c r="B599" s="6">
        <v>31002</v>
      </c>
      <c r="C599" s="6">
        <v>2</v>
      </c>
      <c r="D599" s="6">
        <v>0</v>
      </c>
      <c r="E599" s="6" t="str">
        <f t="shared" si="583"/>
        <v>301002:5</v>
      </c>
      <c r="F599" s="11" t="s">
        <v>364</v>
      </c>
      <c r="G599" s="6">
        <v>0</v>
      </c>
      <c r="H599" s="6">
        <v>0</v>
      </c>
      <c r="I599" s="6" t="s">
        <v>43</v>
      </c>
      <c r="K599" s="6" t="str">
        <f t="shared" si="580"/>
        <v>301002</v>
      </c>
      <c r="L599" s="4">
        <v>5</v>
      </c>
      <c r="M599" s="6" t="s">
        <v>534</v>
      </c>
      <c r="O599" s="15" t="str">
        <f>O598</f>
        <v>1.05</v>
      </c>
      <c r="P599" s="15" t="str">
        <f t="shared" ref="P599:S599" si="598">O599</f>
        <v>1.05</v>
      </c>
      <c r="Q599" s="15" t="str">
        <f t="shared" si="598"/>
        <v>1.05</v>
      </c>
      <c r="R599" s="15" t="str">
        <f>P599</f>
        <v>1.05</v>
      </c>
      <c r="S599" s="15" t="str">
        <f t="shared" si="598"/>
        <v>1.05</v>
      </c>
      <c r="T599" s="6" t="str">
        <f t="shared" si="582"/>
        <v>1|1.05#2|1.05#3|1.05#4|1.05#5|1.05</v>
      </c>
    </row>
    <row r="600" s="6" customFormat="1" ht="16.5" spans="1:20">
      <c r="A600" s="6">
        <v>1010606</v>
      </c>
      <c r="B600" s="6">
        <v>31002</v>
      </c>
      <c r="C600" s="6">
        <v>2</v>
      </c>
      <c r="D600" s="6">
        <v>1</v>
      </c>
      <c r="E600" s="6" t="str">
        <f t="shared" si="583"/>
        <v>301002:5</v>
      </c>
      <c r="F600" s="11" t="s">
        <v>366</v>
      </c>
      <c r="G600" s="6">
        <v>0</v>
      </c>
      <c r="H600" s="6">
        <v>0</v>
      </c>
      <c r="I600" s="6" t="s">
        <v>45</v>
      </c>
      <c r="K600" s="6" t="str">
        <f t="shared" si="580"/>
        <v>301002</v>
      </c>
      <c r="L600" s="4">
        <v>5</v>
      </c>
      <c r="M600" s="6" t="s">
        <v>534</v>
      </c>
      <c r="O600" s="13" t="str">
        <f t="shared" ref="O600:O604" si="599">RIGHT(F600,LEN(F600)-2)</f>
        <v>1.1</v>
      </c>
      <c r="P600" s="13">
        <v>1.05</v>
      </c>
      <c r="Q600" s="13" t="str">
        <f t="shared" ref="Q600:S600" si="600">Q599</f>
        <v>1.05</v>
      </c>
      <c r="R600" s="13" t="str">
        <f t="shared" si="600"/>
        <v>1.05</v>
      </c>
      <c r="S600" s="13" t="str">
        <f t="shared" si="600"/>
        <v>1.05</v>
      </c>
      <c r="T600" s="6" t="str">
        <f t="shared" si="582"/>
        <v>1|1.1#2|1.05#3|1.05#4|1.05#5|1.05</v>
      </c>
    </row>
    <row r="601" s="6" customFormat="1" ht="16.5" spans="1:20">
      <c r="A601" s="6">
        <v>1010607</v>
      </c>
      <c r="B601" s="6">
        <v>31002</v>
      </c>
      <c r="C601" s="6">
        <v>2</v>
      </c>
      <c r="D601" s="6">
        <v>2</v>
      </c>
      <c r="E601" s="6" t="str">
        <f t="shared" si="583"/>
        <v>301002:5</v>
      </c>
      <c r="F601" s="11" t="s">
        <v>367</v>
      </c>
      <c r="G601" s="6">
        <v>0</v>
      </c>
      <c r="H601" s="6">
        <v>0</v>
      </c>
      <c r="I601" s="6" t="s">
        <v>47</v>
      </c>
      <c r="K601" s="6" t="str">
        <f t="shared" si="580"/>
        <v>301002</v>
      </c>
      <c r="L601" s="4">
        <v>5</v>
      </c>
      <c r="M601" s="6" t="s">
        <v>534</v>
      </c>
      <c r="O601" s="13" t="str">
        <f t="shared" si="599"/>
        <v>1.1</v>
      </c>
      <c r="P601" s="13" t="str">
        <f t="shared" ref="P601:P604" si="601">O601</f>
        <v>1.1</v>
      </c>
      <c r="Q601" s="13">
        <v>1.05</v>
      </c>
      <c r="R601" s="13" t="str">
        <f>R600</f>
        <v>1.05</v>
      </c>
      <c r="S601" s="13" t="str">
        <f>S600</f>
        <v>1.05</v>
      </c>
      <c r="T601" s="6" t="str">
        <f t="shared" si="582"/>
        <v>1|1.1#2|1.1#3|1.05#4|1.05#5|1.05</v>
      </c>
    </row>
    <row r="602" s="6" customFormat="1" ht="16.5" spans="1:20">
      <c r="A602" s="6">
        <v>1010608</v>
      </c>
      <c r="B602" s="6">
        <v>31002</v>
      </c>
      <c r="C602" s="6">
        <v>2</v>
      </c>
      <c r="D602" s="6">
        <v>3</v>
      </c>
      <c r="E602" s="6" t="str">
        <f t="shared" si="583"/>
        <v>301002:6</v>
      </c>
      <c r="F602" s="11" t="s">
        <v>368</v>
      </c>
      <c r="G602" s="6">
        <v>0</v>
      </c>
      <c r="H602" s="6">
        <v>0</v>
      </c>
      <c r="I602" s="6" t="s">
        <v>49</v>
      </c>
      <c r="K602" s="6" t="str">
        <f t="shared" si="580"/>
        <v>301002</v>
      </c>
      <c r="L602" s="4">
        <v>6</v>
      </c>
      <c r="M602" s="6" t="s">
        <v>534</v>
      </c>
      <c r="O602" s="13" t="str">
        <f t="shared" si="599"/>
        <v>1.1</v>
      </c>
      <c r="P602" s="13" t="str">
        <f t="shared" si="601"/>
        <v>1.1</v>
      </c>
      <c r="Q602" s="13" t="str">
        <f t="shared" ref="Q602:Q604" si="602">P602</f>
        <v>1.1</v>
      </c>
      <c r="R602" s="13">
        <v>1.05</v>
      </c>
      <c r="S602" s="13" t="str">
        <f>S601</f>
        <v>1.05</v>
      </c>
      <c r="T602" s="6" t="str">
        <f t="shared" si="582"/>
        <v>1|1.1#2|1.1#3|1.1#4|1.05#5|1.05</v>
      </c>
    </row>
    <row r="603" s="6" customFormat="1" ht="16.5" spans="1:20">
      <c r="A603" s="6">
        <v>1010609</v>
      </c>
      <c r="B603" s="6">
        <v>31002</v>
      </c>
      <c r="C603" s="6">
        <v>2</v>
      </c>
      <c r="D603" s="6">
        <v>4</v>
      </c>
      <c r="E603" s="6" t="str">
        <f t="shared" si="583"/>
        <v>301002:6</v>
      </c>
      <c r="F603" s="11" t="s">
        <v>369</v>
      </c>
      <c r="G603" s="6">
        <v>0</v>
      </c>
      <c r="H603" s="6">
        <v>0</v>
      </c>
      <c r="I603" s="6" t="s">
        <v>51</v>
      </c>
      <c r="K603" s="6" t="str">
        <f t="shared" si="580"/>
        <v>301002</v>
      </c>
      <c r="L603" s="4">
        <v>6</v>
      </c>
      <c r="M603" s="6" t="s">
        <v>534</v>
      </c>
      <c r="O603" s="13" t="str">
        <f t="shared" si="599"/>
        <v>1.1</v>
      </c>
      <c r="P603" s="13" t="str">
        <f t="shared" si="601"/>
        <v>1.1</v>
      </c>
      <c r="Q603" s="13" t="str">
        <f t="shared" si="602"/>
        <v>1.1</v>
      </c>
      <c r="R603" s="13" t="str">
        <f>Q603</f>
        <v>1.1</v>
      </c>
      <c r="S603" s="13">
        <v>1.05</v>
      </c>
      <c r="T603" s="6" t="str">
        <f t="shared" si="582"/>
        <v>1|1.1#2|1.1#3|1.1#4|1.1#5|1.05</v>
      </c>
    </row>
    <row r="604" s="6" customFormat="1" ht="16.5" spans="1:20">
      <c r="A604" s="6">
        <v>1010610</v>
      </c>
      <c r="B604" s="6">
        <v>31002</v>
      </c>
      <c r="C604" s="6">
        <v>2</v>
      </c>
      <c r="D604" s="6">
        <v>5</v>
      </c>
      <c r="E604" s="6" t="str">
        <f t="shared" si="583"/>
        <v>301002:6</v>
      </c>
      <c r="F604" s="11" t="s">
        <v>370</v>
      </c>
      <c r="G604" s="6">
        <v>0</v>
      </c>
      <c r="H604" s="6">
        <v>0</v>
      </c>
      <c r="I604" s="6" t="s">
        <v>40</v>
      </c>
      <c r="K604" s="6" t="str">
        <f t="shared" si="580"/>
        <v>301002</v>
      </c>
      <c r="L604" s="4">
        <v>6</v>
      </c>
      <c r="M604" s="6" t="s">
        <v>243</v>
      </c>
      <c r="O604" s="13" t="str">
        <f t="shared" si="599"/>
        <v>1.1</v>
      </c>
      <c r="P604" s="13" t="str">
        <f t="shared" si="601"/>
        <v>1.1</v>
      </c>
      <c r="Q604" s="13" t="str">
        <f t="shared" si="602"/>
        <v>1.1</v>
      </c>
      <c r="R604" s="13" t="str">
        <f>Q604</f>
        <v>1.1</v>
      </c>
      <c r="S604" s="13" t="str">
        <f>R604</f>
        <v>1.1</v>
      </c>
      <c r="T604" s="6" t="str">
        <f t="shared" si="582"/>
        <v>1|1.1#2|1.1#3|1.1#4|1.1#5|1.1</v>
      </c>
    </row>
    <row r="605" s="6" customFormat="1" ht="16.5" spans="1:20">
      <c r="A605" s="6">
        <v>1010611</v>
      </c>
      <c r="B605" s="6">
        <v>31002</v>
      </c>
      <c r="C605" s="6">
        <v>2</v>
      </c>
      <c r="D605" s="6">
        <v>6</v>
      </c>
      <c r="E605" s="6" t="str">
        <f t="shared" si="583"/>
        <v>301002:7</v>
      </c>
      <c r="F605" s="11">
        <v>0</v>
      </c>
      <c r="G605" s="6">
        <v>11002</v>
      </c>
      <c r="H605" s="6" t="s">
        <v>407</v>
      </c>
      <c r="I605" s="6">
        <v>0</v>
      </c>
      <c r="K605" s="6" t="str">
        <f t="shared" si="580"/>
        <v>301002</v>
      </c>
      <c r="L605" s="13">
        <v>7</v>
      </c>
      <c r="M605" s="6" t="s">
        <v>533</v>
      </c>
      <c r="O605" s="13" t="str">
        <f t="shared" ref="O605:S605" si="603">O604</f>
        <v>1.1</v>
      </c>
      <c r="P605" s="13" t="str">
        <f t="shared" si="603"/>
        <v>1.1</v>
      </c>
      <c r="Q605" s="13" t="str">
        <f t="shared" si="603"/>
        <v>1.1</v>
      </c>
      <c r="R605" s="13" t="str">
        <f t="shared" si="603"/>
        <v>1.1</v>
      </c>
      <c r="S605" s="13" t="str">
        <f t="shared" si="603"/>
        <v>1.1</v>
      </c>
      <c r="T605" s="6" t="str">
        <f t="shared" si="582"/>
        <v>1|1.1#2|1.1#3|1.1#4|1.1#5|1.1</v>
      </c>
    </row>
    <row r="606" s="6" customFormat="1" ht="16.5" spans="1:20">
      <c r="A606" s="6">
        <v>1010612</v>
      </c>
      <c r="B606" s="6">
        <v>31002</v>
      </c>
      <c r="C606" s="6">
        <v>3</v>
      </c>
      <c r="D606" s="6">
        <v>0</v>
      </c>
      <c r="E606" s="6" t="str">
        <f t="shared" si="583"/>
        <v>301002:9</v>
      </c>
      <c r="F606" s="11" t="s">
        <v>371</v>
      </c>
      <c r="G606" s="6">
        <v>0</v>
      </c>
      <c r="H606" s="6">
        <v>0</v>
      </c>
      <c r="I606" s="6" t="s">
        <v>55</v>
      </c>
      <c r="K606" s="6" t="str">
        <f t="shared" si="580"/>
        <v>301002</v>
      </c>
      <c r="L606" s="4">
        <v>9</v>
      </c>
      <c r="M606" s="6" t="s">
        <v>535</v>
      </c>
      <c r="O606" s="15" t="str">
        <f>O605</f>
        <v>1.1</v>
      </c>
      <c r="P606" s="15" t="str">
        <f t="shared" ref="P606:S606" si="604">O606</f>
        <v>1.1</v>
      </c>
      <c r="Q606" s="15" t="str">
        <f t="shared" si="604"/>
        <v>1.1</v>
      </c>
      <c r="R606" s="15" t="str">
        <f>P606</f>
        <v>1.1</v>
      </c>
      <c r="S606" s="15" t="str">
        <f t="shared" si="604"/>
        <v>1.1</v>
      </c>
      <c r="T606" s="6" t="str">
        <f t="shared" si="582"/>
        <v>1|1.1#2|1.1#3|1.1#4|1.1#5|1.1</v>
      </c>
    </row>
    <row r="607" s="6" customFormat="1" ht="16.5" spans="1:20">
      <c r="A607" s="6">
        <v>1010613</v>
      </c>
      <c r="B607" s="6">
        <v>31002</v>
      </c>
      <c r="C607" s="6">
        <v>3</v>
      </c>
      <c r="D607" s="6">
        <v>1</v>
      </c>
      <c r="E607" s="6" t="str">
        <f t="shared" si="583"/>
        <v>301002:9</v>
      </c>
      <c r="F607" s="11" t="s">
        <v>373</v>
      </c>
      <c r="G607" s="6">
        <v>0</v>
      </c>
      <c r="H607" s="6">
        <v>0</v>
      </c>
      <c r="I607" s="6" t="s">
        <v>57</v>
      </c>
      <c r="K607" s="6" t="str">
        <f t="shared" si="580"/>
        <v>301002</v>
      </c>
      <c r="L607" s="4">
        <v>9</v>
      </c>
      <c r="M607" s="6" t="s">
        <v>535</v>
      </c>
      <c r="O607" s="13" t="str">
        <f t="shared" ref="O607:O611" si="605">RIGHT(F607,LEN(F607)-2)</f>
        <v>1.15</v>
      </c>
      <c r="P607" s="13" t="str">
        <f t="shared" ref="P607:S607" si="606">P606</f>
        <v>1.1</v>
      </c>
      <c r="Q607" s="13" t="str">
        <f t="shared" si="606"/>
        <v>1.1</v>
      </c>
      <c r="R607" s="13" t="str">
        <f t="shared" si="606"/>
        <v>1.1</v>
      </c>
      <c r="S607" s="13" t="str">
        <f t="shared" si="606"/>
        <v>1.1</v>
      </c>
      <c r="T607" s="6" t="str">
        <f t="shared" si="582"/>
        <v>1|1.15#2|1.1#3|1.1#4|1.1#5|1.1</v>
      </c>
    </row>
    <row r="608" s="6" customFormat="1" ht="16.5" spans="1:20">
      <c r="A608" s="6">
        <v>1010614</v>
      </c>
      <c r="B608" s="6">
        <v>31002</v>
      </c>
      <c r="C608" s="6">
        <v>3</v>
      </c>
      <c r="D608" s="6">
        <v>2</v>
      </c>
      <c r="E608" s="6" t="str">
        <f t="shared" si="583"/>
        <v>301002:9</v>
      </c>
      <c r="F608" s="11" t="s">
        <v>374</v>
      </c>
      <c r="G608" s="6">
        <v>0</v>
      </c>
      <c r="H608" s="6">
        <v>0</v>
      </c>
      <c r="I608" s="6" t="s">
        <v>59</v>
      </c>
      <c r="K608" s="6" t="str">
        <f t="shared" si="580"/>
        <v>301002</v>
      </c>
      <c r="L608" s="4">
        <v>9</v>
      </c>
      <c r="M608" s="6" t="s">
        <v>535</v>
      </c>
      <c r="O608" s="13" t="str">
        <f t="shared" si="605"/>
        <v>1.15</v>
      </c>
      <c r="P608" s="13" t="str">
        <f t="shared" ref="P608:P611" si="607">O608</f>
        <v>1.15</v>
      </c>
      <c r="Q608" s="13" t="str">
        <f t="shared" ref="Q608:S608" si="608">Q607</f>
        <v>1.1</v>
      </c>
      <c r="R608" s="13" t="str">
        <f t="shared" si="608"/>
        <v>1.1</v>
      </c>
      <c r="S608" s="13" t="str">
        <f t="shared" si="608"/>
        <v>1.1</v>
      </c>
      <c r="T608" s="6" t="str">
        <f t="shared" si="582"/>
        <v>1|1.15#2|1.15#3|1.1#4|1.1#5|1.1</v>
      </c>
    </row>
    <row r="609" s="6" customFormat="1" ht="16.5" spans="1:20">
      <c r="A609" s="6">
        <v>1010615</v>
      </c>
      <c r="B609" s="6">
        <v>31002</v>
      </c>
      <c r="C609" s="6">
        <v>3</v>
      </c>
      <c r="D609" s="6">
        <v>3</v>
      </c>
      <c r="E609" s="6" t="str">
        <f t="shared" si="583"/>
        <v>301002:11</v>
      </c>
      <c r="F609" s="11" t="s">
        <v>375</v>
      </c>
      <c r="G609" s="6">
        <v>0</v>
      </c>
      <c r="H609" s="6">
        <v>0</v>
      </c>
      <c r="I609" s="6" t="s">
        <v>61</v>
      </c>
      <c r="K609" s="6" t="str">
        <f t="shared" si="580"/>
        <v>301002</v>
      </c>
      <c r="L609" s="4">
        <v>11</v>
      </c>
      <c r="M609" s="6" t="s">
        <v>535</v>
      </c>
      <c r="O609" s="13" t="str">
        <f t="shared" si="605"/>
        <v>1.15</v>
      </c>
      <c r="P609" s="13" t="str">
        <f t="shared" si="607"/>
        <v>1.15</v>
      </c>
      <c r="Q609" s="13" t="str">
        <f t="shared" ref="Q609:Q611" si="609">P609</f>
        <v>1.15</v>
      </c>
      <c r="R609" s="13" t="str">
        <f>R608</f>
        <v>1.1</v>
      </c>
      <c r="S609" s="13" t="str">
        <f>S608</f>
        <v>1.1</v>
      </c>
      <c r="T609" s="6" t="str">
        <f t="shared" si="582"/>
        <v>1|1.15#2|1.15#3|1.15#4|1.1#5|1.1</v>
      </c>
    </row>
    <row r="610" s="6" customFormat="1" ht="16.5" spans="1:20">
      <c r="A610" s="6">
        <v>1010616</v>
      </c>
      <c r="B610" s="6">
        <v>31002</v>
      </c>
      <c r="C610" s="6">
        <v>3</v>
      </c>
      <c r="D610" s="6">
        <v>4</v>
      </c>
      <c r="E610" s="6" t="str">
        <f t="shared" si="583"/>
        <v>301002:11</v>
      </c>
      <c r="F610" s="11" t="s">
        <v>376</v>
      </c>
      <c r="G610" s="6">
        <v>0</v>
      </c>
      <c r="H610" s="6">
        <v>0</v>
      </c>
      <c r="I610" s="6" t="s">
        <v>63</v>
      </c>
      <c r="K610" s="6" t="str">
        <f t="shared" si="580"/>
        <v>301002</v>
      </c>
      <c r="L610" s="4">
        <v>11</v>
      </c>
      <c r="M610" s="6" t="s">
        <v>535</v>
      </c>
      <c r="O610" s="13" t="str">
        <f t="shared" si="605"/>
        <v>1.15</v>
      </c>
      <c r="P610" s="13" t="str">
        <f t="shared" si="607"/>
        <v>1.15</v>
      </c>
      <c r="Q610" s="13" t="str">
        <f t="shared" si="609"/>
        <v>1.15</v>
      </c>
      <c r="R610" s="13" t="str">
        <f>Q610</f>
        <v>1.15</v>
      </c>
      <c r="S610" s="13" t="str">
        <f>S609</f>
        <v>1.1</v>
      </c>
      <c r="T610" s="6" t="str">
        <f t="shared" si="582"/>
        <v>1|1.15#2|1.15#3|1.15#4|1.15#5|1.1</v>
      </c>
    </row>
    <row r="611" s="6" customFormat="1" ht="16.5" spans="1:20">
      <c r="A611" s="6">
        <v>1010617</v>
      </c>
      <c r="B611" s="6">
        <v>31002</v>
      </c>
      <c r="C611" s="6">
        <v>3</v>
      </c>
      <c r="D611" s="6">
        <v>5</v>
      </c>
      <c r="E611" s="6" t="str">
        <f t="shared" si="583"/>
        <v>301002:11</v>
      </c>
      <c r="F611" s="11" t="s">
        <v>377</v>
      </c>
      <c r="G611" s="6">
        <v>0</v>
      </c>
      <c r="H611" s="6">
        <v>0</v>
      </c>
      <c r="I611" s="6" t="s">
        <v>40</v>
      </c>
      <c r="K611" s="6" t="str">
        <f t="shared" si="580"/>
        <v>301002</v>
      </c>
      <c r="L611" s="4">
        <v>11</v>
      </c>
      <c r="M611" s="6" t="s">
        <v>536</v>
      </c>
      <c r="O611" s="13" t="str">
        <f t="shared" si="605"/>
        <v>1.15</v>
      </c>
      <c r="P611" s="13" t="str">
        <f t="shared" si="607"/>
        <v>1.15</v>
      </c>
      <c r="Q611" s="13" t="str">
        <f t="shared" si="609"/>
        <v>1.15</v>
      </c>
      <c r="R611" s="13" t="str">
        <f>Q611</f>
        <v>1.15</v>
      </c>
      <c r="S611" s="13" t="str">
        <f>R611</f>
        <v>1.15</v>
      </c>
      <c r="T611" s="6" t="str">
        <f t="shared" si="582"/>
        <v>1|1.15#2|1.15#3|1.15#4|1.15#5|1.15</v>
      </c>
    </row>
    <row r="612" s="6" customFormat="1" ht="16.5" spans="1:20">
      <c r="A612" s="6">
        <v>1010618</v>
      </c>
      <c r="B612" s="6">
        <v>31002</v>
      </c>
      <c r="C612" s="6">
        <v>3</v>
      </c>
      <c r="D612" s="6">
        <v>6</v>
      </c>
      <c r="E612" s="6" t="str">
        <f t="shared" si="583"/>
        <v>301002:30</v>
      </c>
      <c r="F612" s="11">
        <v>0</v>
      </c>
      <c r="G612" s="6">
        <v>11002</v>
      </c>
      <c r="H612" s="6" t="s">
        <v>407</v>
      </c>
      <c r="I612" s="6">
        <v>0</v>
      </c>
      <c r="K612" s="6" t="str">
        <f t="shared" si="580"/>
        <v>301002</v>
      </c>
      <c r="L612" s="13">
        <v>30</v>
      </c>
      <c r="M612" s="6" t="s">
        <v>533</v>
      </c>
      <c r="O612" s="13" t="str">
        <f t="shared" ref="O612:S612" si="610">O611</f>
        <v>1.15</v>
      </c>
      <c r="P612" s="13" t="str">
        <f t="shared" si="610"/>
        <v>1.15</v>
      </c>
      <c r="Q612" s="13" t="str">
        <f t="shared" si="610"/>
        <v>1.15</v>
      </c>
      <c r="R612" s="13" t="str">
        <f t="shared" si="610"/>
        <v>1.15</v>
      </c>
      <c r="S612" s="13" t="str">
        <f t="shared" si="610"/>
        <v>1.15</v>
      </c>
      <c r="T612" s="6" t="str">
        <f t="shared" si="582"/>
        <v>1|1.15#2|1.15#3|1.15#4|1.15#5|1.15</v>
      </c>
    </row>
    <row r="613" s="6" customFormat="1" ht="16.5" spans="1:20">
      <c r="A613" s="6">
        <v>1010619</v>
      </c>
      <c r="B613" s="6">
        <v>31002</v>
      </c>
      <c r="C613" s="6">
        <v>4</v>
      </c>
      <c r="D613" s="6">
        <v>0</v>
      </c>
      <c r="E613" s="6" t="str">
        <f t="shared" si="583"/>
        <v>301002:13</v>
      </c>
      <c r="F613" s="11" t="s">
        <v>379</v>
      </c>
      <c r="G613" s="6">
        <v>0</v>
      </c>
      <c r="H613" s="6">
        <v>0</v>
      </c>
      <c r="I613" s="6" t="s">
        <v>67</v>
      </c>
      <c r="K613" s="6" t="str">
        <f t="shared" si="580"/>
        <v>301002</v>
      </c>
      <c r="L613" s="4">
        <v>13</v>
      </c>
      <c r="M613" s="6" t="s">
        <v>537</v>
      </c>
      <c r="O613" s="15" t="str">
        <f>O612</f>
        <v>1.15</v>
      </c>
      <c r="P613" s="15" t="str">
        <f t="shared" ref="P613:S613" si="611">O613</f>
        <v>1.15</v>
      </c>
      <c r="Q613" s="15" t="str">
        <f t="shared" si="611"/>
        <v>1.15</v>
      </c>
      <c r="R613" s="15" t="str">
        <f>P613</f>
        <v>1.15</v>
      </c>
      <c r="S613" s="15" t="str">
        <f t="shared" si="611"/>
        <v>1.15</v>
      </c>
      <c r="T613" s="6" t="str">
        <f t="shared" si="582"/>
        <v>1|1.15#2|1.15#3|1.15#4|1.15#5|1.15</v>
      </c>
    </row>
    <row r="614" s="6" customFormat="1" ht="16.5" spans="1:20">
      <c r="A614" s="6">
        <v>1010620</v>
      </c>
      <c r="B614" s="6">
        <v>31002</v>
      </c>
      <c r="C614" s="6">
        <v>4</v>
      </c>
      <c r="D614" s="6">
        <v>1</v>
      </c>
      <c r="E614" s="6" t="str">
        <f t="shared" si="583"/>
        <v>301002:13</v>
      </c>
      <c r="F614" s="11" t="s">
        <v>381</v>
      </c>
      <c r="G614" s="6">
        <v>0</v>
      </c>
      <c r="H614" s="6">
        <v>0</v>
      </c>
      <c r="I614" s="6" t="s">
        <v>69</v>
      </c>
      <c r="K614" s="6" t="str">
        <f t="shared" si="580"/>
        <v>301002</v>
      </c>
      <c r="L614" s="4">
        <v>13</v>
      </c>
      <c r="M614" s="6" t="s">
        <v>537</v>
      </c>
      <c r="O614" s="13" t="str">
        <f t="shared" ref="O614:O618" si="612">RIGHT(F614,LEN(F614)-2)</f>
        <v>1.2</v>
      </c>
      <c r="P614" s="13" t="str">
        <f t="shared" ref="P614:S614" si="613">P613</f>
        <v>1.15</v>
      </c>
      <c r="Q614" s="13" t="str">
        <f t="shared" si="613"/>
        <v>1.15</v>
      </c>
      <c r="R614" s="13" t="str">
        <f t="shared" si="613"/>
        <v>1.15</v>
      </c>
      <c r="S614" s="13" t="str">
        <f t="shared" si="613"/>
        <v>1.15</v>
      </c>
      <c r="T614" s="6" t="str">
        <f t="shared" si="582"/>
        <v>1|1.2#2|1.15#3|1.15#4|1.15#5|1.15</v>
      </c>
    </row>
    <row r="615" s="6" customFormat="1" ht="16.5" spans="1:20">
      <c r="A615" s="6">
        <v>1010621</v>
      </c>
      <c r="B615" s="6">
        <v>31002</v>
      </c>
      <c r="C615" s="6">
        <v>4</v>
      </c>
      <c r="D615" s="6">
        <v>2</v>
      </c>
      <c r="E615" s="6" t="str">
        <f t="shared" si="583"/>
        <v>301002:13</v>
      </c>
      <c r="F615" s="11" t="s">
        <v>382</v>
      </c>
      <c r="G615" s="6">
        <v>0</v>
      </c>
      <c r="H615" s="6">
        <v>0</v>
      </c>
      <c r="I615" s="6" t="s">
        <v>71</v>
      </c>
      <c r="K615" s="6" t="str">
        <f t="shared" si="580"/>
        <v>301002</v>
      </c>
      <c r="L615" s="4">
        <v>13</v>
      </c>
      <c r="M615" s="6" t="s">
        <v>537</v>
      </c>
      <c r="O615" s="13" t="str">
        <f t="shared" si="612"/>
        <v>1.2</v>
      </c>
      <c r="P615" s="13" t="str">
        <f t="shared" ref="P615:P618" si="614">O615</f>
        <v>1.2</v>
      </c>
      <c r="Q615" s="13" t="str">
        <f t="shared" ref="Q615:S615" si="615">Q614</f>
        <v>1.15</v>
      </c>
      <c r="R615" s="13" t="str">
        <f t="shared" si="615"/>
        <v>1.15</v>
      </c>
      <c r="S615" s="13" t="str">
        <f t="shared" si="615"/>
        <v>1.15</v>
      </c>
      <c r="T615" s="6" t="str">
        <f t="shared" si="582"/>
        <v>1|1.2#2|1.2#3|1.15#4|1.15#5|1.15</v>
      </c>
    </row>
    <row r="616" s="6" customFormat="1" ht="16.5" spans="1:20">
      <c r="A616" s="6">
        <v>1010622</v>
      </c>
      <c r="B616" s="6">
        <v>31002</v>
      </c>
      <c r="C616" s="6">
        <v>4</v>
      </c>
      <c r="D616" s="6">
        <v>3</v>
      </c>
      <c r="E616" s="6" t="str">
        <f t="shared" si="583"/>
        <v>301002:17</v>
      </c>
      <c r="F616" s="11" t="s">
        <v>383</v>
      </c>
      <c r="G616" s="6">
        <v>0</v>
      </c>
      <c r="H616" s="6">
        <v>0</v>
      </c>
      <c r="I616" s="6" t="s">
        <v>73</v>
      </c>
      <c r="K616" s="6" t="str">
        <f t="shared" si="580"/>
        <v>301002</v>
      </c>
      <c r="L616" s="4">
        <v>17</v>
      </c>
      <c r="M616" s="6" t="s">
        <v>537</v>
      </c>
      <c r="O616" s="13" t="str">
        <f t="shared" si="612"/>
        <v>1.2</v>
      </c>
      <c r="P616" s="13" t="str">
        <f t="shared" si="614"/>
        <v>1.2</v>
      </c>
      <c r="Q616" s="13" t="str">
        <f t="shared" ref="Q616:Q618" si="616">P616</f>
        <v>1.2</v>
      </c>
      <c r="R616" s="13" t="str">
        <f>R615</f>
        <v>1.15</v>
      </c>
      <c r="S616" s="13" t="str">
        <f>S615</f>
        <v>1.15</v>
      </c>
      <c r="T616" s="6" t="str">
        <f t="shared" si="582"/>
        <v>1|1.2#2|1.2#3|1.2#4|1.15#5|1.15</v>
      </c>
    </row>
    <row r="617" s="6" customFormat="1" ht="16.5" spans="1:20">
      <c r="A617" s="6">
        <v>1010623</v>
      </c>
      <c r="B617" s="6">
        <v>31002</v>
      </c>
      <c r="C617" s="6">
        <v>4</v>
      </c>
      <c r="D617" s="6">
        <v>4</v>
      </c>
      <c r="E617" s="6" t="str">
        <f t="shared" si="583"/>
        <v>301002:17</v>
      </c>
      <c r="F617" s="11" t="s">
        <v>384</v>
      </c>
      <c r="G617" s="6">
        <v>0</v>
      </c>
      <c r="H617" s="6">
        <v>0</v>
      </c>
      <c r="I617" s="6" t="s">
        <v>75</v>
      </c>
      <c r="K617" s="6" t="str">
        <f t="shared" si="580"/>
        <v>301002</v>
      </c>
      <c r="L617" s="4">
        <v>17</v>
      </c>
      <c r="M617" s="6" t="s">
        <v>537</v>
      </c>
      <c r="O617" s="13" t="str">
        <f t="shared" si="612"/>
        <v>1.2</v>
      </c>
      <c r="P617" s="13" t="str">
        <f t="shared" si="614"/>
        <v>1.2</v>
      </c>
      <c r="Q617" s="13" t="str">
        <f t="shared" si="616"/>
        <v>1.2</v>
      </c>
      <c r="R617" s="13" t="str">
        <f>Q617</f>
        <v>1.2</v>
      </c>
      <c r="S617" s="13" t="str">
        <f>S616</f>
        <v>1.15</v>
      </c>
      <c r="T617" s="6" t="str">
        <f t="shared" si="582"/>
        <v>1|1.2#2|1.2#3|1.2#4|1.2#5|1.15</v>
      </c>
    </row>
    <row r="618" s="6" customFormat="1" ht="16.5" spans="1:20">
      <c r="A618" s="6">
        <v>1010624</v>
      </c>
      <c r="B618" s="6">
        <v>31002</v>
      </c>
      <c r="C618" s="6">
        <v>4</v>
      </c>
      <c r="D618" s="6">
        <v>5</v>
      </c>
      <c r="E618" s="6" t="str">
        <f t="shared" si="583"/>
        <v>301002:17</v>
      </c>
      <c r="F618" s="11" t="s">
        <v>385</v>
      </c>
      <c r="G618" s="6">
        <v>0</v>
      </c>
      <c r="H618" s="6">
        <v>0</v>
      </c>
      <c r="I618" s="6" t="s">
        <v>40</v>
      </c>
      <c r="K618" s="6" t="str">
        <f t="shared" si="580"/>
        <v>301002</v>
      </c>
      <c r="L618" s="4">
        <v>17</v>
      </c>
      <c r="M618" s="6" t="s">
        <v>245</v>
      </c>
      <c r="O618" s="13" t="str">
        <f t="shared" si="612"/>
        <v>1.2</v>
      </c>
      <c r="P618" s="13" t="str">
        <f t="shared" si="614"/>
        <v>1.2</v>
      </c>
      <c r="Q618" s="13" t="str">
        <f t="shared" si="616"/>
        <v>1.2</v>
      </c>
      <c r="R618" s="13" t="str">
        <f>Q618</f>
        <v>1.2</v>
      </c>
      <c r="S618" s="13" t="str">
        <f>R618</f>
        <v>1.2</v>
      </c>
      <c r="T618" s="6" t="str">
        <f t="shared" si="582"/>
        <v>1|1.2#2|1.2#3|1.2#4|1.2#5|1.2</v>
      </c>
    </row>
    <row r="619" s="6" customFormat="1" ht="16.5" spans="1:20">
      <c r="A619" s="6">
        <v>1010625</v>
      </c>
      <c r="B619" s="6">
        <v>31002</v>
      </c>
      <c r="C619" s="6">
        <v>4</v>
      </c>
      <c r="D619" s="6">
        <v>6</v>
      </c>
      <c r="E619" s="6" t="str">
        <f t="shared" si="583"/>
        <v>301002:60</v>
      </c>
      <c r="F619" s="11">
        <v>0</v>
      </c>
      <c r="G619" s="6">
        <v>11002</v>
      </c>
      <c r="H619" s="6" t="s">
        <v>407</v>
      </c>
      <c r="I619" s="6">
        <v>0</v>
      </c>
      <c r="K619" s="6" t="str">
        <f t="shared" si="580"/>
        <v>301002</v>
      </c>
      <c r="L619" s="13">
        <v>60</v>
      </c>
      <c r="M619" s="6" t="s">
        <v>533</v>
      </c>
      <c r="O619" s="13" t="str">
        <f t="shared" ref="O619:S619" si="617">O618</f>
        <v>1.2</v>
      </c>
      <c r="P619" s="13" t="str">
        <f t="shared" si="617"/>
        <v>1.2</v>
      </c>
      <c r="Q619" s="13" t="str">
        <f t="shared" si="617"/>
        <v>1.2</v>
      </c>
      <c r="R619" s="13" t="str">
        <f t="shared" si="617"/>
        <v>1.2</v>
      </c>
      <c r="S619" s="13" t="str">
        <f t="shared" si="617"/>
        <v>1.2</v>
      </c>
      <c r="T619" s="6" t="str">
        <f t="shared" si="582"/>
        <v>1|1.2#2|1.2#3|1.2#4|1.2#5|1.2</v>
      </c>
    </row>
    <row r="620" s="6" customFormat="1" ht="16.5" spans="1:20">
      <c r="A620" s="6">
        <v>1010626</v>
      </c>
      <c r="B620" s="6">
        <v>31002</v>
      </c>
      <c r="C620" s="6">
        <v>5</v>
      </c>
      <c r="D620" s="6">
        <v>0</v>
      </c>
      <c r="E620" s="6" t="str">
        <f t="shared" si="583"/>
        <v>301002:18</v>
      </c>
      <c r="F620" s="11" t="s">
        <v>386</v>
      </c>
      <c r="G620" s="6">
        <v>0</v>
      </c>
      <c r="H620" s="6">
        <v>0</v>
      </c>
      <c r="I620" s="6" t="s">
        <v>79</v>
      </c>
      <c r="K620" s="6" t="str">
        <f t="shared" si="580"/>
        <v>301002</v>
      </c>
      <c r="L620" s="4">
        <v>18</v>
      </c>
      <c r="M620" s="6" t="s">
        <v>538</v>
      </c>
      <c r="O620" s="15" t="str">
        <f>O619</f>
        <v>1.2</v>
      </c>
      <c r="P620" s="15" t="str">
        <f t="shared" ref="P620:S620" si="618">O620</f>
        <v>1.2</v>
      </c>
      <c r="Q620" s="15" t="str">
        <f t="shared" si="618"/>
        <v>1.2</v>
      </c>
      <c r="R620" s="15" t="str">
        <f>P620</f>
        <v>1.2</v>
      </c>
      <c r="S620" s="15" t="str">
        <f t="shared" si="618"/>
        <v>1.2</v>
      </c>
      <c r="T620" s="6" t="str">
        <f t="shared" si="582"/>
        <v>1|1.2#2|1.2#3|1.2#4|1.2#5|1.2</v>
      </c>
    </row>
    <row r="621" s="6" customFormat="1" ht="16.5" spans="1:20">
      <c r="A621" s="6">
        <v>1010627</v>
      </c>
      <c r="B621" s="6">
        <v>31002</v>
      </c>
      <c r="C621" s="6">
        <v>5</v>
      </c>
      <c r="D621" s="6">
        <v>1</v>
      </c>
      <c r="E621" s="6" t="str">
        <f t="shared" si="583"/>
        <v>301002:18</v>
      </c>
      <c r="F621" s="11" t="s">
        <v>388</v>
      </c>
      <c r="G621" s="6">
        <v>0</v>
      </c>
      <c r="H621" s="6">
        <v>0</v>
      </c>
      <c r="I621" s="6" t="s">
        <v>81</v>
      </c>
      <c r="K621" s="6" t="str">
        <f t="shared" si="580"/>
        <v>301002</v>
      </c>
      <c r="L621" s="4">
        <v>18</v>
      </c>
      <c r="M621" s="6" t="s">
        <v>538</v>
      </c>
      <c r="O621" s="13" t="str">
        <f t="shared" ref="O621:O625" si="619">RIGHT(F621,LEN(F621)-2)</f>
        <v>1.3</v>
      </c>
      <c r="P621" s="13" t="str">
        <f t="shared" ref="P621:S621" si="620">P620</f>
        <v>1.2</v>
      </c>
      <c r="Q621" s="13" t="str">
        <f t="shared" si="620"/>
        <v>1.2</v>
      </c>
      <c r="R621" s="13" t="str">
        <f t="shared" si="620"/>
        <v>1.2</v>
      </c>
      <c r="S621" s="13" t="str">
        <f t="shared" si="620"/>
        <v>1.2</v>
      </c>
      <c r="T621" s="6" t="str">
        <f t="shared" si="582"/>
        <v>1|1.3#2|1.2#3|1.2#4|1.2#5|1.2</v>
      </c>
    </row>
    <row r="622" s="6" customFormat="1" ht="16.5" spans="1:20">
      <c r="A622" s="6">
        <v>1010628</v>
      </c>
      <c r="B622" s="6">
        <v>31002</v>
      </c>
      <c r="C622" s="6">
        <v>5</v>
      </c>
      <c r="D622" s="6">
        <v>2</v>
      </c>
      <c r="E622" s="6" t="str">
        <f t="shared" si="583"/>
        <v>301002:18</v>
      </c>
      <c r="F622" s="11" t="s">
        <v>389</v>
      </c>
      <c r="G622" s="6">
        <v>0</v>
      </c>
      <c r="H622" s="6">
        <v>0</v>
      </c>
      <c r="I622" s="6" t="s">
        <v>83</v>
      </c>
      <c r="K622" s="6" t="str">
        <f t="shared" si="580"/>
        <v>301002</v>
      </c>
      <c r="L622" s="4">
        <v>18</v>
      </c>
      <c r="M622" s="6" t="s">
        <v>538</v>
      </c>
      <c r="O622" s="13" t="str">
        <f t="shared" si="619"/>
        <v>1.3</v>
      </c>
      <c r="P622" s="13" t="str">
        <f t="shared" ref="P622:P625" si="621">O622</f>
        <v>1.3</v>
      </c>
      <c r="Q622" s="13" t="str">
        <f t="shared" ref="Q622:S622" si="622">Q621</f>
        <v>1.2</v>
      </c>
      <c r="R622" s="13" t="str">
        <f t="shared" si="622"/>
        <v>1.2</v>
      </c>
      <c r="S622" s="13" t="str">
        <f t="shared" si="622"/>
        <v>1.2</v>
      </c>
      <c r="T622" s="6" t="str">
        <f t="shared" si="582"/>
        <v>1|1.3#2|1.3#3|1.2#4|1.2#5|1.2</v>
      </c>
    </row>
    <row r="623" s="6" customFormat="1" ht="16.5" spans="1:20">
      <c r="A623" s="6">
        <v>1010629</v>
      </c>
      <c r="B623" s="6">
        <v>31002</v>
      </c>
      <c r="C623" s="6">
        <v>5</v>
      </c>
      <c r="D623" s="6">
        <v>3</v>
      </c>
      <c r="E623" s="6" t="str">
        <f t="shared" si="583"/>
        <v>301002:22</v>
      </c>
      <c r="F623" s="11" t="s">
        <v>390</v>
      </c>
      <c r="G623" s="6">
        <v>0</v>
      </c>
      <c r="H623" s="6">
        <v>0</v>
      </c>
      <c r="I623" s="6" t="s">
        <v>85</v>
      </c>
      <c r="K623" s="6" t="str">
        <f t="shared" si="580"/>
        <v>301002</v>
      </c>
      <c r="L623" s="4">
        <v>22</v>
      </c>
      <c r="M623" s="6" t="s">
        <v>538</v>
      </c>
      <c r="O623" s="13" t="str">
        <f t="shared" si="619"/>
        <v>1.3</v>
      </c>
      <c r="P623" s="13" t="str">
        <f t="shared" si="621"/>
        <v>1.3</v>
      </c>
      <c r="Q623" s="13" t="str">
        <f t="shared" ref="Q623:Q625" si="623">P623</f>
        <v>1.3</v>
      </c>
      <c r="R623" s="13" t="str">
        <f>R622</f>
        <v>1.2</v>
      </c>
      <c r="S623" s="13" t="str">
        <f>S622</f>
        <v>1.2</v>
      </c>
      <c r="T623" s="6" t="str">
        <f t="shared" si="582"/>
        <v>1|1.3#2|1.3#3|1.3#4|1.2#5|1.2</v>
      </c>
    </row>
    <row r="624" s="6" customFormat="1" ht="16.5" spans="1:20">
      <c r="A624" s="6">
        <v>1010630</v>
      </c>
      <c r="B624" s="6">
        <v>31002</v>
      </c>
      <c r="C624" s="6">
        <v>5</v>
      </c>
      <c r="D624" s="6">
        <v>4</v>
      </c>
      <c r="E624" s="6" t="str">
        <f t="shared" si="583"/>
        <v>301002:22</v>
      </c>
      <c r="F624" s="11" t="s">
        <v>391</v>
      </c>
      <c r="G624" s="6">
        <v>0</v>
      </c>
      <c r="H624" s="6">
        <v>0</v>
      </c>
      <c r="I624" s="6" t="s">
        <v>87</v>
      </c>
      <c r="K624" s="6" t="str">
        <f t="shared" si="580"/>
        <v>301002</v>
      </c>
      <c r="L624" s="4">
        <v>22</v>
      </c>
      <c r="M624" s="6" t="s">
        <v>538</v>
      </c>
      <c r="O624" s="13" t="str">
        <f t="shared" si="619"/>
        <v>1.3</v>
      </c>
      <c r="P624" s="13" t="str">
        <f t="shared" si="621"/>
        <v>1.3</v>
      </c>
      <c r="Q624" s="13" t="str">
        <f t="shared" si="623"/>
        <v>1.3</v>
      </c>
      <c r="R624" s="13" t="str">
        <f>Q624</f>
        <v>1.3</v>
      </c>
      <c r="S624" s="13" t="str">
        <f>S623</f>
        <v>1.2</v>
      </c>
      <c r="T624" s="6" t="str">
        <f t="shared" si="582"/>
        <v>1|1.3#2|1.3#3|1.3#4|1.3#5|1.2</v>
      </c>
    </row>
    <row r="625" s="6" customFormat="1" ht="16.5" spans="1:20">
      <c r="A625" s="6">
        <v>1010631</v>
      </c>
      <c r="B625" s="6">
        <v>31002</v>
      </c>
      <c r="C625" s="6">
        <v>5</v>
      </c>
      <c r="D625" s="6">
        <v>5</v>
      </c>
      <c r="E625" s="6" t="str">
        <f t="shared" si="583"/>
        <v>301002:22</v>
      </c>
      <c r="F625" s="11" t="s">
        <v>392</v>
      </c>
      <c r="G625" s="6">
        <v>0</v>
      </c>
      <c r="H625" s="6">
        <v>0</v>
      </c>
      <c r="I625" s="6" t="s">
        <v>40</v>
      </c>
      <c r="K625" s="6" t="str">
        <f t="shared" si="580"/>
        <v>301002</v>
      </c>
      <c r="L625" s="4">
        <v>22</v>
      </c>
      <c r="M625" s="6" t="s">
        <v>539</v>
      </c>
      <c r="O625" s="13" t="str">
        <f t="shared" si="619"/>
        <v>1.3</v>
      </c>
      <c r="P625" s="13" t="str">
        <f t="shared" si="621"/>
        <v>1.3</v>
      </c>
      <c r="Q625" s="13" t="str">
        <f t="shared" si="623"/>
        <v>1.3</v>
      </c>
      <c r="R625" s="13" t="str">
        <f>Q625</f>
        <v>1.3</v>
      </c>
      <c r="S625" s="13" t="str">
        <f>R625</f>
        <v>1.3</v>
      </c>
      <c r="T625" s="6" t="str">
        <f t="shared" si="582"/>
        <v>1|1.3#2|1.3#3|1.3#4|1.3#5|1.3</v>
      </c>
    </row>
    <row r="626" s="6" customFormat="1" ht="16.5" spans="1:20">
      <c r="A626" s="6">
        <v>1010632</v>
      </c>
      <c r="B626" s="6">
        <v>31002</v>
      </c>
      <c r="C626" s="6">
        <v>5</v>
      </c>
      <c r="D626" s="6">
        <v>6</v>
      </c>
      <c r="E626" s="6" t="str">
        <f t="shared" si="583"/>
        <v>301002:60</v>
      </c>
      <c r="F626" s="11">
        <v>0</v>
      </c>
      <c r="G626" s="6">
        <v>11002</v>
      </c>
      <c r="H626" s="6" t="s">
        <v>407</v>
      </c>
      <c r="I626" s="6">
        <v>0</v>
      </c>
      <c r="K626" s="6" t="str">
        <f t="shared" si="580"/>
        <v>301002</v>
      </c>
      <c r="L626" s="13">
        <v>60</v>
      </c>
      <c r="M626" s="6" t="s">
        <v>533</v>
      </c>
      <c r="O626" s="13" t="str">
        <f t="shared" ref="O626:S626" si="624">O625</f>
        <v>1.3</v>
      </c>
      <c r="P626" s="13" t="str">
        <f t="shared" si="624"/>
        <v>1.3</v>
      </c>
      <c r="Q626" s="13" t="str">
        <f t="shared" si="624"/>
        <v>1.3</v>
      </c>
      <c r="R626" s="13" t="str">
        <f t="shared" si="624"/>
        <v>1.3</v>
      </c>
      <c r="S626" s="13" t="str">
        <f t="shared" si="624"/>
        <v>1.3</v>
      </c>
      <c r="T626" s="6" t="str">
        <f t="shared" si="582"/>
        <v>1|1.3#2|1.3#3|1.3#4|1.3#5|1.3</v>
      </c>
    </row>
    <row r="627" s="6" customFormat="1" ht="16.5" spans="1:20">
      <c r="A627" s="6">
        <v>1010633</v>
      </c>
      <c r="B627" s="6">
        <v>31002</v>
      </c>
      <c r="C627" s="6">
        <v>6</v>
      </c>
      <c r="D627" s="6">
        <v>0</v>
      </c>
      <c r="E627" s="6" t="str">
        <f t="shared" si="583"/>
        <v>301002:24</v>
      </c>
      <c r="F627" s="11" t="s">
        <v>394</v>
      </c>
      <c r="G627" s="6">
        <v>0</v>
      </c>
      <c r="H627" s="6">
        <v>0</v>
      </c>
      <c r="I627" s="6" t="s">
        <v>90</v>
      </c>
      <c r="K627" s="6" t="str">
        <f t="shared" si="580"/>
        <v>301002</v>
      </c>
      <c r="L627" s="4">
        <v>24</v>
      </c>
      <c r="M627" s="6" t="s">
        <v>540</v>
      </c>
      <c r="O627" s="15" t="str">
        <f>O626</f>
        <v>1.3</v>
      </c>
      <c r="P627" s="15" t="str">
        <f t="shared" ref="P627:S627" si="625">O627</f>
        <v>1.3</v>
      </c>
      <c r="Q627" s="15" t="str">
        <f t="shared" si="625"/>
        <v>1.3</v>
      </c>
      <c r="R627" s="15" t="str">
        <f>P627</f>
        <v>1.3</v>
      </c>
      <c r="S627" s="15" t="str">
        <f t="shared" si="625"/>
        <v>1.3</v>
      </c>
      <c r="T627" s="6" t="str">
        <f t="shared" si="582"/>
        <v>1|1.3#2|1.3#3|1.3#4|1.3#5|1.3</v>
      </c>
    </row>
    <row r="628" s="6" customFormat="1" ht="16.5" spans="1:20">
      <c r="A628" s="6">
        <v>1010634</v>
      </c>
      <c r="B628" s="6">
        <v>31002</v>
      </c>
      <c r="C628" s="6">
        <v>6</v>
      </c>
      <c r="D628" s="6">
        <v>1</v>
      </c>
      <c r="E628" s="6" t="str">
        <f t="shared" si="583"/>
        <v>301002:24</v>
      </c>
      <c r="F628" s="11" t="s">
        <v>396</v>
      </c>
      <c r="G628" s="6">
        <v>0</v>
      </c>
      <c r="H628" s="6">
        <v>0</v>
      </c>
      <c r="I628" s="6" t="s">
        <v>92</v>
      </c>
      <c r="K628" s="6" t="str">
        <f t="shared" si="580"/>
        <v>301002</v>
      </c>
      <c r="L628" s="4">
        <v>24</v>
      </c>
      <c r="M628" s="6" t="s">
        <v>540</v>
      </c>
      <c r="O628" s="13" t="str">
        <f t="shared" ref="O628:O632" si="626">RIGHT(F628,LEN(F628)-2)</f>
        <v>1.4</v>
      </c>
      <c r="P628" s="13" t="str">
        <f t="shared" ref="P628:S628" si="627">P627</f>
        <v>1.3</v>
      </c>
      <c r="Q628" s="13" t="str">
        <f t="shared" si="627"/>
        <v>1.3</v>
      </c>
      <c r="R628" s="13" t="str">
        <f t="shared" si="627"/>
        <v>1.3</v>
      </c>
      <c r="S628" s="13" t="str">
        <f t="shared" si="627"/>
        <v>1.3</v>
      </c>
      <c r="T628" s="6" t="str">
        <f t="shared" si="582"/>
        <v>1|1.4#2|1.3#3|1.3#4|1.3#5|1.3</v>
      </c>
    </row>
    <row r="629" s="6" customFormat="1" ht="16.5" spans="1:20">
      <c r="A629" s="6">
        <v>1010635</v>
      </c>
      <c r="B629" s="6">
        <v>31002</v>
      </c>
      <c r="C629" s="6">
        <v>6</v>
      </c>
      <c r="D629" s="6">
        <v>2</v>
      </c>
      <c r="E629" s="6" t="str">
        <f t="shared" si="583"/>
        <v>301002:24</v>
      </c>
      <c r="F629" s="11" t="s">
        <v>397</v>
      </c>
      <c r="G629" s="6">
        <v>0</v>
      </c>
      <c r="H629" s="6">
        <v>0</v>
      </c>
      <c r="I629" s="6" t="s">
        <v>94</v>
      </c>
      <c r="K629" s="6" t="str">
        <f t="shared" si="580"/>
        <v>301002</v>
      </c>
      <c r="L629" s="4">
        <v>24</v>
      </c>
      <c r="M629" s="6" t="s">
        <v>540</v>
      </c>
      <c r="O629" s="13" t="str">
        <f t="shared" si="626"/>
        <v>1.4</v>
      </c>
      <c r="P629" s="13" t="str">
        <f t="shared" ref="P629:P632" si="628">O629</f>
        <v>1.4</v>
      </c>
      <c r="Q629" s="13" t="str">
        <f t="shared" ref="Q629:S629" si="629">Q628</f>
        <v>1.3</v>
      </c>
      <c r="R629" s="13" t="str">
        <f t="shared" si="629"/>
        <v>1.3</v>
      </c>
      <c r="S629" s="13" t="str">
        <f t="shared" si="629"/>
        <v>1.3</v>
      </c>
      <c r="T629" s="6" t="str">
        <f t="shared" si="582"/>
        <v>1|1.4#2|1.4#3|1.3#4|1.3#5|1.3</v>
      </c>
    </row>
    <row r="630" s="6" customFormat="1" ht="16.5" spans="1:20">
      <c r="A630" s="6">
        <v>1010636</v>
      </c>
      <c r="B630" s="6">
        <v>31002</v>
      </c>
      <c r="C630" s="6">
        <v>6</v>
      </c>
      <c r="D630" s="6">
        <v>3</v>
      </c>
      <c r="E630" s="6" t="str">
        <f t="shared" si="583"/>
        <v>301002:24</v>
      </c>
      <c r="F630" s="11" t="s">
        <v>398</v>
      </c>
      <c r="G630" s="6">
        <v>0</v>
      </c>
      <c r="H630" s="6">
        <v>0</v>
      </c>
      <c r="I630" s="6" t="s">
        <v>96</v>
      </c>
      <c r="K630" s="6" t="str">
        <f t="shared" si="580"/>
        <v>301002</v>
      </c>
      <c r="L630" s="4">
        <v>24</v>
      </c>
      <c r="M630" s="6" t="s">
        <v>540</v>
      </c>
      <c r="O630" s="13" t="str">
        <f t="shared" si="626"/>
        <v>1.4</v>
      </c>
      <c r="P630" s="13" t="str">
        <f t="shared" si="628"/>
        <v>1.4</v>
      </c>
      <c r="Q630" s="13" t="str">
        <f t="shared" ref="Q630:Q632" si="630">P630</f>
        <v>1.4</v>
      </c>
      <c r="R630" s="13" t="str">
        <f>R629</f>
        <v>1.3</v>
      </c>
      <c r="S630" s="13" t="str">
        <f t="shared" ref="S630:S637" si="631">S629</f>
        <v>1.3</v>
      </c>
      <c r="T630" s="6" t="str">
        <f t="shared" si="582"/>
        <v>1|1.4#2|1.4#3|1.4#4|1.3#5|1.3</v>
      </c>
    </row>
    <row r="631" s="6" customFormat="1" ht="16.5" spans="1:20">
      <c r="A631" s="6">
        <v>1010637</v>
      </c>
      <c r="B631" s="6">
        <v>31002</v>
      </c>
      <c r="C631" s="6">
        <v>6</v>
      </c>
      <c r="D631" s="6">
        <v>4</v>
      </c>
      <c r="E631" s="6" t="str">
        <f t="shared" si="583"/>
        <v>301002:24</v>
      </c>
      <c r="F631" s="11" t="s">
        <v>399</v>
      </c>
      <c r="G631" s="6">
        <v>0</v>
      </c>
      <c r="H631" s="6">
        <v>0</v>
      </c>
      <c r="I631" s="6" t="s">
        <v>98</v>
      </c>
      <c r="K631" s="6" t="str">
        <f t="shared" si="580"/>
        <v>301002</v>
      </c>
      <c r="L631" s="4">
        <v>24</v>
      </c>
      <c r="M631" s="6" t="s">
        <v>540</v>
      </c>
      <c r="O631" s="13" t="str">
        <f t="shared" si="626"/>
        <v>1.4</v>
      </c>
      <c r="P631" s="13" t="str">
        <f t="shared" si="628"/>
        <v>1.4</v>
      </c>
      <c r="Q631" s="13" t="str">
        <f t="shared" si="630"/>
        <v>1.4</v>
      </c>
      <c r="R631" s="13" t="str">
        <f>Q631</f>
        <v>1.4</v>
      </c>
      <c r="S631" s="13" t="str">
        <f t="shared" si="631"/>
        <v>1.3</v>
      </c>
      <c r="T631" s="6" t="str">
        <f t="shared" si="582"/>
        <v>1|1.4#2|1.4#3|1.4#4|1.4#5|1.3</v>
      </c>
    </row>
    <row r="632" s="6" customFormat="1" ht="16.5" spans="1:20">
      <c r="A632" s="6">
        <v>1010638</v>
      </c>
      <c r="B632" s="6">
        <v>31002</v>
      </c>
      <c r="C632" s="6">
        <v>6</v>
      </c>
      <c r="D632" s="6">
        <v>5</v>
      </c>
      <c r="E632" s="6" t="str">
        <f t="shared" si="583"/>
        <v>301002:60</v>
      </c>
      <c r="F632" s="11" t="s">
        <v>400</v>
      </c>
      <c r="G632" s="6">
        <v>0</v>
      </c>
      <c r="H632" s="6">
        <v>0</v>
      </c>
      <c r="I632" s="6" t="s">
        <v>40</v>
      </c>
      <c r="K632" s="6" t="str">
        <f t="shared" si="580"/>
        <v>301002</v>
      </c>
      <c r="L632" s="4">
        <v>60</v>
      </c>
      <c r="M632" s="6" t="s">
        <v>539</v>
      </c>
      <c r="O632" s="13" t="str">
        <f t="shared" si="626"/>
        <v>1.4</v>
      </c>
      <c r="P632" s="13" t="str">
        <f t="shared" si="628"/>
        <v>1.4</v>
      </c>
      <c r="Q632" s="13" t="str">
        <f t="shared" si="630"/>
        <v>1.4</v>
      </c>
      <c r="R632" s="13" t="str">
        <f>Q632</f>
        <v>1.4</v>
      </c>
      <c r="S632" s="13" t="str">
        <f>R632</f>
        <v>1.4</v>
      </c>
      <c r="T632" s="6" t="str">
        <f t="shared" si="582"/>
        <v>1|1.4#2|1.4#3|1.4#4|1.4#5|1.4</v>
      </c>
    </row>
    <row r="633" s="6" customFormat="1" ht="16.5" spans="1:20">
      <c r="A633" s="6">
        <v>1010639</v>
      </c>
      <c r="B633" s="6">
        <v>31002</v>
      </c>
      <c r="C633" s="6">
        <v>6</v>
      </c>
      <c r="D633" s="6">
        <v>6</v>
      </c>
      <c r="E633" s="6" t="str">
        <f t="shared" si="583"/>
        <v>301002:0</v>
      </c>
      <c r="F633" s="11">
        <v>0</v>
      </c>
      <c r="G633" s="6">
        <v>11002</v>
      </c>
      <c r="H633" s="6" t="s">
        <v>407</v>
      </c>
      <c r="I633" s="6">
        <v>0</v>
      </c>
      <c r="K633" s="6" t="str">
        <f t="shared" si="580"/>
        <v>301002</v>
      </c>
      <c r="L633" s="4">
        <v>0</v>
      </c>
      <c r="M633" s="6" t="s">
        <v>533</v>
      </c>
      <c r="O633" s="13" t="str">
        <f t="shared" ref="O633:S633" si="632">O632</f>
        <v>1.4</v>
      </c>
      <c r="P633" s="13" t="str">
        <f t="shared" si="632"/>
        <v>1.4</v>
      </c>
      <c r="Q633" s="13" t="str">
        <f t="shared" si="632"/>
        <v>1.4</v>
      </c>
      <c r="R633" s="13" t="str">
        <f t="shared" si="632"/>
        <v>1.4</v>
      </c>
      <c r="S633" s="13" t="str">
        <f t="shared" si="632"/>
        <v>1.4</v>
      </c>
      <c r="T633" s="6" t="str">
        <f t="shared" si="582"/>
        <v>1|1.4#2|1.4#3|1.4#4|1.4#5|1.4</v>
      </c>
    </row>
    <row r="634" s="6" customFormat="1" ht="16.5" spans="1:20">
      <c r="A634" s="6">
        <v>1010640</v>
      </c>
      <c r="B634" s="6">
        <v>32001</v>
      </c>
      <c r="C634" s="6">
        <v>1</v>
      </c>
      <c r="D634" s="6">
        <v>0</v>
      </c>
      <c r="E634" s="6" t="str">
        <f t="shared" si="583"/>
        <v>302001:2</v>
      </c>
      <c r="F634" s="11" t="s">
        <v>356</v>
      </c>
      <c r="G634" s="6">
        <v>0</v>
      </c>
      <c r="H634" s="6">
        <v>0</v>
      </c>
      <c r="I634" s="6" t="s">
        <v>25</v>
      </c>
      <c r="K634" s="6" t="str">
        <f t="shared" si="580"/>
        <v>302001</v>
      </c>
      <c r="L634" s="4">
        <v>2</v>
      </c>
      <c r="M634" s="6" t="s">
        <v>541</v>
      </c>
      <c r="O634" s="13">
        <v>1</v>
      </c>
      <c r="P634" s="13">
        <f t="shared" ref="P634:S634" si="633">O634</f>
        <v>1</v>
      </c>
      <c r="Q634" s="13">
        <f t="shared" si="633"/>
        <v>1</v>
      </c>
      <c r="R634" s="13">
        <f>P634</f>
        <v>1</v>
      </c>
      <c r="S634" s="13">
        <f t="shared" si="633"/>
        <v>1</v>
      </c>
      <c r="T634" s="6" t="str">
        <f t="shared" si="582"/>
        <v>1|1#2|1#3|1#4|1#5|1</v>
      </c>
    </row>
    <row r="635" s="6" customFormat="1" ht="16.5" spans="1:20">
      <c r="A635" s="6">
        <v>1010641</v>
      </c>
      <c r="B635" s="6">
        <v>32001</v>
      </c>
      <c r="C635" s="6">
        <v>1</v>
      </c>
      <c r="D635" s="6">
        <v>1</v>
      </c>
      <c r="E635" s="6" t="str">
        <f t="shared" si="583"/>
        <v>302001:2</v>
      </c>
      <c r="F635" s="11" t="s">
        <v>358</v>
      </c>
      <c r="G635" s="6">
        <v>0</v>
      </c>
      <c r="H635" s="6">
        <v>0</v>
      </c>
      <c r="I635" s="6" t="s">
        <v>28</v>
      </c>
      <c r="K635" s="6" t="str">
        <f t="shared" si="580"/>
        <v>302001</v>
      </c>
      <c r="L635" s="4">
        <v>2</v>
      </c>
      <c r="M635" s="6" t="s">
        <v>541</v>
      </c>
      <c r="O635" s="13" t="str">
        <f t="shared" ref="O635:O639" si="634">RIGHT(F635,LEN(F635)-2)</f>
        <v>1.05</v>
      </c>
      <c r="P635" s="13">
        <v>1</v>
      </c>
      <c r="Q635" s="13">
        <f>Q634</f>
        <v>1</v>
      </c>
      <c r="R635" s="13">
        <f>R634</f>
        <v>1</v>
      </c>
      <c r="S635" s="13">
        <f t="shared" si="631"/>
        <v>1</v>
      </c>
      <c r="T635" s="6" t="str">
        <f t="shared" si="582"/>
        <v>1|1.05#2|1#3|1#4|1#5|1</v>
      </c>
    </row>
    <row r="636" s="6" customFormat="1" ht="16.5" spans="1:20">
      <c r="A636" s="6">
        <v>1010642</v>
      </c>
      <c r="B636" s="6">
        <v>32001</v>
      </c>
      <c r="C636" s="6">
        <v>1</v>
      </c>
      <c r="D636" s="6">
        <v>2</v>
      </c>
      <c r="E636" s="6" t="str">
        <f t="shared" si="583"/>
        <v>302001:2</v>
      </c>
      <c r="F636" s="11" t="s">
        <v>359</v>
      </c>
      <c r="G636" s="6">
        <v>0</v>
      </c>
      <c r="H636" s="6">
        <v>0</v>
      </c>
      <c r="I636" s="6" t="s">
        <v>31</v>
      </c>
      <c r="K636" s="6" t="str">
        <f t="shared" si="580"/>
        <v>302001</v>
      </c>
      <c r="L636" s="4">
        <v>2</v>
      </c>
      <c r="M636" s="6" t="s">
        <v>541</v>
      </c>
      <c r="O636" s="13" t="str">
        <f t="shared" si="634"/>
        <v>1.05</v>
      </c>
      <c r="P636" s="13" t="str">
        <f t="shared" ref="P636:P639" si="635">O636</f>
        <v>1.05</v>
      </c>
      <c r="Q636" s="13">
        <v>1</v>
      </c>
      <c r="R636" s="13">
        <f>R635</f>
        <v>1</v>
      </c>
      <c r="S636" s="13">
        <f t="shared" si="631"/>
        <v>1</v>
      </c>
      <c r="T636" s="6" t="str">
        <f t="shared" si="582"/>
        <v>1|1.05#2|1.05#3|1#4|1#5|1</v>
      </c>
    </row>
    <row r="637" s="6" customFormat="1" ht="16.5" spans="1:20">
      <c r="A637" s="6">
        <v>1010643</v>
      </c>
      <c r="B637" s="6">
        <v>32001</v>
      </c>
      <c r="C637" s="6">
        <v>1</v>
      </c>
      <c r="D637" s="6">
        <v>3</v>
      </c>
      <c r="E637" s="6" t="str">
        <f t="shared" si="583"/>
        <v>302001:3</v>
      </c>
      <c r="F637" s="11" t="s">
        <v>360</v>
      </c>
      <c r="G637" s="6">
        <v>0</v>
      </c>
      <c r="H637" s="6">
        <v>0</v>
      </c>
      <c r="I637" s="6" t="s">
        <v>34</v>
      </c>
      <c r="K637" s="6" t="str">
        <f t="shared" si="580"/>
        <v>302001</v>
      </c>
      <c r="L637" s="4">
        <v>3</v>
      </c>
      <c r="M637" s="6" t="s">
        <v>541</v>
      </c>
      <c r="O637" s="13" t="str">
        <f t="shared" si="634"/>
        <v>1.05</v>
      </c>
      <c r="P637" s="13" t="str">
        <f t="shared" si="635"/>
        <v>1.05</v>
      </c>
      <c r="Q637" s="13" t="str">
        <f t="shared" ref="Q637:Q639" si="636">P637</f>
        <v>1.05</v>
      </c>
      <c r="R637" s="13">
        <v>1</v>
      </c>
      <c r="S637" s="13">
        <f t="shared" si="631"/>
        <v>1</v>
      </c>
      <c r="T637" s="6" t="str">
        <f t="shared" si="582"/>
        <v>1|1.05#2|1.05#3|1.05#4|1#5|1</v>
      </c>
    </row>
    <row r="638" s="6" customFormat="1" ht="16.5" spans="1:20">
      <c r="A638" s="6">
        <v>1010644</v>
      </c>
      <c r="B638" s="6">
        <v>32001</v>
      </c>
      <c r="C638" s="6">
        <v>1</v>
      </c>
      <c r="D638" s="6">
        <v>4</v>
      </c>
      <c r="E638" s="6" t="str">
        <f t="shared" si="583"/>
        <v>302001:3</v>
      </c>
      <c r="F638" s="11" t="s">
        <v>361</v>
      </c>
      <c r="G638" s="6">
        <v>0</v>
      </c>
      <c r="H638" s="6">
        <v>0</v>
      </c>
      <c r="I638" s="6" t="s">
        <v>37</v>
      </c>
      <c r="K638" s="6" t="str">
        <f t="shared" si="580"/>
        <v>302001</v>
      </c>
      <c r="L638" s="4">
        <v>3</v>
      </c>
      <c r="M638" s="6" t="s">
        <v>541</v>
      </c>
      <c r="O638" s="13" t="str">
        <f t="shared" si="634"/>
        <v>1.05</v>
      </c>
      <c r="P638" s="13" t="str">
        <f t="shared" si="635"/>
        <v>1.05</v>
      </c>
      <c r="Q638" s="13" t="str">
        <f t="shared" si="636"/>
        <v>1.05</v>
      </c>
      <c r="R638" s="13" t="str">
        <f>Q638</f>
        <v>1.05</v>
      </c>
      <c r="S638" s="13">
        <v>1</v>
      </c>
      <c r="T638" s="6" t="str">
        <f t="shared" si="582"/>
        <v>1|1.05#2|1.05#3|1.05#4|1.05#5|1</v>
      </c>
    </row>
    <row r="639" s="6" customFormat="1" ht="16.5" spans="1:20">
      <c r="A639" s="6">
        <v>1010645</v>
      </c>
      <c r="B639" s="6">
        <v>32001</v>
      </c>
      <c r="C639" s="6">
        <v>1</v>
      </c>
      <c r="D639" s="6">
        <v>5</v>
      </c>
      <c r="E639" s="6" t="str">
        <f t="shared" si="583"/>
        <v>302001:3</v>
      </c>
      <c r="F639" s="11" t="s">
        <v>362</v>
      </c>
      <c r="G639" s="6">
        <v>0</v>
      </c>
      <c r="H639" s="6">
        <v>0</v>
      </c>
      <c r="I639" s="6" t="s">
        <v>40</v>
      </c>
      <c r="K639" s="6" t="str">
        <f t="shared" si="580"/>
        <v>302001</v>
      </c>
      <c r="L639" s="4">
        <v>3</v>
      </c>
      <c r="M639" s="6" t="s">
        <v>542</v>
      </c>
      <c r="O639" s="13" t="str">
        <f t="shared" si="634"/>
        <v>1.05</v>
      </c>
      <c r="P639" s="13" t="str">
        <f t="shared" si="635"/>
        <v>1.05</v>
      </c>
      <c r="Q639" s="13" t="str">
        <f t="shared" si="636"/>
        <v>1.05</v>
      </c>
      <c r="R639" s="13" t="str">
        <f>Q639</f>
        <v>1.05</v>
      </c>
      <c r="S639" s="13" t="str">
        <f>R639</f>
        <v>1.05</v>
      </c>
      <c r="T639" s="6" t="str">
        <f t="shared" si="582"/>
        <v>1|1.05#2|1.05#3|1.05#4|1.05#5|1.05</v>
      </c>
    </row>
    <row r="640" s="6" customFormat="1" ht="16.5" spans="1:20">
      <c r="A640" s="6">
        <v>1010646</v>
      </c>
      <c r="B640" s="6">
        <v>32001</v>
      </c>
      <c r="C640" s="6">
        <v>1</v>
      </c>
      <c r="D640" s="6">
        <v>6</v>
      </c>
      <c r="E640" s="6" t="str">
        <f t="shared" si="583"/>
        <v>302001:5</v>
      </c>
      <c r="F640" s="11">
        <v>0</v>
      </c>
      <c r="G640" s="6">
        <v>11002</v>
      </c>
      <c r="H640" s="6" t="s">
        <v>407</v>
      </c>
      <c r="I640" s="6">
        <v>0</v>
      </c>
      <c r="K640" s="6" t="str">
        <f t="shared" si="580"/>
        <v>302001</v>
      </c>
      <c r="L640" s="13">
        <v>5</v>
      </c>
      <c r="M640" s="6" t="s">
        <v>543</v>
      </c>
      <c r="O640" s="13" t="str">
        <f t="shared" ref="O640:S640" si="637">O639</f>
        <v>1.05</v>
      </c>
      <c r="P640" s="13" t="str">
        <f t="shared" si="637"/>
        <v>1.05</v>
      </c>
      <c r="Q640" s="13" t="str">
        <f t="shared" si="637"/>
        <v>1.05</v>
      </c>
      <c r="R640" s="13" t="str">
        <f t="shared" si="637"/>
        <v>1.05</v>
      </c>
      <c r="S640" s="13" t="str">
        <f t="shared" si="637"/>
        <v>1.05</v>
      </c>
      <c r="T640" s="6" t="str">
        <f t="shared" si="582"/>
        <v>1|1.05#2|1.05#3|1.05#4|1.05#5|1.05</v>
      </c>
    </row>
    <row r="641" s="6" customFormat="1" ht="16.5" spans="1:20">
      <c r="A641" s="6">
        <v>1010647</v>
      </c>
      <c r="B641" s="6">
        <v>32001</v>
      </c>
      <c r="C641" s="6">
        <v>2</v>
      </c>
      <c r="D641" s="6">
        <v>0</v>
      </c>
      <c r="E641" s="6" t="str">
        <f t="shared" si="583"/>
        <v>302001:5</v>
      </c>
      <c r="F641" s="11" t="s">
        <v>364</v>
      </c>
      <c r="G641" s="6">
        <v>0</v>
      </c>
      <c r="H641" s="6">
        <v>0</v>
      </c>
      <c r="I641" s="6" t="s">
        <v>43</v>
      </c>
      <c r="K641" s="6" t="str">
        <f t="shared" si="580"/>
        <v>302001</v>
      </c>
      <c r="L641" s="4">
        <v>5</v>
      </c>
      <c r="M641" s="6" t="s">
        <v>544</v>
      </c>
      <c r="O641" s="15" t="str">
        <f>O640</f>
        <v>1.05</v>
      </c>
      <c r="P641" s="15" t="str">
        <f t="shared" ref="P641:S641" si="638">O641</f>
        <v>1.05</v>
      </c>
      <c r="Q641" s="15" t="str">
        <f t="shared" si="638"/>
        <v>1.05</v>
      </c>
      <c r="R641" s="15" t="str">
        <f>P641</f>
        <v>1.05</v>
      </c>
      <c r="S641" s="15" t="str">
        <f t="shared" si="638"/>
        <v>1.05</v>
      </c>
      <c r="T641" s="6" t="str">
        <f t="shared" si="582"/>
        <v>1|1.05#2|1.05#3|1.05#4|1.05#5|1.05</v>
      </c>
    </row>
    <row r="642" s="6" customFormat="1" ht="16.5" spans="1:20">
      <c r="A642" s="6">
        <v>1010648</v>
      </c>
      <c r="B642" s="6">
        <v>32001</v>
      </c>
      <c r="C642" s="6">
        <v>2</v>
      </c>
      <c r="D642" s="6">
        <v>1</v>
      </c>
      <c r="E642" s="6" t="str">
        <f t="shared" si="583"/>
        <v>302001:5</v>
      </c>
      <c r="F642" s="11" t="s">
        <v>366</v>
      </c>
      <c r="G642" s="6">
        <v>0</v>
      </c>
      <c r="H642" s="6">
        <v>0</v>
      </c>
      <c r="I642" s="6" t="s">
        <v>45</v>
      </c>
      <c r="K642" s="6" t="str">
        <f t="shared" si="580"/>
        <v>302001</v>
      </c>
      <c r="L642" s="4">
        <v>5</v>
      </c>
      <c r="M642" s="6" t="s">
        <v>544</v>
      </c>
      <c r="O642" s="13" t="str">
        <f t="shared" ref="O642:O646" si="639">RIGHT(F642,LEN(F642)-2)</f>
        <v>1.1</v>
      </c>
      <c r="P642" s="13">
        <v>1.05</v>
      </c>
      <c r="Q642" s="13" t="str">
        <f t="shared" ref="Q642:S642" si="640">Q641</f>
        <v>1.05</v>
      </c>
      <c r="R642" s="13" t="str">
        <f t="shared" si="640"/>
        <v>1.05</v>
      </c>
      <c r="S642" s="13" t="str">
        <f t="shared" si="640"/>
        <v>1.05</v>
      </c>
      <c r="T642" s="6" t="str">
        <f t="shared" si="582"/>
        <v>1|1.1#2|1.05#3|1.05#4|1.05#5|1.05</v>
      </c>
    </row>
    <row r="643" s="6" customFormat="1" ht="16.5" spans="1:20">
      <c r="A643" s="6">
        <v>1010649</v>
      </c>
      <c r="B643" s="6">
        <v>32001</v>
      </c>
      <c r="C643" s="6">
        <v>2</v>
      </c>
      <c r="D643" s="6">
        <v>2</v>
      </c>
      <c r="E643" s="6" t="str">
        <f t="shared" si="583"/>
        <v>302001:5</v>
      </c>
      <c r="F643" s="11" t="s">
        <v>367</v>
      </c>
      <c r="G643" s="6">
        <v>0</v>
      </c>
      <c r="H643" s="6">
        <v>0</v>
      </c>
      <c r="I643" s="6" t="s">
        <v>47</v>
      </c>
      <c r="K643" s="6" t="str">
        <f t="shared" si="580"/>
        <v>302001</v>
      </c>
      <c r="L643" s="4">
        <v>5</v>
      </c>
      <c r="M643" s="6" t="s">
        <v>544</v>
      </c>
      <c r="O643" s="13" t="str">
        <f t="shared" si="639"/>
        <v>1.1</v>
      </c>
      <c r="P643" s="13" t="str">
        <f t="shared" ref="P643:P646" si="641">O643</f>
        <v>1.1</v>
      </c>
      <c r="Q643" s="13">
        <v>1.05</v>
      </c>
      <c r="R643" s="13" t="str">
        <f>R642</f>
        <v>1.05</v>
      </c>
      <c r="S643" s="13" t="str">
        <f>S642</f>
        <v>1.05</v>
      </c>
      <c r="T643" s="6" t="str">
        <f t="shared" si="582"/>
        <v>1|1.1#2|1.1#3|1.05#4|1.05#5|1.05</v>
      </c>
    </row>
    <row r="644" s="6" customFormat="1" ht="16.5" spans="1:20">
      <c r="A644" s="6">
        <v>1010650</v>
      </c>
      <c r="B644" s="6">
        <v>32001</v>
      </c>
      <c r="C644" s="6">
        <v>2</v>
      </c>
      <c r="D644" s="6">
        <v>3</v>
      </c>
      <c r="E644" s="6" t="str">
        <f t="shared" si="583"/>
        <v>302001:6</v>
      </c>
      <c r="F644" s="11" t="s">
        <v>368</v>
      </c>
      <c r="G644" s="6">
        <v>0</v>
      </c>
      <c r="H644" s="6">
        <v>0</v>
      </c>
      <c r="I644" s="6" t="s">
        <v>49</v>
      </c>
      <c r="K644" s="6" t="str">
        <f t="shared" si="580"/>
        <v>302001</v>
      </c>
      <c r="L644" s="4">
        <v>6</v>
      </c>
      <c r="M644" s="6" t="s">
        <v>544</v>
      </c>
      <c r="O644" s="13" t="str">
        <f t="shared" si="639"/>
        <v>1.1</v>
      </c>
      <c r="P644" s="13" t="str">
        <f t="shared" si="641"/>
        <v>1.1</v>
      </c>
      <c r="Q644" s="13" t="str">
        <f t="shared" ref="Q644:Q646" si="642">P644</f>
        <v>1.1</v>
      </c>
      <c r="R644" s="13">
        <v>1.05</v>
      </c>
      <c r="S644" s="13" t="str">
        <f>S643</f>
        <v>1.05</v>
      </c>
      <c r="T644" s="6" t="str">
        <f t="shared" si="582"/>
        <v>1|1.1#2|1.1#3|1.1#4|1.05#5|1.05</v>
      </c>
    </row>
    <row r="645" s="6" customFormat="1" ht="16.5" spans="1:20">
      <c r="A645" s="6">
        <v>1010651</v>
      </c>
      <c r="B645" s="6">
        <v>32001</v>
      </c>
      <c r="C645" s="6">
        <v>2</v>
      </c>
      <c r="D645" s="6">
        <v>4</v>
      </c>
      <c r="E645" s="6" t="str">
        <f t="shared" si="583"/>
        <v>302001:6</v>
      </c>
      <c r="F645" s="11" t="s">
        <v>369</v>
      </c>
      <c r="G645" s="6">
        <v>0</v>
      </c>
      <c r="H645" s="6">
        <v>0</v>
      </c>
      <c r="I645" s="6" t="s">
        <v>51</v>
      </c>
      <c r="K645" s="6" t="str">
        <f t="shared" ref="K645:K708" si="643">LEFT(M645,6)</f>
        <v>302001</v>
      </c>
      <c r="L645" s="4">
        <v>6</v>
      </c>
      <c r="M645" s="6" t="s">
        <v>544</v>
      </c>
      <c r="O645" s="13" t="str">
        <f t="shared" si="639"/>
        <v>1.1</v>
      </c>
      <c r="P645" s="13" t="str">
        <f t="shared" si="641"/>
        <v>1.1</v>
      </c>
      <c r="Q645" s="13" t="str">
        <f t="shared" si="642"/>
        <v>1.1</v>
      </c>
      <c r="R645" s="13" t="str">
        <f>Q645</f>
        <v>1.1</v>
      </c>
      <c r="S645" s="13">
        <v>1.05</v>
      </c>
      <c r="T645" s="6" t="str">
        <f t="shared" ref="T645:T708" si="644">$O$2&amp;$P$3&amp;O645&amp;$O$1&amp;$P$2&amp;$P$3&amp;P645&amp;$O$1&amp;$Q$2&amp;$P$3&amp;Q645&amp;$O$1&amp;$R$2&amp;$P$3&amp;R645&amp;$O$1&amp;$S$2&amp;$P$3&amp;S645</f>
        <v>1|1.1#2|1.1#3|1.1#4|1.1#5|1.05</v>
      </c>
    </row>
    <row r="646" s="6" customFormat="1" ht="16.5" spans="1:20">
      <c r="A646" s="6">
        <v>1010652</v>
      </c>
      <c r="B646" s="6">
        <v>32001</v>
      </c>
      <c r="C646" s="6">
        <v>2</v>
      </c>
      <c r="D646" s="6">
        <v>5</v>
      </c>
      <c r="E646" s="6" t="str">
        <f t="shared" ref="E646:E709" si="645">K646&amp;$K$3&amp;L646</f>
        <v>302001:6</v>
      </c>
      <c r="F646" s="11" t="s">
        <v>370</v>
      </c>
      <c r="G646" s="6">
        <v>0</v>
      </c>
      <c r="H646" s="6">
        <v>0</v>
      </c>
      <c r="I646" s="6" t="s">
        <v>40</v>
      </c>
      <c r="K646" s="6" t="str">
        <f t="shared" si="643"/>
        <v>302001</v>
      </c>
      <c r="L646" s="4">
        <v>6</v>
      </c>
      <c r="M646" s="6" t="s">
        <v>254</v>
      </c>
      <c r="O646" s="13" t="str">
        <f t="shared" si="639"/>
        <v>1.1</v>
      </c>
      <c r="P646" s="13" t="str">
        <f t="shared" si="641"/>
        <v>1.1</v>
      </c>
      <c r="Q646" s="13" t="str">
        <f t="shared" si="642"/>
        <v>1.1</v>
      </c>
      <c r="R646" s="13" t="str">
        <f>Q646</f>
        <v>1.1</v>
      </c>
      <c r="S646" s="13" t="str">
        <f>R646</f>
        <v>1.1</v>
      </c>
      <c r="T646" s="6" t="str">
        <f t="shared" si="644"/>
        <v>1|1.1#2|1.1#3|1.1#4|1.1#5|1.1</v>
      </c>
    </row>
    <row r="647" s="6" customFormat="1" ht="16.5" spans="1:20">
      <c r="A647" s="6">
        <v>1010653</v>
      </c>
      <c r="B647" s="6">
        <v>32001</v>
      </c>
      <c r="C647" s="6">
        <v>2</v>
      </c>
      <c r="D647" s="6">
        <v>6</v>
      </c>
      <c r="E647" s="6" t="str">
        <f t="shared" si="645"/>
        <v>302001:7</v>
      </c>
      <c r="F647" s="11">
        <v>0</v>
      </c>
      <c r="G647" s="6">
        <v>11002</v>
      </c>
      <c r="H647" s="6" t="s">
        <v>407</v>
      </c>
      <c r="I647" s="6">
        <v>0</v>
      </c>
      <c r="K647" s="6" t="str">
        <f t="shared" si="643"/>
        <v>302001</v>
      </c>
      <c r="L647" s="13">
        <v>7</v>
      </c>
      <c r="M647" s="6" t="s">
        <v>543</v>
      </c>
      <c r="O647" s="13" t="str">
        <f t="shared" ref="O647:S647" si="646">O646</f>
        <v>1.1</v>
      </c>
      <c r="P647" s="13" t="str">
        <f t="shared" si="646"/>
        <v>1.1</v>
      </c>
      <c r="Q647" s="13" t="str">
        <f t="shared" si="646"/>
        <v>1.1</v>
      </c>
      <c r="R647" s="13" t="str">
        <f t="shared" si="646"/>
        <v>1.1</v>
      </c>
      <c r="S647" s="13" t="str">
        <f t="shared" si="646"/>
        <v>1.1</v>
      </c>
      <c r="T647" s="6" t="str">
        <f t="shared" si="644"/>
        <v>1|1.1#2|1.1#3|1.1#4|1.1#5|1.1</v>
      </c>
    </row>
    <row r="648" s="6" customFormat="1" ht="16.5" spans="1:20">
      <c r="A648" s="6">
        <v>1010654</v>
      </c>
      <c r="B648" s="6">
        <v>32001</v>
      </c>
      <c r="C648" s="6">
        <v>3</v>
      </c>
      <c r="D648" s="6">
        <v>0</v>
      </c>
      <c r="E648" s="6" t="str">
        <f t="shared" si="645"/>
        <v>302001:9</v>
      </c>
      <c r="F648" s="11" t="s">
        <v>371</v>
      </c>
      <c r="G648" s="6">
        <v>0</v>
      </c>
      <c r="H648" s="6">
        <v>0</v>
      </c>
      <c r="I648" s="6" t="s">
        <v>55</v>
      </c>
      <c r="K648" s="6" t="str">
        <f t="shared" si="643"/>
        <v>302001</v>
      </c>
      <c r="L648" s="4">
        <v>9</v>
      </c>
      <c r="M648" s="6" t="s">
        <v>545</v>
      </c>
      <c r="O648" s="15" t="str">
        <f>O647</f>
        <v>1.1</v>
      </c>
      <c r="P648" s="15" t="str">
        <f t="shared" ref="P648:S648" si="647">O648</f>
        <v>1.1</v>
      </c>
      <c r="Q648" s="15" t="str">
        <f t="shared" si="647"/>
        <v>1.1</v>
      </c>
      <c r="R648" s="15" t="str">
        <f>P648</f>
        <v>1.1</v>
      </c>
      <c r="S648" s="15" t="str">
        <f t="shared" si="647"/>
        <v>1.1</v>
      </c>
      <c r="T648" s="6" t="str">
        <f t="shared" si="644"/>
        <v>1|1.1#2|1.1#3|1.1#4|1.1#5|1.1</v>
      </c>
    </row>
    <row r="649" s="6" customFormat="1" ht="16.5" spans="1:20">
      <c r="A649" s="6">
        <v>1010655</v>
      </c>
      <c r="B649" s="6">
        <v>32001</v>
      </c>
      <c r="C649" s="6">
        <v>3</v>
      </c>
      <c r="D649" s="6">
        <v>1</v>
      </c>
      <c r="E649" s="6" t="str">
        <f t="shared" si="645"/>
        <v>302001:9</v>
      </c>
      <c r="F649" s="11" t="s">
        <v>373</v>
      </c>
      <c r="G649" s="6">
        <v>0</v>
      </c>
      <c r="H649" s="6">
        <v>0</v>
      </c>
      <c r="I649" s="6" t="s">
        <v>57</v>
      </c>
      <c r="K649" s="6" t="str">
        <f t="shared" si="643"/>
        <v>302001</v>
      </c>
      <c r="L649" s="4">
        <v>9</v>
      </c>
      <c r="M649" s="6" t="s">
        <v>545</v>
      </c>
      <c r="O649" s="13" t="str">
        <f t="shared" ref="O649:O653" si="648">RIGHT(F649,LEN(F649)-2)</f>
        <v>1.15</v>
      </c>
      <c r="P649" s="13" t="str">
        <f t="shared" ref="P649:S649" si="649">P648</f>
        <v>1.1</v>
      </c>
      <c r="Q649" s="13" t="str">
        <f t="shared" si="649"/>
        <v>1.1</v>
      </c>
      <c r="R649" s="13" t="str">
        <f t="shared" si="649"/>
        <v>1.1</v>
      </c>
      <c r="S649" s="13" t="str">
        <f t="shared" si="649"/>
        <v>1.1</v>
      </c>
      <c r="T649" s="6" t="str">
        <f t="shared" si="644"/>
        <v>1|1.15#2|1.1#3|1.1#4|1.1#5|1.1</v>
      </c>
    </row>
    <row r="650" s="6" customFormat="1" ht="16.5" spans="1:20">
      <c r="A650" s="6">
        <v>1010656</v>
      </c>
      <c r="B650" s="6">
        <v>32001</v>
      </c>
      <c r="C650" s="6">
        <v>3</v>
      </c>
      <c r="D650" s="6">
        <v>2</v>
      </c>
      <c r="E650" s="6" t="str">
        <f t="shared" si="645"/>
        <v>302001:9</v>
      </c>
      <c r="F650" s="11" t="s">
        <v>374</v>
      </c>
      <c r="G650" s="6">
        <v>0</v>
      </c>
      <c r="H650" s="6">
        <v>0</v>
      </c>
      <c r="I650" s="6" t="s">
        <v>59</v>
      </c>
      <c r="K650" s="6" t="str">
        <f t="shared" si="643"/>
        <v>302001</v>
      </c>
      <c r="L650" s="4">
        <v>9</v>
      </c>
      <c r="M650" s="6" t="s">
        <v>545</v>
      </c>
      <c r="O650" s="13" t="str">
        <f t="shared" si="648"/>
        <v>1.15</v>
      </c>
      <c r="P650" s="13" t="str">
        <f t="shared" ref="P650:P653" si="650">O650</f>
        <v>1.15</v>
      </c>
      <c r="Q650" s="13" t="str">
        <f t="shared" ref="Q650:S650" si="651">Q649</f>
        <v>1.1</v>
      </c>
      <c r="R650" s="13" t="str">
        <f t="shared" si="651"/>
        <v>1.1</v>
      </c>
      <c r="S650" s="13" t="str">
        <f t="shared" si="651"/>
        <v>1.1</v>
      </c>
      <c r="T650" s="6" t="str">
        <f t="shared" si="644"/>
        <v>1|1.15#2|1.15#3|1.1#4|1.1#5|1.1</v>
      </c>
    </row>
    <row r="651" s="6" customFormat="1" ht="16.5" spans="1:20">
      <c r="A651" s="6">
        <v>1010657</v>
      </c>
      <c r="B651" s="6">
        <v>32001</v>
      </c>
      <c r="C651" s="6">
        <v>3</v>
      </c>
      <c r="D651" s="6">
        <v>3</v>
      </c>
      <c r="E651" s="6" t="str">
        <f t="shared" si="645"/>
        <v>302001:11</v>
      </c>
      <c r="F651" s="11" t="s">
        <v>375</v>
      </c>
      <c r="G651" s="6">
        <v>0</v>
      </c>
      <c r="H651" s="6">
        <v>0</v>
      </c>
      <c r="I651" s="6" t="s">
        <v>61</v>
      </c>
      <c r="K651" s="6" t="str">
        <f t="shared" si="643"/>
        <v>302001</v>
      </c>
      <c r="L651" s="4">
        <v>11</v>
      </c>
      <c r="M651" s="6" t="s">
        <v>545</v>
      </c>
      <c r="O651" s="13" t="str">
        <f t="shared" si="648"/>
        <v>1.15</v>
      </c>
      <c r="P651" s="13" t="str">
        <f t="shared" si="650"/>
        <v>1.15</v>
      </c>
      <c r="Q651" s="13" t="str">
        <f t="shared" ref="Q651:Q653" si="652">P651</f>
        <v>1.15</v>
      </c>
      <c r="R651" s="13" t="str">
        <f>R650</f>
        <v>1.1</v>
      </c>
      <c r="S651" s="13" t="str">
        <f>S650</f>
        <v>1.1</v>
      </c>
      <c r="T651" s="6" t="str">
        <f t="shared" si="644"/>
        <v>1|1.15#2|1.15#3|1.15#4|1.1#5|1.1</v>
      </c>
    </row>
    <row r="652" s="6" customFormat="1" ht="16.5" spans="1:20">
      <c r="A652" s="6">
        <v>1010658</v>
      </c>
      <c r="B652" s="6">
        <v>32001</v>
      </c>
      <c r="C652" s="6">
        <v>3</v>
      </c>
      <c r="D652" s="6">
        <v>4</v>
      </c>
      <c r="E652" s="6" t="str">
        <f t="shared" si="645"/>
        <v>302001:11</v>
      </c>
      <c r="F652" s="11" t="s">
        <v>376</v>
      </c>
      <c r="G652" s="6">
        <v>0</v>
      </c>
      <c r="H652" s="6">
        <v>0</v>
      </c>
      <c r="I652" s="6" t="s">
        <v>63</v>
      </c>
      <c r="K652" s="6" t="str">
        <f t="shared" si="643"/>
        <v>302001</v>
      </c>
      <c r="L652" s="4">
        <v>11</v>
      </c>
      <c r="M652" s="6" t="s">
        <v>545</v>
      </c>
      <c r="O652" s="13" t="str">
        <f t="shared" si="648"/>
        <v>1.15</v>
      </c>
      <c r="P652" s="13" t="str">
        <f t="shared" si="650"/>
        <v>1.15</v>
      </c>
      <c r="Q652" s="13" t="str">
        <f t="shared" si="652"/>
        <v>1.15</v>
      </c>
      <c r="R652" s="13" t="str">
        <f>Q652</f>
        <v>1.15</v>
      </c>
      <c r="S652" s="13" t="str">
        <f>S651</f>
        <v>1.1</v>
      </c>
      <c r="T652" s="6" t="str">
        <f t="shared" si="644"/>
        <v>1|1.15#2|1.15#3|1.15#4|1.15#5|1.1</v>
      </c>
    </row>
    <row r="653" s="6" customFormat="1" ht="16.5" spans="1:20">
      <c r="A653" s="6">
        <v>1010659</v>
      </c>
      <c r="B653" s="6">
        <v>32001</v>
      </c>
      <c r="C653" s="6">
        <v>3</v>
      </c>
      <c r="D653" s="6">
        <v>5</v>
      </c>
      <c r="E653" s="6" t="str">
        <f t="shared" si="645"/>
        <v>302001:11</v>
      </c>
      <c r="F653" s="11" t="s">
        <v>377</v>
      </c>
      <c r="G653" s="6">
        <v>0</v>
      </c>
      <c r="H653" s="6">
        <v>0</v>
      </c>
      <c r="I653" s="6" t="s">
        <v>40</v>
      </c>
      <c r="K653" s="6" t="str">
        <f t="shared" si="643"/>
        <v>302001</v>
      </c>
      <c r="L653" s="4">
        <v>11</v>
      </c>
      <c r="M653" s="6" t="s">
        <v>546</v>
      </c>
      <c r="O653" s="13" t="str">
        <f t="shared" si="648"/>
        <v>1.15</v>
      </c>
      <c r="P653" s="13" t="str">
        <f t="shared" si="650"/>
        <v>1.15</v>
      </c>
      <c r="Q653" s="13" t="str">
        <f t="shared" si="652"/>
        <v>1.15</v>
      </c>
      <c r="R653" s="13" t="str">
        <f>Q653</f>
        <v>1.15</v>
      </c>
      <c r="S653" s="13" t="str">
        <f>R653</f>
        <v>1.15</v>
      </c>
      <c r="T653" s="6" t="str">
        <f t="shared" si="644"/>
        <v>1|1.15#2|1.15#3|1.15#4|1.15#5|1.15</v>
      </c>
    </row>
    <row r="654" s="6" customFormat="1" ht="16.5" spans="1:20">
      <c r="A654" s="6">
        <v>1010660</v>
      </c>
      <c r="B654" s="6">
        <v>32001</v>
      </c>
      <c r="C654" s="6">
        <v>3</v>
      </c>
      <c r="D654" s="6">
        <v>6</v>
      </c>
      <c r="E654" s="6" t="str">
        <f t="shared" si="645"/>
        <v>302001:30</v>
      </c>
      <c r="F654" s="11">
        <v>0</v>
      </c>
      <c r="G654" s="6">
        <v>11002</v>
      </c>
      <c r="H654" s="6" t="s">
        <v>407</v>
      </c>
      <c r="I654" s="6">
        <v>0</v>
      </c>
      <c r="K654" s="6" t="str">
        <f t="shared" si="643"/>
        <v>302001</v>
      </c>
      <c r="L654" s="13">
        <v>30</v>
      </c>
      <c r="M654" s="6" t="s">
        <v>543</v>
      </c>
      <c r="O654" s="13" t="str">
        <f t="shared" ref="O654:S654" si="653">O653</f>
        <v>1.15</v>
      </c>
      <c r="P654" s="13" t="str">
        <f t="shared" si="653"/>
        <v>1.15</v>
      </c>
      <c r="Q654" s="13" t="str">
        <f t="shared" si="653"/>
        <v>1.15</v>
      </c>
      <c r="R654" s="13" t="str">
        <f t="shared" si="653"/>
        <v>1.15</v>
      </c>
      <c r="S654" s="13" t="str">
        <f t="shared" si="653"/>
        <v>1.15</v>
      </c>
      <c r="T654" s="6" t="str">
        <f t="shared" si="644"/>
        <v>1|1.15#2|1.15#3|1.15#4|1.15#5|1.15</v>
      </c>
    </row>
    <row r="655" s="6" customFormat="1" ht="16.5" spans="1:20">
      <c r="A655" s="6">
        <v>1010661</v>
      </c>
      <c r="B655" s="6">
        <v>32001</v>
      </c>
      <c r="C655" s="6">
        <v>4</v>
      </c>
      <c r="D655" s="6">
        <v>0</v>
      </c>
      <c r="E655" s="6" t="str">
        <f t="shared" si="645"/>
        <v>302001:13</v>
      </c>
      <c r="F655" s="11" t="s">
        <v>379</v>
      </c>
      <c r="G655" s="6">
        <v>0</v>
      </c>
      <c r="H655" s="6">
        <v>0</v>
      </c>
      <c r="I655" s="6" t="s">
        <v>67</v>
      </c>
      <c r="K655" s="6" t="str">
        <f t="shared" si="643"/>
        <v>302001</v>
      </c>
      <c r="L655" s="4">
        <v>13</v>
      </c>
      <c r="M655" s="6" t="s">
        <v>547</v>
      </c>
      <c r="O655" s="15" t="str">
        <f>O654</f>
        <v>1.15</v>
      </c>
      <c r="P655" s="15" t="str">
        <f t="shared" ref="P655:S655" si="654">O655</f>
        <v>1.15</v>
      </c>
      <c r="Q655" s="15" t="str">
        <f t="shared" si="654"/>
        <v>1.15</v>
      </c>
      <c r="R655" s="15" t="str">
        <f>P655</f>
        <v>1.15</v>
      </c>
      <c r="S655" s="15" t="str">
        <f t="shared" si="654"/>
        <v>1.15</v>
      </c>
      <c r="T655" s="6" t="str">
        <f t="shared" si="644"/>
        <v>1|1.15#2|1.15#3|1.15#4|1.15#5|1.15</v>
      </c>
    </row>
    <row r="656" s="6" customFormat="1" ht="16.5" spans="1:20">
      <c r="A656" s="6">
        <v>1010662</v>
      </c>
      <c r="B656" s="6">
        <v>32001</v>
      </c>
      <c r="C656" s="6">
        <v>4</v>
      </c>
      <c r="D656" s="6">
        <v>1</v>
      </c>
      <c r="E656" s="6" t="str">
        <f t="shared" si="645"/>
        <v>302001:13</v>
      </c>
      <c r="F656" s="11" t="s">
        <v>381</v>
      </c>
      <c r="G656" s="6">
        <v>0</v>
      </c>
      <c r="H656" s="6">
        <v>0</v>
      </c>
      <c r="I656" s="6" t="s">
        <v>69</v>
      </c>
      <c r="K656" s="6" t="str">
        <f t="shared" si="643"/>
        <v>302001</v>
      </c>
      <c r="L656" s="4">
        <v>13</v>
      </c>
      <c r="M656" s="6" t="s">
        <v>547</v>
      </c>
      <c r="O656" s="13" t="str">
        <f t="shared" ref="O656:O660" si="655">RIGHT(F656,LEN(F656)-2)</f>
        <v>1.2</v>
      </c>
      <c r="P656" s="13" t="str">
        <f t="shared" ref="P656:S656" si="656">P655</f>
        <v>1.15</v>
      </c>
      <c r="Q656" s="13" t="str">
        <f t="shared" si="656"/>
        <v>1.15</v>
      </c>
      <c r="R656" s="13" t="str">
        <f t="shared" si="656"/>
        <v>1.15</v>
      </c>
      <c r="S656" s="13" t="str">
        <f t="shared" si="656"/>
        <v>1.15</v>
      </c>
      <c r="T656" s="6" t="str">
        <f t="shared" si="644"/>
        <v>1|1.2#2|1.15#3|1.15#4|1.15#5|1.15</v>
      </c>
    </row>
    <row r="657" s="6" customFormat="1" ht="16.5" spans="1:20">
      <c r="A657" s="6">
        <v>1010663</v>
      </c>
      <c r="B657" s="6">
        <v>32001</v>
      </c>
      <c r="C657" s="6">
        <v>4</v>
      </c>
      <c r="D657" s="6">
        <v>2</v>
      </c>
      <c r="E657" s="6" t="str">
        <f t="shared" si="645"/>
        <v>302001:13</v>
      </c>
      <c r="F657" s="11" t="s">
        <v>382</v>
      </c>
      <c r="G657" s="6">
        <v>0</v>
      </c>
      <c r="H657" s="6">
        <v>0</v>
      </c>
      <c r="I657" s="6" t="s">
        <v>71</v>
      </c>
      <c r="K657" s="6" t="str">
        <f t="shared" si="643"/>
        <v>302001</v>
      </c>
      <c r="L657" s="4">
        <v>13</v>
      </c>
      <c r="M657" s="6" t="s">
        <v>547</v>
      </c>
      <c r="O657" s="13" t="str">
        <f t="shared" si="655"/>
        <v>1.2</v>
      </c>
      <c r="P657" s="13" t="str">
        <f t="shared" ref="P657:P660" si="657">O657</f>
        <v>1.2</v>
      </c>
      <c r="Q657" s="13" t="str">
        <f t="shared" ref="Q657:S657" si="658">Q656</f>
        <v>1.15</v>
      </c>
      <c r="R657" s="13" t="str">
        <f t="shared" si="658"/>
        <v>1.15</v>
      </c>
      <c r="S657" s="13" t="str">
        <f t="shared" si="658"/>
        <v>1.15</v>
      </c>
      <c r="T657" s="6" t="str">
        <f t="shared" si="644"/>
        <v>1|1.2#2|1.2#3|1.15#4|1.15#5|1.15</v>
      </c>
    </row>
    <row r="658" s="6" customFormat="1" ht="16.5" spans="1:20">
      <c r="A658" s="6">
        <v>1010664</v>
      </c>
      <c r="B658" s="6">
        <v>32001</v>
      </c>
      <c r="C658" s="6">
        <v>4</v>
      </c>
      <c r="D658" s="6">
        <v>3</v>
      </c>
      <c r="E658" s="6" t="str">
        <f t="shared" si="645"/>
        <v>302001:17</v>
      </c>
      <c r="F658" s="11" t="s">
        <v>383</v>
      </c>
      <c r="G658" s="6">
        <v>0</v>
      </c>
      <c r="H658" s="6">
        <v>0</v>
      </c>
      <c r="I658" s="6" t="s">
        <v>73</v>
      </c>
      <c r="K658" s="6" t="str">
        <f t="shared" si="643"/>
        <v>302001</v>
      </c>
      <c r="L658" s="4">
        <v>17</v>
      </c>
      <c r="M658" s="6" t="s">
        <v>547</v>
      </c>
      <c r="O658" s="13" t="str">
        <f t="shared" si="655"/>
        <v>1.2</v>
      </c>
      <c r="P658" s="13" t="str">
        <f t="shared" si="657"/>
        <v>1.2</v>
      </c>
      <c r="Q658" s="13" t="str">
        <f t="shared" ref="Q658:Q660" si="659">P658</f>
        <v>1.2</v>
      </c>
      <c r="R658" s="13" t="str">
        <f>R657</f>
        <v>1.15</v>
      </c>
      <c r="S658" s="13" t="str">
        <f>S657</f>
        <v>1.15</v>
      </c>
      <c r="T658" s="6" t="str">
        <f t="shared" si="644"/>
        <v>1|1.2#2|1.2#3|1.2#4|1.15#5|1.15</v>
      </c>
    </row>
    <row r="659" s="6" customFormat="1" ht="16.5" spans="1:20">
      <c r="A659" s="6">
        <v>1010665</v>
      </c>
      <c r="B659" s="6">
        <v>32001</v>
      </c>
      <c r="C659" s="6">
        <v>4</v>
      </c>
      <c r="D659" s="6">
        <v>4</v>
      </c>
      <c r="E659" s="6" t="str">
        <f t="shared" si="645"/>
        <v>302001:17</v>
      </c>
      <c r="F659" s="11" t="s">
        <v>384</v>
      </c>
      <c r="G659" s="6">
        <v>0</v>
      </c>
      <c r="H659" s="6">
        <v>0</v>
      </c>
      <c r="I659" s="6" t="s">
        <v>75</v>
      </c>
      <c r="K659" s="6" t="str">
        <f t="shared" si="643"/>
        <v>302001</v>
      </c>
      <c r="L659" s="4">
        <v>17</v>
      </c>
      <c r="M659" s="6" t="s">
        <v>547</v>
      </c>
      <c r="O659" s="13" t="str">
        <f t="shared" si="655"/>
        <v>1.2</v>
      </c>
      <c r="P659" s="13" t="str">
        <f t="shared" si="657"/>
        <v>1.2</v>
      </c>
      <c r="Q659" s="13" t="str">
        <f t="shared" si="659"/>
        <v>1.2</v>
      </c>
      <c r="R659" s="13" t="str">
        <f>Q659</f>
        <v>1.2</v>
      </c>
      <c r="S659" s="13" t="str">
        <f>S658</f>
        <v>1.15</v>
      </c>
      <c r="T659" s="6" t="str">
        <f t="shared" si="644"/>
        <v>1|1.2#2|1.2#3|1.2#4|1.2#5|1.15</v>
      </c>
    </row>
    <row r="660" s="6" customFormat="1" ht="16.5" spans="1:20">
      <c r="A660" s="6">
        <v>1010666</v>
      </c>
      <c r="B660" s="6">
        <v>32001</v>
      </c>
      <c r="C660" s="6">
        <v>4</v>
      </c>
      <c r="D660" s="6">
        <v>5</v>
      </c>
      <c r="E660" s="6" t="str">
        <f t="shared" si="645"/>
        <v>302001:17</v>
      </c>
      <c r="F660" s="11" t="s">
        <v>385</v>
      </c>
      <c r="G660" s="6">
        <v>0</v>
      </c>
      <c r="H660" s="6">
        <v>0</v>
      </c>
      <c r="I660" s="6" t="s">
        <v>40</v>
      </c>
      <c r="K660" s="6" t="str">
        <f t="shared" si="643"/>
        <v>302001</v>
      </c>
      <c r="L660" s="4">
        <v>17</v>
      </c>
      <c r="M660" s="6" t="s">
        <v>256</v>
      </c>
      <c r="O660" s="13" t="str">
        <f t="shared" si="655"/>
        <v>1.2</v>
      </c>
      <c r="P660" s="13" t="str">
        <f t="shared" si="657"/>
        <v>1.2</v>
      </c>
      <c r="Q660" s="13" t="str">
        <f t="shared" si="659"/>
        <v>1.2</v>
      </c>
      <c r="R660" s="13" t="str">
        <f>Q660</f>
        <v>1.2</v>
      </c>
      <c r="S660" s="13" t="str">
        <f>R660</f>
        <v>1.2</v>
      </c>
      <c r="T660" s="6" t="str">
        <f t="shared" si="644"/>
        <v>1|1.2#2|1.2#3|1.2#4|1.2#5|1.2</v>
      </c>
    </row>
    <row r="661" s="6" customFormat="1" ht="16.5" spans="1:20">
      <c r="A661" s="6">
        <v>1010667</v>
      </c>
      <c r="B661" s="6">
        <v>32001</v>
      </c>
      <c r="C661" s="6">
        <v>4</v>
      </c>
      <c r="D661" s="6">
        <v>6</v>
      </c>
      <c r="E661" s="6" t="str">
        <f t="shared" si="645"/>
        <v>302001:60</v>
      </c>
      <c r="F661" s="11">
        <v>0</v>
      </c>
      <c r="G661" s="6">
        <v>11002</v>
      </c>
      <c r="H661" s="6" t="s">
        <v>407</v>
      </c>
      <c r="I661" s="6">
        <v>0</v>
      </c>
      <c r="K661" s="6" t="str">
        <f t="shared" si="643"/>
        <v>302001</v>
      </c>
      <c r="L661" s="13">
        <v>60</v>
      </c>
      <c r="M661" s="6" t="s">
        <v>543</v>
      </c>
      <c r="O661" s="13" t="str">
        <f t="shared" ref="O661:S661" si="660">O660</f>
        <v>1.2</v>
      </c>
      <c r="P661" s="13" t="str">
        <f t="shared" si="660"/>
        <v>1.2</v>
      </c>
      <c r="Q661" s="13" t="str">
        <f t="shared" si="660"/>
        <v>1.2</v>
      </c>
      <c r="R661" s="13" t="str">
        <f t="shared" si="660"/>
        <v>1.2</v>
      </c>
      <c r="S661" s="13" t="str">
        <f t="shared" si="660"/>
        <v>1.2</v>
      </c>
      <c r="T661" s="6" t="str">
        <f t="shared" si="644"/>
        <v>1|1.2#2|1.2#3|1.2#4|1.2#5|1.2</v>
      </c>
    </row>
    <row r="662" s="6" customFormat="1" ht="16.5" spans="1:20">
      <c r="A662" s="6">
        <v>1010668</v>
      </c>
      <c r="B662" s="6">
        <v>32001</v>
      </c>
      <c r="C662" s="6">
        <v>5</v>
      </c>
      <c r="D662" s="6">
        <v>0</v>
      </c>
      <c r="E662" s="6" t="str">
        <f t="shared" si="645"/>
        <v>302001:18</v>
      </c>
      <c r="F662" s="11" t="s">
        <v>386</v>
      </c>
      <c r="G662" s="6">
        <v>0</v>
      </c>
      <c r="H662" s="6">
        <v>0</v>
      </c>
      <c r="I662" s="6" t="s">
        <v>79</v>
      </c>
      <c r="K662" s="6" t="str">
        <f t="shared" si="643"/>
        <v>302001</v>
      </c>
      <c r="L662" s="4">
        <v>18</v>
      </c>
      <c r="M662" s="6" t="s">
        <v>548</v>
      </c>
      <c r="O662" s="15" t="str">
        <f>O661</f>
        <v>1.2</v>
      </c>
      <c r="P662" s="15" t="str">
        <f t="shared" ref="P662:S662" si="661">O662</f>
        <v>1.2</v>
      </c>
      <c r="Q662" s="15" t="str">
        <f t="shared" si="661"/>
        <v>1.2</v>
      </c>
      <c r="R662" s="15" t="str">
        <f>P662</f>
        <v>1.2</v>
      </c>
      <c r="S662" s="15" t="str">
        <f t="shared" si="661"/>
        <v>1.2</v>
      </c>
      <c r="T662" s="6" t="str">
        <f t="shared" si="644"/>
        <v>1|1.2#2|1.2#3|1.2#4|1.2#5|1.2</v>
      </c>
    </row>
    <row r="663" s="6" customFormat="1" ht="16.5" spans="1:20">
      <c r="A663" s="6">
        <v>1010669</v>
      </c>
      <c r="B663" s="6">
        <v>32001</v>
      </c>
      <c r="C663" s="6">
        <v>5</v>
      </c>
      <c r="D663" s="6">
        <v>1</v>
      </c>
      <c r="E663" s="6" t="str">
        <f t="shared" si="645"/>
        <v>302001:18</v>
      </c>
      <c r="F663" s="11" t="s">
        <v>388</v>
      </c>
      <c r="G663" s="6">
        <v>0</v>
      </c>
      <c r="H663" s="6">
        <v>0</v>
      </c>
      <c r="I663" s="6" t="s">
        <v>81</v>
      </c>
      <c r="K663" s="6" t="str">
        <f t="shared" si="643"/>
        <v>302001</v>
      </c>
      <c r="L663" s="4">
        <v>18</v>
      </c>
      <c r="M663" s="6" t="s">
        <v>548</v>
      </c>
      <c r="O663" s="13" t="str">
        <f t="shared" ref="O663:O667" si="662">RIGHT(F663,LEN(F663)-2)</f>
        <v>1.3</v>
      </c>
      <c r="P663" s="13" t="str">
        <f t="shared" ref="P663:S663" si="663">P662</f>
        <v>1.2</v>
      </c>
      <c r="Q663" s="13" t="str">
        <f t="shared" si="663"/>
        <v>1.2</v>
      </c>
      <c r="R663" s="13" t="str">
        <f t="shared" si="663"/>
        <v>1.2</v>
      </c>
      <c r="S663" s="13" t="str">
        <f t="shared" si="663"/>
        <v>1.2</v>
      </c>
      <c r="T663" s="6" t="str">
        <f t="shared" si="644"/>
        <v>1|1.3#2|1.2#3|1.2#4|1.2#5|1.2</v>
      </c>
    </row>
    <row r="664" s="6" customFormat="1" ht="16.5" spans="1:20">
      <c r="A664" s="6">
        <v>1010670</v>
      </c>
      <c r="B664" s="6">
        <v>32001</v>
      </c>
      <c r="C664" s="6">
        <v>5</v>
      </c>
      <c r="D664" s="6">
        <v>2</v>
      </c>
      <c r="E664" s="6" t="str">
        <f t="shared" si="645"/>
        <v>302001:18</v>
      </c>
      <c r="F664" s="11" t="s">
        <v>389</v>
      </c>
      <c r="G664" s="6">
        <v>0</v>
      </c>
      <c r="H664" s="6">
        <v>0</v>
      </c>
      <c r="I664" s="6" t="s">
        <v>83</v>
      </c>
      <c r="K664" s="6" t="str">
        <f t="shared" si="643"/>
        <v>302001</v>
      </c>
      <c r="L664" s="4">
        <v>18</v>
      </c>
      <c r="M664" s="6" t="s">
        <v>548</v>
      </c>
      <c r="O664" s="13" t="str">
        <f t="shared" si="662"/>
        <v>1.3</v>
      </c>
      <c r="P664" s="13" t="str">
        <f t="shared" ref="P664:P667" si="664">O664</f>
        <v>1.3</v>
      </c>
      <c r="Q664" s="13" t="str">
        <f t="shared" ref="Q664:S664" si="665">Q663</f>
        <v>1.2</v>
      </c>
      <c r="R664" s="13" t="str">
        <f t="shared" si="665"/>
        <v>1.2</v>
      </c>
      <c r="S664" s="13" t="str">
        <f t="shared" si="665"/>
        <v>1.2</v>
      </c>
      <c r="T664" s="6" t="str">
        <f t="shared" si="644"/>
        <v>1|1.3#2|1.3#3|1.2#4|1.2#5|1.2</v>
      </c>
    </row>
    <row r="665" s="6" customFormat="1" ht="16.5" spans="1:20">
      <c r="A665" s="6">
        <v>1010671</v>
      </c>
      <c r="B665" s="6">
        <v>32001</v>
      </c>
      <c r="C665" s="6">
        <v>5</v>
      </c>
      <c r="D665" s="6">
        <v>3</v>
      </c>
      <c r="E665" s="6" t="str">
        <f t="shared" si="645"/>
        <v>302001:22</v>
      </c>
      <c r="F665" s="11" t="s">
        <v>390</v>
      </c>
      <c r="G665" s="6">
        <v>0</v>
      </c>
      <c r="H665" s="6">
        <v>0</v>
      </c>
      <c r="I665" s="6" t="s">
        <v>85</v>
      </c>
      <c r="K665" s="6" t="str">
        <f t="shared" si="643"/>
        <v>302001</v>
      </c>
      <c r="L665" s="4">
        <v>22</v>
      </c>
      <c r="M665" s="6" t="s">
        <v>548</v>
      </c>
      <c r="O665" s="13" t="str">
        <f t="shared" si="662"/>
        <v>1.3</v>
      </c>
      <c r="P665" s="13" t="str">
        <f t="shared" si="664"/>
        <v>1.3</v>
      </c>
      <c r="Q665" s="13" t="str">
        <f t="shared" ref="Q665:Q667" si="666">P665</f>
        <v>1.3</v>
      </c>
      <c r="R665" s="13" t="str">
        <f>R664</f>
        <v>1.2</v>
      </c>
      <c r="S665" s="13" t="str">
        <f>S664</f>
        <v>1.2</v>
      </c>
      <c r="T665" s="6" t="str">
        <f t="shared" si="644"/>
        <v>1|1.3#2|1.3#3|1.3#4|1.2#5|1.2</v>
      </c>
    </row>
    <row r="666" s="6" customFormat="1" ht="16.5" spans="1:20">
      <c r="A666" s="6">
        <v>1010672</v>
      </c>
      <c r="B666" s="6">
        <v>32001</v>
      </c>
      <c r="C666" s="6">
        <v>5</v>
      </c>
      <c r="D666" s="6">
        <v>4</v>
      </c>
      <c r="E666" s="6" t="str">
        <f t="shared" si="645"/>
        <v>302001:22</v>
      </c>
      <c r="F666" s="11" t="s">
        <v>391</v>
      </c>
      <c r="G666" s="6">
        <v>0</v>
      </c>
      <c r="H666" s="6">
        <v>0</v>
      </c>
      <c r="I666" s="6" t="s">
        <v>87</v>
      </c>
      <c r="K666" s="6" t="str">
        <f t="shared" si="643"/>
        <v>302001</v>
      </c>
      <c r="L666" s="4">
        <v>22</v>
      </c>
      <c r="M666" s="6" t="s">
        <v>548</v>
      </c>
      <c r="O666" s="13" t="str">
        <f t="shared" si="662"/>
        <v>1.3</v>
      </c>
      <c r="P666" s="13" t="str">
        <f t="shared" si="664"/>
        <v>1.3</v>
      </c>
      <c r="Q666" s="13" t="str">
        <f t="shared" si="666"/>
        <v>1.3</v>
      </c>
      <c r="R666" s="13" t="str">
        <f>Q666</f>
        <v>1.3</v>
      </c>
      <c r="S666" s="13" t="str">
        <f>S665</f>
        <v>1.2</v>
      </c>
      <c r="T666" s="6" t="str">
        <f t="shared" si="644"/>
        <v>1|1.3#2|1.3#3|1.3#4|1.3#5|1.2</v>
      </c>
    </row>
    <row r="667" s="6" customFormat="1" ht="16.5" spans="1:20">
      <c r="A667" s="6">
        <v>1010673</v>
      </c>
      <c r="B667" s="6">
        <v>32001</v>
      </c>
      <c r="C667" s="6">
        <v>5</v>
      </c>
      <c r="D667" s="6">
        <v>5</v>
      </c>
      <c r="E667" s="6" t="str">
        <f t="shared" si="645"/>
        <v>302001:22</v>
      </c>
      <c r="F667" s="11" t="s">
        <v>392</v>
      </c>
      <c r="G667" s="6">
        <v>0</v>
      </c>
      <c r="H667" s="6">
        <v>0</v>
      </c>
      <c r="I667" s="6" t="s">
        <v>40</v>
      </c>
      <c r="K667" s="6" t="str">
        <f t="shared" si="643"/>
        <v>302001</v>
      </c>
      <c r="L667" s="4">
        <v>22</v>
      </c>
      <c r="M667" s="6" t="s">
        <v>549</v>
      </c>
      <c r="O667" s="13" t="str">
        <f t="shared" si="662"/>
        <v>1.3</v>
      </c>
      <c r="P667" s="13" t="str">
        <f t="shared" si="664"/>
        <v>1.3</v>
      </c>
      <c r="Q667" s="13" t="str">
        <f t="shared" si="666"/>
        <v>1.3</v>
      </c>
      <c r="R667" s="13" t="str">
        <f>Q667</f>
        <v>1.3</v>
      </c>
      <c r="S667" s="13" t="str">
        <f>R667</f>
        <v>1.3</v>
      </c>
      <c r="T667" s="6" t="str">
        <f t="shared" si="644"/>
        <v>1|1.3#2|1.3#3|1.3#4|1.3#5|1.3</v>
      </c>
    </row>
    <row r="668" s="6" customFormat="1" ht="16.5" spans="1:20">
      <c r="A668" s="6">
        <v>1010674</v>
      </c>
      <c r="B668" s="6">
        <v>32001</v>
      </c>
      <c r="C668" s="6">
        <v>5</v>
      </c>
      <c r="D668" s="6">
        <v>6</v>
      </c>
      <c r="E668" s="6" t="str">
        <f t="shared" si="645"/>
        <v>302001:60</v>
      </c>
      <c r="F668" s="11">
        <v>0</v>
      </c>
      <c r="G668" s="6">
        <v>11002</v>
      </c>
      <c r="H668" s="6" t="s">
        <v>407</v>
      </c>
      <c r="I668" s="6">
        <v>0</v>
      </c>
      <c r="K668" s="6" t="str">
        <f t="shared" si="643"/>
        <v>302001</v>
      </c>
      <c r="L668" s="13">
        <v>60</v>
      </c>
      <c r="M668" s="6" t="s">
        <v>543</v>
      </c>
      <c r="O668" s="13" t="str">
        <f t="shared" ref="O668:S668" si="667">O667</f>
        <v>1.3</v>
      </c>
      <c r="P668" s="13" t="str">
        <f t="shared" si="667"/>
        <v>1.3</v>
      </c>
      <c r="Q668" s="13" t="str">
        <f t="shared" si="667"/>
        <v>1.3</v>
      </c>
      <c r="R668" s="13" t="str">
        <f t="shared" si="667"/>
        <v>1.3</v>
      </c>
      <c r="S668" s="13" t="str">
        <f t="shared" si="667"/>
        <v>1.3</v>
      </c>
      <c r="T668" s="6" t="str">
        <f t="shared" si="644"/>
        <v>1|1.3#2|1.3#3|1.3#4|1.3#5|1.3</v>
      </c>
    </row>
    <row r="669" s="6" customFormat="1" ht="16.5" spans="1:20">
      <c r="A669" s="6">
        <v>1010675</v>
      </c>
      <c r="B669" s="6">
        <v>32001</v>
      </c>
      <c r="C669" s="6">
        <v>6</v>
      </c>
      <c r="D669" s="6">
        <v>0</v>
      </c>
      <c r="E669" s="6" t="str">
        <f t="shared" si="645"/>
        <v>302001:24</v>
      </c>
      <c r="F669" s="11" t="s">
        <v>394</v>
      </c>
      <c r="G669" s="6">
        <v>0</v>
      </c>
      <c r="H669" s="6">
        <v>0</v>
      </c>
      <c r="I669" s="6" t="s">
        <v>90</v>
      </c>
      <c r="K669" s="6" t="str">
        <f t="shared" si="643"/>
        <v>302001</v>
      </c>
      <c r="L669" s="4">
        <v>24</v>
      </c>
      <c r="M669" s="6" t="s">
        <v>550</v>
      </c>
      <c r="O669" s="15" t="str">
        <f>O668</f>
        <v>1.3</v>
      </c>
      <c r="P669" s="15" t="str">
        <f t="shared" ref="P669:S669" si="668">O669</f>
        <v>1.3</v>
      </c>
      <c r="Q669" s="15" t="str">
        <f t="shared" si="668"/>
        <v>1.3</v>
      </c>
      <c r="R669" s="15" t="str">
        <f>P669</f>
        <v>1.3</v>
      </c>
      <c r="S669" s="15" t="str">
        <f t="shared" si="668"/>
        <v>1.3</v>
      </c>
      <c r="T669" s="6" t="str">
        <f t="shared" si="644"/>
        <v>1|1.3#2|1.3#3|1.3#4|1.3#5|1.3</v>
      </c>
    </row>
    <row r="670" s="6" customFormat="1" ht="16.5" spans="1:20">
      <c r="A670" s="6">
        <v>1010676</v>
      </c>
      <c r="B670" s="6">
        <v>32001</v>
      </c>
      <c r="C670" s="6">
        <v>6</v>
      </c>
      <c r="D670" s="6">
        <v>1</v>
      </c>
      <c r="E670" s="6" t="str">
        <f t="shared" si="645"/>
        <v>302001:24</v>
      </c>
      <c r="F670" s="11" t="s">
        <v>396</v>
      </c>
      <c r="G670" s="6">
        <v>0</v>
      </c>
      <c r="H670" s="6">
        <v>0</v>
      </c>
      <c r="I670" s="6" t="s">
        <v>92</v>
      </c>
      <c r="K670" s="6" t="str">
        <f t="shared" si="643"/>
        <v>302001</v>
      </c>
      <c r="L670" s="4">
        <v>24</v>
      </c>
      <c r="M670" s="6" t="s">
        <v>550</v>
      </c>
      <c r="O670" s="13" t="str">
        <f t="shared" ref="O670:O674" si="669">RIGHT(F670,LEN(F670)-2)</f>
        <v>1.4</v>
      </c>
      <c r="P670" s="13" t="str">
        <f t="shared" ref="P670:S670" si="670">P669</f>
        <v>1.3</v>
      </c>
      <c r="Q670" s="13" t="str">
        <f t="shared" si="670"/>
        <v>1.3</v>
      </c>
      <c r="R670" s="13" t="str">
        <f t="shared" si="670"/>
        <v>1.3</v>
      </c>
      <c r="S670" s="13" t="str">
        <f t="shared" si="670"/>
        <v>1.3</v>
      </c>
      <c r="T670" s="6" t="str">
        <f t="shared" si="644"/>
        <v>1|1.4#2|1.3#3|1.3#4|1.3#5|1.3</v>
      </c>
    </row>
    <row r="671" s="6" customFormat="1" ht="16.5" spans="1:20">
      <c r="A671" s="6">
        <v>1010677</v>
      </c>
      <c r="B671" s="6">
        <v>32001</v>
      </c>
      <c r="C671" s="6">
        <v>6</v>
      </c>
      <c r="D671" s="6">
        <v>2</v>
      </c>
      <c r="E671" s="6" t="str">
        <f t="shared" si="645"/>
        <v>302001:24</v>
      </c>
      <c r="F671" s="11" t="s">
        <v>397</v>
      </c>
      <c r="G671" s="6">
        <v>0</v>
      </c>
      <c r="H671" s="6">
        <v>0</v>
      </c>
      <c r="I671" s="6" t="s">
        <v>94</v>
      </c>
      <c r="K671" s="6" t="str">
        <f t="shared" si="643"/>
        <v>302001</v>
      </c>
      <c r="L671" s="4">
        <v>24</v>
      </c>
      <c r="M671" s="6" t="s">
        <v>550</v>
      </c>
      <c r="O671" s="13" t="str">
        <f t="shared" si="669"/>
        <v>1.4</v>
      </c>
      <c r="P671" s="13" t="str">
        <f t="shared" ref="P671:P674" si="671">O671</f>
        <v>1.4</v>
      </c>
      <c r="Q671" s="13" t="str">
        <f t="shared" ref="Q671:S671" si="672">Q670</f>
        <v>1.3</v>
      </c>
      <c r="R671" s="13" t="str">
        <f t="shared" si="672"/>
        <v>1.3</v>
      </c>
      <c r="S671" s="13" t="str">
        <f t="shared" si="672"/>
        <v>1.3</v>
      </c>
      <c r="T671" s="6" t="str">
        <f t="shared" si="644"/>
        <v>1|1.4#2|1.4#3|1.3#4|1.3#5|1.3</v>
      </c>
    </row>
    <row r="672" s="6" customFormat="1" ht="16.5" spans="1:20">
      <c r="A672" s="6">
        <v>1010678</v>
      </c>
      <c r="B672" s="6">
        <v>32001</v>
      </c>
      <c r="C672" s="6">
        <v>6</v>
      </c>
      <c r="D672" s="6">
        <v>3</v>
      </c>
      <c r="E672" s="6" t="str">
        <f t="shared" si="645"/>
        <v>302001:24</v>
      </c>
      <c r="F672" s="11" t="s">
        <v>398</v>
      </c>
      <c r="G672" s="6">
        <v>0</v>
      </c>
      <c r="H672" s="6">
        <v>0</v>
      </c>
      <c r="I672" s="6" t="s">
        <v>96</v>
      </c>
      <c r="K672" s="6" t="str">
        <f t="shared" si="643"/>
        <v>302001</v>
      </c>
      <c r="L672" s="4">
        <v>24</v>
      </c>
      <c r="M672" s="6" t="s">
        <v>550</v>
      </c>
      <c r="O672" s="13" t="str">
        <f t="shared" si="669"/>
        <v>1.4</v>
      </c>
      <c r="P672" s="13" t="str">
        <f t="shared" si="671"/>
        <v>1.4</v>
      </c>
      <c r="Q672" s="13" t="str">
        <f t="shared" ref="Q672:Q674" si="673">P672</f>
        <v>1.4</v>
      </c>
      <c r="R672" s="13" t="str">
        <f>R671</f>
        <v>1.3</v>
      </c>
      <c r="S672" s="13" t="str">
        <f t="shared" ref="S672:S679" si="674">S671</f>
        <v>1.3</v>
      </c>
      <c r="T672" s="6" t="str">
        <f t="shared" si="644"/>
        <v>1|1.4#2|1.4#3|1.4#4|1.3#5|1.3</v>
      </c>
    </row>
    <row r="673" s="6" customFormat="1" ht="16.5" spans="1:20">
      <c r="A673" s="6">
        <v>1010679</v>
      </c>
      <c r="B673" s="6">
        <v>32001</v>
      </c>
      <c r="C673" s="6">
        <v>6</v>
      </c>
      <c r="D673" s="6">
        <v>4</v>
      </c>
      <c r="E673" s="6" t="str">
        <f t="shared" si="645"/>
        <v>302001:24</v>
      </c>
      <c r="F673" s="11" t="s">
        <v>399</v>
      </c>
      <c r="G673" s="6">
        <v>0</v>
      </c>
      <c r="H673" s="6">
        <v>0</v>
      </c>
      <c r="I673" s="6" t="s">
        <v>98</v>
      </c>
      <c r="K673" s="6" t="str">
        <f t="shared" si="643"/>
        <v>302001</v>
      </c>
      <c r="L673" s="4">
        <v>24</v>
      </c>
      <c r="M673" s="6" t="s">
        <v>550</v>
      </c>
      <c r="O673" s="13" t="str">
        <f t="shared" si="669"/>
        <v>1.4</v>
      </c>
      <c r="P673" s="13" t="str">
        <f t="shared" si="671"/>
        <v>1.4</v>
      </c>
      <c r="Q673" s="13" t="str">
        <f t="shared" si="673"/>
        <v>1.4</v>
      </c>
      <c r="R673" s="13" t="str">
        <f>Q673</f>
        <v>1.4</v>
      </c>
      <c r="S673" s="13" t="str">
        <f t="shared" si="674"/>
        <v>1.3</v>
      </c>
      <c r="T673" s="6" t="str">
        <f t="shared" si="644"/>
        <v>1|1.4#2|1.4#3|1.4#4|1.4#5|1.3</v>
      </c>
    </row>
    <row r="674" s="6" customFormat="1" ht="16.5" spans="1:20">
      <c r="A674" s="6">
        <v>1010680</v>
      </c>
      <c r="B674" s="6">
        <v>32001</v>
      </c>
      <c r="C674" s="6">
        <v>6</v>
      </c>
      <c r="D674" s="6">
        <v>5</v>
      </c>
      <c r="E674" s="6" t="str">
        <f t="shared" si="645"/>
        <v>302001:60</v>
      </c>
      <c r="F674" s="11" t="s">
        <v>400</v>
      </c>
      <c r="G674" s="6">
        <v>0</v>
      </c>
      <c r="H674" s="6">
        <v>0</v>
      </c>
      <c r="I674" s="6" t="s">
        <v>40</v>
      </c>
      <c r="K674" s="6" t="str">
        <f t="shared" si="643"/>
        <v>302001</v>
      </c>
      <c r="L674" s="4">
        <v>60</v>
      </c>
      <c r="M674" s="6" t="s">
        <v>549</v>
      </c>
      <c r="O674" s="13" t="str">
        <f t="shared" si="669"/>
        <v>1.4</v>
      </c>
      <c r="P674" s="13" t="str">
        <f t="shared" si="671"/>
        <v>1.4</v>
      </c>
      <c r="Q674" s="13" t="str">
        <f t="shared" si="673"/>
        <v>1.4</v>
      </c>
      <c r="R674" s="13" t="str">
        <f>Q674</f>
        <v>1.4</v>
      </c>
      <c r="S674" s="13" t="str">
        <f>R674</f>
        <v>1.4</v>
      </c>
      <c r="T674" s="6" t="str">
        <f t="shared" si="644"/>
        <v>1|1.4#2|1.4#3|1.4#4|1.4#5|1.4</v>
      </c>
    </row>
    <row r="675" s="6" customFormat="1" ht="16.5" spans="1:20">
      <c r="A675" s="6">
        <v>1010681</v>
      </c>
      <c r="B675" s="6">
        <v>32001</v>
      </c>
      <c r="C675" s="6">
        <v>6</v>
      </c>
      <c r="D675" s="6">
        <v>6</v>
      </c>
      <c r="E675" s="6" t="str">
        <f t="shared" si="645"/>
        <v>302001:0</v>
      </c>
      <c r="F675" s="11">
        <v>0</v>
      </c>
      <c r="G675" s="6">
        <v>11002</v>
      </c>
      <c r="H675" s="6" t="s">
        <v>407</v>
      </c>
      <c r="I675" s="6">
        <v>0</v>
      </c>
      <c r="K675" s="6" t="str">
        <f t="shared" si="643"/>
        <v>302001</v>
      </c>
      <c r="L675" s="4">
        <v>0</v>
      </c>
      <c r="M675" s="6" t="s">
        <v>543</v>
      </c>
      <c r="O675" s="13" t="str">
        <f t="shared" ref="O675:S675" si="675">O674</f>
        <v>1.4</v>
      </c>
      <c r="P675" s="13" t="str">
        <f t="shared" si="675"/>
        <v>1.4</v>
      </c>
      <c r="Q675" s="13" t="str">
        <f t="shared" si="675"/>
        <v>1.4</v>
      </c>
      <c r="R675" s="13" t="str">
        <f t="shared" si="675"/>
        <v>1.4</v>
      </c>
      <c r="S675" s="13" t="str">
        <f t="shared" si="675"/>
        <v>1.4</v>
      </c>
      <c r="T675" s="6" t="str">
        <f t="shared" si="644"/>
        <v>1|1.4#2|1.4#3|1.4#4|1.4#5|1.4</v>
      </c>
    </row>
    <row r="676" s="6" customFormat="1" ht="16.5" spans="1:20">
      <c r="A676" s="6">
        <v>1010682</v>
      </c>
      <c r="B676" s="6">
        <v>33001</v>
      </c>
      <c r="C676" s="6">
        <v>1</v>
      </c>
      <c r="D676" s="6">
        <v>0</v>
      </c>
      <c r="E676" s="6" t="str">
        <f t="shared" si="645"/>
        <v>303001:2</v>
      </c>
      <c r="F676" s="11" t="s">
        <v>356</v>
      </c>
      <c r="G676" s="6">
        <v>0</v>
      </c>
      <c r="H676" s="6">
        <v>0</v>
      </c>
      <c r="I676" s="6" t="s">
        <v>25</v>
      </c>
      <c r="K676" s="6" t="str">
        <f t="shared" si="643"/>
        <v>303001</v>
      </c>
      <c r="L676" s="4">
        <v>2</v>
      </c>
      <c r="M676" s="6" t="s">
        <v>551</v>
      </c>
      <c r="O676" s="13">
        <v>1</v>
      </c>
      <c r="P676" s="13">
        <f t="shared" ref="P676:S676" si="676">O676</f>
        <v>1</v>
      </c>
      <c r="Q676" s="13">
        <f t="shared" si="676"/>
        <v>1</v>
      </c>
      <c r="R676" s="13">
        <f>P676</f>
        <v>1</v>
      </c>
      <c r="S676" s="13">
        <f t="shared" si="676"/>
        <v>1</v>
      </c>
      <c r="T676" s="6" t="str">
        <f t="shared" si="644"/>
        <v>1|1#2|1#3|1#4|1#5|1</v>
      </c>
    </row>
    <row r="677" s="6" customFormat="1" ht="16.5" spans="1:20">
      <c r="A677" s="6">
        <v>1010683</v>
      </c>
      <c r="B677" s="6">
        <v>33001</v>
      </c>
      <c r="C677" s="6">
        <v>1</v>
      </c>
      <c r="D677" s="6">
        <v>1</v>
      </c>
      <c r="E677" s="6" t="str">
        <f t="shared" si="645"/>
        <v>303001:2</v>
      </c>
      <c r="F677" s="11" t="s">
        <v>358</v>
      </c>
      <c r="G677" s="6">
        <v>0</v>
      </c>
      <c r="H677" s="6">
        <v>0</v>
      </c>
      <c r="I677" s="6" t="s">
        <v>28</v>
      </c>
      <c r="K677" s="6" t="str">
        <f t="shared" si="643"/>
        <v>303001</v>
      </c>
      <c r="L677" s="4">
        <v>2</v>
      </c>
      <c r="M677" s="6" t="s">
        <v>551</v>
      </c>
      <c r="O677" s="13" t="str">
        <f t="shared" ref="O677:O681" si="677">RIGHT(F677,LEN(F677)-2)</f>
        <v>1.05</v>
      </c>
      <c r="P677" s="13">
        <v>1</v>
      </c>
      <c r="Q677" s="13">
        <f>Q676</f>
        <v>1</v>
      </c>
      <c r="R677" s="13">
        <f>R676</f>
        <v>1</v>
      </c>
      <c r="S677" s="13">
        <f t="shared" si="674"/>
        <v>1</v>
      </c>
      <c r="T677" s="6" t="str">
        <f t="shared" si="644"/>
        <v>1|1.05#2|1#3|1#4|1#5|1</v>
      </c>
    </row>
    <row r="678" s="6" customFormat="1" ht="16.5" spans="1:20">
      <c r="A678" s="6">
        <v>1010684</v>
      </c>
      <c r="B678" s="6">
        <v>33001</v>
      </c>
      <c r="C678" s="6">
        <v>1</v>
      </c>
      <c r="D678" s="6">
        <v>2</v>
      </c>
      <c r="E678" s="6" t="str">
        <f t="shared" si="645"/>
        <v>303001:2</v>
      </c>
      <c r="F678" s="11" t="s">
        <v>359</v>
      </c>
      <c r="G678" s="6">
        <v>0</v>
      </c>
      <c r="H678" s="6">
        <v>0</v>
      </c>
      <c r="I678" s="6" t="s">
        <v>31</v>
      </c>
      <c r="K678" s="6" t="str">
        <f t="shared" si="643"/>
        <v>303001</v>
      </c>
      <c r="L678" s="4">
        <v>2</v>
      </c>
      <c r="M678" s="6" t="s">
        <v>551</v>
      </c>
      <c r="O678" s="13" t="str">
        <f t="shared" si="677"/>
        <v>1.05</v>
      </c>
      <c r="P678" s="13" t="str">
        <f t="shared" ref="P678:P681" si="678">O678</f>
        <v>1.05</v>
      </c>
      <c r="Q678" s="13">
        <v>1</v>
      </c>
      <c r="R678" s="13">
        <f>R677</f>
        <v>1</v>
      </c>
      <c r="S678" s="13">
        <f t="shared" si="674"/>
        <v>1</v>
      </c>
      <c r="T678" s="6" t="str">
        <f t="shared" si="644"/>
        <v>1|1.05#2|1.05#3|1#4|1#5|1</v>
      </c>
    </row>
    <row r="679" s="6" customFormat="1" ht="16.5" spans="1:20">
      <c r="A679" s="6">
        <v>1010685</v>
      </c>
      <c r="B679" s="6">
        <v>33001</v>
      </c>
      <c r="C679" s="6">
        <v>1</v>
      </c>
      <c r="D679" s="6">
        <v>3</v>
      </c>
      <c r="E679" s="6" t="str">
        <f t="shared" si="645"/>
        <v>303001:3</v>
      </c>
      <c r="F679" s="11" t="s">
        <v>360</v>
      </c>
      <c r="G679" s="6">
        <v>0</v>
      </c>
      <c r="H679" s="6">
        <v>0</v>
      </c>
      <c r="I679" s="6" t="s">
        <v>34</v>
      </c>
      <c r="K679" s="6" t="str">
        <f t="shared" si="643"/>
        <v>303001</v>
      </c>
      <c r="L679" s="4">
        <v>3</v>
      </c>
      <c r="M679" s="6" t="s">
        <v>551</v>
      </c>
      <c r="O679" s="13" t="str">
        <f t="shared" si="677"/>
        <v>1.05</v>
      </c>
      <c r="P679" s="13" t="str">
        <f t="shared" si="678"/>
        <v>1.05</v>
      </c>
      <c r="Q679" s="13" t="str">
        <f t="shared" ref="Q679:Q681" si="679">P679</f>
        <v>1.05</v>
      </c>
      <c r="R679" s="13">
        <v>1</v>
      </c>
      <c r="S679" s="13">
        <f t="shared" si="674"/>
        <v>1</v>
      </c>
      <c r="T679" s="6" t="str">
        <f t="shared" si="644"/>
        <v>1|1.05#2|1.05#3|1.05#4|1#5|1</v>
      </c>
    </row>
    <row r="680" s="6" customFormat="1" ht="16.5" spans="1:20">
      <c r="A680" s="6">
        <v>1010686</v>
      </c>
      <c r="B680" s="6">
        <v>33001</v>
      </c>
      <c r="C680" s="6">
        <v>1</v>
      </c>
      <c r="D680" s="6">
        <v>4</v>
      </c>
      <c r="E680" s="6" t="str">
        <f t="shared" si="645"/>
        <v>303001:3</v>
      </c>
      <c r="F680" s="11" t="s">
        <v>361</v>
      </c>
      <c r="G680" s="6">
        <v>0</v>
      </c>
      <c r="H680" s="6">
        <v>0</v>
      </c>
      <c r="I680" s="6" t="s">
        <v>37</v>
      </c>
      <c r="K680" s="6" t="str">
        <f t="shared" si="643"/>
        <v>303001</v>
      </c>
      <c r="L680" s="4">
        <v>3</v>
      </c>
      <c r="M680" s="6" t="s">
        <v>551</v>
      </c>
      <c r="O680" s="13" t="str">
        <f t="shared" si="677"/>
        <v>1.05</v>
      </c>
      <c r="P680" s="13" t="str">
        <f t="shared" si="678"/>
        <v>1.05</v>
      </c>
      <c r="Q680" s="13" t="str">
        <f t="shared" si="679"/>
        <v>1.05</v>
      </c>
      <c r="R680" s="13" t="str">
        <f>Q680</f>
        <v>1.05</v>
      </c>
      <c r="S680" s="13">
        <v>1</v>
      </c>
      <c r="T680" s="6" t="str">
        <f t="shared" si="644"/>
        <v>1|1.05#2|1.05#3|1.05#4|1.05#5|1</v>
      </c>
    </row>
    <row r="681" s="6" customFormat="1" ht="16.5" spans="1:20">
      <c r="A681" s="6">
        <v>1010687</v>
      </c>
      <c r="B681" s="6">
        <v>33001</v>
      </c>
      <c r="C681" s="6">
        <v>1</v>
      </c>
      <c r="D681" s="6">
        <v>5</v>
      </c>
      <c r="E681" s="6" t="str">
        <f t="shared" si="645"/>
        <v>303001:3</v>
      </c>
      <c r="F681" s="11" t="s">
        <v>362</v>
      </c>
      <c r="G681" s="6">
        <v>0</v>
      </c>
      <c r="H681" s="6">
        <v>0</v>
      </c>
      <c r="I681" s="6" t="s">
        <v>40</v>
      </c>
      <c r="K681" s="6" t="str">
        <f t="shared" si="643"/>
        <v>303001</v>
      </c>
      <c r="L681" s="4">
        <v>3</v>
      </c>
      <c r="M681" s="6" t="s">
        <v>552</v>
      </c>
      <c r="O681" s="13" t="str">
        <f t="shared" si="677"/>
        <v>1.05</v>
      </c>
      <c r="P681" s="13" t="str">
        <f t="shared" si="678"/>
        <v>1.05</v>
      </c>
      <c r="Q681" s="13" t="str">
        <f t="shared" si="679"/>
        <v>1.05</v>
      </c>
      <c r="R681" s="13" t="str">
        <f>Q681</f>
        <v>1.05</v>
      </c>
      <c r="S681" s="13" t="str">
        <f>R681</f>
        <v>1.05</v>
      </c>
      <c r="T681" s="6" t="str">
        <f t="shared" si="644"/>
        <v>1|1.05#2|1.05#3|1.05#4|1.05#5|1.05</v>
      </c>
    </row>
    <row r="682" s="6" customFormat="1" ht="16.5" spans="1:20">
      <c r="A682" s="6">
        <v>1010688</v>
      </c>
      <c r="B682" s="6">
        <v>33001</v>
      </c>
      <c r="C682" s="6">
        <v>1</v>
      </c>
      <c r="D682" s="6">
        <v>6</v>
      </c>
      <c r="E682" s="6" t="str">
        <f t="shared" si="645"/>
        <v>303001:5</v>
      </c>
      <c r="F682" s="11">
        <v>0</v>
      </c>
      <c r="G682" s="6">
        <v>11002</v>
      </c>
      <c r="H682" s="6" t="s">
        <v>407</v>
      </c>
      <c r="I682" s="6">
        <v>0</v>
      </c>
      <c r="K682" s="6" t="str">
        <f t="shared" si="643"/>
        <v>303001</v>
      </c>
      <c r="L682" s="13">
        <v>5</v>
      </c>
      <c r="M682" s="6" t="s">
        <v>553</v>
      </c>
      <c r="O682" s="13" t="str">
        <f t="shared" ref="O682:S682" si="680">O681</f>
        <v>1.05</v>
      </c>
      <c r="P682" s="13" t="str">
        <f t="shared" si="680"/>
        <v>1.05</v>
      </c>
      <c r="Q682" s="13" t="str">
        <f t="shared" si="680"/>
        <v>1.05</v>
      </c>
      <c r="R682" s="13" t="str">
        <f t="shared" si="680"/>
        <v>1.05</v>
      </c>
      <c r="S682" s="13" t="str">
        <f t="shared" si="680"/>
        <v>1.05</v>
      </c>
      <c r="T682" s="6" t="str">
        <f t="shared" si="644"/>
        <v>1|1.05#2|1.05#3|1.05#4|1.05#5|1.05</v>
      </c>
    </row>
    <row r="683" s="6" customFormat="1" ht="16.5" spans="1:20">
      <c r="A683" s="6">
        <v>1010689</v>
      </c>
      <c r="B683" s="6">
        <v>33001</v>
      </c>
      <c r="C683" s="6">
        <v>2</v>
      </c>
      <c r="D683" s="6">
        <v>0</v>
      </c>
      <c r="E683" s="6" t="str">
        <f t="shared" si="645"/>
        <v>303001:5</v>
      </c>
      <c r="F683" s="11" t="s">
        <v>364</v>
      </c>
      <c r="G683" s="6">
        <v>0</v>
      </c>
      <c r="H683" s="6">
        <v>0</v>
      </c>
      <c r="I683" s="6" t="s">
        <v>43</v>
      </c>
      <c r="K683" s="6" t="str">
        <f t="shared" si="643"/>
        <v>303001</v>
      </c>
      <c r="L683" s="4">
        <v>5</v>
      </c>
      <c r="M683" s="6" t="s">
        <v>554</v>
      </c>
      <c r="O683" s="15" t="str">
        <f>O682</f>
        <v>1.05</v>
      </c>
      <c r="P683" s="15" t="str">
        <f t="shared" ref="P683:S683" si="681">O683</f>
        <v>1.05</v>
      </c>
      <c r="Q683" s="15" t="str">
        <f t="shared" si="681"/>
        <v>1.05</v>
      </c>
      <c r="R683" s="15" t="str">
        <f>P683</f>
        <v>1.05</v>
      </c>
      <c r="S683" s="15" t="str">
        <f t="shared" si="681"/>
        <v>1.05</v>
      </c>
      <c r="T683" s="6" t="str">
        <f t="shared" si="644"/>
        <v>1|1.05#2|1.05#3|1.05#4|1.05#5|1.05</v>
      </c>
    </row>
    <row r="684" s="6" customFormat="1" ht="16.5" spans="1:20">
      <c r="A684" s="6">
        <v>1010690</v>
      </c>
      <c r="B684" s="6">
        <v>33001</v>
      </c>
      <c r="C684" s="6">
        <v>2</v>
      </c>
      <c r="D684" s="6">
        <v>1</v>
      </c>
      <c r="E684" s="6" t="str">
        <f t="shared" si="645"/>
        <v>303001:5</v>
      </c>
      <c r="F684" s="11" t="s">
        <v>366</v>
      </c>
      <c r="G684" s="6">
        <v>0</v>
      </c>
      <c r="H684" s="6">
        <v>0</v>
      </c>
      <c r="I684" s="6" t="s">
        <v>45</v>
      </c>
      <c r="K684" s="6" t="str">
        <f t="shared" si="643"/>
        <v>303001</v>
      </c>
      <c r="L684" s="4">
        <v>5</v>
      </c>
      <c r="M684" s="6" t="s">
        <v>554</v>
      </c>
      <c r="O684" s="13" t="str">
        <f t="shared" ref="O684:O688" si="682">RIGHT(F684,LEN(F684)-2)</f>
        <v>1.1</v>
      </c>
      <c r="P684" s="13">
        <v>1.05</v>
      </c>
      <c r="Q684" s="13" t="str">
        <f t="shared" ref="Q684:S684" si="683">Q683</f>
        <v>1.05</v>
      </c>
      <c r="R684" s="13" t="str">
        <f t="shared" si="683"/>
        <v>1.05</v>
      </c>
      <c r="S684" s="13" t="str">
        <f t="shared" si="683"/>
        <v>1.05</v>
      </c>
      <c r="T684" s="6" t="str">
        <f t="shared" si="644"/>
        <v>1|1.1#2|1.05#3|1.05#4|1.05#5|1.05</v>
      </c>
    </row>
    <row r="685" s="6" customFormat="1" ht="16.5" spans="1:20">
      <c r="A685" s="6">
        <v>1010691</v>
      </c>
      <c r="B685" s="6">
        <v>33001</v>
      </c>
      <c r="C685" s="6">
        <v>2</v>
      </c>
      <c r="D685" s="6">
        <v>2</v>
      </c>
      <c r="E685" s="6" t="str">
        <f t="shared" si="645"/>
        <v>303001:5</v>
      </c>
      <c r="F685" s="11" t="s">
        <v>367</v>
      </c>
      <c r="G685" s="6">
        <v>0</v>
      </c>
      <c r="H685" s="6">
        <v>0</v>
      </c>
      <c r="I685" s="6" t="s">
        <v>47</v>
      </c>
      <c r="K685" s="6" t="str">
        <f t="shared" si="643"/>
        <v>303001</v>
      </c>
      <c r="L685" s="4">
        <v>5</v>
      </c>
      <c r="M685" s="6" t="s">
        <v>554</v>
      </c>
      <c r="O685" s="13" t="str">
        <f t="shared" si="682"/>
        <v>1.1</v>
      </c>
      <c r="P685" s="13" t="str">
        <f t="shared" ref="P685:P688" si="684">O685</f>
        <v>1.1</v>
      </c>
      <c r="Q685" s="13">
        <v>1.05</v>
      </c>
      <c r="R685" s="13" t="str">
        <f>R684</f>
        <v>1.05</v>
      </c>
      <c r="S685" s="13" t="str">
        <f>S684</f>
        <v>1.05</v>
      </c>
      <c r="T685" s="6" t="str">
        <f t="shared" si="644"/>
        <v>1|1.1#2|1.1#3|1.05#4|1.05#5|1.05</v>
      </c>
    </row>
    <row r="686" s="6" customFormat="1" ht="16.5" spans="1:20">
      <c r="A686" s="6">
        <v>1010692</v>
      </c>
      <c r="B686" s="6">
        <v>33001</v>
      </c>
      <c r="C686" s="6">
        <v>2</v>
      </c>
      <c r="D686" s="6">
        <v>3</v>
      </c>
      <c r="E686" s="6" t="str">
        <f t="shared" si="645"/>
        <v>303001:6</v>
      </c>
      <c r="F686" s="11" t="s">
        <v>368</v>
      </c>
      <c r="G686" s="6">
        <v>0</v>
      </c>
      <c r="H686" s="6">
        <v>0</v>
      </c>
      <c r="I686" s="6" t="s">
        <v>49</v>
      </c>
      <c r="K686" s="6" t="str">
        <f t="shared" si="643"/>
        <v>303001</v>
      </c>
      <c r="L686" s="4">
        <v>6</v>
      </c>
      <c r="M686" s="6" t="s">
        <v>554</v>
      </c>
      <c r="O686" s="13" t="str">
        <f t="shared" si="682"/>
        <v>1.1</v>
      </c>
      <c r="P686" s="13" t="str">
        <f t="shared" si="684"/>
        <v>1.1</v>
      </c>
      <c r="Q686" s="13" t="str">
        <f t="shared" ref="Q686:Q688" si="685">P686</f>
        <v>1.1</v>
      </c>
      <c r="R686" s="13">
        <v>1.05</v>
      </c>
      <c r="S686" s="13" t="str">
        <f>S685</f>
        <v>1.05</v>
      </c>
      <c r="T686" s="6" t="str">
        <f t="shared" si="644"/>
        <v>1|1.1#2|1.1#3|1.1#4|1.05#5|1.05</v>
      </c>
    </row>
    <row r="687" s="6" customFormat="1" ht="16.5" spans="1:20">
      <c r="A687" s="6">
        <v>1010693</v>
      </c>
      <c r="B687" s="6">
        <v>33001</v>
      </c>
      <c r="C687" s="6">
        <v>2</v>
      </c>
      <c r="D687" s="6">
        <v>4</v>
      </c>
      <c r="E687" s="6" t="str">
        <f t="shared" si="645"/>
        <v>303001:6</v>
      </c>
      <c r="F687" s="11" t="s">
        <v>369</v>
      </c>
      <c r="G687" s="6">
        <v>0</v>
      </c>
      <c r="H687" s="6">
        <v>0</v>
      </c>
      <c r="I687" s="6" t="s">
        <v>51</v>
      </c>
      <c r="K687" s="6" t="str">
        <f t="shared" si="643"/>
        <v>303001</v>
      </c>
      <c r="L687" s="4">
        <v>6</v>
      </c>
      <c r="M687" s="6" t="s">
        <v>554</v>
      </c>
      <c r="O687" s="13" t="str">
        <f t="shared" si="682"/>
        <v>1.1</v>
      </c>
      <c r="P687" s="13" t="str">
        <f t="shared" si="684"/>
        <v>1.1</v>
      </c>
      <c r="Q687" s="13" t="str">
        <f t="shared" si="685"/>
        <v>1.1</v>
      </c>
      <c r="R687" s="13" t="str">
        <f>Q687</f>
        <v>1.1</v>
      </c>
      <c r="S687" s="13">
        <v>1.05</v>
      </c>
      <c r="T687" s="6" t="str">
        <f t="shared" si="644"/>
        <v>1|1.1#2|1.1#3|1.1#4|1.1#5|1.05</v>
      </c>
    </row>
    <row r="688" s="6" customFormat="1" ht="16.5" spans="1:20">
      <c r="A688" s="6">
        <v>1010694</v>
      </c>
      <c r="B688" s="6">
        <v>33001</v>
      </c>
      <c r="C688" s="6">
        <v>2</v>
      </c>
      <c r="D688" s="6">
        <v>5</v>
      </c>
      <c r="E688" s="6" t="str">
        <f t="shared" si="645"/>
        <v>303001:6</v>
      </c>
      <c r="F688" s="11" t="s">
        <v>370</v>
      </c>
      <c r="G688" s="6">
        <v>0</v>
      </c>
      <c r="H688" s="6">
        <v>0</v>
      </c>
      <c r="I688" s="6" t="s">
        <v>40</v>
      </c>
      <c r="K688" s="6" t="str">
        <f t="shared" si="643"/>
        <v>303001</v>
      </c>
      <c r="L688" s="4">
        <v>6</v>
      </c>
      <c r="M688" s="6" t="s">
        <v>265</v>
      </c>
      <c r="O688" s="13" t="str">
        <f t="shared" si="682"/>
        <v>1.1</v>
      </c>
      <c r="P688" s="13" t="str">
        <f t="shared" si="684"/>
        <v>1.1</v>
      </c>
      <c r="Q688" s="13" t="str">
        <f t="shared" si="685"/>
        <v>1.1</v>
      </c>
      <c r="R688" s="13" t="str">
        <f>Q688</f>
        <v>1.1</v>
      </c>
      <c r="S688" s="13" t="str">
        <f>R688</f>
        <v>1.1</v>
      </c>
      <c r="T688" s="6" t="str">
        <f t="shared" si="644"/>
        <v>1|1.1#2|1.1#3|1.1#4|1.1#5|1.1</v>
      </c>
    </row>
    <row r="689" s="6" customFormat="1" ht="16.5" spans="1:20">
      <c r="A689" s="6">
        <v>1010695</v>
      </c>
      <c r="B689" s="6">
        <v>33001</v>
      </c>
      <c r="C689" s="6">
        <v>2</v>
      </c>
      <c r="D689" s="6">
        <v>6</v>
      </c>
      <c r="E689" s="6" t="str">
        <f t="shared" si="645"/>
        <v>303001:7</v>
      </c>
      <c r="F689" s="11">
        <v>0</v>
      </c>
      <c r="G689" s="6">
        <v>11002</v>
      </c>
      <c r="H689" s="6" t="s">
        <v>407</v>
      </c>
      <c r="I689" s="6">
        <v>0</v>
      </c>
      <c r="K689" s="6" t="str">
        <f t="shared" si="643"/>
        <v>303001</v>
      </c>
      <c r="L689" s="13">
        <v>7</v>
      </c>
      <c r="M689" s="6" t="s">
        <v>553</v>
      </c>
      <c r="O689" s="13" t="str">
        <f t="shared" ref="O689:S689" si="686">O688</f>
        <v>1.1</v>
      </c>
      <c r="P689" s="13" t="str">
        <f t="shared" si="686"/>
        <v>1.1</v>
      </c>
      <c r="Q689" s="13" t="str">
        <f t="shared" si="686"/>
        <v>1.1</v>
      </c>
      <c r="R689" s="13" t="str">
        <f t="shared" si="686"/>
        <v>1.1</v>
      </c>
      <c r="S689" s="13" t="str">
        <f t="shared" si="686"/>
        <v>1.1</v>
      </c>
      <c r="T689" s="6" t="str">
        <f t="shared" si="644"/>
        <v>1|1.1#2|1.1#3|1.1#4|1.1#5|1.1</v>
      </c>
    </row>
    <row r="690" s="6" customFormat="1" ht="16.5" spans="1:20">
      <c r="A690" s="6">
        <v>1010696</v>
      </c>
      <c r="B690" s="6">
        <v>33001</v>
      </c>
      <c r="C690" s="6">
        <v>3</v>
      </c>
      <c r="D690" s="6">
        <v>0</v>
      </c>
      <c r="E690" s="6" t="str">
        <f t="shared" si="645"/>
        <v>303001:9</v>
      </c>
      <c r="F690" s="11" t="s">
        <v>371</v>
      </c>
      <c r="G690" s="6">
        <v>0</v>
      </c>
      <c r="H690" s="6">
        <v>0</v>
      </c>
      <c r="I690" s="6" t="s">
        <v>55</v>
      </c>
      <c r="K690" s="6" t="str">
        <f t="shared" si="643"/>
        <v>303001</v>
      </c>
      <c r="L690" s="4">
        <v>9</v>
      </c>
      <c r="M690" s="6" t="s">
        <v>555</v>
      </c>
      <c r="O690" s="15" t="str">
        <f>O689</f>
        <v>1.1</v>
      </c>
      <c r="P690" s="15" t="str">
        <f t="shared" ref="P690:S690" si="687">O690</f>
        <v>1.1</v>
      </c>
      <c r="Q690" s="15" t="str">
        <f t="shared" si="687"/>
        <v>1.1</v>
      </c>
      <c r="R690" s="15" t="str">
        <f>P690</f>
        <v>1.1</v>
      </c>
      <c r="S690" s="15" t="str">
        <f t="shared" si="687"/>
        <v>1.1</v>
      </c>
      <c r="T690" s="6" t="str">
        <f t="shared" si="644"/>
        <v>1|1.1#2|1.1#3|1.1#4|1.1#5|1.1</v>
      </c>
    </row>
    <row r="691" s="6" customFormat="1" ht="16.5" spans="1:20">
      <c r="A691" s="6">
        <v>1010697</v>
      </c>
      <c r="B691" s="6">
        <v>33001</v>
      </c>
      <c r="C691" s="6">
        <v>3</v>
      </c>
      <c r="D691" s="6">
        <v>1</v>
      </c>
      <c r="E691" s="6" t="str">
        <f t="shared" si="645"/>
        <v>303001:9</v>
      </c>
      <c r="F691" s="11" t="s">
        <v>373</v>
      </c>
      <c r="G691" s="6">
        <v>0</v>
      </c>
      <c r="H691" s="6">
        <v>0</v>
      </c>
      <c r="I691" s="6" t="s">
        <v>57</v>
      </c>
      <c r="K691" s="6" t="str">
        <f t="shared" si="643"/>
        <v>303001</v>
      </c>
      <c r="L691" s="4">
        <v>9</v>
      </c>
      <c r="M691" s="6" t="s">
        <v>555</v>
      </c>
      <c r="O691" s="13" t="str">
        <f t="shared" ref="O691:O695" si="688">RIGHT(F691,LEN(F691)-2)</f>
        <v>1.15</v>
      </c>
      <c r="P691" s="13" t="str">
        <f t="shared" ref="P691:S691" si="689">P690</f>
        <v>1.1</v>
      </c>
      <c r="Q691" s="13" t="str">
        <f t="shared" si="689"/>
        <v>1.1</v>
      </c>
      <c r="R691" s="13" t="str">
        <f t="shared" si="689"/>
        <v>1.1</v>
      </c>
      <c r="S691" s="13" t="str">
        <f t="shared" si="689"/>
        <v>1.1</v>
      </c>
      <c r="T691" s="6" t="str">
        <f t="shared" si="644"/>
        <v>1|1.15#2|1.1#3|1.1#4|1.1#5|1.1</v>
      </c>
    </row>
    <row r="692" s="6" customFormat="1" ht="16.5" spans="1:20">
      <c r="A692" s="6">
        <v>1010698</v>
      </c>
      <c r="B692" s="6">
        <v>33001</v>
      </c>
      <c r="C692" s="6">
        <v>3</v>
      </c>
      <c r="D692" s="6">
        <v>2</v>
      </c>
      <c r="E692" s="6" t="str">
        <f t="shared" si="645"/>
        <v>303001:9</v>
      </c>
      <c r="F692" s="11" t="s">
        <v>374</v>
      </c>
      <c r="G692" s="6">
        <v>0</v>
      </c>
      <c r="H692" s="6">
        <v>0</v>
      </c>
      <c r="I692" s="6" t="s">
        <v>59</v>
      </c>
      <c r="K692" s="6" t="str">
        <f t="shared" si="643"/>
        <v>303001</v>
      </c>
      <c r="L692" s="4">
        <v>9</v>
      </c>
      <c r="M692" s="6" t="s">
        <v>555</v>
      </c>
      <c r="O692" s="13" t="str">
        <f t="shared" si="688"/>
        <v>1.15</v>
      </c>
      <c r="P692" s="13" t="str">
        <f t="shared" ref="P692:P695" si="690">O692</f>
        <v>1.15</v>
      </c>
      <c r="Q692" s="13" t="str">
        <f t="shared" ref="Q692:S692" si="691">Q691</f>
        <v>1.1</v>
      </c>
      <c r="R692" s="13" t="str">
        <f t="shared" si="691"/>
        <v>1.1</v>
      </c>
      <c r="S692" s="13" t="str">
        <f t="shared" si="691"/>
        <v>1.1</v>
      </c>
      <c r="T692" s="6" t="str">
        <f t="shared" si="644"/>
        <v>1|1.15#2|1.15#3|1.1#4|1.1#5|1.1</v>
      </c>
    </row>
    <row r="693" s="6" customFormat="1" ht="16.5" spans="1:20">
      <c r="A693" s="6">
        <v>1010699</v>
      </c>
      <c r="B693" s="6">
        <v>33001</v>
      </c>
      <c r="C693" s="6">
        <v>3</v>
      </c>
      <c r="D693" s="6">
        <v>3</v>
      </c>
      <c r="E693" s="6" t="str">
        <f t="shared" si="645"/>
        <v>303001:11</v>
      </c>
      <c r="F693" s="11" t="s">
        <v>375</v>
      </c>
      <c r="G693" s="6">
        <v>0</v>
      </c>
      <c r="H693" s="6">
        <v>0</v>
      </c>
      <c r="I693" s="6" t="s">
        <v>61</v>
      </c>
      <c r="K693" s="6" t="str">
        <f t="shared" si="643"/>
        <v>303001</v>
      </c>
      <c r="L693" s="4">
        <v>11</v>
      </c>
      <c r="M693" s="6" t="s">
        <v>555</v>
      </c>
      <c r="O693" s="13" t="str">
        <f t="shared" si="688"/>
        <v>1.15</v>
      </c>
      <c r="P693" s="13" t="str">
        <f t="shared" si="690"/>
        <v>1.15</v>
      </c>
      <c r="Q693" s="13" t="str">
        <f t="shared" ref="Q693:Q695" si="692">P693</f>
        <v>1.15</v>
      </c>
      <c r="R693" s="13" t="str">
        <f>R692</f>
        <v>1.1</v>
      </c>
      <c r="S693" s="13" t="str">
        <f>S692</f>
        <v>1.1</v>
      </c>
      <c r="T693" s="6" t="str">
        <f t="shared" si="644"/>
        <v>1|1.15#2|1.15#3|1.15#4|1.1#5|1.1</v>
      </c>
    </row>
    <row r="694" s="6" customFormat="1" ht="16.5" spans="1:20">
      <c r="A694" s="6">
        <v>1010700</v>
      </c>
      <c r="B694" s="6">
        <v>33001</v>
      </c>
      <c r="C694" s="6">
        <v>3</v>
      </c>
      <c r="D694" s="6">
        <v>4</v>
      </c>
      <c r="E694" s="6" t="str">
        <f t="shared" si="645"/>
        <v>303001:11</v>
      </c>
      <c r="F694" s="11" t="s">
        <v>376</v>
      </c>
      <c r="G694" s="6">
        <v>0</v>
      </c>
      <c r="H694" s="6">
        <v>0</v>
      </c>
      <c r="I694" s="6" t="s">
        <v>63</v>
      </c>
      <c r="K694" s="6" t="str">
        <f t="shared" si="643"/>
        <v>303001</v>
      </c>
      <c r="L694" s="4">
        <v>11</v>
      </c>
      <c r="M694" s="6" t="s">
        <v>555</v>
      </c>
      <c r="O694" s="13" t="str">
        <f t="shared" si="688"/>
        <v>1.15</v>
      </c>
      <c r="P694" s="13" t="str">
        <f t="shared" si="690"/>
        <v>1.15</v>
      </c>
      <c r="Q694" s="13" t="str">
        <f t="shared" si="692"/>
        <v>1.15</v>
      </c>
      <c r="R694" s="13" t="str">
        <f>Q694</f>
        <v>1.15</v>
      </c>
      <c r="S694" s="13" t="str">
        <f>S693</f>
        <v>1.1</v>
      </c>
      <c r="T694" s="6" t="str">
        <f t="shared" si="644"/>
        <v>1|1.15#2|1.15#3|1.15#4|1.15#5|1.1</v>
      </c>
    </row>
    <row r="695" s="6" customFormat="1" ht="16.5" spans="1:20">
      <c r="A695" s="6">
        <v>1010701</v>
      </c>
      <c r="B695" s="6">
        <v>33001</v>
      </c>
      <c r="C695" s="6">
        <v>3</v>
      </c>
      <c r="D695" s="6">
        <v>5</v>
      </c>
      <c r="E695" s="6" t="str">
        <f t="shared" si="645"/>
        <v>303001:11</v>
      </c>
      <c r="F695" s="11" t="s">
        <v>377</v>
      </c>
      <c r="G695" s="6">
        <v>0</v>
      </c>
      <c r="H695" s="6">
        <v>0</v>
      </c>
      <c r="I695" s="6" t="s">
        <v>40</v>
      </c>
      <c r="K695" s="6" t="str">
        <f t="shared" si="643"/>
        <v>303001</v>
      </c>
      <c r="L695" s="4">
        <v>11</v>
      </c>
      <c r="M695" s="6" t="s">
        <v>556</v>
      </c>
      <c r="O695" s="13" t="str">
        <f t="shared" si="688"/>
        <v>1.15</v>
      </c>
      <c r="P695" s="13" t="str">
        <f t="shared" si="690"/>
        <v>1.15</v>
      </c>
      <c r="Q695" s="13" t="str">
        <f t="shared" si="692"/>
        <v>1.15</v>
      </c>
      <c r="R695" s="13" t="str">
        <f>Q695</f>
        <v>1.15</v>
      </c>
      <c r="S695" s="13" t="str">
        <f>R695</f>
        <v>1.15</v>
      </c>
      <c r="T695" s="6" t="str">
        <f t="shared" si="644"/>
        <v>1|1.15#2|1.15#3|1.15#4|1.15#5|1.15</v>
      </c>
    </row>
    <row r="696" s="6" customFormat="1" ht="16.5" spans="1:20">
      <c r="A696" s="6">
        <v>1010702</v>
      </c>
      <c r="B696" s="6">
        <v>33001</v>
      </c>
      <c r="C696" s="6">
        <v>3</v>
      </c>
      <c r="D696" s="6">
        <v>6</v>
      </c>
      <c r="E696" s="6" t="str">
        <f t="shared" si="645"/>
        <v>303001:30</v>
      </c>
      <c r="F696" s="11">
        <v>0</v>
      </c>
      <c r="G696" s="6">
        <v>11002</v>
      </c>
      <c r="H696" s="6" t="s">
        <v>407</v>
      </c>
      <c r="I696" s="6">
        <v>0</v>
      </c>
      <c r="K696" s="6" t="str">
        <f t="shared" si="643"/>
        <v>303001</v>
      </c>
      <c r="L696" s="13">
        <v>30</v>
      </c>
      <c r="M696" s="6" t="s">
        <v>553</v>
      </c>
      <c r="O696" s="13" t="str">
        <f t="shared" ref="O696:S696" si="693">O695</f>
        <v>1.15</v>
      </c>
      <c r="P696" s="13" t="str">
        <f t="shared" si="693"/>
        <v>1.15</v>
      </c>
      <c r="Q696" s="13" t="str">
        <f t="shared" si="693"/>
        <v>1.15</v>
      </c>
      <c r="R696" s="13" t="str">
        <f t="shared" si="693"/>
        <v>1.15</v>
      </c>
      <c r="S696" s="13" t="str">
        <f t="shared" si="693"/>
        <v>1.15</v>
      </c>
      <c r="T696" s="6" t="str">
        <f t="shared" si="644"/>
        <v>1|1.15#2|1.15#3|1.15#4|1.15#5|1.15</v>
      </c>
    </row>
    <row r="697" s="6" customFormat="1" ht="16.5" spans="1:20">
      <c r="A697" s="6">
        <v>1010703</v>
      </c>
      <c r="B697" s="6">
        <v>33001</v>
      </c>
      <c r="C697" s="6">
        <v>4</v>
      </c>
      <c r="D697" s="6">
        <v>0</v>
      </c>
      <c r="E697" s="6" t="str">
        <f t="shared" si="645"/>
        <v>303001:13</v>
      </c>
      <c r="F697" s="11" t="s">
        <v>379</v>
      </c>
      <c r="G697" s="6">
        <v>0</v>
      </c>
      <c r="H697" s="6">
        <v>0</v>
      </c>
      <c r="I697" s="6" t="s">
        <v>67</v>
      </c>
      <c r="K697" s="6" t="str">
        <f t="shared" si="643"/>
        <v>303001</v>
      </c>
      <c r="L697" s="4">
        <v>13</v>
      </c>
      <c r="M697" s="6" t="s">
        <v>557</v>
      </c>
      <c r="O697" s="15" t="str">
        <f>O696</f>
        <v>1.15</v>
      </c>
      <c r="P697" s="15" t="str">
        <f t="shared" ref="P697:S697" si="694">O697</f>
        <v>1.15</v>
      </c>
      <c r="Q697" s="15" t="str">
        <f t="shared" si="694"/>
        <v>1.15</v>
      </c>
      <c r="R697" s="15" t="str">
        <f>P697</f>
        <v>1.15</v>
      </c>
      <c r="S697" s="15" t="str">
        <f t="shared" si="694"/>
        <v>1.15</v>
      </c>
      <c r="T697" s="6" t="str">
        <f t="shared" si="644"/>
        <v>1|1.15#2|1.15#3|1.15#4|1.15#5|1.15</v>
      </c>
    </row>
    <row r="698" s="6" customFormat="1" ht="16.5" spans="1:20">
      <c r="A698" s="6">
        <v>1010704</v>
      </c>
      <c r="B698" s="6">
        <v>33001</v>
      </c>
      <c r="C698" s="6">
        <v>4</v>
      </c>
      <c r="D698" s="6">
        <v>1</v>
      </c>
      <c r="E698" s="6" t="str">
        <f t="shared" si="645"/>
        <v>303001:13</v>
      </c>
      <c r="F698" s="11" t="s">
        <v>381</v>
      </c>
      <c r="G698" s="6">
        <v>0</v>
      </c>
      <c r="H698" s="6">
        <v>0</v>
      </c>
      <c r="I698" s="6" t="s">
        <v>69</v>
      </c>
      <c r="K698" s="6" t="str">
        <f t="shared" si="643"/>
        <v>303001</v>
      </c>
      <c r="L698" s="4">
        <v>13</v>
      </c>
      <c r="M698" s="6" t="s">
        <v>557</v>
      </c>
      <c r="O698" s="13" t="str">
        <f t="shared" ref="O698:O702" si="695">RIGHT(F698,LEN(F698)-2)</f>
        <v>1.2</v>
      </c>
      <c r="P698" s="13" t="str">
        <f t="shared" ref="P698:S698" si="696">P697</f>
        <v>1.15</v>
      </c>
      <c r="Q698" s="13" t="str">
        <f t="shared" si="696"/>
        <v>1.15</v>
      </c>
      <c r="R698" s="13" t="str">
        <f t="shared" si="696"/>
        <v>1.15</v>
      </c>
      <c r="S698" s="13" t="str">
        <f t="shared" si="696"/>
        <v>1.15</v>
      </c>
      <c r="T698" s="6" t="str">
        <f t="shared" si="644"/>
        <v>1|1.2#2|1.15#3|1.15#4|1.15#5|1.15</v>
      </c>
    </row>
    <row r="699" s="6" customFormat="1" ht="16.5" spans="1:20">
      <c r="A699" s="6">
        <v>1010705</v>
      </c>
      <c r="B699" s="6">
        <v>33001</v>
      </c>
      <c r="C699" s="6">
        <v>4</v>
      </c>
      <c r="D699" s="6">
        <v>2</v>
      </c>
      <c r="E699" s="6" t="str">
        <f t="shared" si="645"/>
        <v>303001:13</v>
      </c>
      <c r="F699" s="11" t="s">
        <v>382</v>
      </c>
      <c r="G699" s="6">
        <v>0</v>
      </c>
      <c r="H699" s="6">
        <v>0</v>
      </c>
      <c r="I699" s="6" t="s">
        <v>71</v>
      </c>
      <c r="K699" s="6" t="str">
        <f t="shared" si="643"/>
        <v>303001</v>
      </c>
      <c r="L699" s="4">
        <v>13</v>
      </c>
      <c r="M699" s="6" t="s">
        <v>557</v>
      </c>
      <c r="O699" s="13" t="str">
        <f t="shared" si="695"/>
        <v>1.2</v>
      </c>
      <c r="P699" s="13" t="str">
        <f t="shared" ref="P699:P702" si="697">O699</f>
        <v>1.2</v>
      </c>
      <c r="Q699" s="13" t="str">
        <f t="shared" ref="Q699:S699" si="698">Q698</f>
        <v>1.15</v>
      </c>
      <c r="R699" s="13" t="str">
        <f t="shared" si="698"/>
        <v>1.15</v>
      </c>
      <c r="S699" s="13" t="str">
        <f t="shared" si="698"/>
        <v>1.15</v>
      </c>
      <c r="T699" s="6" t="str">
        <f t="shared" si="644"/>
        <v>1|1.2#2|1.2#3|1.15#4|1.15#5|1.15</v>
      </c>
    </row>
    <row r="700" s="6" customFormat="1" ht="16.5" spans="1:20">
      <c r="A700" s="6">
        <v>1010706</v>
      </c>
      <c r="B700" s="6">
        <v>33001</v>
      </c>
      <c r="C700" s="6">
        <v>4</v>
      </c>
      <c r="D700" s="6">
        <v>3</v>
      </c>
      <c r="E700" s="6" t="str">
        <f t="shared" si="645"/>
        <v>303001:17</v>
      </c>
      <c r="F700" s="11" t="s">
        <v>383</v>
      </c>
      <c r="G700" s="6">
        <v>0</v>
      </c>
      <c r="H700" s="6">
        <v>0</v>
      </c>
      <c r="I700" s="6" t="s">
        <v>73</v>
      </c>
      <c r="K700" s="6" t="str">
        <f t="shared" si="643"/>
        <v>303001</v>
      </c>
      <c r="L700" s="4">
        <v>17</v>
      </c>
      <c r="M700" s="6" t="s">
        <v>557</v>
      </c>
      <c r="O700" s="13" t="str">
        <f t="shared" si="695"/>
        <v>1.2</v>
      </c>
      <c r="P700" s="13" t="str">
        <f t="shared" si="697"/>
        <v>1.2</v>
      </c>
      <c r="Q700" s="13" t="str">
        <f t="shared" ref="Q700:Q702" si="699">P700</f>
        <v>1.2</v>
      </c>
      <c r="R700" s="13" t="str">
        <f>R699</f>
        <v>1.15</v>
      </c>
      <c r="S700" s="13" t="str">
        <f>S699</f>
        <v>1.15</v>
      </c>
      <c r="T700" s="6" t="str">
        <f t="shared" si="644"/>
        <v>1|1.2#2|1.2#3|1.2#4|1.15#5|1.15</v>
      </c>
    </row>
    <row r="701" s="6" customFormat="1" ht="16.5" spans="1:20">
      <c r="A701" s="6">
        <v>1010707</v>
      </c>
      <c r="B701" s="6">
        <v>33001</v>
      </c>
      <c r="C701" s="6">
        <v>4</v>
      </c>
      <c r="D701" s="6">
        <v>4</v>
      </c>
      <c r="E701" s="6" t="str">
        <f t="shared" si="645"/>
        <v>303001:17</v>
      </c>
      <c r="F701" s="11" t="s">
        <v>384</v>
      </c>
      <c r="G701" s="6">
        <v>0</v>
      </c>
      <c r="H701" s="6">
        <v>0</v>
      </c>
      <c r="I701" s="6" t="s">
        <v>75</v>
      </c>
      <c r="K701" s="6" t="str">
        <f t="shared" si="643"/>
        <v>303001</v>
      </c>
      <c r="L701" s="4">
        <v>17</v>
      </c>
      <c r="M701" s="6" t="s">
        <v>557</v>
      </c>
      <c r="O701" s="13" t="str">
        <f t="shared" si="695"/>
        <v>1.2</v>
      </c>
      <c r="P701" s="13" t="str">
        <f t="shared" si="697"/>
        <v>1.2</v>
      </c>
      <c r="Q701" s="13" t="str">
        <f t="shared" si="699"/>
        <v>1.2</v>
      </c>
      <c r="R701" s="13" t="str">
        <f>Q701</f>
        <v>1.2</v>
      </c>
      <c r="S701" s="13" t="str">
        <f>S700</f>
        <v>1.15</v>
      </c>
      <c r="T701" s="6" t="str">
        <f t="shared" si="644"/>
        <v>1|1.2#2|1.2#3|1.2#4|1.2#5|1.15</v>
      </c>
    </row>
    <row r="702" s="6" customFormat="1" ht="16.5" spans="1:20">
      <c r="A702" s="6">
        <v>1010708</v>
      </c>
      <c r="B702" s="6">
        <v>33001</v>
      </c>
      <c r="C702" s="6">
        <v>4</v>
      </c>
      <c r="D702" s="6">
        <v>5</v>
      </c>
      <c r="E702" s="6" t="str">
        <f t="shared" si="645"/>
        <v>303001:17</v>
      </c>
      <c r="F702" s="11" t="s">
        <v>385</v>
      </c>
      <c r="G702" s="6">
        <v>0</v>
      </c>
      <c r="H702" s="6">
        <v>0</v>
      </c>
      <c r="I702" s="6" t="s">
        <v>40</v>
      </c>
      <c r="K702" s="6" t="str">
        <f t="shared" si="643"/>
        <v>303001</v>
      </c>
      <c r="L702" s="4">
        <v>17</v>
      </c>
      <c r="M702" s="6" t="s">
        <v>267</v>
      </c>
      <c r="O702" s="13" t="str">
        <f t="shared" si="695"/>
        <v>1.2</v>
      </c>
      <c r="P702" s="13" t="str">
        <f t="shared" si="697"/>
        <v>1.2</v>
      </c>
      <c r="Q702" s="13" t="str">
        <f t="shared" si="699"/>
        <v>1.2</v>
      </c>
      <c r="R702" s="13" t="str">
        <f>Q702</f>
        <v>1.2</v>
      </c>
      <c r="S702" s="13" t="str">
        <f>R702</f>
        <v>1.2</v>
      </c>
      <c r="T702" s="6" t="str">
        <f t="shared" si="644"/>
        <v>1|1.2#2|1.2#3|1.2#4|1.2#5|1.2</v>
      </c>
    </row>
    <row r="703" s="6" customFormat="1" ht="16.5" spans="1:20">
      <c r="A703" s="6">
        <v>1010709</v>
      </c>
      <c r="B703" s="6">
        <v>33001</v>
      </c>
      <c r="C703" s="6">
        <v>4</v>
      </c>
      <c r="D703" s="6">
        <v>6</v>
      </c>
      <c r="E703" s="6" t="str">
        <f t="shared" si="645"/>
        <v>303001:60</v>
      </c>
      <c r="F703" s="11">
        <v>0</v>
      </c>
      <c r="G703" s="6">
        <v>11002</v>
      </c>
      <c r="H703" s="6" t="s">
        <v>407</v>
      </c>
      <c r="I703" s="6">
        <v>0</v>
      </c>
      <c r="K703" s="6" t="str">
        <f t="shared" si="643"/>
        <v>303001</v>
      </c>
      <c r="L703" s="13">
        <v>60</v>
      </c>
      <c r="M703" s="6" t="s">
        <v>553</v>
      </c>
      <c r="O703" s="13" t="str">
        <f t="shared" ref="O703:S703" si="700">O702</f>
        <v>1.2</v>
      </c>
      <c r="P703" s="13" t="str">
        <f t="shared" si="700"/>
        <v>1.2</v>
      </c>
      <c r="Q703" s="13" t="str">
        <f t="shared" si="700"/>
        <v>1.2</v>
      </c>
      <c r="R703" s="13" t="str">
        <f t="shared" si="700"/>
        <v>1.2</v>
      </c>
      <c r="S703" s="13" t="str">
        <f t="shared" si="700"/>
        <v>1.2</v>
      </c>
      <c r="T703" s="6" t="str">
        <f t="shared" si="644"/>
        <v>1|1.2#2|1.2#3|1.2#4|1.2#5|1.2</v>
      </c>
    </row>
    <row r="704" s="6" customFormat="1" ht="16.5" spans="1:20">
      <c r="A704" s="6">
        <v>1010710</v>
      </c>
      <c r="B704" s="6">
        <v>33001</v>
      </c>
      <c r="C704" s="6">
        <v>5</v>
      </c>
      <c r="D704" s="6">
        <v>0</v>
      </c>
      <c r="E704" s="6" t="str">
        <f t="shared" si="645"/>
        <v>303001:18</v>
      </c>
      <c r="F704" s="11" t="s">
        <v>386</v>
      </c>
      <c r="G704" s="6">
        <v>0</v>
      </c>
      <c r="H704" s="6">
        <v>0</v>
      </c>
      <c r="I704" s="6" t="s">
        <v>79</v>
      </c>
      <c r="K704" s="6" t="str">
        <f t="shared" si="643"/>
        <v>303001</v>
      </c>
      <c r="L704" s="4">
        <v>18</v>
      </c>
      <c r="M704" s="6" t="s">
        <v>558</v>
      </c>
      <c r="O704" s="15" t="str">
        <f>O703</f>
        <v>1.2</v>
      </c>
      <c r="P704" s="15" t="str">
        <f t="shared" ref="P704:S704" si="701">O704</f>
        <v>1.2</v>
      </c>
      <c r="Q704" s="15" t="str">
        <f t="shared" si="701"/>
        <v>1.2</v>
      </c>
      <c r="R704" s="15" t="str">
        <f>P704</f>
        <v>1.2</v>
      </c>
      <c r="S704" s="15" t="str">
        <f t="shared" si="701"/>
        <v>1.2</v>
      </c>
      <c r="T704" s="6" t="str">
        <f t="shared" si="644"/>
        <v>1|1.2#2|1.2#3|1.2#4|1.2#5|1.2</v>
      </c>
    </row>
    <row r="705" s="6" customFormat="1" ht="16.5" spans="1:20">
      <c r="A705" s="6">
        <v>1010711</v>
      </c>
      <c r="B705" s="6">
        <v>33001</v>
      </c>
      <c r="C705" s="6">
        <v>5</v>
      </c>
      <c r="D705" s="6">
        <v>1</v>
      </c>
      <c r="E705" s="6" t="str">
        <f t="shared" si="645"/>
        <v>303001:18</v>
      </c>
      <c r="F705" s="11" t="s">
        <v>388</v>
      </c>
      <c r="G705" s="6">
        <v>0</v>
      </c>
      <c r="H705" s="6">
        <v>0</v>
      </c>
      <c r="I705" s="6" t="s">
        <v>81</v>
      </c>
      <c r="K705" s="6" t="str">
        <f t="shared" si="643"/>
        <v>303001</v>
      </c>
      <c r="L705" s="4">
        <v>18</v>
      </c>
      <c r="M705" s="6" t="s">
        <v>558</v>
      </c>
      <c r="O705" s="13" t="str">
        <f t="shared" ref="O705:O709" si="702">RIGHT(F705,LEN(F705)-2)</f>
        <v>1.3</v>
      </c>
      <c r="P705" s="13" t="str">
        <f t="shared" ref="P705:S705" si="703">P704</f>
        <v>1.2</v>
      </c>
      <c r="Q705" s="13" t="str">
        <f t="shared" si="703"/>
        <v>1.2</v>
      </c>
      <c r="R705" s="13" t="str">
        <f t="shared" si="703"/>
        <v>1.2</v>
      </c>
      <c r="S705" s="13" t="str">
        <f t="shared" si="703"/>
        <v>1.2</v>
      </c>
      <c r="T705" s="6" t="str">
        <f t="shared" si="644"/>
        <v>1|1.3#2|1.2#3|1.2#4|1.2#5|1.2</v>
      </c>
    </row>
    <row r="706" s="6" customFormat="1" ht="16.5" spans="1:20">
      <c r="A706" s="6">
        <v>1010712</v>
      </c>
      <c r="B706" s="6">
        <v>33001</v>
      </c>
      <c r="C706" s="6">
        <v>5</v>
      </c>
      <c r="D706" s="6">
        <v>2</v>
      </c>
      <c r="E706" s="6" t="str">
        <f t="shared" si="645"/>
        <v>303001:18</v>
      </c>
      <c r="F706" s="11" t="s">
        <v>389</v>
      </c>
      <c r="G706" s="6">
        <v>0</v>
      </c>
      <c r="H706" s="6">
        <v>0</v>
      </c>
      <c r="I706" s="6" t="s">
        <v>83</v>
      </c>
      <c r="K706" s="6" t="str">
        <f t="shared" si="643"/>
        <v>303001</v>
      </c>
      <c r="L706" s="4">
        <v>18</v>
      </c>
      <c r="M706" s="6" t="s">
        <v>558</v>
      </c>
      <c r="O706" s="13" t="str">
        <f t="shared" si="702"/>
        <v>1.3</v>
      </c>
      <c r="P706" s="13" t="str">
        <f t="shared" ref="P706:P709" si="704">O706</f>
        <v>1.3</v>
      </c>
      <c r="Q706" s="13" t="str">
        <f t="shared" ref="Q706:S706" si="705">Q705</f>
        <v>1.2</v>
      </c>
      <c r="R706" s="13" t="str">
        <f t="shared" si="705"/>
        <v>1.2</v>
      </c>
      <c r="S706" s="13" t="str">
        <f t="shared" si="705"/>
        <v>1.2</v>
      </c>
      <c r="T706" s="6" t="str">
        <f t="shared" si="644"/>
        <v>1|1.3#2|1.3#3|1.2#4|1.2#5|1.2</v>
      </c>
    </row>
    <row r="707" s="6" customFormat="1" ht="16.5" spans="1:20">
      <c r="A707" s="6">
        <v>1010713</v>
      </c>
      <c r="B707" s="6">
        <v>33001</v>
      </c>
      <c r="C707" s="6">
        <v>5</v>
      </c>
      <c r="D707" s="6">
        <v>3</v>
      </c>
      <c r="E707" s="6" t="str">
        <f t="shared" si="645"/>
        <v>303001:22</v>
      </c>
      <c r="F707" s="11" t="s">
        <v>390</v>
      </c>
      <c r="G707" s="6">
        <v>0</v>
      </c>
      <c r="H707" s="6">
        <v>0</v>
      </c>
      <c r="I707" s="6" t="s">
        <v>85</v>
      </c>
      <c r="K707" s="6" t="str">
        <f t="shared" si="643"/>
        <v>303001</v>
      </c>
      <c r="L707" s="4">
        <v>22</v>
      </c>
      <c r="M707" s="6" t="s">
        <v>558</v>
      </c>
      <c r="O707" s="13" t="str">
        <f t="shared" si="702"/>
        <v>1.3</v>
      </c>
      <c r="P707" s="13" t="str">
        <f t="shared" si="704"/>
        <v>1.3</v>
      </c>
      <c r="Q707" s="13" t="str">
        <f t="shared" ref="Q707:Q709" si="706">P707</f>
        <v>1.3</v>
      </c>
      <c r="R707" s="13" t="str">
        <f>R706</f>
        <v>1.2</v>
      </c>
      <c r="S707" s="13" t="str">
        <f>S706</f>
        <v>1.2</v>
      </c>
      <c r="T707" s="6" t="str">
        <f t="shared" si="644"/>
        <v>1|1.3#2|1.3#3|1.3#4|1.2#5|1.2</v>
      </c>
    </row>
    <row r="708" s="6" customFormat="1" ht="16.5" spans="1:20">
      <c r="A708" s="6">
        <v>1010714</v>
      </c>
      <c r="B708" s="6">
        <v>33001</v>
      </c>
      <c r="C708" s="6">
        <v>5</v>
      </c>
      <c r="D708" s="6">
        <v>4</v>
      </c>
      <c r="E708" s="6" t="str">
        <f t="shared" si="645"/>
        <v>303001:22</v>
      </c>
      <c r="F708" s="11" t="s">
        <v>391</v>
      </c>
      <c r="G708" s="6">
        <v>0</v>
      </c>
      <c r="H708" s="6">
        <v>0</v>
      </c>
      <c r="I708" s="6" t="s">
        <v>87</v>
      </c>
      <c r="K708" s="6" t="str">
        <f t="shared" si="643"/>
        <v>303001</v>
      </c>
      <c r="L708" s="4">
        <v>22</v>
      </c>
      <c r="M708" s="6" t="s">
        <v>558</v>
      </c>
      <c r="O708" s="13" t="str">
        <f t="shared" si="702"/>
        <v>1.3</v>
      </c>
      <c r="P708" s="13" t="str">
        <f t="shared" si="704"/>
        <v>1.3</v>
      </c>
      <c r="Q708" s="13" t="str">
        <f t="shared" si="706"/>
        <v>1.3</v>
      </c>
      <c r="R708" s="13" t="str">
        <f>Q708</f>
        <v>1.3</v>
      </c>
      <c r="S708" s="13" t="str">
        <f>S707</f>
        <v>1.2</v>
      </c>
      <c r="T708" s="6" t="str">
        <f t="shared" si="644"/>
        <v>1|1.3#2|1.3#3|1.3#4|1.3#5|1.2</v>
      </c>
    </row>
    <row r="709" s="6" customFormat="1" ht="16.5" spans="1:20">
      <c r="A709" s="6">
        <v>1010715</v>
      </c>
      <c r="B709" s="6">
        <v>33001</v>
      </c>
      <c r="C709" s="6">
        <v>5</v>
      </c>
      <c r="D709" s="6">
        <v>5</v>
      </c>
      <c r="E709" s="6" t="str">
        <f t="shared" si="645"/>
        <v>303001:22</v>
      </c>
      <c r="F709" s="11" t="s">
        <v>392</v>
      </c>
      <c r="G709" s="6">
        <v>0</v>
      </c>
      <c r="H709" s="6">
        <v>0</v>
      </c>
      <c r="I709" s="6" t="s">
        <v>40</v>
      </c>
      <c r="K709" s="6" t="str">
        <f t="shared" ref="K709:K772" si="707">LEFT(M709,6)</f>
        <v>303001</v>
      </c>
      <c r="L709" s="4">
        <v>22</v>
      </c>
      <c r="M709" s="6" t="s">
        <v>559</v>
      </c>
      <c r="O709" s="13" t="str">
        <f t="shared" si="702"/>
        <v>1.3</v>
      </c>
      <c r="P709" s="13" t="str">
        <f t="shared" si="704"/>
        <v>1.3</v>
      </c>
      <c r="Q709" s="13" t="str">
        <f t="shared" si="706"/>
        <v>1.3</v>
      </c>
      <c r="R709" s="13" t="str">
        <f>Q709</f>
        <v>1.3</v>
      </c>
      <c r="S709" s="13" t="str">
        <f>R709</f>
        <v>1.3</v>
      </c>
      <c r="T709" s="6" t="str">
        <f t="shared" ref="T709:T772" si="708">$O$2&amp;$P$3&amp;O709&amp;$O$1&amp;$P$2&amp;$P$3&amp;P709&amp;$O$1&amp;$Q$2&amp;$P$3&amp;Q709&amp;$O$1&amp;$R$2&amp;$P$3&amp;R709&amp;$O$1&amp;$S$2&amp;$P$3&amp;S709</f>
        <v>1|1.3#2|1.3#3|1.3#4|1.3#5|1.3</v>
      </c>
    </row>
    <row r="710" s="6" customFormat="1" ht="16.5" spans="1:20">
      <c r="A710" s="6">
        <v>1010716</v>
      </c>
      <c r="B710" s="6">
        <v>33001</v>
      </c>
      <c r="C710" s="6">
        <v>5</v>
      </c>
      <c r="D710" s="6">
        <v>6</v>
      </c>
      <c r="E710" s="6" t="str">
        <f t="shared" ref="E710:E773" si="709">K710&amp;$K$3&amp;L710</f>
        <v>303001:60</v>
      </c>
      <c r="F710" s="11">
        <v>0</v>
      </c>
      <c r="G710" s="6">
        <v>11002</v>
      </c>
      <c r="H710" s="6" t="s">
        <v>407</v>
      </c>
      <c r="I710" s="6">
        <v>0</v>
      </c>
      <c r="K710" s="6" t="str">
        <f t="shared" si="707"/>
        <v>303001</v>
      </c>
      <c r="L710" s="13">
        <v>60</v>
      </c>
      <c r="M710" s="6" t="s">
        <v>553</v>
      </c>
      <c r="O710" s="13" t="str">
        <f t="shared" ref="O710:S710" si="710">O709</f>
        <v>1.3</v>
      </c>
      <c r="P710" s="13" t="str">
        <f t="shared" si="710"/>
        <v>1.3</v>
      </c>
      <c r="Q710" s="13" t="str">
        <f t="shared" si="710"/>
        <v>1.3</v>
      </c>
      <c r="R710" s="13" t="str">
        <f t="shared" si="710"/>
        <v>1.3</v>
      </c>
      <c r="S710" s="13" t="str">
        <f t="shared" si="710"/>
        <v>1.3</v>
      </c>
      <c r="T710" s="6" t="str">
        <f t="shared" si="708"/>
        <v>1|1.3#2|1.3#3|1.3#4|1.3#5|1.3</v>
      </c>
    </row>
    <row r="711" s="6" customFormat="1" ht="16.5" spans="1:20">
      <c r="A711" s="6">
        <v>1010717</v>
      </c>
      <c r="B711" s="6">
        <v>33001</v>
      </c>
      <c r="C711" s="6">
        <v>6</v>
      </c>
      <c r="D711" s="6">
        <v>0</v>
      </c>
      <c r="E711" s="6" t="str">
        <f t="shared" si="709"/>
        <v>303001:24</v>
      </c>
      <c r="F711" s="11" t="s">
        <v>394</v>
      </c>
      <c r="G711" s="6">
        <v>0</v>
      </c>
      <c r="H711" s="6">
        <v>0</v>
      </c>
      <c r="I711" s="6" t="s">
        <v>90</v>
      </c>
      <c r="K711" s="6" t="str">
        <f t="shared" si="707"/>
        <v>303001</v>
      </c>
      <c r="L711" s="4">
        <v>24</v>
      </c>
      <c r="M711" s="6" t="s">
        <v>560</v>
      </c>
      <c r="O711" s="15" t="str">
        <f>O710</f>
        <v>1.3</v>
      </c>
      <c r="P711" s="15" t="str">
        <f t="shared" ref="P711:S711" si="711">O711</f>
        <v>1.3</v>
      </c>
      <c r="Q711" s="15" t="str">
        <f t="shared" si="711"/>
        <v>1.3</v>
      </c>
      <c r="R711" s="15" t="str">
        <f>P711</f>
        <v>1.3</v>
      </c>
      <c r="S711" s="15" t="str">
        <f t="shared" si="711"/>
        <v>1.3</v>
      </c>
      <c r="T711" s="6" t="str">
        <f t="shared" si="708"/>
        <v>1|1.3#2|1.3#3|1.3#4|1.3#5|1.3</v>
      </c>
    </row>
    <row r="712" s="6" customFormat="1" ht="16.5" spans="1:20">
      <c r="A712" s="6">
        <v>1010718</v>
      </c>
      <c r="B712" s="6">
        <v>33001</v>
      </c>
      <c r="C712" s="6">
        <v>6</v>
      </c>
      <c r="D712" s="6">
        <v>1</v>
      </c>
      <c r="E712" s="6" t="str">
        <f t="shared" si="709"/>
        <v>303001:24</v>
      </c>
      <c r="F712" s="11" t="s">
        <v>396</v>
      </c>
      <c r="G712" s="6">
        <v>0</v>
      </c>
      <c r="H712" s="6">
        <v>0</v>
      </c>
      <c r="I712" s="6" t="s">
        <v>92</v>
      </c>
      <c r="K712" s="6" t="str">
        <f t="shared" si="707"/>
        <v>303001</v>
      </c>
      <c r="L712" s="4">
        <v>24</v>
      </c>
      <c r="M712" s="6" t="s">
        <v>560</v>
      </c>
      <c r="O712" s="13" t="str">
        <f t="shared" ref="O712:O716" si="712">RIGHT(F712,LEN(F712)-2)</f>
        <v>1.4</v>
      </c>
      <c r="P712" s="13" t="str">
        <f t="shared" ref="P712:S712" si="713">P711</f>
        <v>1.3</v>
      </c>
      <c r="Q712" s="13" t="str">
        <f t="shared" si="713"/>
        <v>1.3</v>
      </c>
      <c r="R712" s="13" t="str">
        <f t="shared" si="713"/>
        <v>1.3</v>
      </c>
      <c r="S712" s="13" t="str">
        <f t="shared" si="713"/>
        <v>1.3</v>
      </c>
      <c r="T712" s="6" t="str">
        <f t="shared" si="708"/>
        <v>1|1.4#2|1.3#3|1.3#4|1.3#5|1.3</v>
      </c>
    </row>
    <row r="713" s="6" customFormat="1" ht="16.5" spans="1:20">
      <c r="A713" s="6">
        <v>1010719</v>
      </c>
      <c r="B713" s="6">
        <v>33001</v>
      </c>
      <c r="C713" s="6">
        <v>6</v>
      </c>
      <c r="D713" s="6">
        <v>2</v>
      </c>
      <c r="E713" s="6" t="str">
        <f t="shared" si="709"/>
        <v>303001:24</v>
      </c>
      <c r="F713" s="11" t="s">
        <v>397</v>
      </c>
      <c r="G713" s="6">
        <v>0</v>
      </c>
      <c r="H713" s="6">
        <v>0</v>
      </c>
      <c r="I713" s="6" t="s">
        <v>94</v>
      </c>
      <c r="K713" s="6" t="str">
        <f t="shared" si="707"/>
        <v>303001</v>
      </c>
      <c r="L713" s="4">
        <v>24</v>
      </c>
      <c r="M713" s="6" t="s">
        <v>560</v>
      </c>
      <c r="O713" s="13" t="str">
        <f t="shared" si="712"/>
        <v>1.4</v>
      </c>
      <c r="P713" s="13" t="str">
        <f t="shared" ref="P713:P716" si="714">O713</f>
        <v>1.4</v>
      </c>
      <c r="Q713" s="13" t="str">
        <f t="shared" ref="Q713:S713" si="715">Q712</f>
        <v>1.3</v>
      </c>
      <c r="R713" s="13" t="str">
        <f t="shared" si="715"/>
        <v>1.3</v>
      </c>
      <c r="S713" s="13" t="str">
        <f t="shared" si="715"/>
        <v>1.3</v>
      </c>
      <c r="T713" s="6" t="str">
        <f t="shared" si="708"/>
        <v>1|1.4#2|1.4#3|1.3#4|1.3#5|1.3</v>
      </c>
    </row>
    <row r="714" s="6" customFormat="1" ht="16.5" spans="1:20">
      <c r="A714" s="6">
        <v>1010720</v>
      </c>
      <c r="B714" s="6">
        <v>33001</v>
      </c>
      <c r="C714" s="6">
        <v>6</v>
      </c>
      <c r="D714" s="6">
        <v>3</v>
      </c>
      <c r="E714" s="6" t="str">
        <f t="shared" si="709"/>
        <v>303001:24</v>
      </c>
      <c r="F714" s="11" t="s">
        <v>398</v>
      </c>
      <c r="G714" s="6">
        <v>0</v>
      </c>
      <c r="H714" s="6">
        <v>0</v>
      </c>
      <c r="I714" s="6" t="s">
        <v>96</v>
      </c>
      <c r="K714" s="6" t="str">
        <f t="shared" si="707"/>
        <v>303001</v>
      </c>
      <c r="L714" s="4">
        <v>24</v>
      </c>
      <c r="M714" s="6" t="s">
        <v>560</v>
      </c>
      <c r="O714" s="13" t="str">
        <f t="shared" si="712"/>
        <v>1.4</v>
      </c>
      <c r="P714" s="13" t="str">
        <f t="shared" si="714"/>
        <v>1.4</v>
      </c>
      <c r="Q714" s="13" t="str">
        <f t="shared" ref="Q714:Q716" si="716">P714</f>
        <v>1.4</v>
      </c>
      <c r="R714" s="13" t="str">
        <f>R713</f>
        <v>1.3</v>
      </c>
      <c r="S714" s="13" t="str">
        <f t="shared" ref="S714:S721" si="717">S713</f>
        <v>1.3</v>
      </c>
      <c r="T714" s="6" t="str">
        <f t="shared" si="708"/>
        <v>1|1.4#2|1.4#3|1.4#4|1.3#5|1.3</v>
      </c>
    </row>
    <row r="715" s="6" customFormat="1" ht="16.5" spans="1:20">
      <c r="A715" s="6">
        <v>1010721</v>
      </c>
      <c r="B715" s="6">
        <v>33001</v>
      </c>
      <c r="C715" s="6">
        <v>6</v>
      </c>
      <c r="D715" s="6">
        <v>4</v>
      </c>
      <c r="E715" s="6" t="str">
        <f t="shared" si="709"/>
        <v>303001:24</v>
      </c>
      <c r="F715" s="11" t="s">
        <v>399</v>
      </c>
      <c r="G715" s="6">
        <v>0</v>
      </c>
      <c r="H715" s="6">
        <v>0</v>
      </c>
      <c r="I715" s="6" t="s">
        <v>98</v>
      </c>
      <c r="K715" s="6" t="str">
        <f t="shared" si="707"/>
        <v>303001</v>
      </c>
      <c r="L715" s="4">
        <v>24</v>
      </c>
      <c r="M715" s="6" t="s">
        <v>560</v>
      </c>
      <c r="O715" s="13" t="str">
        <f t="shared" si="712"/>
        <v>1.4</v>
      </c>
      <c r="P715" s="13" t="str">
        <f t="shared" si="714"/>
        <v>1.4</v>
      </c>
      <c r="Q715" s="13" t="str">
        <f t="shared" si="716"/>
        <v>1.4</v>
      </c>
      <c r="R715" s="13" t="str">
        <f>Q715</f>
        <v>1.4</v>
      </c>
      <c r="S715" s="13" t="str">
        <f t="shared" si="717"/>
        <v>1.3</v>
      </c>
      <c r="T715" s="6" t="str">
        <f t="shared" si="708"/>
        <v>1|1.4#2|1.4#3|1.4#4|1.4#5|1.3</v>
      </c>
    </row>
    <row r="716" s="6" customFormat="1" ht="16.5" spans="1:20">
      <c r="A716" s="6">
        <v>1010722</v>
      </c>
      <c r="B716" s="6">
        <v>33001</v>
      </c>
      <c r="C716" s="6">
        <v>6</v>
      </c>
      <c r="D716" s="6">
        <v>5</v>
      </c>
      <c r="E716" s="6" t="str">
        <f t="shared" si="709"/>
        <v>303001:60</v>
      </c>
      <c r="F716" s="11" t="s">
        <v>400</v>
      </c>
      <c r="G716" s="6">
        <v>0</v>
      </c>
      <c r="H716" s="6">
        <v>0</v>
      </c>
      <c r="I716" s="6" t="s">
        <v>40</v>
      </c>
      <c r="K716" s="6" t="str">
        <f t="shared" si="707"/>
        <v>303001</v>
      </c>
      <c r="L716" s="4">
        <v>60</v>
      </c>
      <c r="M716" s="6" t="s">
        <v>559</v>
      </c>
      <c r="O716" s="13" t="str">
        <f t="shared" si="712"/>
        <v>1.4</v>
      </c>
      <c r="P716" s="13" t="str">
        <f t="shared" si="714"/>
        <v>1.4</v>
      </c>
      <c r="Q716" s="13" t="str">
        <f t="shared" si="716"/>
        <v>1.4</v>
      </c>
      <c r="R716" s="13" t="str">
        <f>Q716</f>
        <v>1.4</v>
      </c>
      <c r="S716" s="13" t="str">
        <f>R716</f>
        <v>1.4</v>
      </c>
      <c r="T716" s="6" t="str">
        <f t="shared" si="708"/>
        <v>1|1.4#2|1.4#3|1.4#4|1.4#5|1.4</v>
      </c>
    </row>
    <row r="717" s="6" customFormat="1" ht="16.5" spans="1:20">
      <c r="A717" s="6">
        <v>1010723</v>
      </c>
      <c r="B717" s="6">
        <v>33001</v>
      </c>
      <c r="C717" s="6">
        <v>6</v>
      </c>
      <c r="D717" s="6">
        <v>6</v>
      </c>
      <c r="E717" s="6" t="str">
        <f t="shared" si="709"/>
        <v>303001:0</v>
      </c>
      <c r="F717" s="11">
        <v>0</v>
      </c>
      <c r="G717" s="6">
        <v>11002</v>
      </c>
      <c r="H717" s="6" t="s">
        <v>407</v>
      </c>
      <c r="I717" s="6">
        <v>0</v>
      </c>
      <c r="K717" s="6" t="str">
        <f t="shared" si="707"/>
        <v>303001</v>
      </c>
      <c r="L717" s="4">
        <v>0</v>
      </c>
      <c r="M717" s="6" t="s">
        <v>553</v>
      </c>
      <c r="O717" s="13" t="str">
        <f t="shared" ref="O717:S717" si="718">O716</f>
        <v>1.4</v>
      </c>
      <c r="P717" s="13" t="str">
        <f t="shared" si="718"/>
        <v>1.4</v>
      </c>
      <c r="Q717" s="13" t="str">
        <f t="shared" si="718"/>
        <v>1.4</v>
      </c>
      <c r="R717" s="13" t="str">
        <f t="shared" si="718"/>
        <v>1.4</v>
      </c>
      <c r="S717" s="13" t="str">
        <f t="shared" si="718"/>
        <v>1.4</v>
      </c>
      <c r="T717" s="6" t="str">
        <f t="shared" si="708"/>
        <v>1|1.4#2|1.4#3|1.4#4|1.4#5|1.4</v>
      </c>
    </row>
    <row r="718" s="6" customFormat="1" ht="16.5" spans="1:20">
      <c r="A718" s="6">
        <v>1010724</v>
      </c>
      <c r="B718" s="6">
        <v>34001</v>
      </c>
      <c r="C718" s="6">
        <v>1</v>
      </c>
      <c r="D718" s="6">
        <v>0</v>
      </c>
      <c r="E718" s="6" t="str">
        <f t="shared" si="709"/>
        <v>304001:2</v>
      </c>
      <c r="F718" s="11" t="s">
        <v>356</v>
      </c>
      <c r="G718" s="6">
        <v>0</v>
      </c>
      <c r="H718" s="6">
        <v>0</v>
      </c>
      <c r="I718" s="6" t="s">
        <v>25</v>
      </c>
      <c r="K718" s="6" t="str">
        <f t="shared" si="707"/>
        <v>304001</v>
      </c>
      <c r="L718" s="4">
        <v>2</v>
      </c>
      <c r="M718" s="6" t="s">
        <v>561</v>
      </c>
      <c r="O718" s="13">
        <v>1</v>
      </c>
      <c r="P718" s="13">
        <f t="shared" ref="P718:S718" si="719">O718</f>
        <v>1</v>
      </c>
      <c r="Q718" s="13">
        <f t="shared" si="719"/>
        <v>1</v>
      </c>
      <c r="R718" s="13">
        <f>P718</f>
        <v>1</v>
      </c>
      <c r="S718" s="13">
        <f t="shared" si="719"/>
        <v>1</v>
      </c>
      <c r="T718" s="6" t="str">
        <f t="shared" si="708"/>
        <v>1|1#2|1#3|1#4|1#5|1</v>
      </c>
    </row>
    <row r="719" s="6" customFormat="1" ht="16.5" spans="1:20">
      <c r="A719" s="6">
        <v>1010725</v>
      </c>
      <c r="B719" s="6">
        <v>34001</v>
      </c>
      <c r="C719" s="6">
        <v>1</v>
      </c>
      <c r="D719" s="6">
        <v>1</v>
      </c>
      <c r="E719" s="6" t="str">
        <f t="shared" si="709"/>
        <v>304001:2</v>
      </c>
      <c r="F719" s="11" t="s">
        <v>358</v>
      </c>
      <c r="G719" s="6">
        <v>0</v>
      </c>
      <c r="H719" s="6">
        <v>0</v>
      </c>
      <c r="I719" s="6" t="s">
        <v>28</v>
      </c>
      <c r="K719" s="6" t="str">
        <f t="shared" si="707"/>
        <v>304001</v>
      </c>
      <c r="L719" s="4">
        <v>2</v>
      </c>
      <c r="M719" s="6" t="s">
        <v>561</v>
      </c>
      <c r="O719" s="13" t="str">
        <f t="shared" ref="O719:O723" si="720">RIGHT(F719,LEN(F719)-2)</f>
        <v>1.05</v>
      </c>
      <c r="P719" s="13">
        <v>1</v>
      </c>
      <c r="Q719" s="13">
        <f>Q718</f>
        <v>1</v>
      </c>
      <c r="R719" s="13">
        <f>R718</f>
        <v>1</v>
      </c>
      <c r="S719" s="13">
        <f t="shared" si="717"/>
        <v>1</v>
      </c>
      <c r="T719" s="6" t="str">
        <f t="shared" si="708"/>
        <v>1|1.05#2|1#3|1#4|1#5|1</v>
      </c>
    </row>
    <row r="720" s="6" customFormat="1" ht="16.5" spans="1:20">
      <c r="A720" s="6">
        <v>1010726</v>
      </c>
      <c r="B720" s="6">
        <v>34001</v>
      </c>
      <c r="C720" s="6">
        <v>1</v>
      </c>
      <c r="D720" s="6">
        <v>2</v>
      </c>
      <c r="E720" s="6" t="str">
        <f t="shared" si="709"/>
        <v>304001:2</v>
      </c>
      <c r="F720" s="11" t="s">
        <v>359</v>
      </c>
      <c r="G720" s="6">
        <v>0</v>
      </c>
      <c r="H720" s="6">
        <v>0</v>
      </c>
      <c r="I720" s="6" t="s">
        <v>31</v>
      </c>
      <c r="K720" s="6" t="str">
        <f t="shared" si="707"/>
        <v>304001</v>
      </c>
      <c r="L720" s="4">
        <v>2</v>
      </c>
      <c r="M720" s="6" t="s">
        <v>561</v>
      </c>
      <c r="O720" s="13" t="str">
        <f t="shared" si="720"/>
        <v>1.05</v>
      </c>
      <c r="P720" s="13" t="str">
        <f t="shared" ref="P720:P723" si="721">O720</f>
        <v>1.05</v>
      </c>
      <c r="Q720" s="13">
        <v>1</v>
      </c>
      <c r="R720" s="13">
        <f>R719</f>
        <v>1</v>
      </c>
      <c r="S720" s="13">
        <f t="shared" si="717"/>
        <v>1</v>
      </c>
      <c r="T720" s="6" t="str">
        <f t="shared" si="708"/>
        <v>1|1.05#2|1.05#3|1#4|1#5|1</v>
      </c>
    </row>
    <row r="721" s="6" customFormat="1" ht="16.5" spans="1:20">
      <c r="A721" s="6">
        <v>1010727</v>
      </c>
      <c r="B721" s="6">
        <v>34001</v>
      </c>
      <c r="C721" s="6">
        <v>1</v>
      </c>
      <c r="D721" s="6">
        <v>3</v>
      </c>
      <c r="E721" s="6" t="str">
        <f t="shared" si="709"/>
        <v>304001:3</v>
      </c>
      <c r="F721" s="11" t="s">
        <v>360</v>
      </c>
      <c r="G721" s="6">
        <v>0</v>
      </c>
      <c r="H721" s="6">
        <v>0</v>
      </c>
      <c r="I721" s="6" t="s">
        <v>34</v>
      </c>
      <c r="K721" s="6" t="str">
        <f t="shared" si="707"/>
        <v>304001</v>
      </c>
      <c r="L721" s="4">
        <v>3</v>
      </c>
      <c r="M721" s="6" t="s">
        <v>561</v>
      </c>
      <c r="O721" s="13" t="str">
        <f t="shared" si="720"/>
        <v>1.05</v>
      </c>
      <c r="P721" s="13" t="str">
        <f t="shared" si="721"/>
        <v>1.05</v>
      </c>
      <c r="Q721" s="13" t="str">
        <f t="shared" ref="Q721:Q723" si="722">P721</f>
        <v>1.05</v>
      </c>
      <c r="R721" s="13">
        <v>1</v>
      </c>
      <c r="S721" s="13">
        <f t="shared" si="717"/>
        <v>1</v>
      </c>
      <c r="T721" s="6" t="str">
        <f t="shared" si="708"/>
        <v>1|1.05#2|1.05#3|1.05#4|1#5|1</v>
      </c>
    </row>
    <row r="722" s="6" customFormat="1" ht="16.5" spans="1:20">
      <c r="A722" s="6">
        <v>1010728</v>
      </c>
      <c r="B722" s="6">
        <v>34001</v>
      </c>
      <c r="C722" s="6">
        <v>1</v>
      </c>
      <c r="D722" s="6">
        <v>4</v>
      </c>
      <c r="E722" s="6" t="str">
        <f t="shared" si="709"/>
        <v>304001:3</v>
      </c>
      <c r="F722" s="11" t="s">
        <v>361</v>
      </c>
      <c r="G722" s="6">
        <v>0</v>
      </c>
      <c r="H722" s="6">
        <v>0</v>
      </c>
      <c r="I722" s="6" t="s">
        <v>37</v>
      </c>
      <c r="K722" s="6" t="str">
        <f t="shared" si="707"/>
        <v>304001</v>
      </c>
      <c r="L722" s="4">
        <v>3</v>
      </c>
      <c r="M722" s="6" t="s">
        <v>561</v>
      </c>
      <c r="O722" s="13" t="str">
        <f t="shared" si="720"/>
        <v>1.05</v>
      </c>
      <c r="P722" s="13" t="str">
        <f t="shared" si="721"/>
        <v>1.05</v>
      </c>
      <c r="Q722" s="13" t="str">
        <f t="shared" si="722"/>
        <v>1.05</v>
      </c>
      <c r="R722" s="13" t="str">
        <f>Q722</f>
        <v>1.05</v>
      </c>
      <c r="S722" s="13">
        <v>1</v>
      </c>
      <c r="T722" s="6" t="str">
        <f t="shared" si="708"/>
        <v>1|1.05#2|1.05#3|1.05#4|1.05#5|1</v>
      </c>
    </row>
    <row r="723" s="6" customFormat="1" ht="16.5" spans="1:20">
      <c r="A723" s="6">
        <v>1010729</v>
      </c>
      <c r="B723" s="6">
        <v>34001</v>
      </c>
      <c r="C723" s="6">
        <v>1</v>
      </c>
      <c r="D723" s="6">
        <v>5</v>
      </c>
      <c r="E723" s="6" t="str">
        <f t="shared" si="709"/>
        <v>304001:3</v>
      </c>
      <c r="F723" s="11" t="s">
        <v>362</v>
      </c>
      <c r="G723" s="6">
        <v>0</v>
      </c>
      <c r="H723" s="6">
        <v>0</v>
      </c>
      <c r="I723" s="6" t="s">
        <v>40</v>
      </c>
      <c r="K723" s="6" t="str">
        <f t="shared" si="707"/>
        <v>304001</v>
      </c>
      <c r="L723" s="4">
        <v>3</v>
      </c>
      <c r="M723" s="6" t="s">
        <v>562</v>
      </c>
      <c r="O723" s="13" t="str">
        <f t="shared" si="720"/>
        <v>1.05</v>
      </c>
      <c r="P723" s="13" t="str">
        <f t="shared" si="721"/>
        <v>1.05</v>
      </c>
      <c r="Q723" s="13" t="str">
        <f t="shared" si="722"/>
        <v>1.05</v>
      </c>
      <c r="R723" s="13" t="str">
        <f>Q723</f>
        <v>1.05</v>
      </c>
      <c r="S723" s="13" t="str">
        <f>R723</f>
        <v>1.05</v>
      </c>
      <c r="T723" s="6" t="str">
        <f t="shared" si="708"/>
        <v>1|1.05#2|1.05#3|1.05#4|1.05#5|1.05</v>
      </c>
    </row>
    <row r="724" s="6" customFormat="1" ht="16.5" spans="1:20">
      <c r="A724" s="6">
        <v>1010730</v>
      </c>
      <c r="B724" s="6">
        <v>34001</v>
      </c>
      <c r="C724" s="6">
        <v>1</v>
      </c>
      <c r="D724" s="6">
        <v>6</v>
      </c>
      <c r="E724" s="6" t="str">
        <f t="shared" si="709"/>
        <v>304001:5</v>
      </c>
      <c r="F724" s="11">
        <v>0</v>
      </c>
      <c r="G724" s="6">
        <v>11002</v>
      </c>
      <c r="H724" s="6" t="s">
        <v>407</v>
      </c>
      <c r="I724" s="6">
        <v>0</v>
      </c>
      <c r="K724" s="6" t="str">
        <f t="shared" si="707"/>
        <v>304001</v>
      </c>
      <c r="L724" s="13">
        <v>5</v>
      </c>
      <c r="M724" s="6" t="s">
        <v>563</v>
      </c>
      <c r="O724" s="13" t="str">
        <f t="shared" ref="O724:S724" si="723">O723</f>
        <v>1.05</v>
      </c>
      <c r="P724" s="13" t="str">
        <f t="shared" si="723"/>
        <v>1.05</v>
      </c>
      <c r="Q724" s="13" t="str">
        <f t="shared" si="723"/>
        <v>1.05</v>
      </c>
      <c r="R724" s="13" t="str">
        <f t="shared" si="723"/>
        <v>1.05</v>
      </c>
      <c r="S724" s="13" t="str">
        <f t="shared" si="723"/>
        <v>1.05</v>
      </c>
      <c r="T724" s="6" t="str">
        <f t="shared" si="708"/>
        <v>1|1.05#2|1.05#3|1.05#4|1.05#5|1.05</v>
      </c>
    </row>
    <row r="725" s="6" customFormat="1" ht="16.5" spans="1:20">
      <c r="A725" s="6">
        <v>1010731</v>
      </c>
      <c r="B725" s="6">
        <v>34001</v>
      </c>
      <c r="C725" s="6">
        <v>2</v>
      </c>
      <c r="D725" s="6">
        <v>0</v>
      </c>
      <c r="E725" s="6" t="str">
        <f t="shared" si="709"/>
        <v>304001:5</v>
      </c>
      <c r="F725" s="11" t="s">
        <v>364</v>
      </c>
      <c r="G725" s="6">
        <v>0</v>
      </c>
      <c r="H725" s="6">
        <v>0</v>
      </c>
      <c r="I725" s="6" t="s">
        <v>43</v>
      </c>
      <c r="K725" s="6" t="str">
        <f t="shared" si="707"/>
        <v>304001</v>
      </c>
      <c r="L725" s="4">
        <v>5</v>
      </c>
      <c r="M725" s="6" t="s">
        <v>564</v>
      </c>
      <c r="O725" s="15" t="str">
        <f>O724</f>
        <v>1.05</v>
      </c>
      <c r="P725" s="15" t="str">
        <f t="shared" ref="P725:S725" si="724">O725</f>
        <v>1.05</v>
      </c>
      <c r="Q725" s="15" t="str">
        <f t="shared" si="724"/>
        <v>1.05</v>
      </c>
      <c r="R725" s="15" t="str">
        <f>P725</f>
        <v>1.05</v>
      </c>
      <c r="S725" s="15" t="str">
        <f t="shared" si="724"/>
        <v>1.05</v>
      </c>
      <c r="T725" s="6" t="str">
        <f t="shared" si="708"/>
        <v>1|1.05#2|1.05#3|1.05#4|1.05#5|1.05</v>
      </c>
    </row>
    <row r="726" s="6" customFormat="1" ht="16.5" spans="1:20">
      <c r="A726" s="6">
        <v>1010732</v>
      </c>
      <c r="B726" s="6">
        <v>34001</v>
      </c>
      <c r="C726" s="6">
        <v>2</v>
      </c>
      <c r="D726" s="6">
        <v>1</v>
      </c>
      <c r="E726" s="6" t="str">
        <f t="shared" si="709"/>
        <v>304001:5</v>
      </c>
      <c r="F726" s="11" t="s">
        <v>366</v>
      </c>
      <c r="G726" s="6">
        <v>0</v>
      </c>
      <c r="H726" s="6">
        <v>0</v>
      </c>
      <c r="I726" s="6" t="s">
        <v>45</v>
      </c>
      <c r="K726" s="6" t="str">
        <f t="shared" si="707"/>
        <v>304001</v>
      </c>
      <c r="L726" s="4">
        <v>5</v>
      </c>
      <c r="M726" s="6" t="s">
        <v>564</v>
      </c>
      <c r="O726" s="13" t="str">
        <f t="shared" ref="O726:O730" si="725">RIGHT(F726,LEN(F726)-2)</f>
        <v>1.1</v>
      </c>
      <c r="P726" s="13">
        <v>1.05</v>
      </c>
      <c r="Q726" s="13" t="str">
        <f t="shared" ref="Q726:S726" si="726">Q725</f>
        <v>1.05</v>
      </c>
      <c r="R726" s="13" t="str">
        <f t="shared" si="726"/>
        <v>1.05</v>
      </c>
      <c r="S726" s="13" t="str">
        <f t="shared" si="726"/>
        <v>1.05</v>
      </c>
      <c r="T726" s="6" t="str">
        <f t="shared" si="708"/>
        <v>1|1.1#2|1.05#3|1.05#4|1.05#5|1.05</v>
      </c>
    </row>
    <row r="727" s="6" customFormat="1" ht="16.5" spans="1:20">
      <c r="A727" s="6">
        <v>1010733</v>
      </c>
      <c r="B727" s="6">
        <v>34001</v>
      </c>
      <c r="C727" s="6">
        <v>2</v>
      </c>
      <c r="D727" s="6">
        <v>2</v>
      </c>
      <c r="E727" s="6" t="str">
        <f t="shared" si="709"/>
        <v>304001:5</v>
      </c>
      <c r="F727" s="11" t="s">
        <v>367</v>
      </c>
      <c r="G727" s="6">
        <v>0</v>
      </c>
      <c r="H727" s="6">
        <v>0</v>
      </c>
      <c r="I727" s="6" t="s">
        <v>47</v>
      </c>
      <c r="K727" s="6" t="str">
        <f t="shared" si="707"/>
        <v>304001</v>
      </c>
      <c r="L727" s="4">
        <v>5</v>
      </c>
      <c r="M727" s="6" t="s">
        <v>564</v>
      </c>
      <c r="O727" s="13" t="str">
        <f t="shared" si="725"/>
        <v>1.1</v>
      </c>
      <c r="P727" s="13" t="str">
        <f t="shared" ref="P727:P730" si="727">O727</f>
        <v>1.1</v>
      </c>
      <c r="Q727" s="13">
        <v>1.05</v>
      </c>
      <c r="R727" s="13" t="str">
        <f>R726</f>
        <v>1.05</v>
      </c>
      <c r="S727" s="13" t="str">
        <f>S726</f>
        <v>1.05</v>
      </c>
      <c r="T727" s="6" t="str">
        <f t="shared" si="708"/>
        <v>1|1.1#2|1.1#3|1.05#4|1.05#5|1.05</v>
      </c>
    </row>
    <row r="728" s="6" customFormat="1" ht="16.5" spans="1:20">
      <c r="A728" s="6">
        <v>1010734</v>
      </c>
      <c r="B728" s="6">
        <v>34001</v>
      </c>
      <c r="C728" s="6">
        <v>2</v>
      </c>
      <c r="D728" s="6">
        <v>3</v>
      </c>
      <c r="E728" s="6" t="str">
        <f t="shared" si="709"/>
        <v>304001:6</v>
      </c>
      <c r="F728" s="11" t="s">
        <v>368</v>
      </c>
      <c r="G728" s="6">
        <v>0</v>
      </c>
      <c r="H728" s="6">
        <v>0</v>
      </c>
      <c r="I728" s="6" t="s">
        <v>49</v>
      </c>
      <c r="K728" s="6" t="str">
        <f t="shared" si="707"/>
        <v>304001</v>
      </c>
      <c r="L728" s="4">
        <v>6</v>
      </c>
      <c r="M728" s="6" t="s">
        <v>564</v>
      </c>
      <c r="O728" s="13" t="str">
        <f t="shared" si="725"/>
        <v>1.1</v>
      </c>
      <c r="P728" s="13" t="str">
        <f t="shared" si="727"/>
        <v>1.1</v>
      </c>
      <c r="Q728" s="13" t="str">
        <f t="shared" ref="Q728:Q730" si="728">P728</f>
        <v>1.1</v>
      </c>
      <c r="R728" s="13">
        <v>1.05</v>
      </c>
      <c r="S728" s="13" t="str">
        <f>S727</f>
        <v>1.05</v>
      </c>
      <c r="T728" s="6" t="str">
        <f t="shared" si="708"/>
        <v>1|1.1#2|1.1#3|1.1#4|1.05#5|1.05</v>
      </c>
    </row>
    <row r="729" s="6" customFormat="1" ht="16.5" spans="1:20">
      <c r="A729" s="6">
        <v>1010735</v>
      </c>
      <c r="B729" s="6">
        <v>34001</v>
      </c>
      <c r="C729" s="6">
        <v>2</v>
      </c>
      <c r="D729" s="6">
        <v>4</v>
      </c>
      <c r="E729" s="6" t="str">
        <f t="shared" si="709"/>
        <v>304001:6</v>
      </c>
      <c r="F729" s="11" t="s">
        <v>369</v>
      </c>
      <c r="G729" s="6">
        <v>0</v>
      </c>
      <c r="H729" s="6">
        <v>0</v>
      </c>
      <c r="I729" s="6" t="s">
        <v>51</v>
      </c>
      <c r="K729" s="6" t="str">
        <f t="shared" si="707"/>
        <v>304001</v>
      </c>
      <c r="L729" s="4">
        <v>6</v>
      </c>
      <c r="M729" s="6" t="s">
        <v>564</v>
      </c>
      <c r="O729" s="13" t="str">
        <f t="shared" si="725"/>
        <v>1.1</v>
      </c>
      <c r="P729" s="13" t="str">
        <f t="shared" si="727"/>
        <v>1.1</v>
      </c>
      <c r="Q729" s="13" t="str">
        <f t="shared" si="728"/>
        <v>1.1</v>
      </c>
      <c r="R729" s="13" t="str">
        <f>Q729</f>
        <v>1.1</v>
      </c>
      <c r="S729" s="13">
        <v>1.05</v>
      </c>
      <c r="T729" s="6" t="str">
        <f t="shared" si="708"/>
        <v>1|1.1#2|1.1#3|1.1#4|1.1#5|1.05</v>
      </c>
    </row>
    <row r="730" s="6" customFormat="1" ht="16.5" spans="1:20">
      <c r="A730" s="6">
        <v>1010736</v>
      </c>
      <c r="B730" s="6">
        <v>34001</v>
      </c>
      <c r="C730" s="6">
        <v>2</v>
      </c>
      <c r="D730" s="6">
        <v>5</v>
      </c>
      <c r="E730" s="6" t="str">
        <f t="shared" si="709"/>
        <v>304001:6</v>
      </c>
      <c r="F730" s="11" t="s">
        <v>370</v>
      </c>
      <c r="G730" s="6">
        <v>0</v>
      </c>
      <c r="H730" s="6">
        <v>0</v>
      </c>
      <c r="I730" s="6" t="s">
        <v>40</v>
      </c>
      <c r="K730" s="6" t="str">
        <f t="shared" si="707"/>
        <v>304001</v>
      </c>
      <c r="L730" s="4">
        <v>6</v>
      </c>
      <c r="M730" s="6" t="s">
        <v>276</v>
      </c>
      <c r="O730" s="13" t="str">
        <f t="shared" si="725"/>
        <v>1.1</v>
      </c>
      <c r="P730" s="13" t="str">
        <f t="shared" si="727"/>
        <v>1.1</v>
      </c>
      <c r="Q730" s="13" t="str">
        <f t="shared" si="728"/>
        <v>1.1</v>
      </c>
      <c r="R730" s="13" t="str">
        <f>Q730</f>
        <v>1.1</v>
      </c>
      <c r="S730" s="13" t="str">
        <f>R730</f>
        <v>1.1</v>
      </c>
      <c r="T730" s="6" t="str">
        <f t="shared" si="708"/>
        <v>1|1.1#2|1.1#3|1.1#4|1.1#5|1.1</v>
      </c>
    </row>
    <row r="731" s="6" customFormat="1" ht="16.5" spans="1:20">
      <c r="A731" s="6">
        <v>1010737</v>
      </c>
      <c r="B731" s="6">
        <v>34001</v>
      </c>
      <c r="C731" s="6">
        <v>2</v>
      </c>
      <c r="D731" s="6">
        <v>6</v>
      </c>
      <c r="E731" s="6" t="str">
        <f t="shared" si="709"/>
        <v>304001:7</v>
      </c>
      <c r="F731" s="11">
        <v>0</v>
      </c>
      <c r="G731" s="6">
        <v>11002</v>
      </c>
      <c r="H731" s="6" t="s">
        <v>407</v>
      </c>
      <c r="I731" s="6">
        <v>0</v>
      </c>
      <c r="K731" s="6" t="str">
        <f t="shared" si="707"/>
        <v>304001</v>
      </c>
      <c r="L731" s="13">
        <v>7</v>
      </c>
      <c r="M731" s="6" t="s">
        <v>563</v>
      </c>
      <c r="O731" s="13" t="str">
        <f t="shared" ref="O731:S731" si="729">O730</f>
        <v>1.1</v>
      </c>
      <c r="P731" s="13" t="str">
        <f t="shared" si="729"/>
        <v>1.1</v>
      </c>
      <c r="Q731" s="13" t="str">
        <f t="shared" si="729"/>
        <v>1.1</v>
      </c>
      <c r="R731" s="13" t="str">
        <f t="shared" si="729"/>
        <v>1.1</v>
      </c>
      <c r="S731" s="13" t="str">
        <f t="shared" si="729"/>
        <v>1.1</v>
      </c>
      <c r="T731" s="6" t="str">
        <f t="shared" si="708"/>
        <v>1|1.1#2|1.1#3|1.1#4|1.1#5|1.1</v>
      </c>
    </row>
    <row r="732" s="6" customFormat="1" ht="16.5" spans="1:20">
      <c r="A732" s="6">
        <v>1010738</v>
      </c>
      <c r="B732" s="6">
        <v>34001</v>
      </c>
      <c r="C732" s="6">
        <v>3</v>
      </c>
      <c r="D732" s="6">
        <v>0</v>
      </c>
      <c r="E732" s="6" t="str">
        <f t="shared" si="709"/>
        <v>304001:9</v>
      </c>
      <c r="F732" s="11" t="s">
        <v>371</v>
      </c>
      <c r="G732" s="6">
        <v>0</v>
      </c>
      <c r="H732" s="6">
        <v>0</v>
      </c>
      <c r="I732" s="6" t="s">
        <v>55</v>
      </c>
      <c r="K732" s="6" t="str">
        <f t="shared" si="707"/>
        <v>304001</v>
      </c>
      <c r="L732" s="4">
        <v>9</v>
      </c>
      <c r="M732" s="6" t="s">
        <v>565</v>
      </c>
      <c r="O732" s="15" t="str">
        <f>O731</f>
        <v>1.1</v>
      </c>
      <c r="P732" s="15" t="str">
        <f t="shared" ref="P732:S732" si="730">O732</f>
        <v>1.1</v>
      </c>
      <c r="Q732" s="15" t="str">
        <f t="shared" si="730"/>
        <v>1.1</v>
      </c>
      <c r="R732" s="15" t="str">
        <f>P732</f>
        <v>1.1</v>
      </c>
      <c r="S732" s="15" t="str">
        <f t="shared" si="730"/>
        <v>1.1</v>
      </c>
      <c r="T732" s="6" t="str">
        <f t="shared" si="708"/>
        <v>1|1.1#2|1.1#3|1.1#4|1.1#5|1.1</v>
      </c>
    </row>
    <row r="733" s="6" customFormat="1" ht="16.5" spans="1:20">
      <c r="A733" s="6">
        <v>1010739</v>
      </c>
      <c r="B733" s="6">
        <v>34001</v>
      </c>
      <c r="C733" s="6">
        <v>3</v>
      </c>
      <c r="D733" s="6">
        <v>1</v>
      </c>
      <c r="E733" s="6" t="str">
        <f t="shared" si="709"/>
        <v>304001:9</v>
      </c>
      <c r="F733" s="11" t="s">
        <v>373</v>
      </c>
      <c r="G733" s="6">
        <v>0</v>
      </c>
      <c r="H733" s="6">
        <v>0</v>
      </c>
      <c r="I733" s="6" t="s">
        <v>57</v>
      </c>
      <c r="K733" s="6" t="str">
        <f t="shared" si="707"/>
        <v>304001</v>
      </c>
      <c r="L733" s="4">
        <v>9</v>
      </c>
      <c r="M733" s="6" t="s">
        <v>565</v>
      </c>
      <c r="O733" s="13" t="str">
        <f t="shared" ref="O733:O737" si="731">RIGHT(F733,LEN(F733)-2)</f>
        <v>1.15</v>
      </c>
      <c r="P733" s="13" t="str">
        <f t="shared" ref="P733:S733" si="732">P732</f>
        <v>1.1</v>
      </c>
      <c r="Q733" s="13" t="str">
        <f t="shared" si="732"/>
        <v>1.1</v>
      </c>
      <c r="R733" s="13" t="str">
        <f t="shared" si="732"/>
        <v>1.1</v>
      </c>
      <c r="S733" s="13" t="str">
        <f t="shared" si="732"/>
        <v>1.1</v>
      </c>
      <c r="T733" s="6" t="str">
        <f t="shared" si="708"/>
        <v>1|1.15#2|1.1#3|1.1#4|1.1#5|1.1</v>
      </c>
    </row>
    <row r="734" s="6" customFormat="1" ht="16.5" spans="1:20">
      <c r="A734" s="6">
        <v>1010740</v>
      </c>
      <c r="B734" s="6">
        <v>34001</v>
      </c>
      <c r="C734" s="6">
        <v>3</v>
      </c>
      <c r="D734" s="6">
        <v>2</v>
      </c>
      <c r="E734" s="6" t="str">
        <f t="shared" si="709"/>
        <v>304001:9</v>
      </c>
      <c r="F734" s="11" t="s">
        <v>374</v>
      </c>
      <c r="G734" s="6">
        <v>0</v>
      </c>
      <c r="H734" s="6">
        <v>0</v>
      </c>
      <c r="I734" s="6" t="s">
        <v>59</v>
      </c>
      <c r="K734" s="6" t="str">
        <f t="shared" si="707"/>
        <v>304001</v>
      </c>
      <c r="L734" s="4">
        <v>9</v>
      </c>
      <c r="M734" s="6" t="s">
        <v>565</v>
      </c>
      <c r="O734" s="13" t="str">
        <f t="shared" si="731"/>
        <v>1.15</v>
      </c>
      <c r="P734" s="13" t="str">
        <f t="shared" ref="P734:P737" si="733">O734</f>
        <v>1.15</v>
      </c>
      <c r="Q734" s="13" t="str">
        <f t="shared" ref="Q734:S734" si="734">Q733</f>
        <v>1.1</v>
      </c>
      <c r="R734" s="13" t="str">
        <f t="shared" si="734"/>
        <v>1.1</v>
      </c>
      <c r="S734" s="13" t="str">
        <f t="shared" si="734"/>
        <v>1.1</v>
      </c>
      <c r="T734" s="6" t="str">
        <f t="shared" si="708"/>
        <v>1|1.15#2|1.15#3|1.1#4|1.1#5|1.1</v>
      </c>
    </row>
    <row r="735" s="6" customFormat="1" ht="16.5" spans="1:20">
      <c r="A735" s="6">
        <v>1010741</v>
      </c>
      <c r="B735" s="6">
        <v>34001</v>
      </c>
      <c r="C735" s="6">
        <v>3</v>
      </c>
      <c r="D735" s="6">
        <v>3</v>
      </c>
      <c r="E735" s="6" t="str">
        <f t="shared" si="709"/>
        <v>304001:11</v>
      </c>
      <c r="F735" s="11" t="s">
        <v>375</v>
      </c>
      <c r="G735" s="6">
        <v>0</v>
      </c>
      <c r="H735" s="6">
        <v>0</v>
      </c>
      <c r="I735" s="6" t="s">
        <v>61</v>
      </c>
      <c r="K735" s="6" t="str">
        <f t="shared" si="707"/>
        <v>304001</v>
      </c>
      <c r="L735" s="4">
        <v>11</v>
      </c>
      <c r="M735" s="6" t="s">
        <v>565</v>
      </c>
      <c r="O735" s="13" t="str">
        <f t="shared" si="731"/>
        <v>1.15</v>
      </c>
      <c r="P735" s="13" t="str">
        <f t="shared" si="733"/>
        <v>1.15</v>
      </c>
      <c r="Q735" s="13" t="str">
        <f t="shared" ref="Q735:Q737" si="735">P735</f>
        <v>1.15</v>
      </c>
      <c r="R735" s="13" t="str">
        <f>R734</f>
        <v>1.1</v>
      </c>
      <c r="S735" s="13" t="str">
        <f>S734</f>
        <v>1.1</v>
      </c>
      <c r="T735" s="6" t="str">
        <f t="shared" si="708"/>
        <v>1|1.15#2|1.15#3|1.15#4|1.1#5|1.1</v>
      </c>
    </row>
    <row r="736" s="6" customFormat="1" ht="16.5" spans="1:20">
      <c r="A736" s="6">
        <v>1010742</v>
      </c>
      <c r="B736" s="6">
        <v>34001</v>
      </c>
      <c r="C736" s="6">
        <v>3</v>
      </c>
      <c r="D736" s="6">
        <v>4</v>
      </c>
      <c r="E736" s="6" t="str">
        <f t="shared" si="709"/>
        <v>304001:11</v>
      </c>
      <c r="F736" s="11" t="s">
        <v>376</v>
      </c>
      <c r="G736" s="6">
        <v>0</v>
      </c>
      <c r="H736" s="6">
        <v>0</v>
      </c>
      <c r="I736" s="6" t="s">
        <v>63</v>
      </c>
      <c r="K736" s="6" t="str">
        <f t="shared" si="707"/>
        <v>304001</v>
      </c>
      <c r="L736" s="4">
        <v>11</v>
      </c>
      <c r="M736" s="6" t="s">
        <v>565</v>
      </c>
      <c r="O736" s="13" t="str">
        <f t="shared" si="731"/>
        <v>1.15</v>
      </c>
      <c r="P736" s="13" t="str">
        <f t="shared" si="733"/>
        <v>1.15</v>
      </c>
      <c r="Q736" s="13" t="str">
        <f t="shared" si="735"/>
        <v>1.15</v>
      </c>
      <c r="R736" s="13" t="str">
        <f>Q736</f>
        <v>1.15</v>
      </c>
      <c r="S736" s="13" t="str">
        <f>S735</f>
        <v>1.1</v>
      </c>
      <c r="T736" s="6" t="str">
        <f t="shared" si="708"/>
        <v>1|1.15#2|1.15#3|1.15#4|1.15#5|1.1</v>
      </c>
    </row>
    <row r="737" s="6" customFormat="1" ht="16.5" spans="1:20">
      <c r="A737" s="6">
        <v>1010743</v>
      </c>
      <c r="B737" s="6">
        <v>34001</v>
      </c>
      <c r="C737" s="6">
        <v>3</v>
      </c>
      <c r="D737" s="6">
        <v>5</v>
      </c>
      <c r="E737" s="6" t="str">
        <f t="shared" si="709"/>
        <v>304001:11</v>
      </c>
      <c r="F737" s="11" t="s">
        <v>377</v>
      </c>
      <c r="G737" s="6">
        <v>0</v>
      </c>
      <c r="H737" s="6">
        <v>0</v>
      </c>
      <c r="I737" s="6" t="s">
        <v>40</v>
      </c>
      <c r="K737" s="6" t="str">
        <f t="shared" si="707"/>
        <v>304001</v>
      </c>
      <c r="L737" s="4">
        <v>11</v>
      </c>
      <c r="M737" s="6" t="s">
        <v>566</v>
      </c>
      <c r="O737" s="13" t="str">
        <f t="shared" si="731"/>
        <v>1.15</v>
      </c>
      <c r="P737" s="13" t="str">
        <f t="shared" si="733"/>
        <v>1.15</v>
      </c>
      <c r="Q737" s="13" t="str">
        <f t="shared" si="735"/>
        <v>1.15</v>
      </c>
      <c r="R737" s="13" t="str">
        <f>Q737</f>
        <v>1.15</v>
      </c>
      <c r="S737" s="13" t="str">
        <f>R737</f>
        <v>1.15</v>
      </c>
      <c r="T737" s="6" t="str">
        <f t="shared" si="708"/>
        <v>1|1.15#2|1.15#3|1.15#4|1.15#5|1.15</v>
      </c>
    </row>
    <row r="738" s="6" customFormat="1" ht="16.5" spans="1:20">
      <c r="A738" s="6">
        <v>1010744</v>
      </c>
      <c r="B738" s="6">
        <v>34001</v>
      </c>
      <c r="C738" s="6">
        <v>3</v>
      </c>
      <c r="D738" s="6">
        <v>6</v>
      </c>
      <c r="E738" s="6" t="str">
        <f t="shared" si="709"/>
        <v>304001:30</v>
      </c>
      <c r="F738" s="11">
        <v>0</v>
      </c>
      <c r="G738" s="6">
        <v>11002</v>
      </c>
      <c r="H738" s="6" t="s">
        <v>407</v>
      </c>
      <c r="I738" s="6">
        <v>0</v>
      </c>
      <c r="K738" s="6" t="str">
        <f t="shared" si="707"/>
        <v>304001</v>
      </c>
      <c r="L738" s="13">
        <v>30</v>
      </c>
      <c r="M738" s="6" t="s">
        <v>563</v>
      </c>
      <c r="O738" s="13" t="str">
        <f t="shared" ref="O738:S738" si="736">O737</f>
        <v>1.15</v>
      </c>
      <c r="P738" s="13" t="str">
        <f t="shared" si="736"/>
        <v>1.15</v>
      </c>
      <c r="Q738" s="13" t="str">
        <f t="shared" si="736"/>
        <v>1.15</v>
      </c>
      <c r="R738" s="13" t="str">
        <f t="shared" si="736"/>
        <v>1.15</v>
      </c>
      <c r="S738" s="13" t="str">
        <f t="shared" si="736"/>
        <v>1.15</v>
      </c>
      <c r="T738" s="6" t="str">
        <f t="shared" si="708"/>
        <v>1|1.15#2|1.15#3|1.15#4|1.15#5|1.15</v>
      </c>
    </row>
    <row r="739" s="6" customFormat="1" ht="16.5" spans="1:20">
      <c r="A739" s="6">
        <v>1010745</v>
      </c>
      <c r="B739" s="6">
        <v>34001</v>
      </c>
      <c r="C739" s="6">
        <v>4</v>
      </c>
      <c r="D739" s="6">
        <v>0</v>
      </c>
      <c r="E739" s="6" t="str">
        <f t="shared" si="709"/>
        <v>304001:13</v>
      </c>
      <c r="F739" s="11" t="s">
        <v>379</v>
      </c>
      <c r="G739" s="6">
        <v>0</v>
      </c>
      <c r="H739" s="6">
        <v>0</v>
      </c>
      <c r="I739" s="6" t="s">
        <v>67</v>
      </c>
      <c r="K739" s="6" t="str">
        <f t="shared" si="707"/>
        <v>304001</v>
      </c>
      <c r="L739" s="4">
        <v>13</v>
      </c>
      <c r="M739" s="6" t="s">
        <v>567</v>
      </c>
      <c r="O739" s="15" t="str">
        <f>O738</f>
        <v>1.15</v>
      </c>
      <c r="P739" s="15" t="str">
        <f t="shared" ref="P739:S739" si="737">O739</f>
        <v>1.15</v>
      </c>
      <c r="Q739" s="15" t="str">
        <f t="shared" si="737"/>
        <v>1.15</v>
      </c>
      <c r="R739" s="15" t="str">
        <f>P739</f>
        <v>1.15</v>
      </c>
      <c r="S739" s="15" t="str">
        <f t="shared" si="737"/>
        <v>1.15</v>
      </c>
      <c r="T739" s="6" t="str">
        <f t="shared" si="708"/>
        <v>1|1.15#2|1.15#3|1.15#4|1.15#5|1.15</v>
      </c>
    </row>
    <row r="740" s="6" customFormat="1" ht="16.5" spans="1:20">
      <c r="A740" s="6">
        <v>1010746</v>
      </c>
      <c r="B740" s="6">
        <v>34001</v>
      </c>
      <c r="C740" s="6">
        <v>4</v>
      </c>
      <c r="D740" s="6">
        <v>1</v>
      </c>
      <c r="E740" s="6" t="str">
        <f t="shared" si="709"/>
        <v>304001:13</v>
      </c>
      <c r="F740" s="11" t="s">
        <v>381</v>
      </c>
      <c r="G740" s="6">
        <v>0</v>
      </c>
      <c r="H740" s="6">
        <v>0</v>
      </c>
      <c r="I740" s="6" t="s">
        <v>69</v>
      </c>
      <c r="K740" s="6" t="str">
        <f t="shared" si="707"/>
        <v>304001</v>
      </c>
      <c r="L740" s="4">
        <v>13</v>
      </c>
      <c r="M740" s="6" t="s">
        <v>567</v>
      </c>
      <c r="O740" s="13" t="str">
        <f t="shared" ref="O740:O744" si="738">RIGHT(F740,LEN(F740)-2)</f>
        <v>1.2</v>
      </c>
      <c r="P740" s="13" t="str">
        <f t="shared" ref="P740:S740" si="739">P739</f>
        <v>1.15</v>
      </c>
      <c r="Q740" s="13" t="str">
        <f t="shared" si="739"/>
        <v>1.15</v>
      </c>
      <c r="R740" s="13" t="str">
        <f t="shared" si="739"/>
        <v>1.15</v>
      </c>
      <c r="S740" s="13" t="str">
        <f t="shared" si="739"/>
        <v>1.15</v>
      </c>
      <c r="T740" s="6" t="str">
        <f t="shared" si="708"/>
        <v>1|1.2#2|1.15#3|1.15#4|1.15#5|1.15</v>
      </c>
    </row>
    <row r="741" s="6" customFormat="1" ht="16.5" spans="1:20">
      <c r="A741" s="6">
        <v>1010747</v>
      </c>
      <c r="B741" s="6">
        <v>34001</v>
      </c>
      <c r="C741" s="6">
        <v>4</v>
      </c>
      <c r="D741" s="6">
        <v>2</v>
      </c>
      <c r="E741" s="6" t="str">
        <f t="shared" si="709"/>
        <v>304001:13</v>
      </c>
      <c r="F741" s="11" t="s">
        <v>382</v>
      </c>
      <c r="G741" s="6">
        <v>0</v>
      </c>
      <c r="H741" s="6">
        <v>0</v>
      </c>
      <c r="I741" s="6" t="s">
        <v>71</v>
      </c>
      <c r="K741" s="6" t="str">
        <f t="shared" si="707"/>
        <v>304001</v>
      </c>
      <c r="L741" s="4">
        <v>13</v>
      </c>
      <c r="M741" s="6" t="s">
        <v>567</v>
      </c>
      <c r="O741" s="13" t="str">
        <f t="shared" si="738"/>
        <v>1.2</v>
      </c>
      <c r="P741" s="13" t="str">
        <f t="shared" ref="P741:P744" si="740">O741</f>
        <v>1.2</v>
      </c>
      <c r="Q741" s="13" t="str">
        <f t="shared" ref="Q741:S741" si="741">Q740</f>
        <v>1.15</v>
      </c>
      <c r="R741" s="13" t="str">
        <f t="shared" si="741"/>
        <v>1.15</v>
      </c>
      <c r="S741" s="13" t="str">
        <f t="shared" si="741"/>
        <v>1.15</v>
      </c>
      <c r="T741" s="6" t="str">
        <f t="shared" si="708"/>
        <v>1|1.2#2|1.2#3|1.15#4|1.15#5|1.15</v>
      </c>
    </row>
    <row r="742" s="6" customFormat="1" ht="16.5" spans="1:20">
      <c r="A742" s="6">
        <v>1010748</v>
      </c>
      <c r="B742" s="6">
        <v>34001</v>
      </c>
      <c r="C742" s="6">
        <v>4</v>
      </c>
      <c r="D742" s="6">
        <v>3</v>
      </c>
      <c r="E742" s="6" t="str">
        <f t="shared" si="709"/>
        <v>304001:17</v>
      </c>
      <c r="F742" s="11" t="s">
        <v>383</v>
      </c>
      <c r="G742" s="6">
        <v>0</v>
      </c>
      <c r="H742" s="6">
        <v>0</v>
      </c>
      <c r="I742" s="6" t="s">
        <v>73</v>
      </c>
      <c r="K742" s="6" t="str">
        <f t="shared" si="707"/>
        <v>304001</v>
      </c>
      <c r="L742" s="4">
        <v>17</v>
      </c>
      <c r="M742" s="6" t="s">
        <v>567</v>
      </c>
      <c r="O742" s="13" t="str">
        <f t="shared" si="738"/>
        <v>1.2</v>
      </c>
      <c r="P742" s="13" t="str">
        <f t="shared" si="740"/>
        <v>1.2</v>
      </c>
      <c r="Q742" s="13" t="str">
        <f t="shared" ref="Q742:Q744" si="742">P742</f>
        <v>1.2</v>
      </c>
      <c r="R742" s="13" t="str">
        <f>R741</f>
        <v>1.15</v>
      </c>
      <c r="S742" s="13" t="str">
        <f>S741</f>
        <v>1.15</v>
      </c>
      <c r="T742" s="6" t="str">
        <f t="shared" si="708"/>
        <v>1|1.2#2|1.2#3|1.2#4|1.15#5|1.15</v>
      </c>
    </row>
    <row r="743" s="6" customFormat="1" ht="16.5" spans="1:20">
      <c r="A743" s="6">
        <v>1010749</v>
      </c>
      <c r="B743" s="6">
        <v>34001</v>
      </c>
      <c r="C743" s="6">
        <v>4</v>
      </c>
      <c r="D743" s="6">
        <v>4</v>
      </c>
      <c r="E743" s="6" t="str">
        <f t="shared" si="709"/>
        <v>304001:17</v>
      </c>
      <c r="F743" s="11" t="s">
        <v>384</v>
      </c>
      <c r="G743" s="6">
        <v>0</v>
      </c>
      <c r="H743" s="6">
        <v>0</v>
      </c>
      <c r="I743" s="6" t="s">
        <v>75</v>
      </c>
      <c r="K743" s="6" t="str">
        <f t="shared" si="707"/>
        <v>304001</v>
      </c>
      <c r="L743" s="4">
        <v>17</v>
      </c>
      <c r="M743" s="6" t="s">
        <v>567</v>
      </c>
      <c r="O743" s="13" t="str">
        <f t="shared" si="738"/>
        <v>1.2</v>
      </c>
      <c r="P743" s="13" t="str">
        <f t="shared" si="740"/>
        <v>1.2</v>
      </c>
      <c r="Q743" s="13" t="str">
        <f t="shared" si="742"/>
        <v>1.2</v>
      </c>
      <c r="R743" s="13" t="str">
        <f>Q743</f>
        <v>1.2</v>
      </c>
      <c r="S743" s="13" t="str">
        <f>S742</f>
        <v>1.15</v>
      </c>
      <c r="T743" s="6" t="str">
        <f t="shared" si="708"/>
        <v>1|1.2#2|1.2#3|1.2#4|1.2#5|1.15</v>
      </c>
    </row>
    <row r="744" s="6" customFormat="1" ht="16.5" spans="1:20">
      <c r="A744" s="6">
        <v>1010750</v>
      </c>
      <c r="B744" s="6">
        <v>34001</v>
      </c>
      <c r="C744" s="6">
        <v>4</v>
      </c>
      <c r="D744" s="6">
        <v>5</v>
      </c>
      <c r="E744" s="6" t="str">
        <f t="shared" si="709"/>
        <v>304001:17</v>
      </c>
      <c r="F744" s="11" t="s">
        <v>385</v>
      </c>
      <c r="G744" s="6">
        <v>0</v>
      </c>
      <c r="H744" s="6">
        <v>0</v>
      </c>
      <c r="I744" s="6" t="s">
        <v>40</v>
      </c>
      <c r="K744" s="6" t="str">
        <f t="shared" si="707"/>
        <v>304001</v>
      </c>
      <c r="L744" s="4">
        <v>17</v>
      </c>
      <c r="M744" s="6" t="s">
        <v>278</v>
      </c>
      <c r="O744" s="13" t="str">
        <f t="shared" si="738"/>
        <v>1.2</v>
      </c>
      <c r="P744" s="13" t="str">
        <f t="shared" si="740"/>
        <v>1.2</v>
      </c>
      <c r="Q744" s="13" t="str">
        <f t="shared" si="742"/>
        <v>1.2</v>
      </c>
      <c r="R744" s="13" t="str">
        <f>Q744</f>
        <v>1.2</v>
      </c>
      <c r="S744" s="13" t="str">
        <f>R744</f>
        <v>1.2</v>
      </c>
      <c r="T744" s="6" t="str">
        <f t="shared" si="708"/>
        <v>1|1.2#2|1.2#3|1.2#4|1.2#5|1.2</v>
      </c>
    </row>
    <row r="745" s="6" customFormat="1" ht="16.5" spans="1:20">
      <c r="A745" s="6">
        <v>1010751</v>
      </c>
      <c r="B745" s="6">
        <v>34001</v>
      </c>
      <c r="C745" s="6">
        <v>4</v>
      </c>
      <c r="D745" s="6">
        <v>6</v>
      </c>
      <c r="E745" s="6" t="str">
        <f t="shared" si="709"/>
        <v>304001:60</v>
      </c>
      <c r="F745" s="11">
        <v>0</v>
      </c>
      <c r="G745" s="6">
        <v>11002</v>
      </c>
      <c r="H745" s="6" t="s">
        <v>407</v>
      </c>
      <c r="I745" s="6">
        <v>0</v>
      </c>
      <c r="K745" s="6" t="str">
        <f t="shared" si="707"/>
        <v>304001</v>
      </c>
      <c r="L745" s="13">
        <v>60</v>
      </c>
      <c r="M745" s="6" t="s">
        <v>563</v>
      </c>
      <c r="O745" s="13" t="str">
        <f t="shared" ref="O745:S745" si="743">O744</f>
        <v>1.2</v>
      </c>
      <c r="P745" s="13" t="str">
        <f t="shared" si="743"/>
        <v>1.2</v>
      </c>
      <c r="Q745" s="13" t="str">
        <f t="shared" si="743"/>
        <v>1.2</v>
      </c>
      <c r="R745" s="13" t="str">
        <f t="shared" si="743"/>
        <v>1.2</v>
      </c>
      <c r="S745" s="13" t="str">
        <f t="shared" si="743"/>
        <v>1.2</v>
      </c>
      <c r="T745" s="6" t="str">
        <f t="shared" si="708"/>
        <v>1|1.2#2|1.2#3|1.2#4|1.2#5|1.2</v>
      </c>
    </row>
    <row r="746" s="6" customFormat="1" ht="16.5" spans="1:20">
      <c r="A746" s="6">
        <v>1010752</v>
      </c>
      <c r="B746" s="6">
        <v>34001</v>
      </c>
      <c r="C746" s="6">
        <v>5</v>
      </c>
      <c r="D746" s="6">
        <v>0</v>
      </c>
      <c r="E746" s="6" t="str">
        <f t="shared" si="709"/>
        <v>304001:18</v>
      </c>
      <c r="F746" s="11" t="s">
        <v>386</v>
      </c>
      <c r="G746" s="6">
        <v>0</v>
      </c>
      <c r="H746" s="6">
        <v>0</v>
      </c>
      <c r="I746" s="6" t="s">
        <v>79</v>
      </c>
      <c r="K746" s="6" t="str">
        <f t="shared" si="707"/>
        <v>304001</v>
      </c>
      <c r="L746" s="4">
        <v>18</v>
      </c>
      <c r="M746" s="6" t="s">
        <v>568</v>
      </c>
      <c r="O746" s="15" t="str">
        <f>O745</f>
        <v>1.2</v>
      </c>
      <c r="P746" s="15" t="str">
        <f t="shared" ref="P746:S746" si="744">O746</f>
        <v>1.2</v>
      </c>
      <c r="Q746" s="15" t="str">
        <f t="shared" si="744"/>
        <v>1.2</v>
      </c>
      <c r="R746" s="15" t="str">
        <f>P746</f>
        <v>1.2</v>
      </c>
      <c r="S746" s="15" t="str">
        <f t="shared" si="744"/>
        <v>1.2</v>
      </c>
      <c r="T746" s="6" t="str">
        <f t="shared" si="708"/>
        <v>1|1.2#2|1.2#3|1.2#4|1.2#5|1.2</v>
      </c>
    </row>
    <row r="747" s="6" customFormat="1" ht="16.5" spans="1:20">
      <c r="A747" s="6">
        <v>1010753</v>
      </c>
      <c r="B747" s="6">
        <v>34001</v>
      </c>
      <c r="C747" s="6">
        <v>5</v>
      </c>
      <c r="D747" s="6">
        <v>1</v>
      </c>
      <c r="E747" s="6" t="str">
        <f t="shared" si="709"/>
        <v>304001:18</v>
      </c>
      <c r="F747" s="11" t="s">
        <v>388</v>
      </c>
      <c r="G747" s="6">
        <v>0</v>
      </c>
      <c r="H747" s="6">
        <v>0</v>
      </c>
      <c r="I747" s="6" t="s">
        <v>81</v>
      </c>
      <c r="K747" s="6" t="str">
        <f t="shared" si="707"/>
        <v>304001</v>
      </c>
      <c r="L747" s="4">
        <v>18</v>
      </c>
      <c r="M747" s="6" t="s">
        <v>568</v>
      </c>
      <c r="O747" s="13" t="str">
        <f t="shared" ref="O747:O751" si="745">RIGHT(F747,LEN(F747)-2)</f>
        <v>1.3</v>
      </c>
      <c r="P747" s="13" t="str">
        <f t="shared" ref="P747:S747" si="746">P746</f>
        <v>1.2</v>
      </c>
      <c r="Q747" s="13" t="str">
        <f t="shared" si="746"/>
        <v>1.2</v>
      </c>
      <c r="R747" s="13" t="str">
        <f t="shared" si="746"/>
        <v>1.2</v>
      </c>
      <c r="S747" s="13" t="str">
        <f t="shared" si="746"/>
        <v>1.2</v>
      </c>
      <c r="T747" s="6" t="str">
        <f t="shared" si="708"/>
        <v>1|1.3#2|1.2#3|1.2#4|1.2#5|1.2</v>
      </c>
    </row>
    <row r="748" s="6" customFormat="1" ht="16.5" spans="1:20">
      <c r="A748" s="6">
        <v>1010754</v>
      </c>
      <c r="B748" s="6">
        <v>34001</v>
      </c>
      <c r="C748" s="6">
        <v>5</v>
      </c>
      <c r="D748" s="6">
        <v>2</v>
      </c>
      <c r="E748" s="6" t="str">
        <f t="shared" si="709"/>
        <v>304001:18</v>
      </c>
      <c r="F748" s="11" t="s">
        <v>389</v>
      </c>
      <c r="G748" s="6">
        <v>0</v>
      </c>
      <c r="H748" s="6">
        <v>0</v>
      </c>
      <c r="I748" s="6" t="s">
        <v>83</v>
      </c>
      <c r="K748" s="6" t="str">
        <f t="shared" si="707"/>
        <v>304001</v>
      </c>
      <c r="L748" s="4">
        <v>18</v>
      </c>
      <c r="M748" s="6" t="s">
        <v>568</v>
      </c>
      <c r="O748" s="13" t="str">
        <f t="shared" si="745"/>
        <v>1.3</v>
      </c>
      <c r="P748" s="13" t="str">
        <f t="shared" ref="P748:P751" si="747">O748</f>
        <v>1.3</v>
      </c>
      <c r="Q748" s="13" t="str">
        <f t="shared" ref="Q748:S748" si="748">Q747</f>
        <v>1.2</v>
      </c>
      <c r="R748" s="13" t="str">
        <f t="shared" si="748"/>
        <v>1.2</v>
      </c>
      <c r="S748" s="13" t="str">
        <f t="shared" si="748"/>
        <v>1.2</v>
      </c>
      <c r="T748" s="6" t="str">
        <f t="shared" si="708"/>
        <v>1|1.3#2|1.3#3|1.2#4|1.2#5|1.2</v>
      </c>
    </row>
    <row r="749" s="6" customFormat="1" ht="16.5" spans="1:20">
      <c r="A749" s="6">
        <v>1010755</v>
      </c>
      <c r="B749" s="6">
        <v>34001</v>
      </c>
      <c r="C749" s="6">
        <v>5</v>
      </c>
      <c r="D749" s="6">
        <v>3</v>
      </c>
      <c r="E749" s="6" t="str">
        <f t="shared" si="709"/>
        <v>304001:22</v>
      </c>
      <c r="F749" s="11" t="s">
        <v>390</v>
      </c>
      <c r="G749" s="6">
        <v>0</v>
      </c>
      <c r="H749" s="6">
        <v>0</v>
      </c>
      <c r="I749" s="6" t="s">
        <v>85</v>
      </c>
      <c r="K749" s="6" t="str">
        <f t="shared" si="707"/>
        <v>304001</v>
      </c>
      <c r="L749" s="4">
        <v>22</v>
      </c>
      <c r="M749" s="6" t="s">
        <v>568</v>
      </c>
      <c r="O749" s="13" t="str">
        <f t="shared" si="745"/>
        <v>1.3</v>
      </c>
      <c r="P749" s="13" t="str">
        <f t="shared" si="747"/>
        <v>1.3</v>
      </c>
      <c r="Q749" s="13" t="str">
        <f t="shared" ref="Q749:Q751" si="749">P749</f>
        <v>1.3</v>
      </c>
      <c r="R749" s="13" t="str">
        <f>R748</f>
        <v>1.2</v>
      </c>
      <c r="S749" s="13" t="str">
        <f>S748</f>
        <v>1.2</v>
      </c>
      <c r="T749" s="6" t="str">
        <f t="shared" si="708"/>
        <v>1|1.3#2|1.3#3|1.3#4|1.2#5|1.2</v>
      </c>
    </row>
    <row r="750" s="6" customFormat="1" ht="16.5" spans="1:20">
      <c r="A750" s="6">
        <v>1010756</v>
      </c>
      <c r="B750" s="6">
        <v>34001</v>
      </c>
      <c r="C750" s="6">
        <v>5</v>
      </c>
      <c r="D750" s="6">
        <v>4</v>
      </c>
      <c r="E750" s="6" t="str">
        <f t="shared" si="709"/>
        <v>304001:22</v>
      </c>
      <c r="F750" s="11" t="s">
        <v>391</v>
      </c>
      <c r="G750" s="6">
        <v>0</v>
      </c>
      <c r="H750" s="6">
        <v>0</v>
      </c>
      <c r="I750" s="6" t="s">
        <v>87</v>
      </c>
      <c r="K750" s="6" t="str">
        <f t="shared" si="707"/>
        <v>304001</v>
      </c>
      <c r="L750" s="4">
        <v>22</v>
      </c>
      <c r="M750" s="6" t="s">
        <v>568</v>
      </c>
      <c r="O750" s="13" t="str">
        <f t="shared" si="745"/>
        <v>1.3</v>
      </c>
      <c r="P750" s="13" t="str">
        <f t="shared" si="747"/>
        <v>1.3</v>
      </c>
      <c r="Q750" s="13" t="str">
        <f t="shared" si="749"/>
        <v>1.3</v>
      </c>
      <c r="R750" s="13" t="str">
        <f>Q750</f>
        <v>1.3</v>
      </c>
      <c r="S750" s="13" t="str">
        <f>S749</f>
        <v>1.2</v>
      </c>
      <c r="T750" s="6" t="str">
        <f t="shared" si="708"/>
        <v>1|1.3#2|1.3#3|1.3#4|1.3#5|1.2</v>
      </c>
    </row>
    <row r="751" s="6" customFormat="1" ht="16.5" spans="1:20">
      <c r="A751" s="6">
        <v>1010757</v>
      </c>
      <c r="B751" s="6">
        <v>34001</v>
      </c>
      <c r="C751" s="6">
        <v>5</v>
      </c>
      <c r="D751" s="6">
        <v>5</v>
      </c>
      <c r="E751" s="6" t="str">
        <f t="shared" si="709"/>
        <v>304001:22</v>
      </c>
      <c r="F751" s="11" t="s">
        <v>392</v>
      </c>
      <c r="G751" s="6">
        <v>0</v>
      </c>
      <c r="H751" s="6">
        <v>0</v>
      </c>
      <c r="I751" s="6" t="s">
        <v>40</v>
      </c>
      <c r="K751" s="6" t="str">
        <f t="shared" si="707"/>
        <v>304001</v>
      </c>
      <c r="L751" s="4">
        <v>22</v>
      </c>
      <c r="M751" s="6" t="s">
        <v>569</v>
      </c>
      <c r="O751" s="13" t="str">
        <f t="shared" si="745"/>
        <v>1.3</v>
      </c>
      <c r="P751" s="13" t="str">
        <f t="shared" si="747"/>
        <v>1.3</v>
      </c>
      <c r="Q751" s="13" t="str">
        <f t="shared" si="749"/>
        <v>1.3</v>
      </c>
      <c r="R751" s="13" t="str">
        <f>Q751</f>
        <v>1.3</v>
      </c>
      <c r="S751" s="13" t="str">
        <f>R751</f>
        <v>1.3</v>
      </c>
      <c r="T751" s="6" t="str">
        <f t="shared" si="708"/>
        <v>1|1.3#2|1.3#3|1.3#4|1.3#5|1.3</v>
      </c>
    </row>
    <row r="752" s="6" customFormat="1" ht="16.5" spans="1:20">
      <c r="A752" s="6">
        <v>1010758</v>
      </c>
      <c r="B752" s="6">
        <v>34001</v>
      </c>
      <c r="C752" s="6">
        <v>5</v>
      </c>
      <c r="D752" s="6">
        <v>6</v>
      </c>
      <c r="E752" s="6" t="str">
        <f t="shared" si="709"/>
        <v>304001:60</v>
      </c>
      <c r="F752" s="11">
        <v>0</v>
      </c>
      <c r="G752" s="6">
        <v>11002</v>
      </c>
      <c r="H752" s="6" t="s">
        <v>407</v>
      </c>
      <c r="I752" s="6">
        <v>0</v>
      </c>
      <c r="K752" s="6" t="str">
        <f t="shared" si="707"/>
        <v>304001</v>
      </c>
      <c r="L752" s="13">
        <v>60</v>
      </c>
      <c r="M752" s="6" t="s">
        <v>563</v>
      </c>
      <c r="O752" s="13" t="str">
        <f t="shared" ref="O752:S752" si="750">O751</f>
        <v>1.3</v>
      </c>
      <c r="P752" s="13" t="str">
        <f t="shared" si="750"/>
        <v>1.3</v>
      </c>
      <c r="Q752" s="13" t="str">
        <f t="shared" si="750"/>
        <v>1.3</v>
      </c>
      <c r="R752" s="13" t="str">
        <f t="shared" si="750"/>
        <v>1.3</v>
      </c>
      <c r="S752" s="13" t="str">
        <f t="shared" si="750"/>
        <v>1.3</v>
      </c>
      <c r="T752" s="6" t="str">
        <f t="shared" si="708"/>
        <v>1|1.3#2|1.3#3|1.3#4|1.3#5|1.3</v>
      </c>
    </row>
    <row r="753" s="6" customFormat="1" ht="16.5" spans="1:20">
      <c r="A753" s="6">
        <v>1010759</v>
      </c>
      <c r="B753" s="6">
        <v>34001</v>
      </c>
      <c r="C753" s="6">
        <v>6</v>
      </c>
      <c r="D753" s="6">
        <v>0</v>
      </c>
      <c r="E753" s="6" t="str">
        <f t="shared" si="709"/>
        <v>304001:24</v>
      </c>
      <c r="F753" s="11" t="s">
        <v>394</v>
      </c>
      <c r="G753" s="6">
        <v>0</v>
      </c>
      <c r="H753" s="6">
        <v>0</v>
      </c>
      <c r="I753" s="6" t="s">
        <v>90</v>
      </c>
      <c r="K753" s="6" t="str">
        <f t="shared" si="707"/>
        <v>304001</v>
      </c>
      <c r="L753" s="4">
        <v>24</v>
      </c>
      <c r="M753" s="6" t="s">
        <v>570</v>
      </c>
      <c r="O753" s="15" t="str">
        <f>O752</f>
        <v>1.3</v>
      </c>
      <c r="P753" s="15" t="str">
        <f t="shared" ref="P753:S753" si="751">O753</f>
        <v>1.3</v>
      </c>
      <c r="Q753" s="15" t="str">
        <f t="shared" si="751"/>
        <v>1.3</v>
      </c>
      <c r="R753" s="15" t="str">
        <f>P753</f>
        <v>1.3</v>
      </c>
      <c r="S753" s="15" t="str">
        <f t="shared" si="751"/>
        <v>1.3</v>
      </c>
      <c r="T753" s="6" t="str">
        <f t="shared" si="708"/>
        <v>1|1.3#2|1.3#3|1.3#4|1.3#5|1.3</v>
      </c>
    </row>
    <row r="754" s="6" customFormat="1" ht="16.5" spans="1:20">
      <c r="A754" s="6">
        <v>1010760</v>
      </c>
      <c r="B754" s="6">
        <v>34001</v>
      </c>
      <c r="C754" s="6">
        <v>6</v>
      </c>
      <c r="D754" s="6">
        <v>1</v>
      </c>
      <c r="E754" s="6" t="str">
        <f t="shared" si="709"/>
        <v>304001:24</v>
      </c>
      <c r="F754" s="11" t="s">
        <v>396</v>
      </c>
      <c r="G754" s="6">
        <v>0</v>
      </c>
      <c r="H754" s="6">
        <v>0</v>
      </c>
      <c r="I754" s="6" t="s">
        <v>92</v>
      </c>
      <c r="K754" s="6" t="str">
        <f t="shared" si="707"/>
        <v>304001</v>
      </c>
      <c r="L754" s="4">
        <v>24</v>
      </c>
      <c r="M754" s="6" t="s">
        <v>570</v>
      </c>
      <c r="O754" s="13" t="str">
        <f t="shared" ref="O754:O758" si="752">RIGHT(F754,LEN(F754)-2)</f>
        <v>1.4</v>
      </c>
      <c r="P754" s="13" t="str">
        <f t="shared" ref="P754:S754" si="753">P753</f>
        <v>1.3</v>
      </c>
      <c r="Q754" s="13" t="str">
        <f t="shared" si="753"/>
        <v>1.3</v>
      </c>
      <c r="R754" s="13" t="str">
        <f t="shared" si="753"/>
        <v>1.3</v>
      </c>
      <c r="S754" s="13" t="str">
        <f t="shared" si="753"/>
        <v>1.3</v>
      </c>
      <c r="T754" s="6" t="str">
        <f t="shared" si="708"/>
        <v>1|1.4#2|1.3#3|1.3#4|1.3#5|1.3</v>
      </c>
    </row>
    <row r="755" s="6" customFormat="1" ht="16.5" spans="1:20">
      <c r="A755" s="6">
        <v>1010761</v>
      </c>
      <c r="B755" s="6">
        <v>34001</v>
      </c>
      <c r="C755" s="6">
        <v>6</v>
      </c>
      <c r="D755" s="6">
        <v>2</v>
      </c>
      <c r="E755" s="6" t="str">
        <f t="shared" si="709"/>
        <v>304001:24</v>
      </c>
      <c r="F755" s="11" t="s">
        <v>397</v>
      </c>
      <c r="G755" s="6">
        <v>0</v>
      </c>
      <c r="H755" s="6">
        <v>0</v>
      </c>
      <c r="I755" s="6" t="s">
        <v>94</v>
      </c>
      <c r="K755" s="6" t="str">
        <f t="shared" si="707"/>
        <v>304001</v>
      </c>
      <c r="L755" s="4">
        <v>24</v>
      </c>
      <c r="M755" s="6" t="s">
        <v>570</v>
      </c>
      <c r="O755" s="13" t="str">
        <f t="shared" si="752"/>
        <v>1.4</v>
      </c>
      <c r="P755" s="13" t="str">
        <f t="shared" ref="P755:P758" si="754">O755</f>
        <v>1.4</v>
      </c>
      <c r="Q755" s="13" t="str">
        <f t="shared" ref="Q755:S755" si="755">Q754</f>
        <v>1.3</v>
      </c>
      <c r="R755" s="13" t="str">
        <f t="shared" si="755"/>
        <v>1.3</v>
      </c>
      <c r="S755" s="13" t="str">
        <f t="shared" si="755"/>
        <v>1.3</v>
      </c>
      <c r="T755" s="6" t="str">
        <f t="shared" si="708"/>
        <v>1|1.4#2|1.4#3|1.3#4|1.3#5|1.3</v>
      </c>
    </row>
    <row r="756" s="6" customFormat="1" ht="16.5" spans="1:20">
      <c r="A756" s="6">
        <v>1010762</v>
      </c>
      <c r="B756" s="6">
        <v>34001</v>
      </c>
      <c r="C756" s="6">
        <v>6</v>
      </c>
      <c r="D756" s="6">
        <v>3</v>
      </c>
      <c r="E756" s="6" t="str">
        <f t="shared" si="709"/>
        <v>304001:24</v>
      </c>
      <c r="F756" s="11" t="s">
        <v>398</v>
      </c>
      <c r="G756" s="6">
        <v>0</v>
      </c>
      <c r="H756" s="6">
        <v>0</v>
      </c>
      <c r="I756" s="6" t="s">
        <v>96</v>
      </c>
      <c r="K756" s="6" t="str">
        <f t="shared" si="707"/>
        <v>304001</v>
      </c>
      <c r="L756" s="4">
        <v>24</v>
      </c>
      <c r="M756" s="6" t="s">
        <v>570</v>
      </c>
      <c r="O756" s="13" t="str">
        <f t="shared" si="752"/>
        <v>1.4</v>
      </c>
      <c r="P756" s="13" t="str">
        <f t="shared" si="754"/>
        <v>1.4</v>
      </c>
      <c r="Q756" s="13" t="str">
        <f t="shared" ref="Q756:Q758" si="756">P756</f>
        <v>1.4</v>
      </c>
      <c r="R756" s="13" t="str">
        <f>R755</f>
        <v>1.3</v>
      </c>
      <c r="S756" s="13" t="str">
        <f t="shared" ref="S756:S763" si="757">S755</f>
        <v>1.3</v>
      </c>
      <c r="T756" s="6" t="str">
        <f t="shared" si="708"/>
        <v>1|1.4#2|1.4#3|1.4#4|1.3#5|1.3</v>
      </c>
    </row>
    <row r="757" s="6" customFormat="1" ht="16.5" spans="1:20">
      <c r="A757" s="6">
        <v>1010763</v>
      </c>
      <c r="B757" s="6">
        <v>34001</v>
      </c>
      <c r="C757" s="6">
        <v>6</v>
      </c>
      <c r="D757" s="6">
        <v>4</v>
      </c>
      <c r="E757" s="6" t="str">
        <f t="shared" si="709"/>
        <v>304001:24</v>
      </c>
      <c r="F757" s="11" t="s">
        <v>399</v>
      </c>
      <c r="G757" s="6">
        <v>0</v>
      </c>
      <c r="H757" s="6">
        <v>0</v>
      </c>
      <c r="I757" s="6" t="s">
        <v>98</v>
      </c>
      <c r="K757" s="6" t="str">
        <f t="shared" si="707"/>
        <v>304001</v>
      </c>
      <c r="L757" s="4">
        <v>24</v>
      </c>
      <c r="M757" s="6" t="s">
        <v>570</v>
      </c>
      <c r="O757" s="13" t="str">
        <f t="shared" si="752"/>
        <v>1.4</v>
      </c>
      <c r="P757" s="13" t="str">
        <f t="shared" si="754"/>
        <v>1.4</v>
      </c>
      <c r="Q757" s="13" t="str">
        <f t="shared" si="756"/>
        <v>1.4</v>
      </c>
      <c r="R757" s="13" t="str">
        <f>Q757</f>
        <v>1.4</v>
      </c>
      <c r="S757" s="13" t="str">
        <f t="shared" si="757"/>
        <v>1.3</v>
      </c>
      <c r="T757" s="6" t="str">
        <f t="shared" si="708"/>
        <v>1|1.4#2|1.4#3|1.4#4|1.4#5|1.3</v>
      </c>
    </row>
    <row r="758" s="6" customFormat="1" ht="16.5" spans="1:20">
      <c r="A758" s="6">
        <v>1010764</v>
      </c>
      <c r="B758" s="6">
        <v>34001</v>
      </c>
      <c r="C758" s="6">
        <v>6</v>
      </c>
      <c r="D758" s="6">
        <v>5</v>
      </c>
      <c r="E758" s="6" t="str">
        <f t="shared" si="709"/>
        <v>304001:60</v>
      </c>
      <c r="F758" s="11" t="s">
        <v>400</v>
      </c>
      <c r="G758" s="6">
        <v>0</v>
      </c>
      <c r="H758" s="6">
        <v>0</v>
      </c>
      <c r="I758" s="6" t="s">
        <v>40</v>
      </c>
      <c r="K758" s="6" t="str">
        <f t="shared" si="707"/>
        <v>304001</v>
      </c>
      <c r="L758" s="4">
        <v>60</v>
      </c>
      <c r="M758" s="6" t="s">
        <v>569</v>
      </c>
      <c r="O758" s="13" t="str">
        <f t="shared" si="752"/>
        <v>1.4</v>
      </c>
      <c r="P758" s="13" t="str">
        <f t="shared" si="754"/>
        <v>1.4</v>
      </c>
      <c r="Q758" s="13" t="str">
        <f t="shared" si="756"/>
        <v>1.4</v>
      </c>
      <c r="R758" s="13" t="str">
        <f>Q758</f>
        <v>1.4</v>
      </c>
      <c r="S758" s="13" t="str">
        <f>R758</f>
        <v>1.4</v>
      </c>
      <c r="T758" s="6" t="str">
        <f t="shared" si="708"/>
        <v>1|1.4#2|1.4#3|1.4#4|1.4#5|1.4</v>
      </c>
    </row>
    <row r="759" s="6" customFormat="1" ht="16.5" spans="1:20">
      <c r="A759" s="6">
        <v>1010765</v>
      </c>
      <c r="B759" s="6">
        <v>34001</v>
      </c>
      <c r="C759" s="6">
        <v>6</v>
      </c>
      <c r="D759" s="6">
        <v>6</v>
      </c>
      <c r="E759" s="6" t="str">
        <f t="shared" si="709"/>
        <v>304001:0</v>
      </c>
      <c r="F759" s="11">
        <v>0</v>
      </c>
      <c r="G759" s="6">
        <v>11002</v>
      </c>
      <c r="H759" s="6" t="s">
        <v>407</v>
      </c>
      <c r="I759" s="6">
        <v>0</v>
      </c>
      <c r="K759" s="6" t="str">
        <f t="shared" si="707"/>
        <v>304001</v>
      </c>
      <c r="L759" s="4">
        <v>0</v>
      </c>
      <c r="M759" s="6" t="s">
        <v>563</v>
      </c>
      <c r="O759" s="13" t="str">
        <f t="shared" ref="O759:S759" si="758">O758</f>
        <v>1.4</v>
      </c>
      <c r="P759" s="13" t="str">
        <f t="shared" si="758"/>
        <v>1.4</v>
      </c>
      <c r="Q759" s="13" t="str">
        <f t="shared" si="758"/>
        <v>1.4</v>
      </c>
      <c r="R759" s="13" t="str">
        <f t="shared" si="758"/>
        <v>1.4</v>
      </c>
      <c r="S759" s="13" t="str">
        <f t="shared" si="758"/>
        <v>1.4</v>
      </c>
      <c r="T759" s="6" t="str">
        <f t="shared" si="708"/>
        <v>1|1.4#2|1.4#3|1.4#4|1.4#5|1.4</v>
      </c>
    </row>
    <row r="760" s="6" customFormat="1" ht="16.5" spans="1:20">
      <c r="A760" s="6">
        <v>1010766</v>
      </c>
      <c r="B760" s="6">
        <v>35001</v>
      </c>
      <c r="C760" s="6">
        <v>1</v>
      </c>
      <c r="D760" s="6">
        <v>0</v>
      </c>
      <c r="E760" s="6" t="str">
        <f t="shared" si="709"/>
        <v>305001:2</v>
      </c>
      <c r="F760" s="11" t="s">
        <v>356</v>
      </c>
      <c r="G760" s="6">
        <v>0</v>
      </c>
      <c r="H760" s="6">
        <v>0</v>
      </c>
      <c r="I760" s="6" t="s">
        <v>25</v>
      </c>
      <c r="K760" s="6" t="str">
        <f t="shared" si="707"/>
        <v>305001</v>
      </c>
      <c r="L760" s="4">
        <v>2</v>
      </c>
      <c r="M760" s="6" t="s">
        <v>571</v>
      </c>
      <c r="O760" s="13">
        <v>1</v>
      </c>
      <c r="P760" s="13">
        <f t="shared" ref="P760:S760" si="759">O760</f>
        <v>1</v>
      </c>
      <c r="Q760" s="13">
        <f t="shared" si="759"/>
        <v>1</v>
      </c>
      <c r="R760" s="13">
        <f>P760</f>
        <v>1</v>
      </c>
      <c r="S760" s="13">
        <f t="shared" si="759"/>
        <v>1</v>
      </c>
      <c r="T760" s="6" t="str">
        <f t="shared" si="708"/>
        <v>1|1#2|1#3|1#4|1#5|1</v>
      </c>
    </row>
    <row r="761" s="6" customFormat="1" ht="16.5" spans="1:20">
      <c r="A761" s="6">
        <v>1010767</v>
      </c>
      <c r="B761" s="6">
        <v>35001</v>
      </c>
      <c r="C761" s="6">
        <v>1</v>
      </c>
      <c r="D761" s="6">
        <v>1</v>
      </c>
      <c r="E761" s="6" t="str">
        <f t="shared" si="709"/>
        <v>305001:2</v>
      </c>
      <c r="F761" s="11" t="s">
        <v>358</v>
      </c>
      <c r="G761" s="6">
        <v>0</v>
      </c>
      <c r="H761" s="6">
        <v>0</v>
      </c>
      <c r="I761" s="6" t="s">
        <v>28</v>
      </c>
      <c r="K761" s="6" t="str">
        <f t="shared" si="707"/>
        <v>305001</v>
      </c>
      <c r="L761" s="4">
        <v>2</v>
      </c>
      <c r="M761" s="6" t="s">
        <v>571</v>
      </c>
      <c r="O761" s="13" t="str">
        <f t="shared" ref="O761:O765" si="760">RIGHT(F761,LEN(F761)-2)</f>
        <v>1.05</v>
      </c>
      <c r="P761" s="13">
        <v>1</v>
      </c>
      <c r="Q761" s="13">
        <f>Q760</f>
        <v>1</v>
      </c>
      <c r="R761" s="13">
        <f>R760</f>
        <v>1</v>
      </c>
      <c r="S761" s="13">
        <f t="shared" si="757"/>
        <v>1</v>
      </c>
      <c r="T761" s="6" t="str">
        <f t="shared" si="708"/>
        <v>1|1.05#2|1#3|1#4|1#5|1</v>
      </c>
    </row>
    <row r="762" s="6" customFormat="1" ht="16.5" spans="1:20">
      <c r="A762" s="6">
        <v>1010768</v>
      </c>
      <c r="B762" s="6">
        <v>35001</v>
      </c>
      <c r="C762" s="6">
        <v>1</v>
      </c>
      <c r="D762" s="6">
        <v>2</v>
      </c>
      <c r="E762" s="6" t="str">
        <f t="shared" si="709"/>
        <v>305001:2</v>
      </c>
      <c r="F762" s="11" t="s">
        <v>359</v>
      </c>
      <c r="G762" s="6">
        <v>0</v>
      </c>
      <c r="H762" s="6">
        <v>0</v>
      </c>
      <c r="I762" s="6" t="s">
        <v>31</v>
      </c>
      <c r="K762" s="6" t="str">
        <f t="shared" si="707"/>
        <v>305001</v>
      </c>
      <c r="L762" s="4">
        <v>2</v>
      </c>
      <c r="M762" s="6" t="s">
        <v>571</v>
      </c>
      <c r="O762" s="13" t="str">
        <f t="shared" si="760"/>
        <v>1.05</v>
      </c>
      <c r="P762" s="13" t="str">
        <f t="shared" ref="P762:P765" si="761">O762</f>
        <v>1.05</v>
      </c>
      <c r="Q762" s="13">
        <v>1</v>
      </c>
      <c r="R762" s="13">
        <f>R761</f>
        <v>1</v>
      </c>
      <c r="S762" s="13">
        <f t="shared" si="757"/>
        <v>1</v>
      </c>
      <c r="T762" s="6" t="str">
        <f t="shared" si="708"/>
        <v>1|1.05#2|1.05#3|1#4|1#5|1</v>
      </c>
    </row>
    <row r="763" s="6" customFormat="1" ht="16.5" spans="1:20">
      <c r="A763" s="6">
        <v>1010769</v>
      </c>
      <c r="B763" s="6">
        <v>35001</v>
      </c>
      <c r="C763" s="6">
        <v>1</v>
      </c>
      <c r="D763" s="6">
        <v>3</v>
      </c>
      <c r="E763" s="6" t="str">
        <f t="shared" si="709"/>
        <v>305001:3</v>
      </c>
      <c r="F763" s="11" t="s">
        <v>360</v>
      </c>
      <c r="G763" s="6">
        <v>0</v>
      </c>
      <c r="H763" s="6">
        <v>0</v>
      </c>
      <c r="I763" s="6" t="s">
        <v>34</v>
      </c>
      <c r="K763" s="6" t="str">
        <f t="shared" si="707"/>
        <v>305001</v>
      </c>
      <c r="L763" s="4">
        <v>3</v>
      </c>
      <c r="M763" s="6" t="s">
        <v>571</v>
      </c>
      <c r="O763" s="13" t="str">
        <f t="shared" si="760"/>
        <v>1.05</v>
      </c>
      <c r="P763" s="13" t="str">
        <f t="shared" si="761"/>
        <v>1.05</v>
      </c>
      <c r="Q763" s="13" t="str">
        <f t="shared" ref="Q763:Q765" si="762">P763</f>
        <v>1.05</v>
      </c>
      <c r="R763" s="13">
        <v>1</v>
      </c>
      <c r="S763" s="13">
        <f t="shared" si="757"/>
        <v>1</v>
      </c>
      <c r="T763" s="6" t="str">
        <f t="shared" si="708"/>
        <v>1|1.05#2|1.05#3|1.05#4|1#5|1</v>
      </c>
    </row>
    <row r="764" s="6" customFormat="1" ht="16.5" spans="1:20">
      <c r="A764" s="6">
        <v>1010770</v>
      </c>
      <c r="B764" s="6">
        <v>35001</v>
      </c>
      <c r="C764" s="6">
        <v>1</v>
      </c>
      <c r="D764" s="6">
        <v>4</v>
      </c>
      <c r="E764" s="6" t="str">
        <f t="shared" si="709"/>
        <v>305001:3</v>
      </c>
      <c r="F764" s="11" t="s">
        <v>361</v>
      </c>
      <c r="G764" s="6">
        <v>0</v>
      </c>
      <c r="H764" s="6">
        <v>0</v>
      </c>
      <c r="I764" s="6" t="s">
        <v>37</v>
      </c>
      <c r="K764" s="6" t="str">
        <f t="shared" si="707"/>
        <v>305001</v>
      </c>
      <c r="L764" s="4">
        <v>3</v>
      </c>
      <c r="M764" s="6" t="s">
        <v>571</v>
      </c>
      <c r="O764" s="13" t="str">
        <f t="shared" si="760"/>
        <v>1.05</v>
      </c>
      <c r="P764" s="13" t="str">
        <f t="shared" si="761"/>
        <v>1.05</v>
      </c>
      <c r="Q764" s="13" t="str">
        <f t="shared" si="762"/>
        <v>1.05</v>
      </c>
      <c r="R764" s="13" t="str">
        <f>Q764</f>
        <v>1.05</v>
      </c>
      <c r="S764" s="13">
        <v>1</v>
      </c>
      <c r="T764" s="6" t="str">
        <f t="shared" si="708"/>
        <v>1|1.05#2|1.05#3|1.05#4|1.05#5|1</v>
      </c>
    </row>
    <row r="765" s="6" customFormat="1" ht="16.5" spans="1:20">
      <c r="A765" s="6">
        <v>1010771</v>
      </c>
      <c r="B765" s="6">
        <v>35001</v>
      </c>
      <c r="C765" s="6">
        <v>1</v>
      </c>
      <c r="D765" s="6">
        <v>5</v>
      </c>
      <c r="E765" s="6" t="str">
        <f t="shared" si="709"/>
        <v>305001:3</v>
      </c>
      <c r="F765" s="11" t="s">
        <v>362</v>
      </c>
      <c r="G765" s="6">
        <v>0</v>
      </c>
      <c r="H765" s="6">
        <v>0</v>
      </c>
      <c r="I765" s="6" t="s">
        <v>40</v>
      </c>
      <c r="K765" s="6" t="str">
        <f t="shared" si="707"/>
        <v>305001</v>
      </c>
      <c r="L765" s="4">
        <v>3</v>
      </c>
      <c r="M765" s="6" t="s">
        <v>572</v>
      </c>
      <c r="O765" s="13" t="str">
        <f t="shared" si="760"/>
        <v>1.05</v>
      </c>
      <c r="P765" s="13" t="str">
        <f t="shared" si="761"/>
        <v>1.05</v>
      </c>
      <c r="Q765" s="13" t="str">
        <f t="shared" si="762"/>
        <v>1.05</v>
      </c>
      <c r="R765" s="13" t="str">
        <f>Q765</f>
        <v>1.05</v>
      </c>
      <c r="S765" s="13" t="str">
        <f>R765</f>
        <v>1.05</v>
      </c>
      <c r="T765" s="6" t="str">
        <f t="shared" si="708"/>
        <v>1|1.05#2|1.05#3|1.05#4|1.05#5|1.05</v>
      </c>
    </row>
    <row r="766" s="6" customFormat="1" ht="16.5" spans="1:20">
      <c r="A766" s="6">
        <v>1010772</v>
      </c>
      <c r="B766" s="6">
        <v>35001</v>
      </c>
      <c r="C766" s="6">
        <v>1</v>
      </c>
      <c r="D766" s="6">
        <v>6</v>
      </c>
      <c r="E766" s="6" t="str">
        <f t="shared" si="709"/>
        <v>305001:5</v>
      </c>
      <c r="F766" s="11">
        <v>0</v>
      </c>
      <c r="G766" s="6">
        <v>11002</v>
      </c>
      <c r="H766" s="6" t="s">
        <v>407</v>
      </c>
      <c r="I766" s="6">
        <v>0</v>
      </c>
      <c r="K766" s="6" t="str">
        <f t="shared" si="707"/>
        <v>305001</v>
      </c>
      <c r="L766" s="13">
        <v>5</v>
      </c>
      <c r="M766" s="6" t="s">
        <v>573</v>
      </c>
      <c r="O766" s="13" t="str">
        <f t="shared" ref="O766:S766" si="763">O765</f>
        <v>1.05</v>
      </c>
      <c r="P766" s="13" t="str">
        <f t="shared" si="763"/>
        <v>1.05</v>
      </c>
      <c r="Q766" s="13" t="str">
        <f t="shared" si="763"/>
        <v>1.05</v>
      </c>
      <c r="R766" s="13" t="str">
        <f t="shared" si="763"/>
        <v>1.05</v>
      </c>
      <c r="S766" s="13" t="str">
        <f t="shared" si="763"/>
        <v>1.05</v>
      </c>
      <c r="T766" s="6" t="str">
        <f t="shared" si="708"/>
        <v>1|1.05#2|1.05#3|1.05#4|1.05#5|1.05</v>
      </c>
    </row>
    <row r="767" s="6" customFormat="1" ht="16.5" spans="1:20">
      <c r="A767" s="6">
        <v>1010773</v>
      </c>
      <c r="B767" s="6">
        <v>35001</v>
      </c>
      <c r="C767" s="6">
        <v>2</v>
      </c>
      <c r="D767" s="6">
        <v>0</v>
      </c>
      <c r="E767" s="6" t="str">
        <f t="shared" si="709"/>
        <v>305001:5</v>
      </c>
      <c r="F767" s="11" t="s">
        <v>364</v>
      </c>
      <c r="G767" s="6">
        <v>0</v>
      </c>
      <c r="H767" s="6">
        <v>0</v>
      </c>
      <c r="I767" s="6" t="s">
        <v>43</v>
      </c>
      <c r="K767" s="6" t="str">
        <f t="shared" si="707"/>
        <v>305001</v>
      </c>
      <c r="L767" s="4">
        <v>5</v>
      </c>
      <c r="M767" s="6" t="s">
        <v>574</v>
      </c>
      <c r="O767" s="15" t="str">
        <f>O766</f>
        <v>1.05</v>
      </c>
      <c r="P767" s="15" t="str">
        <f t="shared" ref="P767:S767" si="764">O767</f>
        <v>1.05</v>
      </c>
      <c r="Q767" s="15" t="str">
        <f t="shared" si="764"/>
        <v>1.05</v>
      </c>
      <c r="R767" s="15" t="str">
        <f>P767</f>
        <v>1.05</v>
      </c>
      <c r="S767" s="15" t="str">
        <f t="shared" si="764"/>
        <v>1.05</v>
      </c>
      <c r="T767" s="6" t="str">
        <f t="shared" si="708"/>
        <v>1|1.05#2|1.05#3|1.05#4|1.05#5|1.05</v>
      </c>
    </row>
    <row r="768" s="6" customFormat="1" ht="16.5" spans="1:20">
      <c r="A768" s="6">
        <v>1010774</v>
      </c>
      <c r="B768" s="6">
        <v>35001</v>
      </c>
      <c r="C768" s="6">
        <v>2</v>
      </c>
      <c r="D768" s="6">
        <v>1</v>
      </c>
      <c r="E768" s="6" t="str">
        <f t="shared" si="709"/>
        <v>305001:5</v>
      </c>
      <c r="F768" s="11" t="s">
        <v>366</v>
      </c>
      <c r="G768" s="6">
        <v>0</v>
      </c>
      <c r="H768" s="6">
        <v>0</v>
      </c>
      <c r="I768" s="6" t="s">
        <v>45</v>
      </c>
      <c r="K768" s="6" t="str">
        <f t="shared" si="707"/>
        <v>305001</v>
      </c>
      <c r="L768" s="4">
        <v>5</v>
      </c>
      <c r="M768" s="6" t="s">
        <v>574</v>
      </c>
      <c r="O768" s="13" t="str">
        <f t="shared" ref="O768:O772" si="765">RIGHT(F768,LEN(F768)-2)</f>
        <v>1.1</v>
      </c>
      <c r="P768" s="13">
        <v>1.05</v>
      </c>
      <c r="Q768" s="13" t="str">
        <f t="shared" ref="Q768:S768" si="766">Q767</f>
        <v>1.05</v>
      </c>
      <c r="R768" s="13" t="str">
        <f t="shared" si="766"/>
        <v>1.05</v>
      </c>
      <c r="S768" s="13" t="str">
        <f t="shared" si="766"/>
        <v>1.05</v>
      </c>
      <c r="T768" s="6" t="str">
        <f t="shared" si="708"/>
        <v>1|1.1#2|1.05#3|1.05#4|1.05#5|1.05</v>
      </c>
    </row>
    <row r="769" s="6" customFormat="1" ht="16.5" spans="1:20">
      <c r="A769" s="6">
        <v>1010775</v>
      </c>
      <c r="B769" s="6">
        <v>35001</v>
      </c>
      <c r="C769" s="6">
        <v>2</v>
      </c>
      <c r="D769" s="6">
        <v>2</v>
      </c>
      <c r="E769" s="6" t="str">
        <f t="shared" si="709"/>
        <v>305001:5</v>
      </c>
      <c r="F769" s="11" t="s">
        <v>367</v>
      </c>
      <c r="G769" s="6">
        <v>0</v>
      </c>
      <c r="H769" s="6">
        <v>0</v>
      </c>
      <c r="I769" s="6" t="s">
        <v>47</v>
      </c>
      <c r="K769" s="6" t="str">
        <f t="shared" si="707"/>
        <v>305001</v>
      </c>
      <c r="L769" s="4">
        <v>5</v>
      </c>
      <c r="M769" s="6" t="s">
        <v>574</v>
      </c>
      <c r="O769" s="13" t="str">
        <f t="shared" si="765"/>
        <v>1.1</v>
      </c>
      <c r="P769" s="13" t="str">
        <f t="shared" ref="P769:P772" si="767">O769</f>
        <v>1.1</v>
      </c>
      <c r="Q769" s="13">
        <v>1.05</v>
      </c>
      <c r="R769" s="13" t="str">
        <f>R768</f>
        <v>1.05</v>
      </c>
      <c r="S769" s="13" t="str">
        <f>S768</f>
        <v>1.05</v>
      </c>
      <c r="T769" s="6" t="str">
        <f t="shared" si="708"/>
        <v>1|1.1#2|1.1#3|1.05#4|1.05#5|1.05</v>
      </c>
    </row>
    <row r="770" s="6" customFormat="1" ht="16.5" spans="1:20">
      <c r="A770" s="6">
        <v>1010776</v>
      </c>
      <c r="B770" s="6">
        <v>35001</v>
      </c>
      <c r="C770" s="6">
        <v>2</v>
      </c>
      <c r="D770" s="6">
        <v>3</v>
      </c>
      <c r="E770" s="6" t="str">
        <f t="shared" si="709"/>
        <v>305001:6</v>
      </c>
      <c r="F770" s="11" t="s">
        <v>368</v>
      </c>
      <c r="G770" s="6">
        <v>0</v>
      </c>
      <c r="H770" s="6">
        <v>0</v>
      </c>
      <c r="I770" s="6" t="s">
        <v>49</v>
      </c>
      <c r="K770" s="6" t="str">
        <f t="shared" si="707"/>
        <v>305001</v>
      </c>
      <c r="L770" s="4">
        <v>6</v>
      </c>
      <c r="M770" s="6" t="s">
        <v>574</v>
      </c>
      <c r="O770" s="13" t="str">
        <f t="shared" si="765"/>
        <v>1.1</v>
      </c>
      <c r="P770" s="13" t="str">
        <f t="shared" si="767"/>
        <v>1.1</v>
      </c>
      <c r="Q770" s="13" t="str">
        <f t="shared" ref="Q770:Q772" si="768">P770</f>
        <v>1.1</v>
      </c>
      <c r="R770" s="13">
        <v>1.05</v>
      </c>
      <c r="S770" s="13" t="str">
        <f>S769</f>
        <v>1.05</v>
      </c>
      <c r="T770" s="6" t="str">
        <f t="shared" si="708"/>
        <v>1|1.1#2|1.1#3|1.1#4|1.05#5|1.05</v>
      </c>
    </row>
    <row r="771" s="6" customFormat="1" ht="16.5" spans="1:20">
      <c r="A771" s="6">
        <v>1010777</v>
      </c>
      <c r="B771" s="6">
        <v>35001</v>
      </c>
      <c r="C771" s="6">
        <v>2</v>
      </c>
      <c r="D771" s="6">
        <v>4</v>
      </c>
      <c r="E771" s="6" t="str">
        <f t="shared" si="709"/>
        <v>305001:6</v>
      </c>
      <c r="F771" s="11" t="s">
        <v>369</v>
      </c>
      <c r="G771" s="6">
        <v>0</v>
      </c>
      <c r="H771" s="6">
        <v>0</v>
      </c>
      <c r="I771" s="6" t="s">
        <v>51</v>
      </c>
      <c r="K771" s="6" t="str">
        <f t="shared" si="707"/>
        <v>305001</v>
      </c>
      <c r="L771" s="4">
        <v>6</v>
      </c>
      <c r="M771" s="6" t="s">
        <v>574</v>
      </c>
      <c r="O771" s="13" t="str">
        <f t="shared" si="765"/>
        <v>1.1</v>
      </c>
      <c r="P771" s="13" t="str">
        <f t="shared" si="767"/>
        <v>1.1</v>
      </c>
      <c r="Q771" s="13" t="str">
        <f t="shared" si="768"/>
        <v>1.1</v>
      </c>
      <c r="R771" s="13" t="str">
        <f>Q771</f>
        <v>1.1</v>
      </c>
      <c r="S771" s="13">
        <v>1.05</v>
      </c>
      <c r="T771" s="6" t="str">
        <f t="shared" si="708"/>
        <v>1|1.1#2|1.1#3|1.1#4|1.1#5|1.05</v>
      </c>
    </row>
    <row r="772" s="6" customFormat="1" ht="16.5" spans="1:20">
      <c r="A772" s="6">
        <v>1010778</v>
      </c>
      <c r="B772" s="6">
        <v>35001</v>
      </c>
      <c r="C772" s="6">
        <v>2</v>
      </c>
      <c r="D772" s="6">
        <v>5</v>
      </c>
      <c r="E772" s="6" t="str">
        <f t="shared" si="709"/>
        <v>305001:6</v>
      </c>
      <c r="F772" s="11" t="s">
        <v>370</v>
      </c>
      <c r="G772" s="6">
        <v>0</v>
      </c>
      <c r="H772" s="6">
        <v>0</v>
      </c>
      <c r="I772" s="6" t="s">
        <v>40</v>
      </c>
      <c r="K772" s="6" t="str">
        <f t="shared" si="707"/>
        <v>305001</v>
      </c>
      <c r="L772" s="4">
        <v>6</v>
      </c>
      <c r="M772" s="6" t="s">
        <v>287</v>
      </c>
      <c r="O772" s="13" t="str">
        <f t="shared" si="765"/>
        <v>1.1</v>
      </c>
      <c r="P772" s="13" t="str">
        <f t="shared" si="767"/>
        <v>1.1</v>
      </c>
      <c r="Q772" s="13" t="str">
        <f t="shared" si="768"/>
        <v>1.1</v>
      </c>
      <c r="R772" s="13" t="str">
        <f>Q772</f>
        <v>1.1</v>
      </c>
      <c r="S772" s="13" t="str">
        <f>R772</f>
        <v>1.1</v>
      </c>
      <c r="T772" s="6" t="str">
        <f t="shared" si="708"/>
        <v>1|1.1#2|1.1#3|1.1#4|1.1#5|1.1</v>
      </c>
    </row>
    <row r="773" s="6" customFormat="1" ht="16.5" spans="1:20">
      <c r="A773" s="6">
        <v>1010779</v>
      </c>
      <c r="B773" s="6">
        <v>35001</v>
      </c>
      <c r="C773" s="6">
        <v>2</v>
      </c>
      <c r="D773" s="6">
        <v>6</v>
      </c>
      <c r="E773" s="6" t="str">
        <f t="shared" si="709"/>
        <v>305001:7</v>
      </c>
      <c r="F773" s="11">
        <v>0</v>
      </c>
      <c r="G773" s="6">
        <v>11002</v>
      </c>
      <c r="H773" s="6" t="s">
        <v>407</v>
      </c>
      <c r="I773" s="6">
        <v>0</v>
      </c>
      <c r="K773" s="6" t="str">
        <f t="shared" ref="K773:K836" si="769">LEFT(M773,6)</f>
        <v>305001</v>
      </c>
      <c r="L773" s="13">
        <v>7</v>
      </c>
      <c r="M773" s="6" t="s">
        <v>573</v>
      </c>
      <c r="O773" s="13" t="str">
        <f t="shared" ref="O773:S773" si="770">O772</f>
        <v>1.1</v>
      </c>
      <c r="P773" s="13" t="str">
        <f t="shared" si="770"/>
        <v>1.1</v>
      </c>
      <c r="Q773" s="13" t="str">
        <f t="shared" si="770"/>
        <v>1.1</v>
      </c>
      <c r="R773" s="13" t="str">
        <f t="shared" si="770"/>
        <v>1.1</v>
      </c>
      <c r="S773" s="13" t="str">
        <f t="shared" si="770"/>
        <v>1.1</v>
      </c>
      <c r="T773" s="6" t="str">
        <f t="shared" ref="T773:T836" si="771">$O$2&amp;$P$3&amp;O773&amp;$O$1&amp;$P$2&amp;$P$3&amp;P773&amp;$O$1&amp;$Q$2&amp;$P$3&amp;Q773&amp;$O$1&amp;$R$2&amp;$P$3&amp;R773&amp;$O$1&amp;$S$2&amp;$P$3&amp;S773</f>
        <v>1|1.1#2|1.1#3|1.1#4|1.1#5|1.1</v>
      </c>
    </row>
    <row r="774" s="6" customFormat="1" ht="16.5" spans="1:20">
      <c r="A774" s="6">
        <v>1010780</v>
      </c>
      <c r="B774" s="6">
        <v>35001</v>
      </c>
      <c r="C774" s="6">
        <v>3</v>
      </c>
      <c r="D774" s="6">
        <v>0</v>
      </c>
      <c r="E774" s="6" t="str">
        <f t="shared" ref="E774:E837" si="772">K774&amp;$K$3&amp;L774</f>
        <v>305001:9</v>
      </c>
      <c r="F774" s="11" t="s">
        <v>371</v>
      </c>
      <c r="G774" s="6">
        <v>0</v>
      </c>
      <c r="H774" s="6">
        <v>0</v>
      </c>
      <c r="I774" s="6" t="s">
        <v>55</v>
      </c>
      <c r="K774" s="6" t="str">
        <f t="shared" si="769"/>
        <v>305001</v>
      </c>
      <c r="L774" s="4">
        <v>9</v>
      </c>
      <c r="M774" s="6" t="s">
        <v>575</v>
      </c>
      <c r="O774" s="15" t="str">
        <f>O773</f>
        <v>1.1</v>
      </c>
      <c r="P774" s="15" t="str">
        <f t="shared" ref="P774:S774" si="773">O774</f>
        <v>1.1</v>
      </c>
      <c r="Q774" s="15" t="str">
        <f t="shared" si="773"/>
        <v>1.1</v>
      </c>
      <c r="R774" s="15" t="str">
        <f>P774</f>
        <v>1.1</v>
      </c>
      <c r="S774" s="15" t="str">
        <f t="shared" si="773"/>
        <v>1.1</v>
      </c>
      <c r="T774" s="6" t="str">
        <f t="shared" si="771"/>
        <v>1|1.1#2|1.1#3|1.1#4|1.1#5|1.1</v>
      </c>
    </row>
    <row r="775" s="6" customFormat="1" ht="16.5" spans="1:20">
      <c r="A775" s="6">
        <v>1010781</v>
      </c>
      <c r="B775" s="6">
        <v>35001</v>
      </c>
      <c r="C775" s="6">
        <v>3</v>
      </c>
      <c r="D775" s="6">
        <v>1</v>
      </c>
      <c r="E775" s="6" t="str">
        <f t="shared" si="772"/>
        <v>305001:9</v>
      </c>
      <c r="F775" s="11" t="s">
        <v>373</v>
      </c>
      <c r="G775" s="6">
        <v>0</v>
      </c>
      <c r="H775" s="6">
        <v>0</v>
      </c>
      <c r="I775" s="6" t="s">
        <v>57</v>
      </c>
      <c r="K775" s="6" t="str">
        <f t="shared" si="769"/>
        <v>305001</v>
      </c>
      <c r="L775" s="4">
        <v>9</v>
      </c>
      <c r="M775" s="6" t="s">
        <v>575</v>
      </c>
      <c r="O775" s="13" t="str">
        <f t="shared" ref="O775:O779" si="774">RIGHT(F775,LEN(F775)-2)</f>
        <v>1.15</v>
      </c>
      <c r="P775" s="13" t="str">
        <f t="shared" ref="P775:S775" si="775">P774</f>
        <v>1.1</v>
      </c>
      <c r="Q775" s="13" t="str">
        <f t="shared" si="775"/>
        <v>1.1</v>
      </c>
      <c r="R775" s="13" t="str">
        <f t="shared" si="775"/>
        <v>1.1</v>
      </c>
      <c r="S775" s="13" t="str">
        <f t="shared" si="775"/>
        <v>1.1</v>
      </c>
      <c r="T775" s="6" t="str">
        <f t="shared" si="771"/>
        <v>1|1.15#2|1.1#3|1.1#4|1.1#5|1.1</v>
      </c>
    </row>
    <row r="776" s="6" customFormat="1" ht="16.5" spans="1:20">
      <c r="A776" s="6">
        <v>1010782</v>
      </c>
      <c r="B776" s="6">
        <v>35001</v>
      </c>
      <c r="C776" s="6">
        <v>3</v>
      </c>
      <c r="D776" s="6">
        <v>2</v>
      </c>
      <c r="E776" s="6" t="str">
        <f t="shared" si="772"/>
        <v>305001:9</v>
      </c>
      <c r="F776" s="11" t="s">
        <v>374</v>
      </c>
      <c r="G776" s="6">
        <v>0</v>
      </c>
      <c r="H776" s="6">
        <v>0</v>
      </c>
      <c r="I776" s="6" t="s">
        <v>59</v>
      </c>
      <c r="K776" s="6" t="str">
        <f t="shared" si="769"/>
        <v>305001</v>
      </c>
      <c r="L776" s="4">
        <v>9</v>
      </c>
      <c r="M776" s="6" t="s">
        <v>575</v>
      </c>
      <c r="O776" s="13" t="str">
        <f t="shared" si="774"/>
        <v>1.15</v>
      </c>
      <c r="P776" s="13" t="str">
        <f t="shared" ref="P776:P779" si="776">O776</f>
        <v>1.15</v>
      </c>
      <c r="Q776" s="13" t="str">
        <f t="shared" ref="Q776:S776" si="777">Q775</f>
        <v>1.1</v>
      </c>
      <c r="R776" s="13" t="str">
        <f t="shared" si="777"/>
        <v>1.1</v>
      </c>
      <c r="S776" s="13" t="str">
        <f t="shared" si="777"/>
        <v>1.1</v>
      </c>
      <c r="T776" s="6" t="str">
        <f t="shared" si="771"/>
        <v>1|1.15#2|1.15#3|1.1#4|1.1#5|1.1</v>
      </c>
    </row>
    <row r="777" s="6" customFormat="1" ht="16.5" spans="1:20">
      <c r="A777" s="6">
        <v>1010783</v>
      </c>
      <c r="B777" s="6">
        <v>35001</v>
      </c>
      <c r="C777" s="6">
        <v>3</v>
      </c>
      <c r="D777" s="6">
        <v>3</v>
      </c>
      <c r="E777" s="6" t="str">
        <f t="shared" si="772"/>
        <v>305001:11</v>
      </c>
      <c r="F777" s="11" t="s">
        <v>375</v>
      </c>
      <c r="G777" s="6">
        <v>0</v>
      </c>
      <c r="H777" s="6">
        <v>0</v>
      </c>
      <c r="I777" s="6" t="s">
        <v>61</v>
      </c>
      <c r="K777" s="6" t="str">
        <f t="shared" si="769"/>
        <v>305001</v>
      </c>
      <c r="L777" s="4">
        <v>11</v>
      </c>
      <c r="M777" s="6" t="s">
        <v>575</v>
      </c>
      <c r="O777" s="13" t="str">
        <f t="shared" si="774"/>
        <v>1.15</v>
      </c>
      <c r="P777" s="13" t="str">
        <f t="shared" si="776"/>
        <v>1.15</v>
      </c>
      <c r="Q777" s="13" t="str">
        <f t="shared" ref="Q777:Q779" si="778">P777</f>
        <v>1.15</v>
      </c>
      <c r="R777" s="13" t="str">
        <f>R776</f>
        <v>1.1</v>
      </c>
      <c r="S777" s="13" t="str">
        <f>S776</f>
        <v>1.1</v>
      </c>
      <c r="T777" s="6" t="str">
        <f t="shared" si="771"/>
        <v>1|1.15#2|1.15#3|1.15#4|1.1#5|1.1</v>
      </c>
    </row>
    <row r="778" s="6" customFormat="1" ht="16.5" spans="1:20">
      <c r="A778" s="6">
        <v>1010784</v>
      </c>
      <c r="B778" s="6">
        <v>35001</v>
      </c>
      <c r="C778" s="6">
        <v>3</v>
      </c>
      <c r="D778" s="6">
        <v>4</v>
      </c>
      <c r="E778" s="6" t="str">
        <f t="shared" si="772"/>
        <v>305001:11</v>
      </c>
      <c r="F778" s="11" t="s">
        <v>376</v>
      </c>
      <c r="G778" s="6">
        <v>0</v>
      </c>
      <c r="H778" s="6">
        <v>0</v>
      </c>
      <c r="I778" s="6" t="s">
        <v>63</v>
      </c>
      <c r="K778" s="6" t="str">
        <f t="shared" si="769"/>
        <v>305001</v>
      </c>
      <c r="L778" s="4">
        <v>11</v>
      </c>
      <c r="M778" s="6" t="s">
        <v>575</v>
      </c>
      <c r="O778" s="13" t="str">
        <f t="shared" si="774"/>
        <v>1.15</v>
      </c>
      <c r="P778" s="13" t="str">
        <f t="shared" si="776"/>
        <v>1.15</v>
      </c>
      <c r="Q778" s="13" t="str">
        <f t="shared" si="778"/>
        <v>1.15</v>
      </c>
      <c r="R778" s="13" t="str">
        <f>Q778</f>
        <v>1.15</v>
      </c>
      <c r="S778" s="13" t="str">
        <f>S777</f>
        <v>1.1</v>
      </c>
      <c r="T778" s="6" t="str">
        <f t="shared" si="771"/>
        <v>1|1.15#2|1.15#3|1.15#4|1.15#5|1.1</v>
      </c>
    </row>
    <row r="779" s="6" customFormat="1" ht="16.5" spans="1:20">
      <c r="A779" s="6">
        <v>1010785</v>
      </c>
      <c r="B779" s="6">
        <v>35001</v>
      </c>
      <c r="C779" s="6">
        <v>3</v>
      </c>
      <c r="D779" s="6">
        <v>5</v>
      </c>
      <c r="E779" s="6" t="str">
        <f t="shared" si="772"/>
        <v>305001:11</v>
      </c>
      <c r="F779" s="11" t="s">
        <v>377</v>
      </c>
      <c r="G779" s="6">
        <v>0</v>
      </c>
      <c r="H779" s="6">
        <v>0</v>
      </c>
      <c r="I779" s="6" t="s">
        <v>40</v>
      </c>
      <c r="K779" s="6" t="str">
        <f t="shared" si="769"/>
        <v>305001</v>
      </c>
      <c r="L779" s="4">
        <v>11</v>
      </c>
      <c r="M779" s="6" t="s">
        <v>576</v>
      </c>
      <c r="O779" s="13" t="str">
        <f t="shared" si="774"/>
        <v>1.15</v>
      </c>
      <c r="P779" s="13" t="str">
        <f t="shared" si="776"/>
        <v>1.15</v>
      </c>
      <c r="Q779" s="13" t="str">
        <f t="shared" si="778"/>
        <v>1.15</v>
      </c>
      <c r="R779" s="13" t="str">
        <f>Q779</f>
        <v>1.15</v>
      </c>
      <c r="S779" s="13" t="str">
        <f>R779</f>
        <v>1.15</v>
      </c>
      <c r="T779" s="6" t="str">
        <f t="shared" si="771"/>
        <v>1|1.15#2|1.15#3|1.15#4|1.15#5|1.15</v>
      </c>
    </row>
    <row r="780" s="6" customFormat="1" ht="16.5" spans="1:20">
      <c r="A780" s="6">
        <v>1010786</v>
      </c>
      <c r="B780" s="6">
        <v>35001</v>
      </c>
      <c r="C780" s="6">
        <v>3</v>
      </c>
      <c r="D780" s="6">
        <v>6</v>
      </c>
      <c r="E780" s="6" t="str">
        <f t="shared" si="772"/>
        <v>305001:30</v>
      </c>
      <c r="F780" s="11">
        <v>0</v>
      </c>
      <c r="G780" s="6">
        <v>11002</v>
      </c>
      <c r="H780" s="6" t="s">
        <v>407</v>
      </c>
      <c r="I780" s="6">
        <v>0</v>
      </c>
      <c r="K780" s="6" t="str">
        <f t="shared" si="769"/>
        <v>305001</v>
      </c>
      <c r="L780" s="13">
        <v>30</v>
      </c>
      <c r="M780" s="6" t="s">
        <v>573</v>
      </c>
      <c r="O780" s="13" t="str">
        <f t="shared" ref="O780:S780" si="779">O779</f>
        <v>1.15</v>
      </c>
      <c r="P780" s="13" t="str">
        <f t="shared" si="779"/>
        <v>1.15</v>
      </c>
      <c r="Q780" s="13" t="str">
        <f t="shared" si="779"/>
        <v>1.15</v>
      </c>
      <c r="R780" s="13" t="str">
        <f t="shared" si="779"/>
        <v>1.15</v>
      </c>
      <c r="S780" s="13" t="str">
        <f t="shared" si="779"/>
        <v>1.15</v>
      </c>
      <c r="T780" s="6" t="str">
        <f t="shared" si="771"/>
        <v>1|1.15#2|1.15#3|1.15#4|1.15#5|1.15</v>
      </c>
    </row>
    <row r="781" s="6" customFormat="1" ht="16.5" spans="1:20">
      <c r="A781" s="6">
        <v>1010787</v>
      </c>
      <c r="B781" s="6">
        <v>35001</v>
      </c>
      <c r="C781" s="6">
        <v>4</v>
      </c>
      <c r="D781" s="6">
        <v>0</v>
      </c>
      <c r="E781" s="6" t="str">
        <f t="shared" si="772"/>
        <v>305001:13</v>
      </c>
      <c r="F781" s="11" t="s">
        <v>379</v>
      </c>
      <c r="G781" s="6">
        <v>0</v>
      </c>
      <c r="H781" s="6">
        <v>0</v>
      </c>
      <c r="I781" s="6" t="s">
        <v>67</v>
      </c>
      <c r="K781" s="6" t="str">
        <f t="shared" si="769"/>
        <v>305001</v>
      </c>
      <c r="L781" s="4">
        <v>13</v>
      </c>
      <c r="M781" s="6" t="s">
        <v>577</v>
      </c>
      <c r="O781" s="15" t="str">
        <f>O780</f>
        <v>1.15</v>
      </c>
      <c r="P781" s="15" t="str">
        <f t="shared" ref="P781:S781" si="780">O781</f>
        <v>1.15</v>
      </c>
      <c r="Q781" s="15" t="str">
        <f t="shared" si="780"/>
        <v>1.15</v>
      </c>
      <c r="R781" s="15" t="str">
        <f>P781</f>
        <v>1.15</v>
      </c>
      <c r="S781" s="15" t="str">
        <f t="shared" si="780"/>
        <v>1.15</v>
      </c>
      <c r="T781" s="6" t="str">
        <f t="shared" si="771"/>
        <v>1|1.15#2|1.15#3|1.15#4|1.15#5|1.15</v>
      </c>
    </row>
    <row r="782" s="6" customFormat="1" ht="16.5" spans="1:20">
      <c r="A782" s="6">
        <v>1010788</v>
      </c>
      <c r="B782" s="6">
        <v>35001</v>
      </c>
      <c r="C782" s="6">
        <v>4</v>
      </c>
      <c r="D782" s="6">
        <v>1</v>
      </c>
      <c r="E782" s="6" t="str">
        <f t="shared" si="772"/>
        <v>305001:13</v>
      </c>
      <c r="F782" s="11" t="s">
        <v>381</v>
      </c>
      <c r="G782" s="6">
        <v>0</v>
      </c>
      <c r="H782" s="6">
        <v>0</v>
      </c>
      <c r="I782" s="6" t="s">
        <v>69</v>
      </c>
      <c r="K782" s="6" t="str">
        <f t="shared" si="769"/>
        <v>305001</v>
      </c>
      <c r="L782" s="4">
        <v>13</v>
      </c>
      <c r="M782" s="6" t="s">
        <v>577</v>
      </c>
      <c r="O782" s="13" t="str">
        <f t="shared" ref="O782:O786" si="781">RIGHT(F782,LEN(F782)-2)</f>
        <v>1.2</v>
      </c>
      <c r="P782" s="13" t="str">
        <f t="shared" ref="P782:S782" si="782">P781</f>
        <v>1.15</v>
      </c>
      <c r="Q782" s="13" t="str">
        <f t="shared" si="782"/>
        <v>1.15</v>
      </c>
      <c r="R782" s="13" t="str">
        <f t="shared" si="782"/>
        <v>1.15</v>
      </c>
      <c r="S782" s="13" t="str">
        <f t="shared" si="782"/>
        <v>1.15</v>
      </c>
      <c r="T782" s="6" t="str">
        <f t="shared" si="771"/>
        <v>1|1.2#2|1.15#3|1.15#4|1.15#5|1.15</v>
      </c>
    </row>
    <row r="783" s="6" customFormat="1" ht="16.5" spans="1:20">
      <c r="A783" s="6">
        <v>1010789</v>
      </c>
      <c r="B783" s="6">
        <v>35001</v>
      </c>
      <c r="C783" s="6">
        <v>4</v>
      </c>
      <c r="D783" s="6">
        <v>2</v>
      </c>
      <c r="E783" s="6" t="str">
        <f t="shared" si="772"/>
        <v>305001:13</v>
      </c>
      <c r="F783" s="11" t="s">
        <v>382</v>
      </c>
      <c r="G783" s="6">
        <v>0</v>
      </c>
      <c r="H783" s="6">
        <v>0</v>
      </c>
      <c r="I783" s="6" t="s">
        <v>71</v>
      </c>
      <c r="K783" s="6" t="str">
        <f t="shared" si="769"/>
        <v>305001</v>
      </c>
      <c r="L783" s="4">
        <v>13</v>
      </c>
      <c r="M783" s="6" t="s">
        <v>577</v>
      </c>
      <c r="O783" s="13" t="str">
        <f t="shared" si="781"/>
        <v>1.2</v>
      </c>
      <c r="P783" s="13" t="str">
        <f t="shared" ref="P783:P786" si="783">O783</f>
        <v>1.2</v>
      </c>
      <c r="Q783" s="13" t="str">
        <f t="shared" ref="Q783:S783" si="784">Q782</f>
        <v>1.15</v>
      </c>
      <c r="R783" s="13" t="str">
        <f t="shared" si="784"/>
        <v>1.15</v>
      </c>
      <c r="S783" s="13" t="str">
        <f t="shared" si="784"/>
        <v>1.15</v>
      </c>
      <c r="T783" s="6" t="str">
        <f t="shared" si="771"/>
        <v>1|1.2#2|1.2#3|1.15#4|1.15#5|1.15</v>
      </c>
    </row>
    <row r="784" s="6" customFormat="1" ht="16.5" spans="1:20">
      <c r="A784" s="6">
        <v>1010790</v>
      </c>
      <c r="B784" s="6">
        <v>35001</v>
      </c>
      <c r="C784" s="6">
        <v>4</v>
      </c>
      <c r="D784" s="6">
        <v>3</v>
      </c>
      <c r="E784" s="6" t="str">
        <f t="shared" si="772"/>
        <v>305001:17</v>
      </c>
      <c r="F784" s="11" t="s">
        <v>383</v>
      </c>
      <c r="G784" s="6">
        <v>0</v>
      </c>
      <c r="H784" s="6">
        <v>0</v>
      </c>
      <c r="I784" s="6" t="s">
        <v>73</v>
      </c>
      <c r="K784" s="6" t="str">
        <f t="shared" si="769"/>
        <v>305001</v>
      </c>
      <c r="L784" s="4">
        <v>17</v>
      </c>
      <c r="M784" s="6" t="s">
        <v>577</v>
      </c>
      <c r="O784" s="13" t="str">
        <f t="shared" si="781"/>
        <v>1.2</v>
      </c>
      <c r="P784" s="13" t="str">
        <f t="shared" si="783"/>
        <v>1.2</v>
      </c>
      <c r="Q784" s="13" t="str">
        <f t="shared" ref="Q784:Q786" si="785">P784</f>
        <v>1.2</v>
      </c>
      <c r="R784" s="13" t="str">
        <f>R783</f>
        <v>1.15</v>
      </c>
      <c r="S784" s="13" t="str">
        <f>S783</f>
        <v>1.15</v>
      </c>
      <c r="T784" s="6" t="str">
        <f t="shared" si="771"/>
        <v>1|1.2#2|1.2#3|1.2#4|1.15#5|1.15</v>
      </c>
    </row>
    <row r="785" s="6" customFormat="1" ht="16.5" spans="1:20">
      <c r="A785" s="6">
        <v>1010791</v>
      </c>
      <c r="B785" s="6">
        <v>35001</v>
      </c>
      <c r="C785" s="6">
        <v>4</v>
      </c>
      <c r="D785" s="6">
        <v>4</v>
      </c>
      <c r="E785" s="6" t="str">
        <f t="shared" si="772"/>
        <v>305001:17</v>
      </c>
      <c r="F785" s="11" t="s">
        <v>384</v>
      </c>
      <c r="G785" s="6">
        <v>0</v>
      </c>
      <c r="H785" s="6">
        <v>0</v>
      </c>
      <c r="I785" s="6" t="s">
        <v>75</v>
      </c>
      <c r="K785" s="6" t="str">
        <f t="shared" si="769"/>
        <v>305001</v>
      </c>
      <c r="L785" s="4">
        <v>17</v>
      </c>
      <c r="M785" s="6" t="s">
        <v>577</v>
      </c>
      <c r="O785" s="13" t="str">
        <f t="shared" si="781"/>
        <v>1.2</v>
      </c>
      <c r="P785" s="13" t="str">
        <f t="shared" si="783"/>
        <v>1.2</v>
      </c>
      <c r="Q785" s="13" t="str">
        <f t="shared" si="785"/>
        <v>1.2</v>
      </c>
      <c r="R785" s="13" t="str">
        <f>Q785</f>
        <v>1.2</v>
      </c>
      <c r="S785" s="13" t="str">
        <f>S784</f>
        <v>1.15</v>
      </c>
      <c r="T785" s="6" t="str">
        <f t="shared" si="771"/>
        <v>1|1.2#2|1.2#3|1.2#4|1.2#5|1.15</v>
      </c>
    </row>
    <row r="786" s="6" customFormat="1" ht="16.5" spans="1:20">
      <c r="A786" s="6">
        <v>1010792</v>
      </c>
      <c r="B786" s="6">
        <v>35001</v>
      </c>
      <c r="C786" s="6">
        <v>4</v>
      </c>
      <c r="D786" s="6">
        <v>5</v>
      </c>
      <c r="E786" s="6" t="str">
        <f t="shared" si="772"/>
        <v>305001:17</v>
      </c>
      <c r="F786" s="11" t="s">
        <v>385</v>
      </c>
      <c r="G786" s="6">
        <v>0</v>
      </c>
      <c r="H786" s="6">
        <v>0</v>
      </c>
      <c r="I786" s="6" t="s">
        <v>40</v>
      </c>
      <c r="K786" s="6" t="str">
        <f t="shared" si="769"/>
        <v>305001</v>
      </c>
      <c r="L786" s="4">
        <v>17</v>
      </c>
      <c r="M786" s="6" t="s">
        <v>289</v>
      </c>
      <c r="O786" s="13" t="str">
        <f t="shared" si="781"/>
        <v>1.2</v>
      </c>
      <c r="P786" s="13" t="str">
        <f t="shared" si="783"/>
        <v>1.2</v>
      </c>
      <c r="Q786" s="13" t="str">
        <f t="shared" si="785"/>
        <v>1.2</v>
      </c>
      <c r="R786" s="13" t="str">
        <f>Q786</f>
        <v>1.2</v>
      </c>
      <c r="S786" s="13" t="str">
        <f>R786</f>
        <v>1.2</v>
      </c>
      <c r="T786" s="6" t="str">
        <f t="shared" si="771"/>
        <v>1|1.2#2|1.2#3|1.2#4|1.2#5|1.2</v>
      </c>
    </row>
    <row r="787" s="6" customFormat="1" ht="16.5" spans="1:20">
      <c r="A787" s="6">
        <v>1010793</v>
      </c>
      <c r="B787" s="6">
        <v>35001</v>
      </c>
      <c r="C787" s="6">
        <v>4</v>
      </c>
      <c r="D787" s="6">
        <v>6</v>
      </c>
      <c r="E787" s="6" t="str">
        <f t="shared" si="772"/>
        <v>305001:60</v>
      </c>
      <c r="F787" s="11">
        <v>0</v>
      </c>
      <c r="G787" s="6">
        <v>11002</v>
      </c>
      <c r="H787" s="6" t="s">
        <v>407</v>
      </c>
      <c r="I787" s="6">
        <v>0</v>
      </c>
      <c r="K787" s="6" t="str">
        <f t="shared" si="769"/>
        <v>305001</v>
      </c>
      <c r="L787" s="13">
        <v>60</v>
      </c>
      <c r="M787" s="6" t="s">
        <v>573</v>
      </c>
      <c r="O787" s="13" t="str">
        <f t="shared" ref="O787:S787" si="786">O786</f>
        <v>1.2</v>
      </c>
      <c r="P787" s="13" t="str">
        <f t="shared" si="786"/>
        <v>1.2</v>
      </c>
      <c r="Q787" s="13" t="str">
        <f t="shared" si="786"/>
        <v>1.2</v>
      </c>
      <c r="R787" s="13" t="str">
        <f t="shared" si="786"/>
        <v>1.2</v>
      </c>
      <c r="S787" s="13" t="str">
        <f t="shared" si="786"/>
        <v>1.2</v>
      </c>
      <c r="T787" s="6" t="str">
        <f t="shared" si="771"/>
        <v>1|1.2#2|1.2#3|1.2#4|1.2#5|1.2</v>
      </c>
    </row>
    <row r="788" s="6" customFormat="1" ht="16.5" spans="1:20">
      <c r="A788" s="6">
        <v>1010794</v>
      </c>
      <c r="B788" s="6">
        <v>35001</v>
      </c>
      <c r="C788" s="6">
        <v>5</v>
      </c>
      <c r="D788" s="6">
        <v>0</v>
      </c>
      <c r="E788" s="6" t="str">
        <f t="shared" si="772"/>
        <v>305001:18</v>
      </c>
      <c r="F788" s="11" t="s">
        <v>386</v>
      </c>
      <c r="G788" s="6">
        <v>0</v>
      </c>
      <c r="H788" s="6">
        <v>0</v>
      </c>
      <c r="I788" s="6" t="s">
        <v>79</v>
      </c>
      <c r="K788" s="6" t="str">
        <f t="shared" si="769"/>
        <v>305001</v>
      </c>
      <c r="L788" s="4">
        <v>18</v>
      </c>
      <c r="M788" s="6" t="s">
        <v>578</v>
      </c>
      <c r="O788" s="15" t="str">
        <f>O787</f>
        <v>1.2</v>
      </c>
      <c r="P788" s="15" t="str">
        <f t="shared" ref="P788:S788" si="787">O788</f>
        <v>1.2</v>
      </c>
      <c r="Q788" s="15" t="str">
        <f t="shared" si="787"/>
        <v>1.2</v>
      </c>
      <c r="R788" s="15" t="str">
        <f>P788</f>
        <v>1.2</v>
      </c>
      <c r="S788" s="15" t="str">
        <f t="shared" si="787"/>
        <v>1.2</v>
      </c>
      <c r="T788" s="6" t="str">
        <f t="shared" si="771"/>
        <v>1|1.2#2|1.2#3|1.2#4|1.2#5|1.2</v>
      </c>
    </row>
    <row r="789" s="6" customFormat="1" ht="16.5" spans="1:20">
      <c r="A789" s="6">
        <v>1010795</v>
      </c>
      <c r="B789" s="6">
        <v>35001</v>
      </c>
      <c r="C789" s="6">
        <v>5</v>
      </c>
      <c r="D789" s="6">
        <v>1</v>
      </c>
      <c r="E789" s="6" t="str">
        <f t="shared" si="772"/>
        <v>305001:18</v>
      </c>
      <c r="F789" s="11" t="s">
        <v>388</v>
      </c>
      <c r="G789" s="6">
        <v>0</v>
      </c>
      <c r="H789" s="6">
        <v>0</v>
      </c>
      <c r="I789" s="6" t="s">
        <v>81</v>
      </c>
      <c r="K789" s="6" t="str">
        <f t="shared" si="769"/>
        <v>305001</v>
      </c>
      <c r="L789" s="4">
        <v>18</v>
      </c>
      <c r="M789" s="6" t="s">
        <v>578</v>
      </c>
      <c r="O789" s="13" t="str">
        <f t="shared" ref="O789:O793" si="788">RIGHT(F789,LEN(F789)-2)</f>
        <v>1.3</v>
      </c>
      <c r="P789" s="13" t="str">
        <f t="shared" ref="P789:S789" si="789">P788</f>
        <v>1.2</v>
      </c>
      <c r="Q789" s="13" t="str">
        <f t="shared" si="789"/>
        <v>1.2</v>
      </c>
      <c r="R789" s="13" t="str">
        <f t="shared" si="789"/>
        <v>1.2</v>
      </c>
      <c r="S789" s="13" t="str">
        <f t="shared" si="789"/>
        <v>1.2</v>
      </c>
      <c r="T789" s="6" t="str">
        <f t="shared" si="771"/>
        <v>1|1.3#2|1.2#3|1.2#4|1.2#5|1.2</v>
      </c>
    </row>
    <row r="790" s="6" customFormat="1" ht="16.5" spans="1:20">
      <c r="A790" s="6">
        <v>1010796</v>
      </c>
      <c r="B790" s="6">
        <v>35001</v>
      </c>
      <c r="C790" s="6">
        <v>5</v>
      </c>
      <c r="D790" s="6">
        <v>2</v>
      </c>
      <c r="E790" s="6" t="str">
        <f t="shared" si="772"/>
        <v>305001:18</v>
      </c>
      <c r="F790" s="11" t="s">
        <v>389</v>
      </c>
      <c r="G790" s="6">
        <v>0</v>
      </c>
      <c r="H790" s="6">
        <v>0</v>
      </c>
      <c r="I790" s="6" t="s">
        <v>83</v>
      </c>
      <c r="K790" s="6" t="str">
        <f t="shared" si="769"/>
        <v>305001</v>
      </c>
      <c r="L790" s="4">
        <v>18</v>
      </c>
      <c r="M790" s="6" t="s">
        <v>578</v>
      </c>
      <c r="O790" s="13" t="str">
        <f t="shared" si="788"/>
        <v>1.3</v>
      </c>
      <c r="P790" s="13" t="str">
        <f t="shared" ref="P790:P793" si="790">O790</f>
        <v>1.3</v>
      </c>
      <c r="Q790" s="13" t="str">
        <f t="shared" ref="Q790:S790" si="791">Q789</f>
        <v>1.2</v>
      </c>
      <c r="R790" s="13" t="str">
        <f t="shared" si="791"/>
        <v>1.2</v>
      </c>
      <c r="S790" s="13" t="str">
        <f t="shared" si="791"/>
        <v>1.2</v>
      </c>
      <c r="T790" s="6" t="str">
        <f t="shared" si="771"/>
        <v>1|1.3#2|1.3#3|1.2#4|1.2#5|1.2</v>
      </c>
    </row>
    <row r="791" s="6" customFormat="1" ht="16.5" spans="1:20">
      <c r="A791" s="6">
        <v>1010797</v>
      </c>
      <c r="B791" s="6">
        <v>35001</v>
      </c>
      <c r="C791" s="6">
        <v>5</v>
      </c>
      <c r="D791" s="6">
        <v>3</v>
      </c>
      <c r="E791" s="6" t="str">
        <f t="shared" si="772"/>
        <v>305001:22</v>
      </c>
      <c r="F791" s="11" t="s">
        <v>390</v>
      </c>
      <c r="G791" s="6">
        <v>0</v>
      </c>
      <c r="H791" s="6">
        <v>0</v>
      </c>
      <c r="I791" s="6" t="s">
        <v>85</v>
      </c>
      <c r="K791" s="6" t="str">
        <f t="shared" si="769"/>
        <v>305001</v>
      </c>
      <c r="L791" s="4">
        <v>22</v>
      </c>
      <c r="M791" s="6" t="s">
        <v>578</v>
      </c>
      <c r="O791" s="13" t="str">
        <f t="shared" si="788"/>
        <v>1.3</v>
      </c>
      <c r="P791" s="13" t="str">
        <f t="shared" si="790"/>
        <v>1.3</v>
      </c>
      <c r="Q791" s="13" t="str">
        <f t="shared" ref="Q791:Q793" si="792">P791</f>
        <v>1.3</v>
      </c>
      <c r="R791" s="13" t="str">
        <f>R790</f>
        <v>1.2</v>
      </c>
      <c r="S791" s="13" t="str">
        <f>S790</f>
        <v>1.2</v>
      </c>
      <c r="T791" s="6" t="str">
        <f t="shared" si="771"/>
        <v>1|1.3#2|1.3#3|1.3#4|1.2#5|1.2</v>
      </c>
    </row>
    <row r="792" s="6" customFormat="1" ht="16.5" spans="1:20">
      <c r="A792" s="6">
        <v>1010798</v>
      </c>
      <c r="B792" s="6">
        <v>35001</v>
      </c>
      <c r="C792" s="6">
        <v>5</v>
      </c>
      <c r="D792" s="6">
        <v>4</v>
      </c>
      <c r="E792" s="6" t="str">
        <f t="shared" si="772"/>
        <v>305001:22</v>
      </c>
      <c r="F792" s="11" t="s">
        <v>391</v>
      </c>
      <c r="G792" s="6">
        <v>0</v>
      </c>
      <c r="H792" s="6">
        <v>0</v>
      </c>
      <c r="I792" s="6" t="s">
        <v>87</v>
      </c>
      <c r="K792" s="6" t="str">
        <f t="shared" si="769"/>
        <v>305001</v>
      </c>
      <c r="L792" s="4">
        <v>22</v>
      </c>
      <c r="M792" s="6" t="s">
        <v>578</v>
      </c>
      <c r="O792" s="13" t="str">
        <f t="shared" si="788"/>
        <v>1.3</v>
      </c>
      <c r="P792" s="13" t="str">
        <f t="shared" si="790"/>
        <v>1.3</v>
      </c>
      <c r="Q792" s="13" t="str">
        <f t="shared" si="792"/>
        <v>1.3</v>
      </c>
      <c r="R792" s="13" t="str">
        <f>Q792</f>
        <v>1.3</v>
      </c>
      <c r="S792" s="13" t="str">
        <f>S791</f>
        <v>1.2</v>
      </c>
      <c r="T792" s="6" t="str">
        <f t="shared" si="771"/>
        <v>1|1.3#2|1.3#3|1.3#4|1.3#5|1.2</v>
      </c>
    </row>
    <row r="793" s="6" customFormat="1" ht="16.5" spans="1:20">
      <c r="A793" s="6">
        <v>1010799</v>
      </c>
      <c r="B793" s="6">
        <v>35001</v>
      </c>
      <c r="C793" s="6">
        <v>5</v>
      </c>
      <c r="D793" s="6">
        <v>5</v>
      </c>
      <c r="E793" s="6" t="str">
        <f t="shared" si="772"/>
        <v>305001:22</v>
      </c>
      <c r="F793" s="11" t="s">
        <v>392</v>
      </c>
      <c r="G793" s="6">
        <v>0</v>
      </c>
      <c r="H793" s="6">
        <v>0</v>
      </c>
      <c r="I793" s="6" t="s">
        <v>40</v>
      </c>
      <c r="K793" s="6" t="str">
        <f t="shared" si="769"/>
        <v>305001</v>
      </c>
      <c r="L793" s="4">
        <v>22</v>
      </c>
      <c r="M793" s="6" t="s">
        <v>579</v>
      </c>
      <c r="O793" s="13" t="str">
        <f t="shared" si="788"/>
        <v>1.3</v>
      </c>
      <c r="P793" s="13" t="str">
        <f t="shared" si="790"/>
        <v>1.3</v>
      </c>
      <c r="Q793" s="13" t="str">
        <f t="shared" si="792"/>
        <v>1.3</v>
      </c>
      <c r="R793" s="13" t="str">
        <f>Q793</f>
        <v>1.3</v>
      </c>
      <c r="S793" s="13" t="str">
        <f>R793</f>
        <v>1.3</v>
      </c>
      <c r="T793" s="6" t="str">
        <f t="shared" si="771"/>
        <v>1|1.3#2|1.3#3|1.3#4|1.3#5|1.3</v>
      </c>
    </row>
    <row r="794" s="6" customFormat="1" ht="16.5" spans="1:20">
      <c r="A794" s="6">
        <v>1010800</v>
      </c>
      <c r="B794" s="6">
        <v>35001</v>
      </c>
      <c r="C794" s="6">
        <v>5</v>
      </c>
      <c r="D794" s="6">
        <v>6</v>
      </c>
      <c r="E794" s="6" t="str">
        <f t="shared" si="772"/>
        <v>305001:60</v>
      </c>
      <c r="F794" s="11">
        <v>0</v>
      </c>
      <c r="G794" s="6">
        <v>11002</v>
      </c>
      <c r="H794" s="6" t="s">
        <v>407</v>
      </c>
      <c r="I794" s="6">
        <v>0</v>
      </c>
      <c r="K794" s="6" t="str">
        <f t="shared" si="769"/>
        <v>305001</v>
      </c>
      <c r="L794" s="13">
        <v>60</v>
      </c>
      <c r="M794" s="6" t="s">
        <v>573</v>
      </c>
      <c r="O794" s="13" t="str">
        <f t="shared" ref="O794:S794" si="793">O793</f>
        <v>1.3</v>
      </c>
      <c r="P794" s="13" t="str">
        <f t="shared" si="793"/>
        <v>1.3</v>
      </c>
      <c r="Q794" s="13" t="str">
        <f t="shared" si="793"/>
        <v>1.3</v>
      </c>
      <c r="R794" s="13" t="str">
        <f t="shared" si="793"/>
        <v>1.3</v>
      </c>
      <c r="S794" s="13" t="str">
        <f t="shared" si="793"/>
        <v>1.3</v>
      </c>
      <c r="T794" s="6" t="str">
        <f t="shared" si="771"/>
        <v>1|1.3#2|1.3#3|1.3#4|1.3#5|1.3</v>
      </c>
    </row>
    <row r="795" s="6" customFormat="1" ht="16.5" spans="1:20">
      <c r="A795" s="6">
        <v>1010801</v>
      </c>
      <c r="B795" s="6">
        <v>35001</v>
      </c>
      <c r="C795" s="6">
        <v>6</v>
      </c>
      <c r="D795" s="6">
        <v>0</v>
      </c>
      <c r="E795" s="6" t="str">
        <f t="shared" si="772"/>
        <v>305001:24</v>
      </c>
      <c r="F795" s="11" t="s">
        <v>394</v>
      </c>
      <c r="G795" s="6">
        <v>0</v>
      </c>
      <c r="H795" s="6">
        <v>0</v>
      </c>
      <c r="I795" s="6" t="s">
        <v>90</v>
      </c>
      <c r="K795" s="6" t="str">
        <f t="shared" si="769"/>
        <v>305001</v>
      </c>
      <c r="L795" s="4">
        <v>24</v>
      </c>
      <c r="M795" s="6" t="s">
        <v>580</v>
      </c>
      <c r="O795" s="15" t="str">
        <f>O794</f>
        <v>1.3</v>
      </c>
      <c r="P795" s="15" t="str">
        <f t="shared" ref="P795:S795" si="794">O795</f>
        <v>1.3</v>
      </c>
      <c r="Q795" s="15" t="str">
        <f t="shared" si="794"/>
        <v>1.3</v>
      </c>
      <c r="R795" s="15" t="str">
        <f>P795</f>
        <v>1.3</v>
      </c>
      <c r="S795" s="15" t="str">
        <f t="shared" si="794"/>
        <v>1.3</v>
      </c>
      <c r="T795" s="6" t="str">
        <f t="shared" si="771"/>
        <v>1|1.3#2|1.3#3|1.3#4|1.3#5|1.3</v>
      </c>
    </row>
    <row r="796" s="6" customFormat="1" ht="16.5" spans="1:20">
      <c r="A796" s="6">
        <v>1010802</v>
      </c>
      <c r="B796" s="6">
        <v>35001</v>
      </c>
      <c r="C796" s="6">
        <v>6</v>
      </c>
      <c r="D796" s="6">
        <v>1</v>
      </c>
      <c r="E796" s="6" t="str">
        <f t="shared" si="772"/>
        <v>305001:24</v>
      </c>
      <c r="F796" s="11" t="s">
        <v>396</v>
      </c>
      <c r="G796" s="6">
        <v>0</v>
      </c>
      <c r="H796" s="6">
        <v>0</v>
      </c>
      <c r="I796" s="6" t="s">
        <v>92</v>
      </c>
      <c r="K796" s="6" t="str">
        <f t="shared" si="769"/>
        <v>305001</v>
      </c>
      <c r="L796" s="4">
        <v>24</v>
      </c>
      <c r="M796" s="6" t="s">
        <v>580</v>
      </c>
      <c r="O796" s="13" t="str">
        <f t="shared" ref="O796:O800" si="795">RIGHT(F796,LEN(F796)-2)</f>
        <v>1.4</v>
      </c>
      <c r="P796" s="13" t="str">
        <f t="shared" ref="P796:S796" si="796">P795</f>
        <v>1.3</v>
      </c>
      <c r="Q796" s="13" t="str">
        <f t="shared" si="796"/>
        <v>1.3</v>
      </c>
      <c r="R796" s="13" t="str">
        <f t="shared" si="796"/>
        <v>1.3</v>
      </c>
      <c r="S796" s="13" t="str">
        <f t="shared" si="796"/>
        <v>1.3</v>
      </c>
      <c r="T796" s="6" t="str">
        <f t="shared" si="771"/>
        <v>1|1.4#2|1.3#3|1.3#4|1.3#5|1.3</v>
      </c>
    </row>
    <row r="797" s="6" customFormat="1" ht="16.5" spans="1:20">
      <c r="A797" s="6">
        <v>1010803</v>
      </c>
      <c r="B797" s="6">
        <v>35001</v>
      </c>
      <c r="C797" s="6">
        <v>6</v>
      </c>
      <c r="D797" s="6">
        <v>2</v>
      </c>
      <c r="E797" s="6" t="str">
        <f t="shared" si="772"/>
        <v>305001:24</v>
      </c>
      <c r="F797" s="11" t="s">
        <v>397</v>
      </c>
      <c r="G797" s="6">
        <v>0</v>
      </c>
      <c r="H797" s="6">
        <v>0</v>
      </c>
      <c r="I797" s="6" t="s">
        <v>94</v>
      </c>
      <c r="K797" s="6" t="str">
        <f t="shared" si="769"/>
        <v>305001</v>
      </c>
      <c r="L797" s="4">
        <v>24</v>
      </c>
      <c r="M797" s="6" t="s">
        <v>580</v>
      </c>
      <c r="O797" s="13" t="str">
        <f t="shared" si="795"/>
        <v>1.4</v>
      </c>
      <c r="P797" s="13" t="str">
        <f t="shared" ref="P797:P800" si="797">O797</f>
        <v>1.4</v>
      </c>
      <c r="Q797" s="13" t="str">
        <f t="shared" ref="Q797:S797" si="798">Q796</f>
        <v>1.3</v>
      </c>
      <c r="R797" s="13" t="str">
        <f t="shared" si="798"/>
        <v>1.3</v>
      </c>
      <c r="S797" s="13" t="str">
        <f t="shared" si="798"/>
        <v>1.3</v>
      </c>
      <c r="T797" s="6" t="str">
        <f t="shared" si="771"/>
        <v>1|1.4#2|1.4#3|1.3#4|1.3#5|1.3</v>
      </c>
    </row>
    <row r="798" s="6" customFormat="1" ht="16.5" spans="1:20">
      <c r="A798" s="6">
        <v>1010804</v>
      </c>
      <c r="B798" s="6">
        <v>35001</v>
      </c>
      <c r="C798" s="6">
        <v>6</v>
      </c>
      <c r="D798" s="6">
        <v>3</v>
      </c>
      <c r="E798" s="6" t="str">
        <f t="shared" si="772"/>
        <v>305001:24</v>
      </c>
      <c r="F798" s="11" t="s">
        <v>398</v>
      </c>
      <c r="G798" s="6">
        <v>0</v>
      </c>
      <c r="H798" s="6">
        <v>0</v>
      </c>
      <c r="I798" s="6" t="s">
        <v>96</v>
      </c>
      <c r="K798" s="6" t="str">
        <f t="shared" si="769"/>
        <v>305001</v>
      </c>
      <c r="L798" s="4">
        <v>24</v>
      </c>
      <c r="M798" s="6" t="s">
        <v>580</v>
      </c>
      <c r="O798" s="13" t="str">
        <f t="shared" si="795"/>
        <v>1.4</v>
      </c>
      <c r="P798" s="13" t="str">
        <f t="shared" si="797"/>
        <v>1.4</v>
      </c>
      <c r="Q798" s="13" t="str">
        <f t="shared" ref="Q798:Q800" si="799">P798</f>
        <v>1.4</v>
      </c>
      <c r="R798" s="13" t="str">
        <f>R797</f>
        <v>1.3</v>
      </c>
      <c r="S798" s="13" t="str">
        <f t="shared" ref="S798:S805" si="800">S797</f>
        <v>1.3</v>
      </c>
      <c r="T798" s="6" t="str">
        <f t="shared" si="771"/>
        <v>1|1.4#2|1.4#3|1.4#4|1.3#5|1.3</v>
      </c>
    </row>
    <row r="799" s="6" customFormat="1" ht="16.5" spans="1:20">
      <c r="A799" s="6">
        <v>1010805</v>
      </c>
      <c r="B799" s="6">
        <v>35001</v>
      </c>
      <c r="C799" s="6">
        <v>6</v>
      </c>
      <c r="D799" s="6">
        <v>4</v>
      </c>
      <c r="E799" s="6" t="str">
        <f t="shared" si="772"/>
        <v>305001:24</v>
      </c>
      <c r="F799" s="11" t="s">
        <v>399</v>
      </c>
      <c r="G799" s="6">
        <v>0</v>
      </c>
      <c r="H799" s="6">
        <v>0</v>
      </c>
      <c r="I799" s="6" t="s">
        <v>98</v>
      </c>
      <c r="K799" s="6" t="str">
        <f t="shared" si="769"/>
        <v>305001</v>
      </c>
      <c r="L799" s="4">
        <v>24</v>
      </c>
      <c r="M799" s="6" t="s">
        <v>580</v>
      </c>
      <c r="O799" s="13" t="str">
        <f t="shared" si="795"/>
        <v>1.4</v>
      </c>
      <c r="P799" s="13" t="str">
        <f t="shared" si="797"/>
        <v>1.4</v>
      </c>
      <c r="Q799" s="13" t="str">
        <f t="shared" si="799"/>
        <v>1.4</v>
      </c>
      <c r="R799" s="13" t="str">
        <f>Q799</f>
        <v>1.4</v>
      </c>
      <c r="S799" s="13" t="str">
        <f t="shared" si="800"/>
        <v>1.3</v>
      </c>
      <c r="T799" s="6" t="str">
        <f t="shared" si="771"/>
        <v>1|1.4#2|1.4#3|1.4#4|1.4#5|1.3</v>
      </c>
    </row>
    <row r="800" s="6" customFormat="1" ht="16.5" spans="1:20">
      <c r="A800" s="6">
        <v>1010806</v>
      </c>
      <c r="B800" s="6">
        <v>35001</v>
      </c>
      <c r="C800" s="6">
        <v>6</v>
      </c>
      <c r="D800" s="6">
        <v>5</v>
      </c>
      <c r="E800" s="6" t="str">
        <f t="shared" si="772"/>
        <v>305001:60</v>
      </c>
      <c r="F800" s="11" t="s">
        <v>400</v>
      </c>
      <c r="G800" s="6">
        <v>0</v>
      </c>
      <c r="H800" s="6">
        <v>0</v>
      </c>
      <c r="I800" s="6" t="s">
        <v>40</v>
      </c>
      <c r="K800" s="6" t="str">
        <f t="shared" si="769"/>
        <v>305001</v>
      </c>
      <c r="L800" s="4">
        <v>60</v>
      </c>
      <c r="M800" s="6" t="s">
        <v>579</v>
      </c>
      <c r="O800" s="13" t="str">
        <f t="shared" si="795"/>
        <v>1.4</v>
      </c>
      <c r="P800" s="13" t="str">
        <f t="shared" si="797"/>
        <v>1.4</v>
      </c>
      <c r="Q800" s="13" t="str">
        <f t="shared" si="799"/>
        <v>1.4</v>
      </c>
      <c r="R800" s="13" t="str">
        <f>Q800</f>
        <v>1.4</v>
      </c>
      <c r="S800" s="13" t="str">
        <f>R800</f>
        <v>1.4</v>
      </c>
      <c r="T800" s="6" t="str">
        <f t="shared" si="771"/>
        <v>1|1.4#2|1.4#3|1.4#4|1.4#5|1.4</v>
      </c>
    </row>
    <row r="801" s="6" customFormat="1" ht="16.5" spans="1:20">
      <c r="A801" s="6">
        <v>1010807</v>
      </c>
      <c r="B801" s="6">
        <v>35001</v>
      </c>
      <c r="C801" s="6">
        <v>6</v>
      </c>
      <c r="D801" s="6">
        <v>6</v>
      </c>
      <c r="E801" s="6" t="str">
        <f t="shared" si="772"/>
        <v>305001:0</v>
      </c>
      <c r="F801" s="11">
        <v>0</v>
      </c>
      <c r="G801" s="6">
        <v>11002</v>
      </c>
      <c r="H801" s="6" t="s">
        <v>407</v>
      </c>
      <c r="I801" s="6">
        <v>0</v>
      </c>
      <c r="K801" s="6" t="str">
        <f t="shared" si="769"/>
        <v>305001</v>
      </c>
      <c r="L801" s="4">
        <v>0</v>
      </c>
      <c r="M801" s="6" t="s">
        <v>573</v>
      </c>
      <c r="O801" s="13" t="str">
        <f t="shared" ref="O801:S801" si="801">O800</f>
        <v>1.4</v>
      </c>
      <c r="P801" s="13" t="str">
        <f t="shared" si="801"/>
        <v>1.4</v>
      </c>
      <c r="Q801" s="13" t="str">
        <f t="shared" si="801"/>
        <v>1.4</v>
      </c>
      <c r="R801" s="13" t="str">
        <f t="shared" si="801"/>
        <v>1.4</v>
      </c>
      <c r="S801" s="13" t="str">
        <f t="shared" si="801"/>
        <v>1.4</v>
      </c>
      <c r="T801" s="6" t="str">
        <f t="shared" si="771"/>
        <v>1|1.4#2|1.4#3|1.4#4|1.4#5|1.4</v>
      </c>
    </row>
    <row r="802" s="6" customFormat="1" ht="16.5" spans="1:20">
      <c r="A802" s="6">
        <v>1010808</v>
      </c>
      <c r="B802" s="6">
        <v>36001</v>
      </c>
      <c r="C802" s="6">
        <v>1</v>
      </c>
      <c r="D802" s="6">
        <v>0</v>
      </c>
      <c r="E802" s="6" t="str">
        <f t="shared" si="772"/>
        <v>306001:2</v>
      </c>
      <c r="F802" s="11" t="s">
        <v>356</v>
      </c>
      <c r="G802" s="6">
        <v>0</v>
      </c>
      <c r="H802" s="6">
        <v>0</v>
      </c>
      <c r="I802" s="6" t="s">
        <v>25</v>
      </c>
      <c r="K802" s="6" t="str">
        <f t="shared" si="769"/>
        <v>306001</v>
      </c>
      <c r="L802" s="4">
        <v>2</v>
      </c>
      <c r="M802" s="6" t="s">
        <v>581</v>
      </c>
      <c r="O802" s="13">
        <v>1</v>
      </c>
      <c r="P802" s="13">
        <f t="shared" ref="P802:S802" si="802">O802</f>
        <v>1</v>
      </c>
      <c r="Q802" s="13">
        <f t="shared" si="802"/>
        <v>1</v>
      </c>
      <c r="R802" s="13">
        <f>P802</f>
        <v>1</v>
      </c>
      <c r="S802" s="13">
        <f t="shared" si="802"/>
        <v>1</v>
      </c>
      <c r="T802" s="6" t="str">
        <f t="shared" si="771"/>
        <v>1|1#2|1#3|1#4|1#5|1</v>
      </c>
    </row>
    <row r="803" s="6" customFormat="1" ht="16.5" spans="1:20">
      <c r="A803" s="6">
        <v>1010809</v>
      </c>
      <c r="B803" s="6">
        <v>36001</v>
      </c>
      <c r="C803" s="6">
        <v>1</v>
      </c>
      <c r="D803" s="6">
        <v>1</v>
      </c>
      <c r="E803" s="6" t="str">
        <f t="shared" si="772"/>
        <v>306001:2</v>
      </c>
      <c r="F803" s="11" t="s">
        <v>358</v>
      </c>
      <c r="G803" s="6">
        <v>0</v>
      </c>
      <c r="H803" s="6">
        <v>0</v>
      </c>
      <c r="I803" s="6" t="s">
        <v>28</v>
      </c>
      <c r="K803" s="6" t="str">
        <f t="shared" si="769"/>
        <v>306001</v>
      </c>
      <c r="L803" s="4">
        <v>2</v>
      </c>
      <c r="M803" s="6" t="s">
        <v>581</v>
      </c>
      <c r="O803" s="13" t="str">
        <f t="shared" ref="O803:O807" si="803">RIGHT(F803,LEN(F803)-2)</f>
        <v>1.05</v>
      </c>
      <c r="P803" s="13">
        <v>1</v>
      </c>
      <c r="Q803" s="13">
        <f>Q802</f>
        <v>1</v>
      </c>
      <c r="R803" s="13">
        <f>R802</f>
        <v>1</v>
      </c>
      <c r="S803" s="13">
        <f t="shared" si="800"/>
        <v>1</v>
      </c>
      <c r="T803" s="6" t="str">
        <f t="shared" si="771"/>
        <v>1|1.05#2|1#3|1#4|1#5|1</v>
      </c>
    </row>
    <row r="804" s="6" customFormat="1" ht="16.5" spans="1:20">
      <c r="A804" s="6">
        <v>1010810</v>
      </c>
      <c r="B804" s="6">
        <v>36001</v>
      </c>
      <c r="C804" s="6">
        <v>1</v>
      </c>
      <c r="D804" s="6">
        <v>2</v>
      </c>
      <c r="E804" s="6" t="str">
        <f t="shared" si="772"/>
        <v>306001:2</v>
      </c>
      <c r="F804" s="11" t="s">
        <v>359</v>
      </c>
      <c r="G804" s="6">
        <v>0</v>
      </c>
      <c r="H804" s="6">
        <v>0</v>
      </c>
      <c r="I804" s="6" t="s">
        <v>31</v>
      </c>
      <c r="K804" s="6" t="str">
        <f t="shared" si="769"/>
        <v>306001</v>
      </c>
      <c r="L804" s="4">
        <v>2</v>
      </c>
      <c r="M804" s="6" t="s">
        <v>581</v>
      </c>
      <c r="O804" s="13" t="str">
        <f t="shared" si="803"/>
        <v>1.05</v>
      </c>
      <c r="P804" s="13" t="str">
        <f t="shared" ref="P804:P807" si="804">O804</f>
        <v>1.05</v>
      </c>
      <c r="Q804" s="13">
        <v>1</v>
      </c>
      <c r="R804" s="13">
        <f>R803</f>
        <v>1</v>
      </c>
      <c r="S804" s="13">
        <f t="shared" si="800"/>
        <v>1</v>
      </c>
      <c r="T804" s="6" t="str">
        <f t="shared" si="771"/>
        <v>1|1.05#2|1.05#3|1#4|1#5|1</v>
      </c>
    </row>
    <row r="805" s="6" customFormat="1" ht="16.5" spans="1:20">
      <c r="A805" s="6">
        <v>1010811</v>
      </c>
      <c r="B805" s="6">
        <v>36001</v>
      </c>
      <c r="C805" s="6">
        <v>1</v>
      </c>
      <c r="D805" s="6">
        <v>3</v>
      </c>
      <c r="E805" s="6" t="str">
        <f t="shared" si="772"/>
        <v>306001:3</v>
      </c>
      <c r="F805" s="11" t="s">
        <v>360</v>
      </c>
      <c r="G805" s="6">
        <v>0</v>
      </c>
      <c r="H805" s="6">
        <v>0</v>
      </c>
      <c r="I805" s="6" t="s">
        <v>34</v>
      </c>
      <c r="K805" s="6" t="str">
        <f t="shared" si="769"/>
        <v>306001</v>
      </c>
      <c r="L805" s="4">
        <v>3</v>
      </c>
      <c r="M805" s="6" t="s">
        <v>581</v>
      </c>
      <c r="O805" s="13" t="str">
        <f t="shared" si="803"/>
        <v>1.05</v>
      </c>
      <c r="P805" s="13" t="str">
        <f t="shared" si="804"/>
        <v>1.05</v>
      </c>
      <c r="Q805" s="13" t="str">
        <f t="shared" ref="Q805:Q807" si="805">P805</f>
        <v>1.05</v>
      </c>
      <c r="R805" s="13">
        <v>1</v>
      </c>
      <c r="S805" s="13">
        <f t="shared" si="800"/>
        <v>1</v>
      </c>
      <c r="T805" s="6" t="str">
        <f t="shared" si="771"/>
        <v>1|1.05#2|1.05#3|1.05#4|1#5|1</v>
      </c>
    </row>
    <row r="806" s="6" customFormat="1" ht="16.5" spans="1:20">
      <c r="A806" s="6">
        <v>1010812</v>
      </c>
      <c r="B806" s="6">
        <v>36001</v>
      </c>
      <c r="C806" s="6">
        <v>1</v>
      </c>
      <c r="D806" s="6">
        <v>4</v>
      </c>
      <c r="E806" s="6" t="str">
        <f t="shared" si="772"/>
        <v>306001:3</v>
      </c>
      <c r="F806" s="11" t="s">
        <v>361</v>
      </c>
      <c r="G806" s="6">
        <v>0</v>
      </c>
      <c r="H806" s="6">
        <v>0</v>
      </c>
      <c r="I806" s="6" t="s">
        <v>37</v>
      </c>
      <c r="K806" s="6" t="str">
        <f t="shared" si="769"/>
        <v>306001</v>
      </c>
      <c r="L806" s="4">
        <v>3</v>
      </c>
      <c r="M806" s="6" t="s">
        <v>581</v>
      </c>
      <c r="O806" s="13" t="str">
        <f t="shared" si="803"/>
        <v>1.05</v>
      </c>
      <c r="P806" s="13" t="str">
        <f t="shared" si="804"/>
        <v>1.05</v>
      </c>
      <c r="Q806" s="13" t="str">
        <f t="shared" si="805"/>
        <v>1.05</v>
      </c>
      <c r="R806" s="13" t="str">
        <f>Q806</f>
        <v>1.05</v>
      </c>
      <c r="S806" s="13">
        <v>1</v>
      </c>
      <c r="T806" s="6" t="str">
        <f t="shared" si="771"/>
        <v>1|1.05#2|1.05#3|1.05#4|1.05#5|1</v>
      </c>
    </row>
    <row r="807" s="6" customFormat="1" ht="16.5" spans="1:20">
      <c r="A807" s="6">
        <v>1010813</v>
      </c>
      <c r="B807" s="6">
        <v>36001</v>
      </c>
      <c r="C807" s="6">
        <v>1</v>
      </c>
      <c r="D807" s="6">
        <v>5</v>
      </c>
      <c r="E807" s="6" t="str">
        <f t="shared" si="772"/>
        <v>306001:3</v>
      </c>
      <c r="F807" s="11" t="s">
        <v>362</v>
      </c>
      <c r="G807" s="6">
        <v>0</v>
      </c>
      <c r="H807" s="6">
        <v>0</v>
      </c>
      <c r="I807" s="6" t="s">
        <v>40</v>
      </c>
      <c r="K807" s="6" t="str">
        <f t="shared" si="769"/>
        <v>306001</v>
      </c>
      <c r="L807" s="4">
        <v>3</v>
      </c>
      <c r="M807" s="6" t="s">
        <v>582</v>
      </c>
      <c r="O807" s="13" t="str">
        <f t="shared" si="803"/>
        <v>1.05</v>
      </c>
      <c r="P807" s="13" t="str">
        <f t="shared" si="804"/>
        <v>1.05</v>
      </c>
      <c r="Q807" s="13" t="str">
        <f t="shared" si="805"/>
        <v>1.05</v>
      </c>
      <c r="R807" s="13" t="str">
        <f>Q807</f>
        <v>1.05</v>
      </c>
      <c r="S807" s="13" t="str">
        <f>R807</f>
        <v>1.05</v>
      </c>
      <c r="T807" s="6" t="str">
        <f t="shared" si="771"/>
        <v>1|1.05#2|1.05#3|1.05#4|1.05#5|1.05</v>
      </c>
    </row>
    <row r="808" s="6" customFormat="1" ht="16.5" spans="1:20">
      <c r="A808" s="6">
        <v>1010814</v>
      </c>
      <c r="B808" s="6">
        <v>36001</v>
      </c>
      <c r="C808" s="6">
        <v>1</v>
      </c>
      <c r="D808" s="6">
        <v>6</v>
      </c>
      <c r="E808" s="6" t="str">
        <f t="shared" si="772"/>
        <v>306001:5</v>
      </c>
      <c r="F808" s="11">
        <v>0</v>
      </c>
      <c r="G808" s="6">
        <v>11002</v>
      </c>
      <c r="H808" s="6" t="s">
        <v>407</v>
      </c>
      <c r="I808" s="6">
        <v>0</v>
      </c>
      <c r="K808" s="6" t="str">
        <f t="shared" si="769"/>
        <v>306001</v>
      </c>
      <c r="L808" s="13">
        <v>5</v>
      </c>
      <c r="M808" s="6" t="s">
        <v>583</v>
      </c>
      <c r="O808" s="13" t="str">
        <f t="shared" ref="O808:S808" si="806">O807</f>
        <v>1.05</v>
      </c>
      <c r="P808" s="13" t="str">
        <f t="shared" si="806"/>
        <v>1.05</v>
      </c>
      <c r="Q808" s="13" t="str">
        <f t="shared" si="806"/>
        <v>1.05</v>
      </c>
      <c r="R808" s="13" t="str">
        <f t="shared" si="806"/>
        <v>1.05</v>
      </c>
      <c r="S808" s="13" t="str">
        <f t="shared" si="806"/>
        <v>1.05</v>
      </c>
      <c r="T808" s="6" t="str">
        <f t="shared" si="771"/>
        <v>1|1.05#2|1.05#3|1.05#4|1.05#5|1.05</v>
      </c>
    </row>
    <row r="809" s="6" customFormat="1" ht="16.5" spans="1:20">
      <c r="A809" s="6">
        <v>1010815</v>
      </c>
      <c r="B809" s="6">
        <v>36001</v>
      </c>
      <c r="C809" s="6">
        <v>2</v>
      </c>
      <c r="D809" s="6">
        <v>0</v>
      </c>
      <c r="E809" s="6" t="str">
        <f t="shared" si="772"/>
        <v>306001:5</v>
      </c>
      <c r="F809" s="11" t="s">
        <v>364</v>
      </c>
      <c r="G809" s="6">
        <v>0</v>
      </c>
      <c r="H809" s="6">
        <v>0</v>
      </c>
      <c r="I809" s="6" t="s">
        <v>43</v>
      </c>
      <c r="K809" s="6" t="str">
        <f t="shared" si="769"/>
        <v>306001</v>
      </c>
      <c r="L809" s="4">
        <v>5</v>
      </c>
      <c r="M809" s="6" t="s">
        <v>584</v>
      </c>
      <c r="O809" s="15" t="str">
        <f>O808</f>
        <v>1.05</v>
      </c>
      <c r="P809" s="15" t="str">
        <f t="shared" ref="P809:S809" si="807">O809</f>
        <v>1.05</v>
      </c>
      <c r="Q809" s="15" t="str">
        <f t="shared" si="807"/>
        <v>1.05</v>
      </c>
      <c r="R809" s="15" t="str">
        <f>P809</f>
        <v>1.05</v>
      </c>
      <c r="S809" s="15" t="str">
        <f t="shared" si="807"/>
        <v>1.05</v>
      </c>
      <c r="T809" s="6" t="str">
        <f t="shared" si="771"/>
        <v>1|1.05#2|1.05#3|1.05#4|1.05#5|1.05</v>
      </c>
    </row>
    <row r="810" s="6" customFormat="1" ht="16.5" spans="1:20">
      <c r="A810" s="6">
        <v>1010816</v>
      </c>
      <c r="B810" s="6">
        <v>36001</v>
      </c>
      <c r="C810" s="6">
        <v>2</v>
      </c>
      <c r="D810" s="6">
        <v>1</v>
      </c>
      <c r="E810" s="6" t="str">
        <f t="shared" si="772"/>
        <v>306001:5</v>
      </c>
      <c r="F810" s="11" t="s">
        <v>366</v>
      </c>
      <c r="G810" s="6">
        <v>0</v>
      </c>
      <c r="H810" s="6">
        <v>0</v>
      </c>
      <c r="I810" s="6" t="s">
        <v>45</v>
      </c>
      <c r="K810" s="6" t="str">
        <f t="shared" si="769"/>
        <v>306001</v>
      </c>
      <c r="L810" s="4">
        <v>5</v>
      </c>
      <c r="M810" s="6" t="s">
        <v>584</v>
      </c>
      <c r="O810" s="13" t="str">
        <f t="shared" ref="O810:O814" si="808">RIGHT(F810,LEN(F810)-2)</f>
        <v>1.1</v>
      </c>
      <c r="P810" s="13">
        <v>1.05</v>
      </c>
      <c r="Q810" s="13" t="str">
        <f t="shared" ref="Q810:S810" si="809">Q809</f>
        <v>1.05</v>
      </c>
      <c r="R810" s="13" t="str">
        <f t="shared" si="809"/>
        <v>1.05</v>
      </c>
      <c r="S810" s="13" t="str">
        <f t="shared" si="809"/>
        <v>1.05</v>
      </c>
      <c r="T810" s="6" t="str">
        <f t="shared" si="771"/>
        <v>1|1.1#2|1.05#3|1.05#4|1.05#5|1.05</v>
      </c>
    </row>
    <row r="811" s="6" customFormat="1" ht="16.5" spans="1:20">
      <c r="A811" s="6">
        <v>1010817</v>
      </c>
      <c r="B811" s="6">
        <v>36001</v>
      </c>
      <c r="C811" s="6">
        <v>2</v>
      </c>
      <c r="D811" s="6">
        <v>2</v>
      </c>
      <c r="E811" s="6" t="str">
        <f t="shared" si="772"/>
        <v>306001:5</v>
      </c>
      <c r="F811" s="11" t="s">
        <v>367</v>
      </c>
      <c r="G811" s="6">
        <v>0</v>
      </c>
      <c r="H811" s="6">
        <v>0</v>
      </c>
      <c r="I811" s="6" t="s">
        <v>47</v>
      </c>
      <c r="K811" s="6" t="str">
        <f t="shared" si="769"/>
        <v>306001</v>
      </c>
      <c r="L811" s="4">
        <v>5</v>
      </c>
      <c r="M811" s="6" t="s">
        <v>584</v>
      </c>
      <c r="O811" s="13" t="str">
        <f t="shared" si="808"/>
        <v>1.1</v>
      </c>
      <c r="P811" s="13" t="str">
        <f t="shared" ref="P811:P814" si="810">O811</f>
        <v>1.1</v>
      </c>
      <c r="Q811" s="13">
        <v>1.05</v>
      </c>
      <c r="R811" s="13" t="str">
        <f>R810</f>
        <v>1.05</v>
      </c>
      <c r="S811" s="13" t="str">
        <f>S810</f>
        <v>1.05</v>
      </c>
      <c r="T811" s="6" t="str">
        <f t="shared" si="771"/>
        <v>1|1.1#2|1.1#3|1.05#4|1.05#5|1.05</v>
      </c>
    </row>
    <row r="812" s="6" customFormat="1" ht="16.5" spans="1:20">
      <c r="A812" s="6">
        <v>1010818</v>
      </c>
      <c r="B812" s="6">
        <v>36001</v>
      </c>
      <c r="C812" s="6">
        <v>2</v>
      </c>
      <c r="D812" s="6">
        <v>3</v>
      </c>
      <c r="E812" s="6" t="str">
        <f t="shared" si="772"/>
        <v>306001:6</v>
      </c>
      <c r="F812" s="11" t="s">
        <v>368</v>
      </c>
      <c r="G812" s="6">
        <v>0</v>
      </c>
      <c r="H812" s="6">
        <v>0</v>
      </c>
      <c r="I812" s="6" t="s">
        <v>49</v>
      </c>
      <c r="K812" s="6" t="str">
        <f t="shared" si="769"/>
        <v>306001</v>
      </c>
      <c r="L812" s="4">
        <v>6</v>
      </c>
      <c r="M812" s="6" t="s">
        <v>584</v>
      </c>
      <c r="O812" s="13" t="str">
        <f t="shared" si="808"/>
        <v>1.1</v>
      </c>
      <c r="P812" s="13" t="str">
        <f t="shared" si="810"/>
        <v>1.1</v>
      </c>
      <c r="Q812" s="13" t="str">
        <f t="shared" ref="Q812:Q814" si="811">P812</f>
        <v>1.1</v>
      </c>
      <c r="R812" s="13">
        <v>1.05</v>
      </c>
      <c r="S812" s="13" t="str">
        <f>S811</f>
        <v>1.05</v>
      </c>
      <c r="T812" s="6" t="str">
        <f t="shared" si="771"/>
        <v>1|1.1#2|1.1#3|1.1#4|1.05#5|1.05</v>
      </c>
    </row>
    <row r="813" s="6" customFormat="1" ht="16.5" spans="1:20">
      <c r="A813" s="6">
        <v>1010819</v>
      </c>
      <c r="B813" s="6">
        <v>36001</v>
      </c>
      <c r="C813" s="6">
        <v>2</v>
      </c>
      <c r="D813" s="6">
        <v>4</v>
      </c>
      <c r="E813" s="6" t="str">
        <f t="shared" si="772"/>
        <v>306001:6</v>
      </c>
      <c r="F813" s="11" t="s">
        <v>369</v>
      </c>
      <c r="G813" s="6">
        <v>0</v>
      </c>
      <c r="H813" s="6">
        <v>0</v>
      </c>
      <c r="I813" s="6" t="s">
        <v>51</v>
      </c>
      <c r="K813" s="6" t="str">
        <f t="shared" si="769"/>
        <v>306001</v>
      </c>
      <c r="L813" s="4">
        <v>6</v>
      </c>
      <c r="M813" s="6" t="s">
        <v>584</v>
      </c>
      <c r="O813" s="13" t="str">
        <f t="shared" si="808"/>
        <v>1.1</v>
      </c>
      <c r="P813" s="13" t="str">
        <f t="shared" si="810"/>
        <v>1.1</v>
      </c>
      <c r="Q813" s="13" t="str">
        <f t="shared" si="811"/>
        <v>1.1</v>
      </c>
      <c r="R813" s="13" t="str">
        <f>Q813</f>
        <v>1.1</v>
      </c>
      <c r="S813" s="13">
        <v>1.05</v>
      </c>
      <c r="T813" s="6" t="str">
        <f t="shared" si="771"/>
        <v>1|1.1#2|1.1#3|1.1#4|1.1#5|1.05</v>
      </c>
    </row>
    <row r="814" s="6" customFormat="1" ht="16.5" spans="1:20">
      <c r="A814" s="6">
        <v>1010820</v>
      </c>
      <c r="B814" s="6">
        <v>36001</v>
      </c>
      <c r="C814" s="6">
        <v>2</v>
      </c>
      <c r="D814" s="6">
        <v>5</v>
      </c>
      <c r="E814" s="6" t="str">
        <f t="shared" si="772"/>
        <v>306001:6</v>
      </c>
      <c r="F814" s="11" t="s">
        <v>370</v>
      </c>
      <c r="G814" s="6">
        <v>0</v>
      </c>
      <c r="H814" s="6">
        <v>0</v>
      </c>
      <c r="I814" s="6" t="s">
        <v>40</v>
      </c>
      <c r="K814" s="6" t="str">
        <f t="shared" si="769"/>
        <v>306001</v>
      </c>
      <c r="L814" s="4">
        <v>6</v>
      </c>
      <c r="M814" s="6" t="s">
        <v>298</v>
      </c>
      <c r="O814" s="13" t="str">
        <f t="shared" si="808"/>
        <v>1.1</v>
      </c>
      <c r="P814" s="13" t="str">
        <f t="shared" si="810"/>
        <v>1.1</v>
      </c>
      <c r="Q814" s="13" t="str">
        <f t="shared" si="811"/>
        <v>1.1</v>
      </c>
      <c r="R814" s="13" t="str">
        <f>Q814</f>
        <v>1.1</v>
      </c>
      <c r="S814" s="13" t="str">
        <f>R814</f>
        <v>1.1</v>
      </c>
      <c r="T814" s="6" t="str">
        <f t="shared" si="771"/>
        <v>1|1.1#2|1.1#3|1.1#4|1.1#5|1.1</v>
      </c>
    </row>
    <row r="815" s="6" customFormat="1" ht="16.5" spans="1:20">
      <c r="A815" s="6">
        <v>1010821</v>
      </c>
      <c r="B815" s="6">
        <v>36001</v>
      </c>
      <c r="C815" s="6">
        <v>2</v>
      </c>
      <c r="D815" s="6">
        <v>6</v>
      </c>
      <c r="E815" s="6" t="str">
        <f t="shared" si="772"/>
        <v>306001:7</v>
      </c>
      <c r="F815" s="11">
        <v>0</v>
      </c>
      <c r="G815" s="6">
        <v>11002</v>
      </c>
      <c r="H815" s="6" t="s">
        <v>407</v>
      </c>
      <c r="I815" s="6">
        <v>0</v>
      </c>
      <c r="K815" s="6" t="str">
        <f t="shared" si="769"/>
        <v>306001</v>
      </c>
      <c r="L815" s="13">
        <v>7</v>
      </c>
      <c r="M815" s="6" t="s">
        <v>583</v>
      </c>
      <c r="O815" s="13" t="str">
        <f t="shared" ref="O815:S815" si="812">O814</f>
        <v>1.1</v>
      </c>
      <c r="P815" s="13" t="str">
        <f t="shared" si="812"/>
        <v>1.1</v>
      </c>
      <c r="Q815" s="13" t="str">
        <f t="shared" si="812"/>
        <v>1.1</v>
      </c>
      <c r="R815" s="13" t="str">
        <f t="shared" si="812"/>
        <v>1.1</v>
      </c>
      <c r="S815" s="13" t="str">
        <f t="shared" si="812"/>
        <v>1.1</v>
      </c>
      <c r="T815" s="6" t="str">
        <f t="shared" si="771"/>
        <v>1|1.1#2|1.1#3|1.1#4|1.1#5|1.1</v>
      </c>
    </row>
    <row r="816" s="6" customFormat="1" ht="16.5" spans="1:20">
      <c r="A816" s="6">
        <v>1010822</v>
      </c>
      <c r="B816" s="6">
        <v>36001</v>
      </c>
      <c r="C816" s="6">
        <v>3</v>
      </c>
      <c r="D816" s="6">
        <v>0</v>
      </c>
      <c r="E816" s="6" t="str">
        <f t="shared" si="772"/>
        <v>306001:9</v>
      </c>
      <c r="F816" s="11" t="s">
        <v>371</v>
      </c>
      <c r="G816" s="6">
        <v>0</v>
      </c>
      <c r="H816" s="6">
        <v>0</v>
      </c>
      <c r="I816" s="6" t="s">
        <v>55</v>
      </c>
      <c r="K816" s="6" t="str">
        <f t="shared" si="769"/>
        <v>306001</v>
      </c>
      <c r="L816" s="4">
        <v>9</v>
      </c>
      <c r="M816" s="6" t="s">
        <v>585</v>
      </c>
      <c r="O816" s="15" t="str">
        <f>O815</f>
        <v>1.1</v>
      </c>
      <c r="P816" s="15" t="str">
        <f t="shared" ref="P816:S816" si="813">O816</f>
        <v>1.1</v>
      </c>
      <c r="Q816" s="15" t="str">
        <f t="shared" si="813"/>
        <v>1.1</v>
      </c>
      <c r="R816" s="15" t="str">
        <f>P816</f>
        <v>1.1</v>
      </c>
      <c r="S816" s="15" t="str">
        <f t="shared" si="813"/>
        <v>1.1</v>
      </c>
      <c r="T816" s="6" t="str">
        <f t="shared" si="771"/>
        <v>1|1.1#2|1.1#3|1.1#4|1.1#5|1.1</v>
      </c>
    </row>
    <row r="817" s="6" customFormat="1" ht="16.5" spans="1:20">
      <c r="A817" s="6">
        <v>1010823</v>
      </c>
      <c r="B817" s="6">
        <v>36001</v>
      </c>
      <c r="C817" s="6">
        <v>3</v>
      </c>
      <c r="D817" s="6">
        <v>1</v>
      </c>
      <c r="E817" s="6" t="str">
        <f t="shared" si="772"/>
        <v>306001:9</v>
      </c>
      <c r="F817" s="11" t="s">
        <v>373</v>
      </c>
      <c r="G817" s="6">
        <v>0</v>
      </c>
      <c r="H817" s="6">
        <v>0</v>
      </c>
      <c r="I817" s="6" t="s">
        <v>57</v>
      </c>
      <c r="K817" s="6" t="str">
        <f t="shared" si="769"/>
        <v>306001</v>
      </c>
      <c r="L817" s="4">
        <v>9</v>
      </c>
      <c r="M817" s="6" t="s">
        <v>585</v>
      </c>
      <c r="O817" s="13" t="str">
        <f t="shared" ref="O817:O821" si="814">RIGHT(F817,LEN(F817)-2)</f>
        <v>1.15</v>
      </c>
      <c r="P817" s="13" t="str">
        <f t="shared" ref="P817:S817" si="815">P816</f>
        <v>1.1</v>
      </c>
      <c r="Q817" s="13" t="str">
        <f t="shared" si="815"/>
        <v>1.1</v>
      </c>
      <c r="R817" s="13" t="str">
        <f t="shared" si="815"/>
        <v>1.1</v>
      </c>
      <c r="S817" s="13" t="str">
        <f t="shared" si="815"/>
        <v>1.1</v>
      </c>
      <c r="T817" s="6" t="str">
        <f t="shared" si="771"/>
        <v>1|1.15#2|1.1#3|1.1#4|1.1#5|1.1</v>
      </c>
    </row>
    <row r="818" s="6" customFormat="1" ht="16.5" spans="1:20">
      <c r="A818" s="6">
        <v>1010824</v>
      </c>
      <c r="B818" s="6">
        <v>36001</v>
      </c>
      <c r="C818" s="6">
        <v>3</v>
      </c>
      <c r="D818" s="6">
        <v>2</v>
      </c>
      <c r="E818" s="6" t="str">
        <f t="shared" si="772"/>
        <v>306001:9</v>
      </c>
      <c r="F818" s="11" t="s">
        <v>374</v>
      </c>
      <c r="G818" s="6">
        <v>0</v>
      </c>
      <c r="H818" s="6">
        <v>0</v>
      </c>
      <c r="I818" s="6" t="s">
        <v>59</v>
      </c>
      <c r="K818" s="6" t="str">
        <f t="shared" si="769"/>
        <v>306001</v>
      </c>
      <c r="L818" s="4">
        <v>9</v>
      </c>
      <c r="M818" s="6" t="s">
        <v>585</v>
      </c>
      <c r="O818" s="13" t="str">
        <f t="shared" si="814"/>
        <v>1.15</v>
      </c>
      <c r="P818" s="13" t="str">
        <f t="shared" ref="P818:P821" si="816">O818</f>
        <v>1.15</v>
      </c>
      <c r="Q818" s="13" t="str">
        <f t="shared" ref="Q818:S818" si="817">Q817</f>
        <v>1.1</v>
      </c>
      <c r="R818" s="13" t="str">
        <f t="shared" si="817"/>
        <v>1.1</v>
      </c>
      <c r="S818" s="13" t="str">
        <f t="shared" si="817"/>
        <v>1.1</v>
      </c>
      <c r="T818" s="6" t="str">
        <f t="shared" si="771"/>
        <v>1|1.15#2|1.15#3|1.1#4|1.1#5|1.1</v>
      </c>
    </row>
    <row r="819" s="6" customFormat="1" ht="16.5" spans="1:20">
      <c r="A819" s="6">
        <v>1010825</v>
      </c>
      <c r="B819" s="6">
        <v>36001</v>
      </c>
      <c r="C819" s="6">
        <v>3</v>
      </c>
      <c r="D819" s="6">
        <v>3</v>
      </c>
      <c r="E819" s="6" t="str">
        <f t="shared" si="772"/>
        <v>306001:11</v>
      </c>
      <c r="F819" s="11" t="s">
        <v>375</v>
      </c>
      <c r="G819" s="6">
        <v>0</v>
      </c>
      <c r="H819" s="6">
        <v>0</v>
      </c>
      <c r="I819" s="6" t="s">
        <v>61</v>
      </c>
      <c r="K819" s="6" t="str">
        <f t="shared" si="769"/>
        <v>306001</v>
      </c>
      <c r="L819" s="4">
        <v>11</v>
      </c>
      <c r="M819" s="6" t="s">
        <v>585</v>
      </c>
      <c r="O819" s="13" t="str">
        <f t="shared" si="814"/>
        <v>1.15</v>
      </c>
      <c r="P819" s="13" t="str">
        <f t="shared" si="816"/>
        <v>1.15</v>
      </c>
      <c r="Q819" s="13" t="str">
        <f t="shared" ref="Q819:Q821" si="818">P819</f>
        <v>1.15</v>
      </c>
      <c r="R819" s="13" t="str">
        <f>R818</f>
        <v>1.1</v>
      </c>
      <c r="S819" s="13" t="str">
        <f>S818</f>
        <v>1.1</v>
      </c>
      <c r="T819" s="6" t="str">
        <f t="shared" si="771"/>
        <v>1|1.15#2|1.15#3|1.15#4|1.1#5|1.1</v>
      </c>
    </row>
    <row r="820" s="6" customFormat="1" ht="16.5" spans="1:20">
      <c r="A820" s="6">
        <v>1010826</v>
      </c>
      <c r="B820" s="6">
        <v>36001</v>
      </c>
      <c r="C820" s="6">
        <v>3</v>
      </c>
      <c r="D820" s="6">
        <v>4</v>
      </c>
      <c r="E820" s="6" t="str">
        <f t="shared" si="772"/>
        <v>306001:11</v>
      </c>
      <c r="F820" s="11" t="s">
        <v>376</v>
      </c>
      <c r="G820" s="6">
        <v>0</v>
      </c>
      <c r="H820" s="6">
        <v>0</v>
      </c>
      <c r="I820" s="6" t="s">
        <v>63</v>
      </c>
      <c r="K820" s="6" t="str">
        <f t="shared" si="769"/>
        <v>306001</v>
      </c>
      <c r="L820" s="4">
        <v>11</v>
      </c>
      <c r="M820" s="6" t="s">
        <v>585</v>
      </c>
      <c r="O820" s="13" t="str">
        <f t="shared" si="814"/>
        <v>1.15</v>
      </c>
      <c r="P820" s="13" t="str">
        <f t="shared" si="816"/>
        <v>1.15</v>
      </c>
      <c r="Q820" s="13" t="str">
        <f t="shared" si="818"/>
        <v>1.15</v>
      </c>
      <c r="R820" s="13" t="str">
        <f>Q820</f>
        <v>1.15</v>
      </c>
      <c r="S820" s="13" t="str">
        <f>S819</f>
        <v>1.1</v>
      </c>
      <c r="T820" s="6" t="str">
        <f t="shared" si="771"/>
        <v>1|1.15#2|1.15#3|1.15#4|1.15#5|1.1</v>
      </c>
    </row>
    <row r="821" s="6" customFormat="1" ht="16.5" spans="1:20">
      <c r="A821" s="6">
        <v>1010827</v>
      </c>
      <c r="B821" s="6">
        <v>36001</v>
      </c>
      <c r="C821" s="6">
        <v>3</v>
      </c>
      <c r="D821" s="6">
        <v>5</v>
      </c>
      <c r="E821" s="6" t="str">
        <f t="shared" si="772"/>
        <v>306001:11</v>
      </c>
      <c r="F821" s="11" t="s">
        <v>377</v>
      </c>
      <c r="G821" s="6">
        <v>0</v>
      </c>
      <c r="H821" s="6">
        <v>0</v>
      </c>
      <c r="I821" s="6" t="s">
        <v>40</v>
      </c>
      <c r="K821" s="6" t="str">
        <f t="shared" si="769"/>
        <v>306001</v>
      </c>
      <c r="L821" s="4">
        <v>11</v>
      </c>
      <c r="M821" s="6" t="s">
        <v>586</v>
      </c>
      <c r="O821" s="13" t="str">
        <f t="shared" si="814"/>
        <v>1.15</v>
      </c>
      <c r="P821" s="13" t="str">
        <f t="shared" si="816"/>
        <v>1.15</v>
      </c>
      <c r="Q821" s="13" t="str">
        <f t="shared" si="818"/>
        <v>1.15</v>
      </c>
      <c r="R821" s="13" t="str">
        <f>Q821</f>
        <v>1.15</v>
      </c>
      <c r="S821" s="13" t="str">
        <f>R821</f>
        <v>1.15</v>
      </c>
      <c r="T821" s="6" t="str">
        <f t="shared" si="771"/>
        <v>1|1.15#2|1.15#3|1.15#4|1.15#5|1.15</v>
      </c>
    </row>
    <row r="822" s="6" customFormat="1" ht="16.5" spans="1:20">
      <c r="A822" s="6">
        <v>1010828</v>
      </c>
      <c r="B822" s="6">
        <v>36001</v>
      </c>
      <c r="C822" s="6">
        <v>3</v>
      </c>
      <c r="D822" s="6">
        <v>6</v>
      </c>
      <c r="E822" s="6" t="str">
        <f t="shared" si="772"/>
        <v>306001:30</v>
      </c>
      <c r="F822" s="11">
        <v>0</v>
      </c>
      <c r="G822" s="6">
        <v>11002</v>
      </c>
      <c r="H822" s="6" t="s">
        <v>407</v>
      </c>
      <c r="I822" s="6">
        <v>0</v>
      </c>
      <c r="K822" s="6" t="str">
        <f t="shared" si="769"/>
        <v>306001</v>
      </c>
      <c r="L822" s="13">
        <v>30</v>
      </c>
      <c r="M822" s="6" t="s">
        <v>583</v>
      </c>
      <c r="O822" s="13" t="str">
        <f t="shared" ref="O822:S822" si="819">O821</f>
        <v>1.15</v>
      </c>
      <c r="P822" s="13" t="str">
        <f t="shared" si="819"/>
        <v>1.15</v>
      </c>
      <c r="Q822" s="13" t="str">
        <f t="shared" si="819"/>
        <v>1.15</v>
      </c>
      <c r="R822" s="13" t="str">
        <f t="shared" si="819"/>
        <v>1.15</v>
      </c>
      <c r="S822" s="13" t="str">
        <f t="shared" si="819"/>
        <v>1.15</v>
      </c>
      <c r="T822" s="6" t="str">
        <f t="shared" si="771"/>
        <v>1|1.15#2|1.15#3|1.15#4|1.15#5|1.15</v>
      </c>
    </row>
    <row r="823" s="6" customFormat="1" ht="16.5" spans="1:20">
      <c r="A823" s="6">
        <v>1010829</v>
      </c>
      <c r="B823" s="6">
        <v>36001</v>
      </c>
      <c r="C823" s="6">
        <v>4</v>
      </c>
      <c r="D823" s="6">
        <v>0</v>
      </c>
      <c r="E823" s="6" t="str">
        <f t="shared" si="772"/>
        <v>306001:13</v>
      </c>
      <c r="F823" s="11" t="s">
        <v>379</v>
      </c>
      <c r="G823" s="6">
        <v>0</v>
      </c>
      <c r="H823" s="6">
        <v>0</v>
      </c>
      <c r="I823" s="6" t="s">
        <v>67</v>
      </c>
      <c r="K823" s="6" t="str">
        <f t="shared" si="769"/>
        <v>306001</v>
      </c>
      <c r="L823" s="4">
        <v>13</v>
      </c>
      <c r="M823" s="6" t="s">
        <v>587</v>
      </c>
      <c r="O823" s="15" t="str">
        <f>O822</f>
        <v>1.15</v>
      </c>
      <c r="P823" s="15" t="str">
        <f t="shared" ref="P823:S823" si="820">O823</f>
        <v>1.15</v>
      </c>
      <c r="Q823" s="15" t="str">
        <f t="shared" si="820"/>
        <v>1.15</v>
      </c>
      <c r="R823" s="15" t="str">
        <f>P823</f>
        <v>1.15</v>
      </c>
      <c r="S823" s="15" t="str">
        <f t="shared" si="820"/>
        <v>1.15</v>
      </c>
      <c r="T823" s="6" t="str">
        <f t="shared" si="771"/>
        <v>1|1.15#2|1.15#3|1.15#4|1.15#5|1.15</v>
      </c>
    </row>
    <row r="824" s="6" customFormat="1" ht="16.5" spans="1:20">
      <c r="A824" s="6">
        <v>1010830</v>
      </c>
      <c r="B824" s="6">
        <v>36001</v>
      </c>
      <c r="C824" s="6">
        <v>4</v>
      </c>
      <c r="D824" s="6">
        <v>1</v>
      </c>
      <c r="E824" s="6" t="str">
        <f t="shared" si="772"/>
        <v>306001:13</v>
      </c>
      <c r="F824" s="11" t="s">
        <v>381</v>
      </c>
      <c r="G824" s="6">
        <v>0</v>
      </c>
      <c r="H824" s="6">
        <v>0</v>
      </c>
      <c r="I824" s="6" t="s">
        <v>69</v>
      </c>
      <c r="K824" s="6" t="str">
        <f t="shared" si="769"/>
        <v>306001</v>
      </c>
      <c r="L824" s="4">
        <v>13</v>
      </c>
      <c r="M824" s="6" t="s">
        <v>587</v>
      </c>
      <c r="O824" s="13" t="str">
        <f t="shared" ref="O824:O828" si="821">RIGHT(F824,LEN(F824)-2)</f>
        <v>1.2</v>
      </c>
      <c r="P824" s="13" t="str">
        <f t="shared" ref="P824:S824" si="822">P823</f>
        <v>1.15</v>
      </c>
      <c r="Q824" s="13" t="str">
        <f t="shared" si="822"/>
        <v>1.15</v>
      </c>
      <c r="R824" s="13" t="str">
        <f t="shared" si="822"/>
        <v>1.15</v>
      </c>
      <c r="S824" s="13" t="str">
        <f t="shared" si="822"/>
        <v>1.15</v>
      </c>
      <c r="T824" s="6" t="str">
        <f t="shared" si="771"/>
        <v>1|1.2#2|1.15#3|1.15#4|1.15#5|1.15</v>
      </c>
    </row>
    <row r="825" s="6" customFormat="1" ht="16.5" spans="1:20">
      <c r="A825" s="6">
        <v>1010831</v>
      </c>
      <c r="B825" s="6">
        <v>36001</v>
      </c>
      <c r="C825" s="6">
        <v>4</v>
      </c>
      <c r="D825" s="6">
        <v>2</v>
      </c>
      <c r="E825" s="6" t="str">
        <f t="shared" si="772"/>
        <v>306001:13</v>
      </c>
      <c r="F825" s="11" t="s">
        <v>382</v>
      </c>
      <c r="G825" s="6">
        <v>0</v>
      </c>
      <c r="H825" s="6">
        <v>0</v>
      </c>
      <c r="I825" s="6" t="s">
        <v>71</v>
      </c>
      <c r="K825" s="6" t="str">
        <f t="shared" si="769"/>
        <v>306001</v>
      </c>
      <c r="L825" s="4">
        <v>13</v>
      </c>
      <c r="M825" s="6" t="s">
        <v>587</v>
      </c>
      <c r="O825" s="13" t="str">
        <f t="shared" si="821"/>
        <v>1.2</v>
      </c>
      <c r="P825" s="13" t="str">
        <f t="shared" ref="P825:P828" si="823">O825</f>
        <v>1.2</v>
      </c>
      <c r="Q825" s="13" t="str">
        <f t="shared" ref="Q825:S825" si="824">Q824</f>
        <v>1.15</v>
      </c>
      <c r="R825" s="13" t="str">
        <f t="shared" si="824"/>
        <v>1.15</v>
      </c>
      <c r="S825" s="13" t="str">
        <f t="shared" si="824"/>
        <v>1.15</v>
      </c>
      <c r="T825" s="6" t="str">
        <f t="shared" si="771"/>
        <v>1|1.2#2|1.2#3|1.15#4|1.15#5|1.15</v>
      </c>
    </row>
    <row r="826" s="6" customFormat="1" ht="16.5" spans="1:20">
      <c r="A826" s="6">
        <v>1010832</v>
      </c>
      <c r="B826" s="6">
        <v>36001</v>
      </c>
      <c r="C826" s="6">
        <v>4</v>
      </c>
      <c r="D826" s="6">
        <v>3</v>
      </c>
      <c r="E826" s="6" t="str">
        <f t="shared" si="772"/>
        <v>306001:17</v>
      </c>
      <c r="F826" s="11" t="s">
        <v>383</v>
      </c>
      <c r="G826" s="6">
        <v>0</v>
      </c>
      <c r="H826" s="6">
        <v>0</v>
      </c>
      <c r="I826" s="6" t="s">
        <v>73</v>
      </c>
      <c r="K826" s="6" t="str">
        <f t="shared" si="769"/>
        <v>306001</v>
      </c>
      <c r="L826" s="4">
        <v>17</v>
      </c>
      <c r="M826" s="6" t="s">
        <v>587</v>
      </c>
      <c r="O826" s="13" t="str">
        <f t="shared" si="821"/>
        <v>1.2</v>
      </c>
      <c r="P826" s="13" t="str">
        <f t="shared" si="823"/>
        <v>1.2</v>
      </c>
      <c r="Q826" s="13" t="str">
        <f t="shared" ref="Q826:Q828" si="825">P826</f>
        <v>1.2</v>
      </c>
      <c r="R826" s="13" t="str">
        <f>R825</f>
        <v>1.15</v>
      </c>
      <c r="S826" s="13" t="str">
        <f>S825</f>
        <v>1.15</v>
      </c>
      <c r="T826" s="6" t="str">
        <f t="shared" si="771"/>
        <v>1|1.2#2|1.2#3|1.2#4|1.15#5|1.15</v>
      </c>
    </row>
    <row r="827" s="6" customFormat="1" ht="16.5" spans="1:20">
      <c r="A827" s="6">
        <v>1010833</v>
      </c>
      <c r="B827" s="6">
        <v>36001</v>
      </c>
      <c r="C827" s="6">
        <v>4</v>
      </c>
      <c r="D827" s="6">
        <v>4</v>
      </c>
      <c r="E827" s="6" t="str">
        <f t="shared" si="772"/>
        <v>306001:17</v>
      </c>
      <c r="F827" s="11" t="s">
        <v>384</v>
      </c>
      <c r="G827" s="6">
        <v>0</v>
      </c>
      <c r="H827" s="6">
        <v>0</v>
      </c>
      <c r="I827" s="6" t="s">
        <v>75</v>
      </c>
      <c r="K827" s="6" t="str">
        <f t="shared" si="769"/>
        <v>306001</v>
      </c>
      <c r="L827" s="4">
        <v>17</v>
      </c>
      <c r="M827" s="6" t="s">
        <v>587</v>
      </c>
      <c r="O827" s="13" t="str">
        <f t="shared" si="821"/>
        <v>1.2</v>
      </c>
      <c r="P827" s="13" t="str">
        <f t="shared" si="823"/>
        <v>1.2</v>
      </c>
      <c r="Q827" s="13" t="str">
        <f t="shared" si="825"/>
        <v>1.2</v>
      </c>
      <c r="R827" s="13" t="str">
        <f>Q827</f>
        <v>1.2</v>
      </c>
      <c r="S827" s="13" t="str">
        <f>S826</f>
        <v>1.15</v>
      </c>
      <c r="T827" s="6" t="str">
        <f t="shared" si="771"/>
        <v>1|1.2#2|1.2#3|1.2#4|1.2#5|1.15</v>
      </c>
    </row>
    <row r="828" s="6" customFormat="1" ht="16.5" spans="1:20">
      <c r="A828" s="6">
        <v>1010834</v>
      </c>
      <c r="B828" s="6">
        <v>36001</v>
      </c>
      <c r="C828" s="6">
        <v>4</v>
      </c>
      <c r="D828" s="6">
        <v>5</v>
      </c>
      <c r="E828" s="6" t="str">
        <f t="shared" si="772"/>
        <v>306001:17</v>
      </c>
      <c r="F828" s="11" t="s">
        <v>385</v>
      </c>
      <c r="G828" s="6">
        <v>0</v>
      </c>
      <c r="H828" s="6">
        <v>0</v>
      </c>
      <c r="I828" s="6" t="s">
        <v>40</v>
      </c>
      <c r="K828" s="6" t="str">
        <f t="shared" si="769"/>
        <v>306001</v>
      </c>
      <c r="L828" s="4">
        <v>17</v>
      </c>
      <c r="M828" s="6" t="s">
        <v>300</v>
      </c>
      <c r="O828" s="13" t="str">
        <f t="shared" si="821"/>
        <v>1.2</v>
      </c>
      <c r="P828" s="13" t="str">
        <f t="shared" si="823"/>
        <v>1.2</v>
      </c>
      <c r="Q828" s="13" t="str">
        <f t="shared" si="825"/>
        <v>1.2</v>
      </c>
      <c r="R828" s="13" t="str">
        <f>Q828</f>
        <v>1.2</v>
      </c>
      <c r="S828" s="13" t="str">
        <f>R828</f>
        <v>1.2</v>
      </c>
      <c r="T828" s="6" t="str">
        <f t="shared" si="771"/>
        <v>1|1.2#2|1.2#3|1.2#4|1.2#5|1.2</v>
      </c>
    </row>
    <row r="829" s="6" customFormat="1" ht="16.5" spans="1:20">
      <c r="A829" s="6">
        <v>1010835</v>
      </c>
      <c r="B829" s="6">
        <v>36001</v>
      </c>
      <c r="C829" s="6">
        <v>4</v>
      </c>
      <c r="D829" s="6">
        <v>6</v>
      </c>
      <c r="E829" s="6" t="str">
        <f t="shared" si="772"/>
        <v>306001:60</v>
      </c>
      <c r="F829" s="11">
        <v>0</v>
      </c>
      <c r="G829" s="6">
        <v>11002</v>
      </c>
      <c r="H829" s="6" t="s">
        <v>407</v>
      </c>
      <c r="I829" s="6">
        <v>0</v>
      </c>
      <c r="K829" s="6" t="str">
        <f t="shared" si="769"/>
        <v>306001</v>
      </c>
      <c r="L829" s="13">
        <v>60</v>
      </c>
      <c r="M829" s="6" t="s">
        <v>583</v>
      </c>
      <c r="O829" s="13" t="str">
        <f t="shared" ref="O829:S829" si="826">O828</f>
        <v>1.2</v>
      </c>
      <c r="P829" s="13" t="str">
        <f t="shared" si="826"/>
        <v>1.2</v>
      </c>
      <c r="Q829" s="13" t="str">
        <f t="shared" si="826"/>
        <v>1.2</v>
      </c>
      <c r="R829" s="13" t="str">
        <f t="shared" si="826"/>
        <v>1.2</v>
      </c>
      <c r="S829" s="13" t="str">
        <f t="shared" si="826"/>
        <v>1.2</v>
      </c>
      <c r="T829" s="6" t="str">
        <f t="shared" si="771"/>
        <v>1|1.2#2|1.2#3|1.2#4|1.2#5|1.2</v>
      </c>
    </row>
    <row r="830" s="6" customFormat="1" ht="16.5" spans="1:20">
      <c r="A830" s="6">
        <v>1010836</v>
      </c>
      <c r="B830" s="6">
        <v>36001</v>
      </c>
      <c r="C830" s="6">
        <v>5</v>
      </c>
      <c r="D830" s="6">
        <v>0</v>
      </c>
      <c r="E830" s="6" t="str">
        <f t="shared" si="772"/>
        <v>306001:18</v>
      </c>
      <c r="F830" s="11" t="s">
        <v>386</v>
      </c>
      <c r="G830" s="6">
        <v>0</v>
      </c>
      <c r="H830" s="6">
        <v>0</v>
      </c>
      <c r="I830" s="6" t="s">
        <v>79</v>
      </c>
      <c r="K830" s="6" t="str">
        <f t="shared" si="769"/>
        <v>306001</v>
      </c>
      <c r="L830" s="4">
        <v>18</v>
      </c>
      <c r="M830" s="6" t="s">
        <v>588</v>
      </c>
      <c r="O830" s="15" t="str">
        <f>O829</f>
        <v>1.2</v>
      </c>
      <c r="P830" s="15" t="str">
        <f t="shared" ref="P830:S830" si="827">O830</f>
        <v>1.2</v>
      </c>
      <c r="Q830" s="15" t="str">
        <f t="shared" si="827"/>
        <v>1.2</v>
      </c>
      <c r="R830" s="15" t="str">
        <f>P830</f>
        <v>1.2</v>
      </c>
      <c r="S830" s="15" t="str">
        <f t="shared" si="827"/>
        <v>1.2</v>
      </c>
      <c r="T830" s="6" t="str">
        <f t="shared" si="771"/>
        <v>1|1.2#2|1.2#3|1.2#4|1.2#5|1.2</v>
      </c>
    </row>
    <row r="831" s="6" customFormat="1" ht="16.5" spans="1:20">
      <c r="A831" s="6">
        <v>1010837</v>
      </c>
      <c r="B831" s="6">
        <v>36001</v>
      </c>
      <c r="C831" s="6">
        <v>5</v>
      </c>
      <c r="D831" s="6">
        <v>1</v>
      </c>
      <c r="E831" s="6" t="str">
        <f t="shared" si="772"/>
        <v>306001:18</v>
      </c>
      <c r="F831" s="11" t="s">
        <v>388</v>
      </c>
      <c r="G831" s="6">
        <v>0</v>
      </c>
      <c r="H831" s="6">
        <v>0</v>
      </c>
      <c r="I831" s="6" t="s">
        <v>81</v>
      </c>
      <c r="K831" s="6" t="str">
        <f t="shared" si="769"/>
        <v>306001</v>
      </c>
      <c r="L831" s="4">
        <v>18</v>
      </c>
      <c r="M831" s="6" t="s">
        <v>588</v>
      </c>
      <c r="O831" s="13" t="str">
        <f t="shared" ref="O831:O835" si="828">RIGHT(F831,LEN(F831)-2)</f>
        <v>1.3</v>
      </c>
      <c r="P831" s="13" t="str">
        <f t="shared" ref="P831:S831" si="829">P830</f>
        <v>1.2</v>
      </c>
      <c r="Q831" s="13" t="str">
        <f t="shared" si="829"/>
        <v>1.2</v>
      </c>
      <c r="R831" s="13" t="str">
        <f t="shared" si="829"/>
        <v>1.2</v>
      </c>
      <c r="S831" s="13" t="str">
        <f t="shared" si="829"/>
        <v>1.2</v>
      </c>
      <c r="T831" s="6" t="str">
        <f t="shared" si="771"/>
        <v>1|1.3#2|1.2#3|1.2#4|1.2#5|1.2</v>
      </c>
    </row>
    <row r="832" s="6" customFormat="1" ht="16.5" spans="1:20">
      <c r="A832" s="6">
        <v>1010838</v>
      </c>
      <c r="B832" s="6">
        <v>36001</v>
      </c>
      <c r="C832" s="6">
        <v>5</v>
      </c>
      <c r="D832" s="6">
        <v>2</v>
      </c>
      <c r="E832" s="6" t="str">
        <f t="shared" si="772"/>
        <v>306001:18</v>
      </c>
      <c r="F832" s="11" t="s">
        <v>389</v>
      </c>
      <c r="G832" s="6">
        <v>0</v>
      </c>
      <c r="H832" s="6">
        <v>0</v>
      </c>
      <c r="I832" s="6" t="s">
        <v>83</v>
      </c>
      <c r="K832" s="6" t="str">
        <f t="shared" si="769"/>
        <v>306001</v>
      </c>
      <c r="L832" s="4">
        <v>18</v>
      </c>
      <c r="M832" s="6" t="s">
        <v>588</v>
      </c>
      <c r="O832" s="13" t="str">
        <f t="shared" si="828"/>
        <v>1.3</v>
      </c>
      <c r="P832" s="13" t="str">
        <f t="shared" ref="P832:P835" si="830">O832</f>
        <v>1.3</v>
      </c>
      <c r="Q832" s="13" t="str">
        <f t="shared" ref="Q832:S832" si="831">Q831</f>
        <v>1.2</v>
      </c>
      <c r="R832" s="13" t="str">
        <f t="shared" si="831"/>
        <v>1.2</v>
      </c>
      <c r="S832" s="13" t="str">
        <f t="shared" si="831"/>
        <v>1.2</v>
      </c>
      <c r="T832" s="6" t="str">
        <f t="shared" si="771"/>
        <v>1|1.3#2|1.3#3|1.2#4|1.2#5|1.2</v>
      </c>
    </row>
    <row r="833" s="6" customFormat="1" ht="16.5" spans="1:20">
      <c r="A833" s="6">
        <v>1010839</v>
      </c>
      <c r="B833" s="6">
        <v>36001</v>
      </c>
      <c r="C833" s="6">
        <v>5</v>
      </c>
      <c r="D833" s="6">
        <v>3</v>
      </c>
      <c r="E833" s="6" t="str">
        <f t="shared" si="772"/>
        <v>306001:22</v>
      </c>
      <c r="F833" s="11" t="s">
        <v>390</v>
      </c>
      <c r="G833" s="6">
        <v>0</v>
      </c>
      <c r="H833" s="6">
        <v>0</v>
      </c>
      <c r="I833" s="6" t="s">
        <v>85</v>
      </c>
      <c r="K833" s="6" t="str">
        <f t="shared" si="769"/>
        <v>306001</v>
      </c>
      <c r="L833" s="4">
        <v>22</v>
      </c>
      <c r="M833" s="6" t="s">
        <v>588</v>
      </c>
      <c r="O833" s="13" t="str">
        <f t="shared" si="828"/>
        <v>1.3</v>
      </c>
      <c r="P833" s="13" t="str">
        <f t="shared" si="830"/>
        <v>1.3</v>
      </c>
      <c r="Q833" s="13" t="str">
        <f t="shared" ref="Q833:Q835" si="832">P833</f>
        <v>1.3</v>
      </c>
      <c r="R833" s="13" t="str">
        <f>R832</f>
        <v>1.2</v>
      </c>
      <c r="S833" s="13" t="str">
        <f>S832</f>
        <v>1.2</v>
      </c>
      <c r="T833" s="6" t="str">
        <f t="shared" si="771"/>
        <v>1|1.3#2|1.3#3|1.3#4|1.2#5|1.2</v>
      </c>
    </row>
    <row r="834" s="6" customFormat="1" ht="16.5" spans="1:20">
      <c r="A834" s="6">
        <v>1010840</v>
      </c>
      <c r="B834" s="6">
        <v>36001</v>
      </c>
      <c r="C834" s="6">
        <v>5</v>
      </c>
      <c r="D834" s="6">
        <v>4</v>
      </c>
      <c r="E834" s="6" t="str">
        <f t="shared" si="772"/>
        <v>306001:22</v>
      </c>
      <c r="F834" s="11" t="s">
        <v>391</v>
      </c>
      <c r="G834" s="6">
        <v>0</v>
      </c>
      <c r="H834" s="6">
        <v>0</v>
      </c>
      <c r="I834" s="6" t="s">
        <v>87</v>
      </c>
      <c r="K834" s="6" t="str">
        <f t="shared" si="769"/>
        <v>306001</v>
      </c>
      <c r="L834" s="4">
        <v>22</v>
      </c>
      <c r="M834" s="6" t="s">
        <v>588</v>
      </c>
      <c r="O834" s="13" t="str">
        <f t="shared" si="828"/>
        <v>1.3</v>
      </c>
      <c r="P834" s="13" t="str">
        <f t="shared" si="830"/>
        <v>1.3</v>
      </c>
      <c r="Q834" s="13" t="str">
        <f t="shared" si="832"/>
        <v>1.3</v>
      </c>
      <c r="R834" s="13" t="str">
        <f>Q834</f>
        <v>1.3</v>
      </c>
      <c r="S834" s="13" t="str">
        <f>S833</f>
        <v>1.2</v>
      </c>
      <c r="T834" s="6" t="str">
        <f t="shared" si="771"/>
        <v>1|1.3#2|1.3#3|1.3#4|1.3#5|1.2</v>
      </c>
    </row>
    <row r="835" s="6" customFormat="1" ht="16.5" spans="1:20">
      <c r="A835" s="6">
        <v>1010841</v>
      </c>
      <c r="B835" s="6">
        <v>36001</v>
      </c>
      <c r="C835" s="6">
        <v>5</v>
      </c>
      <c r="D835" s="6">
        <v>5</v>
      </c>
      <c r="E835" s="6" t="str">
        <f t="shared" si="772"/>
        <v>306001:22</v>
      </c>
      <c r="F835" s="11" t="s">
        <v>392</v>
      </c>
      <c r="G835" s="6">
        <v>0</v>
      </c>
      <c r="H835" s="6">
        <v>0</v>
      </c>
      <c r="I835" s="6" t="s">
        <v>40</v>
      </c>
      <c r="K835" s="6" t="str">
        <f t="shared" si="769"/>
        <v>306001</v>
      </c>
      <c r="L835" s="4">
        <v>22</v>
      </c>
      <c r="M835" s="6" t="s">
        <v>589</v>
      </c>
      <c r="O835" s="13" t="str">
        <f t="shared" si="828"/>
        <v>1.3</v>
      </c>
      <c r="P835" s="13" t="str">
        <f t="shared" si="830"/>
        <v>1.3</v>
      </c>
      <c r="Q835" s="13" t="str">
        <f t="shared" si="832"/>
        <v>1.3</v>
      </c>
      <c r="R835" s="13" t="str">
        <f>Q835</f>
        <v>1.3</v>
      </c>
      <c r="S835" s="13" t="str">
        <f>R835</f>
        <v>1.3</v>
      </c>
      <c r="T835" s="6" t="str">
        <f t="shared" si="771"/>
        <v>1|1.3#2|1.3#3|1.3#4|1.3#5|1.3</v>
      </c>
    </row>
    <row r="836" s="6" customFormat="1" ht="16.5" spans="1:20">
      <c r="A836" s="6">
        <v>1010842</v>
      </c>
      <c r="B836" s="6">
        <v>36001</v>
      </c>
      <c r="C836" s="6">
        <v>5</v>
      </c>
      <c r="D836" s="6">
        <v>6</v>
      </c>
      <c r="E836" s="6" t="str">
        <f t="shared" si="772"/>
        <v>306001:60</v>
      </c>
      <c r="F836" s="11">
        <v>0</v>
      </c>
      <c r="G836" s="6">
        <v>11002</v>
      </c>
      <c r="H836" s="6" t="s">
        <v>407</v>
      </c>
      <c r="I836" s="6">
        <v>0</v>
      </c>
      <c r="K836" s="6" t="str">
        <f t="shared" si="769"/>
        <v>306001</v>
      </c>
      <c r="L836" s="13">
        <v>60</v>
      </c>
      <c r="M836" s="6" t="s">
        <v>583</v>
      </c>
      <c r="O836" s="13" t="str">
        <f t="shared" ref="O836:S836" si="833">O835</f>
        <v>1.3</v>
      </c>
      <c r="P836" s="13" t="str">
        <f t="shared" si="833"/>
        <v>1.3</v>
      </c>
      <c r="Q836" s="13" t="str">
        <f t="shared" si="833"/>
        <v>1.3</v>
      </c>
      <c r="R836" s="13" t="str">
        <f t="shared" si="833"/>
        <v>1.3</v>
      </c>
      <c r="S836" s="13" t="str">
        <f t="shared" si="833"/>
        <v>1.3</v>
      </c>
      <c r="T836" s="6" t="str">
        <f t="shared" si="771"/>
        <v>1|1.3#2|1.3#3|1.3#4|1.3#5|1.3</v>
      </c>
    </row>
    <row r="837" s="6" customFormat="1" ht="16.5" spans="1:20">
      <c r="A837" s="6">
        <v>1010843</v>
      </c>
      <c r="B837" s="6">
        <v>36001</v>
      </c>
      <c r="C837" s="6">
        <v>6</v>
      </c>
      <c r="D837" s="6">
        <v>0</v>
      </c>
      <c r="E837" s="6" t="str">
        <f t="shared" si="772"/>
        <v>306001:24</v>
      </c>
      <c r="F837" s="11" t="s">
        <v>394</v>
      </c>
      <c r="G837" s="6">
        <v>0</v>
      </c>
      <c r="H837" s="6">
        <v>0</v>
      </c>
      <c r="I837" s="6" t="s">
        <v>90</v>
      </c>
      <c r="K837" s="6" t="str">
        <f t="shared" ref="K837:K900" si="834">LEFT(M837,6)</f>
        <v>306001</v>
      </c>
      <c r="L837" s="4">
        <v>24</v>
      </c>
      <c r="M837" s="6" t="s">
        <v>590</v>
      </c>
      <c r="O837" s="15" t="str">
        <f>O836</f>
        <v>1.3</v>
      </c>
      <c r="P837" s="15" t="str">
        <f t="shared" ref="P837:S837" si="835">O837</f>
        <v>1.3</v>
      </c>
      <c r="Q837" s="15" t="str">
        <f t="shared" si="835"/>
        <v>1.3</v>
      </c>
      <c r="R837" s="15" t="str">
        <f>P837</f>
        <v>1.3</v>
      </c>
      <c r="S837" s="15" t="str">
        <f t="shared" si="835"/>
        <v>1.3</v>
      </c>
      <c r="T837" s="6" t="str">
        <f t="shared" ref="T837:T900" si="836">$O$2&amp;$P$3&amp;O837&amp;$O$1&amp;$P$2&amp;$P$3&amp;P837&amp;$O$1&amp;$Q$2&amp;$P$3&amp;Q837&amp;$O$1&amp;$R$2&amp;$P$3&amp;R837&amp;$O$1&amp;$S$2&amp;$P$3&amp;S837</f>
        <v>1|1.3#2|1.3#3|1.3#4|1.3#5|1.3</v>
      </c>
    </row>
    <row r="838" s="6" customFormat="1" ht="16.5" spans="1:20">
      <c r="A838" s="6">
        <v>1010844</v>
      </c>
      <c r="B838" s="6">
        <v>36001</v>
      </c>
      <c r="C838" s="6">
        <v>6</v>
      </c>
      <c r="D838" s="6">
        <v>1</v>
      </c>
      <c r="E838" s="6" t="str">
        <f t="shared" ref="E838:E901" si="837">K838&amp;$K$3&amp;L838</f>
        <v>306001:24</v>
      </c>
      <c r="F838" s="11" t="s">
        <v>396</v>
      </c>
      <c r="G838" s="6">
        <v>0</v>
      </c>
      <c r="H838" s="6">
        <v>0</v>
      </c>
      <c r="I838" s="6" t="s">
        <v>92</v>
      </c>
      <c r="K838" s="6" t="str">
        <f t="shared" si="834"/>
        <v>306001</v>
      </c>
      <c r="L838" s="4">
        <v>24</v>
      </c>
      <c r="M838" s="6" t="s">
        <v>590</v>
      </c>
      <c r="O838" s="13" t="str">
        <f t="shared" ref="O838:O842" si="838">RIGHT(F838,LEN(F838)-2)</f>
        <v>1.4</v>
      </c>
      <c r="P838" s="13" t="str">
        <f t="shared" ref="P838:S838" si="839">P837</f>
        <v>1.3</v>
      </c>
      <c r="Q838" s="13" t="str">
        <f t="shared" si="839"/>
        <v>1.3</v>
      </c>
      <c r="R838" s="13" t="str">
        <f t="shared" si="839"/>
        <v>1.3</v>
      </c>
      <c r="S838" s="13" t="str">
        <f t="shared" si="839"/>
        <v>1.3</v>
      </c>
      <c r="T838" s="6" t="str">
        <f t="shared" si="836"/>
        <v>1|1.4#2|1.3#3|1.3#4|1.3#5|1.3</v>
      </c>
    </row>
    <row r="839" s="6" customFormat="1" ht="16.5" spans="1:20">
      <c r="A839" s="6">
        <v>1010845</v>
      </c>
      <c r="B839" s="6">
        <v>36001</v>
      </c>
      <c r="C839" s="6">
        <v>6</v>
      </c>
      <c r="D839" s="6">
        <v>2</v>
      </c>
      <c r="E839" s="6" t="str">
        <f t="shared" si="837"/>
        <v>306001:24</v>
      </c>
      <c r="F839" s="11" t="s">
        <v>397</v>
      </c>
      <c r="G839" s="6">
        <v>0</v>
      </c>
      <c r="H839" s="6">
        <v>0</v>
      </c>
      <c r="I839" s="6" t="s">
        <v>94</v>
      </c>
      <c r="K839" s="6" t="str">
        <f t="shared" si="834"/>
        <v>306001</v>
      </c>
      <c r="L839" s="4">
        <v>24</v>
      </c>
      <c r="M839" s="6" t="s">
        <v>590</v>
      </c>
      <c r="O839" s="13" t="str">
        <f t="shared" si="838"/>
        <v>1.4</v>
      </c>
      <c r="P839" s="13" t="str">
        <f t="shared" ref="P839:P842" si="840">O839</f>
        <v>1.4</v>
      </c>
      <c r="Q839" s="13" t="str">
        <f t="shared" ref="Q839:S839" si="841">Q838</f>
        <v>1.3</v>
      </c>
      <c r="R839" s="13" t="str">
        <f t="shared" si="841"/>
        <v>1.3</v>
      </c>
      <c r="S839" s="13" t="str">
        <f t="shared" si="841"/>
        <v>1.3</v>
      </c>
      <c r="T839" s="6" t="str">
        <f t="shared" si="836"/>
        <v>1|1.4#2|1.4#3|1.3#4|1.3#5|1.3</v>
      </c>
    </row>
    <row r="840" s="6" customFormat="1" ht="16.5" spans="1:20">
      <c r="A840" s="6">
        <v>1010846</v>
      </c>
      <c r="B840" s="6">
        <v>36001</v>
      </c>
      <c r="C840" s="6">
        <v>6</v>
      </c>
      <c r="D840" s="6">
        <v>3</v>
      </c>
      <c r="E840" s="6" t="str">
        <f t="shared" si="837"/>
        <v>306001:24</v>
      </c>
      <c r="F840" s="11" t="s">
        <v>398</v>
      </c>
      <c r="G840" s="6">
        <v>0</v>
      </c>
      <c r="H840" s="6">
        <v>0</v>
      </c>
      <c r="I840" s="6" t="s">
        <v>96</v>
      </c>
      <c r="K840" s="6" t="str">
        <f t="shared" si="834"/>
        <v>306001</v>
      </c>
      <c r="L840" s="4">
        <v>24</v>
      </c>
      <c r="M840" s="6" t="s">
        <v>590</v>
      </c>
      <c r="O840" s="13" t="str">
        <f t="shared" si="838"/>
        <v>1.4</v>
      </c>
      <c r="P840" s="13" t="str">
        <f t="shared" si="840"/>
        <v>1.4</v>
      </c>
      <c r="Q840" s="13" t="str">
        <f t="shared" ref="Q840:Q842" si="842">P840</f>
        <v>1.4</v>
      </c>
      <c r="R840" s="13" t="str">
        <f>R839</f>
        <v>1.3</v>
      </c>
      <c r="S840" s="13" t="str">
        <f t="shared" ref="S840:S847" si="843">S839</f>
        <v>1.3</v>
      </c>
      <c r="T840" s="6" t="str">
        <f t="shared" si="836"/>
        <v>1|1.4#2|1.4#3|1.4#4|1.3#5|1.3</v>
      </c>
    </row>
    <row r="841" s="6" customFormat="1" ht="16.5" spans="1:20">
      <c r="A841" s="6">
        <v>1010847</v>
      </c>
      <c r="B841" s="6">
        <v>36001</v>
      </c>
      <c r="C841" s="6">
        <v>6</v>
      </c>
      <c r="D841" s="6">
        <v>4</v>
      </c>
      <c r="E841" s="6" t="str">
        <f t="shared" si="837"/>
        <v>306001:24</v>
      </c>
      <c r="F841" s="11" t="s">
        <v>399</v>
      </c>
      <c r="G841" s="6">
        <v>0</v>
      </c>
      <c r="H841" s="6">
        <v>0</v>
      </c>
      <c r="I841" s="6" t="s">
        <v>98</v>
      </c>
      <c r="K841" s="6" t="str">
        <f t="shared" si="834"/>
        <v>306001</v>
      </c>
      <c r="L841" s="4">
        <v>24</v>
      </c>
      <c r="M841" s="6" t="s">
        <v>590</v>
      </c>
      <c r="O841" s="13" t="str">
        <f t="shared" si="838"/>
        <v>1.4</v>
      </c>
      <c r="P841" s="13" t="str">
        <f t="shared" si="840"/>
        <v>1.4</v>
      </c>
      <c r="Q841" s="13" t="str">
        <f t="shared" si="842"/>
        <v>1.4</v>
      </c>
      <c r="R841" s="13" t="str">
        <f>Q841</f>
        <v>1.4</v>
      </c>
      <c r="S841" s="13" t="str">
        <f t="shared" si="843"/>
        <v>1.3</v>
      </c>
      <c r="T841" s="6" t="str">
        <f t="shared" si="836"/>
        <v>1|1.4#2|1.4#3|1.4#4|1.4#5|1.3</v>
      </c>
    </row>
    <row r="842" s="6" customFormat="1" ht="16.5" spans="1:20">
      <c r="A842" s="6">
        <v>1010848</v>
      </c>
      <c r="B842" s="6">
        <v>36001</v>
      </c>
      <c r="C842" s="6">
        <v>6</v>
      </c>
      <c r="D842" s="6">
        <v>5</v>
      </c>
      <c r="E842" s="6" t="str">
        <f t="shared" si="837"/>
        <v>306001:60</v>
      </c>
      <c r="F842" s="11" t="s">
        <v>400</v>
      </c>
      <c r="G842" s="6">
        <v>0</v>
      </c>
      <c r="H842" s="6">
        <v>0</v>
      </c>
      <c r="I842" s="6" t="s">
        <v>40</v>
      </c>
      <c r="K842" s="6" t="str">
        <f t="shared" si="834"/>
        <v>306001</v>
      </c>
      <c r="L842" s="4">
        <v>60</v>
      </c>
      <c r="M842" s="6" t="s">
        <v>589</v>
      </c>
      <c r="O842" s="13" t="str">
        <f t="shared" si="838"/>
        <v>1.4</v>
      </c>
      <c r="P842" s="13" t="str">
        <f t="shared" si="840"/>
        <v>1.4</v>
      </c>
      <c r="Q842" s="13" t="str">
        <f t="shared" si="842"/>
        <v>1.4</v>
      </c>
      <c r="R842" s="13" t="str">
        <f>Q842</f>
        <v>1.4</v>
      </c>
      <c r="S842" s="13" t="str">
        <f>R842</f>
        <v>1.4</v>
      </c>
      <c r="T842" s="6" t="str">
        <f t="shared" si="836"/>
        <v>1|1.4#2|1.4#3|1.4#4|1.4#5|1.4</v>
      </c>
    </row>
    <row r="843" s="6" customFormat="1" ht="16.5" spans="1:20">
      <c r="A843" s="6">
        <v>1010849</v>
      </c>
      <c r="B843" s="6">
        <v>36001</v>
      </c>
      <c r="C843" s="6">
        <v>6</v>
      </c>
      <c r="D843" s="6">
        <v>6</v>
      </c>
      <c r="E843" s="6" t="str">
        <f t="shared" si="837"/>
        <v>306001:0</v>
      </c>
      <c r="F843" s="11">
        <v>0</v>
      </c>
      <c r="G843" s="6">
        <v>11002</v>
      </c>
      <c r="H843" s="6" t="s">
        <v>407</v>
      </c>
      <c r="I843" s="6">
        <v>0</v>
      </c>
      <c r="K843" s="6" t="str">
        <f t="shared" si="834"/>
        <v>306001</v>
      </c>
      <c r="L843" s="4">
        <v>0</v>
      </c>
      <c r="M843" s="6" t="s">
        <v>583</v>
      </c>
      <c r="O843" s="13" t="str">
        <f t="shared" ref="O843:S843" si="844">O842</f>
        <v>1.4</v>
      </c>
      <c r="P843" s="13" t="str">
        <f t="shared" si="844"/>
        <v>1.4</v>
      </c>
      <c r="Q843" s="13" t="str">
        <f t="shared" si="844"/>
        <v>1.4</v>
      </c>
      <c r="R843" s="13" t="str">
        <f t="shared" si="844"/>
        <v>1.4</v>
      </c>
      <c r="S843" s="13" t="str">
        <f t="shared" si="844"/>
        <v>1.4</v>
      </c>
      <c r="T843" s="6" t="str">
        <f t="shared" si="836"/>
        <v>1|1.4#2|1.4#3|1.4#4|1.4#5|1.4</v>
      </c>
    </row>
    <row r="844" s="6" customFormat="1" ht="16.5" spans="1:20">
      <c r="A844" s="6">
        <v>1010850</v>
      </c>
      <c r="B844" s="6">
        <v>37001</v>
      </c>
      <c r="C844" s="6">
        <v>1</v>
      </c>
      <c r="D844" s="6">
        <v>0</v>
      </c>
      <c r="E844" s="6" t="str">
        <f t="shared" si="837"/>
        <v>307001:2</v>
      </c>
      <c r="F844" s="11" t="s">
        <v>356</v>
      </c>
      <c r="G844" s="6">
        <v>0</v>
      </c>
      <c r="H844" s="6">
        <v>0</v>
      </c>
      <c r="I844" s="6" t="s">
        <v>25</v>
      </c>
      <c r="K844" s="6" t="str">
        <f t="shared" si="834"/>
        <v>307001</v>
      </c>
      <c r="L844" s="4">
        <v>2</v>
      </c>
      <c r="M844" s="6" t="s">
        <v>591</v>
      </c>
      <c r="O844" s="13">
        <v>1</v>
      </c>
      <c r="P844" s="13">
        <f t="shared" ref="P844:S844" si="845">O844</f>
        <v>1</v>
      </c>
      <c r="Q844" s="13">
        <f t="shared" si="845"/>
        <v>1</v>
      </c>
      <c r="R844" s="13">
        <f>P844</f>
        <v>1</v>
      </c>
      <c r="S844" s="13">
        <f t="shared" si="845"/>
        <v>1</v>
      </c>
      <c r="T844" s="6" t="str">
        <f t="shared" si="836"/>
        <v>1|1#2|1#3|1#4|1#5|1</v>
      </c>
    </row>
    <row r="845" s="6" customFormat="1" ht="16.5" spans="1:20">
      <c r="A845" s="6">
        <v>1010851</v>
      </c>
      <c r="B845" s="6">
        <v>37001</v>
      </c>
      <c r="C845" s="6">
        <v>1</v>
      </c>
      <c r="D845" s="6">
        <v>1</v>
      </c>
      <c r="E845" s="6" t="str">
        <f t="shared" si="837"/>
        <v>307001:2</v>
      </c>
      <c r="F845" s="11" t="s">
        <v>358</v>
      </c>
      <c r="G845" s="6">
        <v>0</v>
      </c>
      <c r="H845" s="6">
        <v>0</v>
      </c>
      <c r="I845" s="6" t="s">
        <v>28</v>
      </c>
      <c r="K845" s="6" t="str">
        <f t="shared" si="834"/>
        <v>307001</v>
      </c>
      <c r="L845" s="4">
        <v>2</v>
      </c>
      <c r="M845" s="6" t="s">
        <v>591</v>
      </c>
      <c r="O845" s="13" t="str">
        <f t="shared" ref="O845:O849" si="846">RIGHT(F845,LEN(F845)-2)</f>
        <v>1.05</v>
      </c>
      <c r="P845" s="13">
        <v>1</v>
      </c>
      <c r="Q845" s="13">
        <f>Q844</f>
        <v>1</v>
      </c>
      <c r="R845" s="13">
        <f>R844</f>
        <v>1</v>
      </c>
      <c r="S845" s="13">
        <f t="shared" si="843"/>
        <v>1</v>
      </c>
      <c r="T845" s="6" t="str">
        <f t="shared" si="836"/>
        <v>1|1.05#2|1#3|1#4|1#5|1</v>
      </c>
    </row>
    <row r="846" s="6" customFormat="1" ht="16.5" spans="1:20">
      <c r="A846" s="6">
        <v>1010852</v>
      </c>
      <c r="B846" s="6">
        <v>37001</v>
      </c>
      <c r="C846" s="6">
        <v>1</v>
      </c>
      <c r="D846" s="6">
        <v>2</v>
      </c>
      <c r="E846" s="6" t="str">
        <f t="shared" si="837"/>
        <v>307001:2</v>
      </c>
      <c r="F846" s="11" t="s">
        <v>359</v>
      </c>
      <c r="G846" s="6">
        <v>0</v>
      </c>
      <c r="H846" s="6">
        <v>0</v>
      </c>
      <c r="I846" s="6" t="s">
        <v>31</v>
      </c>
      <c r="K846" s="6" t="str">
        <f t="shared" si="834"/>
        <v>307001</v>
      </c>
      <c r="L846" s="4">
        <v>2</v>
      </c>
      <c r="M846" s="6" t="s">
        <v>591</v>
      </c>
      <c r="O846" s="13" t="str">
        <f t="shared" si="846"/>
        <v>1.05</v>
      </c>
      <c r="P846" s="13" t="str">
        <f t="shared" ref="P846:P849" si="847">O846</f>
        <v>1.05</v>
      </c>
      <c r="Q846" s="13">
        <v>1</v>
      </c>
      <c r="R846" s="13">
        <f>R845</f>
        <v>1</v>
      </c>
      <c r="S846" s="13">
        <f t="shared" si="843"/>
        <v>1</v>
      </c>
      <c r="T846" s="6" t="str">
        <f t="shared" si="836"/>
        <v>1|1.05#2|1.05#3|1#4|1#5|1</v>
      </c>
    </row>
    <row r="847" s="6" customFormat="1" ht="16.5" spans="1:20">
      <c r="A847" s="6">
        <v>1010853</v>
      </c>
      <c r="B847" s="6">
        <v>37001</v>
      </c>
      <c r="C847" s="6">
        <v>1</v>
      </c>
      <c r="D847" s="6">
        <v>3</v>
      </c>
      <c r="E847" s="6" t="str">
        <f t="shared" si="837"/>
        <v>307001:3</v>
      </c>
      <c r="F847" s="11" t="s">
        <v>360</v>
      </c>
      <c r="G847" s="6">
        <v>0</v>
      </c>
      <c r="H847" s="6">
        <v>0</v>
      </c>
      <c r="I847" s="6" t="s">
        <v>34</v>
      </c>
      <c r="K847" s="6" t="str">
        <f t="shared" si="834"/>
        <v>307001</v>
      </c>
      <c r="L847" s="4">
        <v>3</v>
      </c>
      <c r="M847" s="6" t="s">
        <v>591</v>
      </c>
      <c r="O847" s="13" t="str">
        <f t="shared" si="846"/>
        <v>1.05</v>
      </c>
      <c r="P847" s="13" t="str">
        <f t="shared" si="847"/>
        <v>1.05</v>
      </c>
      <c r="Q847" s="13" t="str">
        <f t="shared" ref="Q847:Q849" si="848">P847</f>
        <v>1.05</v>
      </c>
      <c r="R847" s="13">
        <v>1</v>
      </c>
      <c r="S847" s="13">
        <f t="shared" si="843"/>
        <v>1</v>
      </c>
      <c r="T847" s="6" t="str">
        <f t="shared" si="836"/>
        <v>1|1.05#2|1.05#3|1.05#4|1#5|1</v>
      </c>
    </row>
    <row r="848" s="6" customFormat="1" ht="16.5" spans="1:20">
      <c r="A848" s="6">
        <v>1010854</v>
      </c>
      <c r="B848" s="6">
        <v>37001</v>
      </c>
      <c r="C848" s="6">
        <v>1</v>
      </c>
      <c r="D848" s="6">
        <v>4</v>
      </c>
      <c r="E848" s="6" t="str">
        <f t="shared" si="837"/>
        <v>307001:3</v>
      </c>
      <c r="F848" s="11" t="s">
        <v>361</v>
      </c>
      <c r="G848" s="6">
        <v>0</v>
      </c>
      <c r="H848" s="6">
        <v>0</v>
      </c>
      <c r="I848" s="6" t="s">
        <v>37</v>
      </c>
      <c r="K848" s="6" t="str">
        <f t="shared" si="834"/>
        <v>307001</v>
      </c>
      <c r="L848" s="4">
        <v>3</v>
      </c>
      <c r="M848" s="6" t="s">
        <v>591</v>
      </c>
      <c r="O848" s="13" t="str">
        <f t="shared" si="846"/>
        <v>1.05</v>
      </c>
      <c r="P848" s="13" t="str">
        <f t="shared" si="847"/>
        <v>1.05</v>
      </c>
      <c r="Q848" s="13" t="str">
        <f t="shared" si="848"/>
        <v>1.05</v>
      </c>
      <c r="R848" s="13" t="str">
        <f>Q848</f>
        <v>1.05</v>
      </c>
      <c r="S848" s="13">
        <v>1</v>
      </c>
      <c r="T848" s="6" t="str">
        <f t="shared" si="836"/>
        <v>1|1.05#2|1.05#3|1.05#4|1.05#5|1</v>
      </c>
    </row>
    <row r="849" s="6" customFormat="1" ht="16.5" spans="1:20">
      <c r="A849" s="6">
        <v>1010855</v>
      </c>
      <c r="B849" s="6">
        <v>37001</v>
      </c>
      <c r="C849" s="6">
        <v>1</v>
      </c>
      <c r="D849" s="6">
        <v>5</v>
      </c>
      <c r="E849" s="6" t="str">
        <f t="shared" si="837"/>
        <v>307001:3</v>
      </c>
      <c r="F849" s="11" t="s">
        <v>362</v>
      </c>
      <c r="G849" s="6">
        <v>0</v>
      </c>
      <c r="H849" s="6">
        <v>0</v>
      </c>
      <c r="I849" s="6" t="s">
        <v>40</v>
      </c>
      <c r="K849" s="6" t="str">
        <f t="shared" si="834"/>
        <v>307001</v>
      </c>
      <c r="L849" s="4">
        <v>3</v>
      </c>
      <c r="M849" s="6" t="s">
        <v>592</v>
      </c>
      <c r="O849" s="13" t="str">
        <f t="shared" si="846"/>
        <v>1.05</v>
      </c>
      <c r="P849" s="13" t="str">
        <f t="shared" si="847"/>
        <v>1.05</v>
      </c>
      <c r="Q849" s="13" t="str">
        <f t="shared" si="848"/>
        <v>1.05</v>
      </c>
      <c r="R849" s="13" t="str">
        <f>Q849</f>
        <v>1.05</v>
      </c>
      <c r="S849" s="13" t="str">
        <f>R849</f>
        <v>1.05</v>
      </c>
      <c r="T849" s="6" t="str">
        <f t="shared" si="836"/>
        <v>1|1.05#2|1.05#3|1.05#4|1.05#5|1.05</v>
      </c>
    </row>
    <row r="850" s="6" customFormat="1" ht="16.5" spans="1:20">
      <c r="A850" s="6">
        <v>1010856</v>
      </c>
      <c r="B850" s="6">
        <v>37001</v>
      </c>
      <c r="C850" s="6">
        <v>1</v>
      </c>
      <c r="D850" s="6">
        <v>6</v>
      </c>
      <c r="E850" s="6" t="str">
        <f t="shared" si="837"/>
        <v>307001:5</v>
      </c>
      <c r="F850" s="11">
        <v>0</v>
      </c>
      <c r="G850" s="6">
        <v>11002</v>
      </c>
      <c r="H850" s="6" t="s">
        <v>407</v>
      </c>
      <c r="I850" s="6">
        <v>0</v>
      </c>
      <c r="K850" s="6" t="str">
        <f t="shared" si="834"/>
        <v>307001</v>
      </c>
      <c r="L850" s="13">
        <v>5</v>
      </c>
      <c r="M850" s="6" t="s">
        <v>593</v>
      </c>
      <c r="O850" s="13" t="str">
        <f t="shared" ref="O850:S850" si="849">O849</f>
        <v>1.05</v>
      </c>
      <c r="P850" s="13" t="str">
        <f t="shared" si="849"/>
        <v>1.05</v>
      </c>
      <c r="Q850" s="13" t="str">
        <f t="shared" si="849"/>
        <v>1.05</v>
      </c>
      <c r="R850" s="13" t="str">
        <f t="shared" si="849"/>
        <v>1.05</v>
      </c>
      <c r="S850" s="13" t="str">
        <f t="shared" si="849"/>
        <v>1.05</v>
      </c>
      <c r="T850" s="6" t="str">
        <f t="shared" si="836"/>
        <v>1|1.05#2|1.05#3|1.05#4|1.05#5|1.05</v>
      </c>
    </row>
    <row r="851" s="6" customFormat="1" ht="16.5" spans="1:20">
      <c r="A851" s="6">
        <v>1010857</v>
      </c>
      <c r="B851" s="6">
        <v>37001</v>
      </c>
      <c r="C851" s="6">
        <v>2</v>
      </c>
      <c r="D851" s="6">
        <v>0</v>
      </c>
      <c r="E851" s="6" t="str">
        <f t="shared" si="837"/>
        <v>307001:5</v>
      </c>
      <c r="F851" s="11" t="s">
        <v>364</v>
      </c>
      <c r="G851" s="6">
        <v>0</v>
      </c>
      <c r="H851" s="6">
        <v>0</v>
      </c>
      <c r="I851" s="6" t="s">
        <v>43</v>
      </c>
      <c r="K851" s="6" t="str">
        <f t="shared" si="834"/>
        <v>307001</v>
      </c>
      <c r="L851" s="4">
        <v>5</v>
      </c>
      <c r="M851" s="6" t="s">
        <v>594</v>
      </c>
      <c r="O851" s="15" t="str">
        <f>O850</f>
        <v>1.05</v>
      </c>
      <c r="P851" s="15" t="str">
        <f t="shared" ref="P851:S851" si="850">O851</f>
        <v>1.05</v>
      </c>
      <c r="Q851" s="15" t="str">
        <f t="shared" si="850"/>
        <v>1.05</v>
      </c>
      <c r="R851" s="15" t="str">
        <f>P851</f>
        <v>1.05</v>
      </c>
      <c r="S851" s="15" t="str">
        <f t="shared" si="850"/>
        <v>1.05</v>
      </c>
      <c r="T851" s="6" t="str">
        <f t="shared" si="836"/>
        <v>1|1.05#2|1.05#3|1.05#4|1.05#5|1.05</v>
      </c>
    </row>
    <row r="852" s="6" customFormat="1" ht="16.5" spans="1:20">
      <c r="A852" s="6">
        <v>1010858</v>
      </c>
      <c r="B852" s="6">
        <v>37001</v>
      </c>
      <c r="C852" s="6">
        <v>2</v>
      </c>
      <c r="D852" s="6">
        <v>1</v>
      </c>
      <c r="E852" s="6" t="str">
        <f t="shared" si="837"/>
        <v>307001:5</v>
      </c>
      <c r="F852" s="11" t="s">
        <v>366</v>
      </c>
      <c r="G852" s="6">
        <v>0</v>
      </c>
      <c r="H852" s="6">
        <v>0</v>
      </c>
      <c r="I852" s="6" t="s">
        <v>45</v>
      </c>
      <c r="K852" s="6" t="str">
        <f t="shared" si="834"/>
        <v>307001</v>
      </c>
      <c r="L852" s="4">
        <v>5</v>
      </c>
      <c r="M852" s="6" t="s">
        <v>594</v>
      </c>
      <c r="O852" s="13" t="str">
        <f t="shared" ref="O852:O856" si="851">RIGHT(F852,LEN(F852)-2)</f>
        <v>1.1</v>
      </c>
      <c r="P852" s="13">
        <v>1.05</v>
      </c>
      <c r="Q852" s="13" t="str">
        <f t="shared" ref="Q852:S852" si="852">Q851</f>
        <v>1.05</v>
      </c>
      <c r="R852" s="13" t="str">
        <f t="shared" si="852"/>
        <v>1.05</v>
      </c>
      <c r="S852" s="13" t="str">
        <f t="shared" si="852"/>
        <v>1.05</v>
      </c>
      <c r="T852" s="6" t="str">
        <f t="shared" si="836"/>
        <v>1|1.1#2|1.05#3|1.05#4|1.05#5|1.05</v>
      </c>
    </row>
    <row r="853" s="6" customFormat="1" ht="16.5" spans="1:20">
      <c r="A853" s="6">
        <v>1010859</v>
      </c>
      <c r="B853" s="6">
        <v>37001</v>
      </c>
      <c r="C853" s="6">
        <v>2</v>
      </c>
      <c r="D853" s="6">
        <v>2</v>
      </c>
      <c r="E853" s="6" t="str">
        <f t="shared" si="837"/>
        <v>307001:5</v>
      </c>
      <c r="F853" s="11" t="s">
        <v>367</v>
      </c>
      <c r="G853" s="6">
        <v>0</v>
      </c>
      <c r="H853" s="6">
        <v>0</v>
      </c>
      <c r="I853" s="6" t="s">
        <v>47</v>
      </c>
      <c r="K853" s="6" t="str">
        <f t="shared" si="834"/>
        <v>307001</v>
      </c>
      <c r="L853" s="4">
        <v>5</v>
      </c>
      <c r="M853" s="6" t="s">
        <v>594</v>
      </c>
      <c r="O853" s="13" t="str">
        <f t="shared" si="851"/>
        <v>1.1</v>
      </c>
      <c r="P853" s="13" t="str">
        <f t="shared" ref="P853:P856" si="853">O853</f>
        <v>1.1</v>
      </c>
      <c r="Q853" s="13">
        <v>1.05</v>
      </c>
      <c r="R853" s="13" t="str">
        <f>R852</f>
        <v>1.05</v>
      </c>
      <c r="S853" s="13" t="str">
        <f>S852</f>
        <v>1.05</v>
      </c>
      <c r="T853" s="6" t="str">
        <f t="shared" si="836"/>
        <v>1|1.1#2|1.1#3|1.05#4|1.05#5|1.05</v>
      </c>
    </row>
    <row r="854" s="6" customFormat="1" ht="16.5" spans="1:20">
      <c r="A854" s="6">
        <v>1010860</v>
      </c>
      <c r="B854" s="6">
        <v>37001</v>
      </c>
      <c r="C854" s="6">
        <v>2</v>
      </c>
      <c r="D854" s="6">
        <v>3</v>
      </c>
      <c r="E854" s="6" t="str">
        <f t="shared" si="837"/>
        <v>307001:6</v>
      </c>
      <c r="F854" s="11" t="s">
        <v>368</v>
      </c>
      <c r="G854" s="6">
        <v>0</v>
      </c>
      <c r="H854" s="6">
        <v>0</v>
      </c>
      <c r="I854" s="6" t="s">
        <v>49</v>
      </c>
      <c r="K854" s="6" t="str">
        <f t="shared" si="834"/>
        <v>307001</v>
      </c>
      <c r="L854" s="4">
        <v>6</v>
      </c>
      <c r="M854" s="6" t="s">
        <v>594</v>
      </c>
      <c r="O854" s="13" t="str">
        <f t="shared" si="851"/>
        <v>1.1</v>
      </c>
      <c r="P854" s="13" t="str">
        <f t="shared" si="853"/>
        <v>1.1</v>
      </c>
      <c r="Q854" s="13" t="str">
        <f t="shared" ref="Q854:Q856" si="854">P854</f>
        <v>1.1</v>
      </c>
      <c r="R854" s="13">
        <v>1.05</v>
      </c>
      <c r="S854" s="13" t="str">
        <f>S853</f>
        <v>1.05</v>
      </c>
      <c r="T854" s="6" t="str">
        <f t="shared" si="836"/>
        <v>1|1.1#2|1.1#3|1.1#4|1.05#5|1.05</v>
      </c>
    </row>
    <row r="855" s="6" customFormat="1" ht="16.5" spans="1:20">
      <c r="A855" s="6">
        <v>1010861</v>
      </c>
      <c r="B855" s="6">
        <v>37001</v>
      </c>
      <c r="C855" s="6">
        <v>2</v>
      </c>
      <c r="D855" s="6">
        <v>4</v>
      </c>
      <c r="E855" s="6" t="str">
        <f t="shared" si="837"/>
        <v>307001:6</v>
      </c>
      <c r="F855" s="11" t="s">
        <v>369</v>
      </c>
      <c r="G855" s="6">
        <v>0</v>
      </c>
      <c r="H855" s="6">
        <v>0</v>
      </c>
      <c r="I855" s="6" t="s">
        <v>51</v>
      </c>
      <c r="K855" s="6" t="str">
        <f t="shared" si="834"/>
        <v>307001</v>
      </c>
      <c r="L855" s="4">
        <v>6</v>
      </c>
      <c r="M855" s="6" t="s">
        <v>594</v>
      </c>
      <c r="O855" s="13" t="str">
        <f t="shared" si="851"/>
        <v>1.1</v>
      </c>
      <c r="P855" s="13" t="str">
        <f t="shared" si="853"/>
        <v>1.1</v>
      </c>
      <c r="Q855" s="13" t="str">
        <f t="shared" si="854"/>
        <v>1.1</v>
      </c>
      <c r="R855" s="13" t="str">
        <f>Q855</f>
        <v>1.1</v>
      </c>
      <c r="S855" s="13">
        <v>1.05</v>
      </c>
      <c r="T855" s="6" t="str">
        <f t="shared" si="836"/>
        <v>1|1.1#2|1.1#3|1.1#4|1.1#5|1.05</v>
      </c>
    </row>
    <row r="856" s="6" customFormat="1" ht="16.5" spans="1:20">
      <c r="A856" s="6">
        <v>1010862</v>
      </c>
      <c r="B856" s="6">
        <v>37001</v>
      </c>
      <c r="C856" s="6">
        <v>2</v>
      </c>
      <c r="D856" s="6">
        <v>5</v>
      </c>
      <c r="E856" s="6" t="str">
        <f t="shared" si="837"/>
        <v>307001:6</v>
      </c>
      <c r="F856" s="11" t="s">
        <v>370</v>
      </c>
      <c r="G856" s="6">
        <v>0</v>
      </c>
      <c r="H856" s="6">
        <v>0</v>
      </c>
      <c r="I856" s="6" t="s">
        <v>40</v>
      </c>
      <c r="K856" s="6" t="str">
        <f t="shared" si="834"/>
        <v>307001</v>
      </c>
      <c r="L856" s="4">
        <v>6</v>
      </c>
      <c r="M856" s="6" t="s">
        <v>309</v>
      </c>
      <c r="O856" s="13" t="str">
        <f t="shared" si="851"/>
        <v>1.1</v>
      </c>
      <c r="P856" s="13" t="str">
        <f t="shared" si="853"/>
        <v>1.1</v>
      </c>
      <c r="Q856" s="13" t="str">
        <f t="shared" si="854"/>
        <v>1.1</v>
      </c>
      <c r="R856" s="13" t="str">
        <f>Q856</f>
        <v>1.1</v>
      </c>
      <c r="S856" s="13" t="str">
        <f>R856</f>
        <v>1.1</v>
      </c>
      <c r="T856" s="6" t="str">
        <f t="shared" si="836"/>
        <v>1|1.1#2|1.1#3|1.1#4|1.1#5|1.1</v>
      </c>
    </row>
    <row r="857" s="6" customFormat="1" ht="16.5" spans="1:20">
      <c r="A857" s="6">
        <v>1010863</v>
      </c>
      <c r="B857" s="6">
        <v>37001</v>
      </c>
      <c r="C857" s="6">
        <v>2</v>
      </c>
      <c r="D857" s="6">
        <v>6</v>
      </c>
      <c r="E857" s="6" t="str">
        <f t="shared" si="837"/>
        <v>307001:7</v>
      </c>
      <c r="F857" s="11">
        <v>0</v>
      </c>
      <c r="G857" s="6">
        <v>11002</v>
      </c>
      <c r="H857" s="6" t="s">
        <v>407</v>
      </c>
      <c r="I857" s="6">
        <v>0</v>
      </c>
      <c r="K857" s="6" t="str">
        <f t="shared" si="834"/>
        <v>307001</v>
      </c>
      <c r="L857" s="13">
        <v>7</v>
      </c>
      <c r="M857" s="6" t="s">
        <v>593</v>
      </c>
      <c r="O857" s="13" t="str">
        <f t="shared" ref="O857:S857" si="855">O856</f>
        <v>1.1</v>
      </c>
      <c r="P857" s="13" t="str">
        <f t="shared" si="855"/>
        <v>1.1</v>
      </c>
      <c r="Q857" s="13" t="str">
        <f t="shared" si="855"/>
        <v>1.1</v>
      </c>
      <c r="R857" s="13" t="str">
        <f t="shared" si="855"/>
        <v>1.1</v>
      </c>
      <c r="S857" s="13" t="str">
        <f t="shared" si="855"/>
        <v>1.1</v>
      </c>
      <c r="T857" s="6" t="str">
        <f t="shared" si="836"/>
        <v>1|1.1#2|1.1#3|1.1#4|1.1#5|1.1</v>
      </c>
    </row>
    <row r="858" s="6" customFormat="1" ht="16.5" spans="1:20">
      <c r="A858" s="6">
        <v>1010864</v>
      </c>
      <c r="B858" s="6">
        <v>37001</v>
      </c>
      <c r="C858" s="6">
        <v>3</v>
      </c>
      <c r="D858" s="6">
        <v>0</v>
      </c>
      <c r="E858" s="6" t="str">
        <f t="shared" si="837"/>
        <v>307001:9</v>
      </c>
      <c r="F858" s="11" t="s">
        <v>371</v>
      </c>
      <c r="G858" s="6">
        <v>0</v>
      </c>
      <c r="H858" s="6">
        <v>0</v>
      </c>
      <c r="I858" s="6" t="s">
        <v>55</v>
      </c>
      <c r="K858" s="6" t="str">
        <f t="shared" si="834"/>
        <v>307001</v>
      </c>
      <c r="L858" s="4">
        <v>9</v>
      </c>
      <c r="M858" s="6" t="s">
        <v>595</v>
      </c>
      <c r="O858" s="15" t="str">
        <f>O857</f>
        <v>1.1</v>
      </c>
      <c r="P858" s="15" t="str">
        <f t="shared" ref="P858:S858" si="856">O858</f>
        <v>1.1</v>
      </c>
      <c r="Q858" s="15" t="str">
        <f t="shared" si="856"/>
        <v>1.1</v>
      </c>
      <c r="R858" s="15" t="str">
        <f>P858</f>
        <v>1.1</v>
      </c>
      <c r="S858" s="15" t="str">
        <f t="shared" si="856"/>
        <v>1.1</v>
      </c>
      <c r="T858" s="6" t="str">
        <f t="shared" si="836"/>
        <v>1|1.1#2|1.1#3|1.1#4|1.1#5|1.1</v>
      </c>
    </row>
    <row r="859" s="6" customFormat="1" ht="16.5" spans="1:20">
      <c r="A859" s="6">
        <v>1010865</v>
      </c>
      <c r="B859" s="6">
        <v>37001</v>
      </c>
      <c r="C859" s="6">
        <v>3</v>
      </c>
      <c r="D859" s="6">
        <v>1</v>
      </c>
      <c r="E859" s="6" t="str">
        <f t="shared" si="837"/>
        <v>307001:9</v>
      </c>
      <c r="F859" s="11" t="s">
        <v>373</v>
      </c>
      <c r="G859" s="6">
        <v>0</v>
      </c>
      <c r="H859" s="6">
        <v>0</v>
      </c>
      <c r="I859" s="6" t="s">
        <v>57</v>
      </c>
      <c r="K859" s="6" t="str">
        <f t="shared" si="834"/>
        <v>307001</v>
      </c>
      <c r="L859" s="4">
        <v>9</v>
      </c>
      <c r="M859" s="6" t="s">
        <v>595</v>
      </c>
      <c r="O859" s="13" t="str">
        <f t="shared" ref="O859:O863" si="857">RIGHT(F859,LEN(F859)-2)</f>
        <v>1.15</v>
      </c>
      <c r="P859" s="13" t="str">
        <f t="shared" ref="P859:S859" si="858">P858</f>
        <v>1.1</v>
      </c>
      <c r="Q859" s="13" t="str">
        <f t="shared" si="858"/>
        <v>1.1</v>
      </c>
      <c r="R859" s="13" t="str">
        <f t="shared" si="858"/>
        <v>1.1</v>
      </c>
      <c r="S859" s="13" t="str">
        <f t="shared" si="858"/>
        <v>1.1</v>
      </c>
      <c r="T859" s="6" t="str">
        <f t="shared" si="836"/>
        <v>1|1.15#2|1.1#3|1.1#4|1.1#5|1.1</v>
      </c>
    </row>
    <row r="860" s="6" customFormat="1" ht="16.5" spans="1:20">
      <c r="A860" s="6">
        <v>1010866</v>
      </c>
      <c r="B860" s="6">
        <v>37001</v>
      </c>
      <c r="C860" s="6">
        <v>3</v>
      </c>
      <c r="D860" s="6">
        <v>2</v>
      </c>
      <c r="E860" s="6" t="str">
        <f t="shared" si="837"/>
        <v>307001:9</v>
      </c>
      <c r="F860" s="11" t="s">
        <v>374</v>
      </c>
      <c r="G860" s="6">
        <v>0</v>
      </c>
      <c r="H860" s="6">
        <v>0</v>
      </c>
      <c r="I860" s="6" t="s">
        <v>59</v>
      </c>
      <c r="K860" s="6" t="str">
        <f t="shared" si="834"/>
        <v>307001</v>
      </c>
      <c r="L860" s="4">
        <v>9</v>
      </c>
      <c r="M860" s="6" t="s">
        <v>595</v>
      </c>
      <c r="O860" s="13" t="str">
        <f t="shared" si="857"/>
        <v>1.15</v>
      </c>
      <c r="P860" s="13" t="str">
        <f t="shared" ref="P860:P863" si="859">O860</f>
        <v>1.15</v>
      </c>
      <c r="Q860" s="13" t="str">
        <f t="shared" ref="Q860:S860" si="860">Q859</f>
        <v>1.1</v>
      </c>
      <c r="R860" s="13" t="str">
        <f t="shared" si="860"/>
        <v>1.1</v>
      </c>
      <c r="S860" s="13" t="str">
        <f t="shared" si="860"/>
        <v>1.1</v>
      </c>
      <c r="T860" s="6" t="str">
        <f t="shared" si="836"/>
        <v>1|1.15#2|1.15#3|1.1#4|1.1#5|1.1</v>
      </c>
    </row>
    <row r="861" s="6" customFormat="1" ht="16.5" spans="1:20">
      <c r="A861" s="6">
        <v>1010867</v>
      </c>
      <c r="B861" s="6">
        <v>37001</v>
      </c>
      <c r="C861" s="6">
        <v>3</v>
      </c>
      <c r="D861" s="6">
        <v>3</v>
      </c>
      <c r="E861" s="6" t="str">
        <f t="shared" si="837"/>
        <v>307001:11</v>
      </c>
      <c r="F861" s="11" t="s">
        <v>375</v>
      </c>
      <c r="G861" s="6">
        <v>0</v>
      </c>
      <c r="H861" s="6">
        <v>0</v>
      </c>
      <c r="I861" s="6" t="s">
        <v>61</v>
      </c>
      <c r="K861" s="6" t="str">
        <f t="shared" si="834"/>
        <v>307001</v>
      </c>
      <c r="L861" s="4">
        <v>11</v>
      </c>
      <c r="M861" s="6" t="s">
        <v>595</v>
      </c>
      <c r="O861" s="13" t="str">
        <f t="shared" si="857"/>
        <v>1.15</v>
      </c>
      <c r="P861" s="13" t="str">
        <f t="shared" si="859"/>
        <v>1.15</v>
      </c>
      <c r="Q861" s="13" t="str">
        <f t="shared" ref="Q861:Q863" si="861">P861</f>
        <v>1.15</v>
      </c>
      <c r="R861" s="13" t="str">
        <f>R860</f>
        <v>1.1</v>
      </c>
      <c r="S861" s="13" t="str">
        <f>S860</f>
        <v>1.1</v>
      </c>
      <c r="T861" s="6" t="str">
        <f t="shared" si="836"/>
        <v>1|1.15#2|1.15#3|1.15#4|1.1#5|1.1</v>
      </c>
    </row>
    <row r="862" s="6" customFormat="1" ht="16.5" spans="1:20">
      <c r="A862" s="6">
        <v>1010868</v>
      </c>
      <c r="B862" s="6">
        <v>37001</v>
      </c>
      <c r="C862" s="6">
        <v>3</v>
      </c>
      <c r="D862" s="6">
        <v>4</v>
      </c>
      <c r="E862" s="6" t="str">
        <f t="shared" si="837"/>
        <v>307001:11</v>
      </c>
      <c r="F862" s="11" t="s">
        <v>376</v>
      </c>
      <c r="G862" s="6">
        <v>0</v>
      </c>
      <c r="H862" s="6">
        <v>0</v>
      </c>
      <c r="I862" s="6" t="s">
        <v>63</v>
      </c>
      <c r="K862" s="6" t="str">
        <f t="shared" si="834"/>
        <v>307001</v>
      </c>
      <c r="L862" s="4">
        <v>11</v>
      </c>
      <c r="M862" s="6" t="s">
        <v>595</v>
      </c>
      <c r="O862" s="13" t="str">
        <f t="shared" si="857"/>
        <v>1.15</v>
      </c>
      <c r="P862" s="13" t="str">
        <f t="shared" si="859"/>
        <v>1.15</v>
      </c>
      <c r="Q862" s="13" t="str">
        <f t="shared" si="861"/>
        <v>1.15</v>
      </c>
      <c r="R862" s="13" t="str">
        <f>Q862</f>
        <v>1.15</v>
      </c>
      <c r="S862" s="13" t="str">
        <f>S861</f>
        <v>1.1</v>
      </c>
      <c r="T862" s="6" t="str">
        <f t="shared" si="836"/>
        <v>1|1.15#2|1.15#3|1.15#4|1.15#5|1.1</v>
      </c>
    </row>
    <row r="863" s="6" customFormat="1" ht="16.5" spans="1:20">
      <c r="A863" s="6">
        <v>1010869</v>
      </c>
      <c r="B863" s="6">
        <v>37001</v>
      </c>
      <c r="C863" s="6">
        <v>3</v>
      </c>
      <c r="D863" s="6">
        <v>5</v>
      </c>
      <c r="E863" s="6" t="str">
        <f t="shared" si="837"/>
        <v>307001:11</v>
      </c>
      <c r="F863" s="11" t="s">
        <v>377</v>
      </c>
      <c r="G863" s="6">
        <v>0</v>
      </c>
      <c r="H863" s="6">
        <v>0</v>
      </c>
      <c r="I863" s="6" t="s">
        <v>40</v>
      </c>
      <c r="K863" s="6" t="str">
        <f t="shared" si="834"/>
        <v>307001</v>
      </c>
      <c r="L863" s="4">
        <v>11</v>
      </c>
      <c r="M863" s="6" t="s">
        <v>596</v>
      </c>
      <c r="O863" s="13" t="str">
        <f t="shared" si="857"/>
        <v>1.15</v>
      </c>
      <c r="P863" s="13" t="str">
        <f t="shared" si="859"/>
        <v>1.15</v>
      </c>
      <c r="Q863" s="13" t="str">
        <f t="shared" si="861"/>
        <v>1.15</v>
      </c>
      <c r="R863" s="13" t="str">
        <f>Q863</f>
        <v>1.15</v>
      </c>
      <c r="S863" s="13" t="str">
        <f>R863</f>
        <v>1.15</v>
      </c>
      <c r="T863" s="6" t="str">
        <f t="shared" si="836"/>
        <v>1|1.15#2|1.15#3|1.15#4|1.15#5|1.15</v>
      </c>
    </row>
    <row r="864" s="6" customFormat="1" ht="16.5" spans="1:20">
      <c r="A864" s="6">
        <v>1010870</v>
      </c>
      <c r="B864" s="6">
        <v>37001</v>
      </c>
      <c r="C864" s="6">
        <v>3</v>
      </c>
      <c r="D864" s="6">
        <v>6</v>
      </c>
      <c r="E864" s="6" t="str">
        <f t="shared" si="837"/>
        <v>307001:30</v>
      </c>
      <c r="F864" s="11">
        <v>0</v>
      </c>
      <c r="G864" s="6">
        <v>11002</v>
      </c>
      <c r="H864" s="6" t="s">
        <v>407</v>
      </c>
      <c r="I864" s="6">
        <v>0</v>
      </c>
      <c r="K864" s="6" t="str">
        <f t="shared" si="834"/>
        <v>307001</v>
      </c>
      <c r="L864" s="13">
        <v>30</v>
      </c>
      <c r="M864" s="6" t="s">
        <v>593</v>
      </c>
      <c r="O864" s="13" t="str">
        <f t="shared" ref="O864:S864" si="862">O863</f>
        <v>1.15</v>
      </c>
      <c r="P864" s="13" t="str">
        <f t="shared" si="862"/>
        <v>1.15</v>
      </c>
      <c r="Q864" s="13" t="str">
        <f t="shared" si="862"/>
        <v>1.15</v>
      </c>
      <c r="R864" s="13" t="str">
        <f t="shared" si="862"/>
        <v>1.15</v>
      </c>
      <c r="S864" s="13" t="str">
        <f t="shared" si="862"/>
        <v>1.15</v>
      </c>
      <c r="T864" s="6" t="str">
        <f t="shared" si="836"/>
        <v>1|1.15#2|1.15#3|1.15#4|1.15#5|1.15</v>
      </c>
    </row>
    <row r="865" s="6" customFormat="1" ht="16.5" spans="1:20">
      <c r="A865" s="6">
        <v>1010871</v>
      </c>
      <c r="B865" s="6">
        <v>37001</v>
      </c>
      <c r="C865" s="6">
        <v>4</v>
      </c>
      <c r="D865" s="6">
        <v>0</v>
      </c>
      <c r="E865" s="6" t="str">
        <f t="shared" si="837"/>
        <v>307001:13</v>
      </c>
      <c r="F865" s="11" t="s">
        <v>379</v>
      </c>
      <c r="G865" s="6">
        <v>0</v>
      </c>
      <c r="H865" s="6">
        <v>0</v>
      </c>
      <c r="I865" s="6" t="s">
        <v>67</v>
      </c>
      <c r="K865" s="6" t="str">
        <f t="shared" si="834"/>
        <v>307001</v>
      </c>
      <c r="L865" s="4">
        <v>13</v>
      </c>
      <c r="M865" s="6" t="s">
        <v>597</v>
      </c>
      <c r="O865" s="15" t="str">
        <f>O864</f>
        <v>1.15</v>
      </c>
      <c r="P865" s="15" t="str">
        <f t="shared" ref="P865:S865" si="863">O865</f>
        <v>1.15</v>
      </c>
      <c r="Q865" s="15" t="str">
        <f t="shared" si="863"/>
        <v>1.15</v>
      </c>
      <c r="R865" s="15" t="str">
        <f>P865</f>
        <v>1.15</v>
      </c>
      <c r="S865" s="15" t="str">
        <f t="shared" si="863"/>
        <v>1.15</v>
      </c>
      <c r="T865" s="6" t="str">
        <f t="shared" si="836"/>
        <v>1|1.15#2|1.15#3|1.15#4|1.15#5|1.15</v>
      </c>
    </row>
    <row r="866" s="6" customFormat="1" ht="16.5" spans="1:20">
      <c r="A866" s="6">
        <v>1010872</v>
      </c>
      <c r="B866" s="6">
        <v>37001</v>
      </c>
      <c r="C866" s="6">
        <v>4</v>
      </c>
      <c r="D866" s="6">
        <v>1</v>
      </c>
      <c r="E866" s="6" t="str">
        <f t="shared" si="837"/>
        <v>307001:13</v>
      </c>
      <c r="F866" s="11" t="s">
        <v>381</v>
      </c>
      <c r="G866" s="6">
        <v>0</v>
      </c>
      <c r="H866" s="6">
        <v>0</v>
      </c>
      <c r="I866" s="6" t="s">
        <v>69</v>
      </c>
      <c r="K866" s="6" t="str">
        <f t="shared" si="834"/>
        <v>307001</v>
      </c>
      <c r="L866" s="4">
        <v>13</v>
      </c>
      <c r="M866" s="6" t="s">
        <v>597</v>
      </c>
      <c r="O866" s="13" t="str">
        <f t="shared" ref="O866:O870" si="864">RIGHT(F866,LEN(F866)-2)</f>
        <v>1.2</v>
      </c>
      <c r="P866" s="13" t="str">
        <f t="shared" ref="P866:S866" si="865">P865</f>
        <v>1.15</v>
      </c>
      <c r="Q866" s="13" t="str">
        <f t="shared" si="865"/>
        <v>1.15</v>
      </c>
      <c r="R866" s="13" t="str">
        <f t="shared" si="865"/>
        <v>1.15</v>
      </c>
      <c r="S866" s="13" t="str">
        <f t="shared" si="865"/>
        <v>1.15</v>
      </c>
      <c r="T866" s="6" t="str">
        <f t="shared" si="836"/>
        <v>1|1.2#2|1.15#3|1.15#4|1.15#5|1.15</v>
      </c>
    </row>
    <row r="867" s="6" customFormat="1" ht="16.5" spans="1:20">
      <c r="A867" s="6">
        <v>1010873</v>
      </c>
      <c r="B867" s="6">
        <v>37001</v>
      </c>
      <c r="C867" s="6">
        <v>4</v>
      </c>
      <c r="D867" s="6">
        <v>2</v>
      </c>
      <c r="E867" s="6" t="str">
        <f t="shared" si="837"/>
        <v>307001:13</v>
      </c>
      <c r="F867" s="11" t="s">
        <v>382</v>
      </c>
      <c r="G867" s="6">
        <v>0</v>
      </c>
      <c r="H867" s="6">
        <v>0</v>
      </c>
      <c r="I867" s="6" t="s">
        <v>71</v>
      </c>
      <c r="K867" s="6" t="str">
        <f t="shared" si="834"/>
        <v>307001</v>
      </c>
      <c r="L867" s="4">
        <v>13</v>
      </c>
      <c r="M867" s="6" t="s">
        <v>597</v>
      </c>
      <c r="O867" s="13" t="str">
        <f t="shared" si="864"/>
        <v>1.2</v>
      </c>
      <c r="P867" s="13" t="str">
        <f t="shared" ref="P867:P870" si="866">O867</f>
        <v>1.2</v>
      </c>
      <c r="Q867" s="13" t="str">
        <f t="shared" ref="Q867:S867" si="867">Q866</f>
        <v>1.15</v>
      </c>
      <c r="R867" s="13" t="str">
        <f t="shared" si="867"/>
        <v>1.15</v>
      </c>
      <c r="S867" s="13" t="str">
        <f t="shared" si="867"/>
        <v>1.15</v>
      </c>
      <c r="T867" s="6" t="str">
        <f t="shared" si="836"/>
        <v>1|1.2#2|1.2#3|1.15#4|1.15#5|1.15</v>
      </c>
    </row>
    <row r="868" s="6" customFormat="1" ht="16.5" spans="1:20">
      <c r="A868" s="6">
        <v>1010874</v>
      </c>
      <c r="B868" s="6">
        <v>37001</v>
      </c>
      <c r="C868" s="6">
        <v>4</v>
      </c>
      <c r="D868" s="6">
        <v>3</v>
      </c>
      <c r="E868" s="6" t="str">
        <f t="shared" si="837"/>
        <v>307001:17</v>
      </c>
      <c r="F868" s="11" t="s">
        <v>383</v>
      </c>
      <c r="G868" s="6">
        <v>0</v>
      </c>
      <c r="H868" s="6">
        <v>0</v>
      </c>
      <c r="I868" s="6" t="s">
        <v>73</v>
      </c>
      <c r="K868" s="6" t="str">
        <f t="shared" si="834"/>
        <v>307001</v>
      </c>
      <c r="L868" s="4">
        <v>17</v>
      </c>
      <c r="M868" s="6" t="s">
        <v>597</v>
      </c>
      <c r="O868" s="13" t="str">
        <f t="shared" si="864"/>
        <v>1.2</v>
      </c>
      <c r="P868" s="13" t="str">
        <f t="shared" si="866"/>
        <v>1.2</v>
      </c>
      <c r="Q868" s="13" t="str">
        <f t="shared" ref="Q868:Q870" si="868">P868</f>
        <v>1.2</v>
      </c>
      <c r="R868" s="13" t="str">
        <f>R867</f>
        <v>1.15</v>
      </c>
      <c r="S868" s="13" t="str">
        <f>S867</f>
        <v>1.15</v>
      </c>
      <c r="T868" s="6" t="str">
        <f t="shared" si="836"/>
        <v>1|1.2#2|1.2#3|1.2#4|1.15#5|1.15</v>
      </c>
    </row>
    <row r="869" s="6" customFormat="1" ht="16.5" spans="1:20">
      <c r="A869" s="6">
        <v>1010875</v>
      </c>
      <c r="B869" s="6">
        <v>37001</v>
      </c>
      <c r="C869" s="6">
        <v>4</v>
      </c>
      <c r="D869" s="6">
        <v>4</v>
      </c>
      <c r="E869" s="6" t="str">
        <f t="shared" si="837"/>
        <v>307001:17</v>
      </c>
      <c r="F869" s="11" t="s">
        <v>384</v>
      </c>
      <c r="G869" s="6">
        <v>0</v>
      </c>
      <c r="H869" s="6">
        <v>0</v>
      </c>
      <c r="I869" s="6" t="s">
        <v>75</v>
      </c>
      <c r="K869" s="6" t="str">
        <f t="shared" si="834"/>
        <v>307001</v>
      </c>
      <c r="L869" s="4">
        <v>17</v>
      </c>
      <c r="M869" s="6" t="s">
        <v>597</v>
      </c>
      <c r="O869" s="13" t="str">
        <f t="shared" si="864"/>
        <v>1.2</v>
      </c>
      <c r="P869" s="13" t="str">
        <f t="shared" si="866"/>
        <v>1.2</v>
      </c>
      <c r="Q869" s="13" t="str">
        <f t="shared" si="868"/>
        <v>1.2</v>
      </c>
      <c r="R869" s="13" t="str">
        <f>Q869</f>
        <v>1.2</v>
      </c>
      <c r="S869" s="13" t="str">
        <f>S868</f>
        <v>1.15</v>
      </c>
      <c r="T869" s="6" t="str">
        <f t="shared" si="836"/>
        <v>1|1.2#2|1.2#3|1.2#4|1.2#5|1.15</v>
      </c>
    </row>
    <row r="870" s="6" customFormat="1" ht="16.5" spans="1:20">
      <c r="A870" s="6">
        <v>1010876</v>
      </c>
      <c r="B870" s="6">
        <v>37001</v>
      </c>
      <c r="C870" s="6">
        <v>4</v>
      </c>
      <c r="D870" s="6">
        <v>5</v>
      </c>
      <c r="E870" s="6" t="str">
        <f t="shared" si="837"/>
        <v>307001:17</v>
      </c>
      <c r="F870" s="11" t="s">
        <v>385</v>
      </c>
      <c r="G870" s="6">
        <v>0</v>
      </c>
      <c r="H870" s="6">
        <v>0</v>
      </c>
      <c r="I870" s="6" t="s">
        <v>40</v>
      </c>
      <c r="K870" s="6" t="str">
        <f t="shared" si="834"/>
        <v>307001</v>
      </c>
      <c r="L870" s="4">
        <v>17</v>
      </c>
      <c r="M870" s="6" t="s">
        <v>311</v>
      </c>
      <c r="O870" s="13" t="str">
        <f t="shared" si="864"/>
        <v>1.2</v>
      </c>
      <c r="P870" s="13" t="str">
        <f t="shared" si="866"/>
        <v>1.2</v>
      </c>
      <c r="Q870" s="13" t="str">
        <f t="shared" si="868"/>
        <v>1.2</v>
      </c>
      <c r="R870" s="13" t="str">
        <f>Q870</f>
        <v>1.2</v>
      </c>
      <c r="S870" s="13" t="str">
        <f>R870</f>
        <v>1.2</v>
      </c>
      <c r="T870" s="6" t="str">
        <f t="shared" si="836"/>
        <v>1|1.2#2|1.2#3|1.2#4|1.2#5|1.2</v>
      </c>
    </row>
    <row r="871" s="6" customFormat="1" ht="16.5" spans="1:20">
      <c r="A871" s="6">
        <v>1010877</v>
      </c>
      <c r="B871" s="6">
        <v>37001</v>
      </c>
      <c r="C871" s="6">
        <v>4</v>
      </c>
      <c r="D871" s="6">
        <v>6</v>
      </c>
      <c r="E871" s="6" t="str">
        <f t="shared" si="837"/>
        <v>307001:60</v>
      </c>
      <c r="F871" s="11">
        <v>0</v>
      </c>
      <c r="G871" s="6">
        <v>11002</v>
      </c>
      <c r="H871" s="6" t="s">
        <v>407</v>
      </c>
      <c r="I871" s="6">
        <v>0</v>
      </c>
      <c r="K871" s="6" t="str">
        <f t="shared" si="834"/>
        <v>307001</v>
      </c>
      <c r="L871" s="13">
        <v>60</v>
      </c>
      <c r="M871" s="6" t="s">
        <v>593</v>
      </c>
      <c r="O871" s="13" t="str">
        <f t="shared" ref="O871:S871" si="869">O870</f>
        <v>1.2</v>
      </c>
      <c r="P871" s="13" t="str">
        <f t="shared" si="869"/>
        <v>1.2</v>
      </c>
      <c r="Q871" s="13" t="str">
        <f t="shared" si="869"/>
        <v>1.2</v>
      </c>
      <c r="R871" s="13" t="str">
        <f t="shared" si="869"/>
        <v>1.2</v>
      </c>
      <c r="S871" s="13" t="str">
        <f t="shared" si="869"/>
        <v>1.2</v>
      </c>
      <c r="T871" s="6" t="str">
        <f t="shared" si="836"/>
        <v>1|1.2#2|1.2#3|1.2#4|1.2#5|1.2</v>
      </c>
    </row>
    <row r="872" s="6" customFormat="1" ht="16.5" spans="1:20">
      <c r="A872" s="6">
        <v>1010878</v>
      </c>
      <c r="B872" s="6">
        <v>37001</v>
      </c>
      <c r="C872" s="6">
        <v>5</v>
      </c>
      <c r="D872" s="6">
        <v>0</v>
      </c>
      <c r="E872" s="6" t="str">
        <f t="shared" si="837"/>
        <v>307001:18</v>
      </c>
      <c r="F872" s="11" t="s">
        <v>386</v>
      </c>
      <c r="G872" s="6">
        <v>0</v>
      </c>
      <c r="H872" s="6">
        <v>0</v>
      </c>
      <c r="I872" s="6" t="s">
        <v>79</v>
      </c>
      <c r="K872" s="6" t="str">
        <f t="shared" si="834"/>
        <v>307001</v>
      </c>
      <c r="L872" s="4">
        <v>18</v>
      </c>
      <c r="M872" s="6" t="s">
        <v>598</v>
      </c>
      <c r="O872" s="15" t="str">
        <f>O871</f>
        <v>1.2</v>
      </c>
      <c r="P872" s="15" t="str">
        <f t="shared" ref="P872:S872" si="870">O872</f>
        <v>1.2</v>
      </c>
      <c r="Q872" s="15" t="str">
        <f t="shared" si="870"/>
        <v>1.2</v>
      </c>
      <c r="R872" s="15" t="str">
        <f>P872</f>
        <v>1.2</v>
      </c>
      <c r="S872" s="15" t="str">
        <f t="shared" si="870"/>
        <v>1.2</v>
      </c>
      <c r="T872" s="6" t="str">
        <f t="shared" si="836"/>
        <v>1|1.2#2|1.2#3|1.2#4|1.2#5|1.2</v>
      </c>
    </row>
    <row r="873" s="6" customFormat="1" ht="16.5" spans="1:20">
      <c r="A873" s="6">
        <v>1010879</v>
      </c>
      <c r="B873" s="6">
        <v>37001</v>
      </c>
      <c r="C873" s="6">
        <v>5</v>
      </c>
      <c r="D873" s="6">
        <v>1</v>
      </c>
      <c r="E873" s="6" t="str">
        <f t="shared" si="837"/>
        <v>307001:18</v>
      </c>
      <c r="F873" s="11" t="s">
        <v>388</v>
      </c>
      <c r="G873" s="6">
        <v>0</v>
      </c>
      <c r="H873" s="6">
        <v>0</v>
      </c>
      <c r="I873" s="6" t="s">
        <v>81</v>
      </c>
      <c r="K873" s="6" t="str">
        <f t="shared" si="834"/>
        <v>307001</v>
      </c>
      <c r="L873" s="4">
        <v>18</v>
      </c>
      <c r="M873" s="6" t="s">
        <v>598</v>
      </c>
      <c r="O873" s="13" t="str">
        <f t="shared" ref="O873:O877" si="871">RIGHT(F873,LEN(F873)-2)</f>
        <v>1.3</v>
      </c>
      <c r="P873" s="13" t="str">
        <f t="shared" ref="P873:S873" si="872">P872</f>
        <v>1.2</v>
      </c>
      <c r="Q873" s="13" t="str">
        <f t="shared" si="872"/>
        <v>1.2</v>
      </c>
      <c r="R873" s="13" t="str">
        <f t="shared" si="872"/>
        <v>1.2</v>
      </c>
      <c r="S873" s="13" t="str">
        <f t="shared" si="872"/>
        <v>1.2</v>
      </c>
      <c r="T873" s="6" t="str">
        <f t="shared" si="836"/>
        <v>1|1.3#2|1.2#3|1.2#4|1.2#5|1.2</v>
      </c>
    </row>
    <row r="874" s="6" customFormat="1" ht="16.5" spans="1:20">
      <c r="A874" s="6">
        <v>1010880</v>
      </c>
      <c r="B874" s="6">
        <v>37001</v>
      </c>
      <c r="C874" s="6">
        <v>5</v>
      </c>
      <c r="D874" s="6">
        <v>2</v>
      </c>
      <c r="E874" s="6" t="str">
        <f t="shared" si="837"/>
        <v>307001:18</v>
      </c>
      <c r="F874" s="11" t="s">
        <v>389</v>
      </c>
      <c r="G874" s="6">
        <v>0</v>
      </c>
      <c r="H874" s="6">
        <v>0</v>
      </c>
      <c r="I874" s="6" t="s">
        <v>83</v>
      </c>
      <c r="K874" s="6" t="str">
        <f t="shared" si="834"/>
        <v>307001</v>
      </c>
      <c r="L874" s="4">
        <v>18</v>
      </c>
      <c r="M874" s="6" t="s">
        <v>598</v>
      </c>
      <c r="O874" s="13" t="str">
        <f t="shared" si="871"/>
        <v>1.3</v>
      </c>
      <c r="P874" s="13" t="str">
        <f t="shared" ref="P874:P877" si="873">O874</f>
        <v>1.3</v>
      </c>
      <c r="Q874" s="13" t="str">
        <f t="shared" ref="Q874:S874" si="874">Q873</f>
        <v>1.2</v>
      </c>
      <c r="R874" s="13" t="str">
        <f t="shared" si="874"/>
        <v>1.2</v>
      </c>
      <c r="S874" s="13" t="str">
        <f t="shared" si="874"/>
        <v>1.2</v>
      </c>
      <c r="T874" s="6" t="str">
        <f t="shared" si="836"/>
        <v>1|1.3#2|1.3#3|1.2#4|1.2#5|1.2</v>
      </c>
    </row>
    <row r="875" s="6" customFormat="1" ht="16.5" spans="1:20">
      <c r="A875" s="6">
        <v>1010881</v>
      </c>
      <c r="B875" s="6">
        <v>37001</v>
      </c>
      <c r="C875" s="6">
        <v>5</v>
      </c>
      <c r="D875" s="6">
        <v>3</v>
      </c>
      <c r="E875" s="6" t="str">
        <f t="shared" si="837"/>
        <v>307001:22</v>
      </c>
      <c r="F875" s="11" t="s">
        <v>390</v>
      </c>
      <c r="G875" s="6">
        <v>0</v>
      </c>
      <c r="H875" s="6">
        <v>0</v>
      </c>
      <c r="I875" s="6" t="s">
        <v>85</v>
      </c>
      <c r="K875" s="6" t="str">
        <f t="shared" si="834"/>
        <v>307001</v>
      </c>
      <c r="L875" s="4">
        <v>22</v>
      </c>
      <c r="M875" s="6" t="s">
        <v>598</v>
      </c>
      <c r="O875" s="13" t="str">
        <f t="shared" si="871"/>
        <v>1.3</v>
      </c>
      <c r="P875" s="13" t="str">
        <f t="shared" si="873"/>
        <v>1.3</v>
      </c>
      <c r="Q875" s="13" t="str">
        <f t="shared" ref="Q875:Q877" si="875">P875</f>
        <v>1.3</v>
      </c>
      <c r="R875" s="13" t="str">
        <f>R874</f>
        <v>1.2</v>
      </c>
      <c r="S875" s="13" t="str">
        <f>S874</f>
        <v>1.2</v>
      </c>
      <c r="T875" s="6" t="str">
        <f t="shared" si="836"/>
        <v>1|1.3#2|1.3#3|1.3#4|1.2#5|1.2</v>
      </c>
    </row>
    <row r="876" s="6" customFormat="1" ht="16.5" spans="1:20">
      <c r="A876" s="6">
        <v>1010882</v>
      </c>
      <c r="B876" s="6">
        <v>37001</v>
      </c>
      <c r="C876" s="6">
        <v>5</v>
      </c>
      <c r="D876" s="6">
        <v>4</v>
      </c>
      <c r="E876" s="6" t="str">
        <f t="shared" si="837"/>
        <v>307001:22</v>
      </c>
      <c r="F876" s="11" t="s">
        <v>391</v>
      </c>
      <c r="G876" s="6">
        <v>0</v>
      </c>
      <c r="H876" s="6">
        <v>0</v>
      </c>
      <c r="I876" s="6" t="s">
        <v>87</v>
      </c>
      <c r="K876" s="6" t="str">
        <f t="shared" si="834"/>
        <v>307001</v>
      </c>
      <c r="L876" s="4">
        <v>22</v>
      </c>
      <c r="M876" s="6" t="s">
        <v>598</v>
      </c>
      <c r="O876" s="13" t="str">
        <f t="shared" si="871"/>
        <v>1.3</v>
      </c>
      <c r="P876" s="13" t="str">
        <f t="shared" si="873"/>
        <v>1.3</v>
      </c>
      <c r="Q876" s="13" t="str">
        <f t="shared" si="875"/>
        <v>1.3</v>
      </c>
      <c r="R876" s="13" t="str">
        <f>Q876</f>
        <v>1.3</v>
      </c>
      <c r="S876" s="13" t="str">
        <f>S875</f>
        <v>1.2</v>
      </c>
      <c r="T876" s="6" t="str">
        <f t="shared" si="836"/>
        <v>1|1.3#2|1.3#3|1.3#4|1.3#5|1.2</v>
      </c>
    </row>
    <row r="877" s="6" customFormat="1" ht="16.5" spans="1:20">
      <c r="A877" s="6">
        <v>1010883</v>
      </c>
      <c r="B877" s="6">
        <v>37001</v>
      </c>
      <c r="C877" s="6">
        <v>5</v>
      </c>
      <c r="D877" s="6">
        <v>5</v>
      </c>
      <c r="E877" s="6" t="str">
        <f t="shared" si="837"/>
        <v>307001:22</v>
      </c>
      <c r="F877" s="11" t="s">
        <v>392</v>
      </c>
      <c r="G877" s="6">
        <v>0</v>
      </c>
      <c r="H877" s="6">
        <v>0</v>
      </c>
      <c r="I877" s="6" t="s">
        <v>40</v>
      </c>
      <c r="K877" s="6" t="str">
        <f t="shared" si="834"/>
        <v>307001</v>
      </c>
      <c r="L877" s="4">
        <v>22</v>
      </c>
      <c r="M877" s="6" t="s">
        <v>599</v>
      </c>
      <c r="O877" s="13" t="str">
        <f t="shared" si="871"/>
        <v>1.3</v>
      </c>
      <c r="P877" s="13" t="str">
        <f t="shared" si="873"/>
        <v>1.3</v>
      </c>
      <c r="Q877" s="13" t="str">
        <f t="shared" si="875"/>
        <v>1.3</v>
      </c>
      <c r="R877" s="13" t="str">
        <f>Q877</f>
        <v>1.3</v>
      </c>
      <c r="S877" s="13" t="str">
        <f>R877</f>
        <v>1.3</v>
      </c>
      <c r="T877" s="6" t="str">
        <f t="shared" si="836"/>
        <v>1|1.3#2|1.3#3|1.3#4|1.3#5|1.3</v>
      </c>
    </row>
    <row r="878" s="6" customFormat="1" ht="16.5" spans="1:20">
      <c r="A878" s="6">
        <v>1010884</v>
      </c>
      <c r="B878" s="6">
        <v>37001</v>
      </c>
      <c r="C878" s="6">
        <v>5</v>
      </c>
      <c r="D878" s="6">
        <v>6</v>
      </c>
      <c r="E878" s="6" t="str">
        <f t="shared" si="837"/>
        <v>307001:60</v>
      </c>
      <c r="F878" s="11">
        <v>0</v>
      </c>
      <c r="G878" s="6">
        <v>11002</v>
      </c>
      <c r="H878" s="6" t="s">
        <v>407</v>
      </c>
      <c r="I878" s="6">
        <v>0</v>
      </c>
      <c r="K878" s="6" t="str">
        <f t="shared" si="834"/>
        <v>307001</v>
      </c>
      <c r="L878" s="13">
        <v>60</v>
      </c>
      <c r="M878" s="6" t="s">
        <v>593</v>
      </c>
      <c r="O878" s="13" t="str">
        <f t="shared" ref="O878:S878" si="876">O877</f>
        <v>1.3</v>
      </c>
      <c r="P878" s="13" t="str">
        <f t="shared" si="876"/>
        <v>1.3</v>
      </c>
      <c r="Q878" s="13" t="str">
        <f t="shared" si="876"/>
        <v>1.3</v>
      </c>
      <c r="R878" s="13" t="str">
        <f t="shared" si="876"/>
        <v>1.3</v>
      </c>
      <c r="S878" s="13" t="str">
        <f t="shared" si="876"/>
        <v>1.3</v>
      </c>
      <c r="T878" s="6" t="str">
        <f t="shared" si="836"/>
        <v>1|1.3#2|1.3#3|1.3#4|1.3#5|1.3</v>
      </c>
    </row>
    <row r="879" s="6" customFormat="1" ht="16.5" spans="1:20">
      <c r="A879" s="6">
        <v>1010885</v>
      </c>
      <c r="B879" s="6">
        <v>37001</v>
      </c>
      <c r="C879" s="6">
        <v>6</v>
      </c>
      <c r="D879" s="6">
        <v>0</v>
      </c>
      <c r="E879" s="6" t="str">
        <f t="shared" si="837"/>
        <v>307001:24</v>
      </c>
      <c r="F879" s="11" t="s">
        <v>394</v>
      </c>
      <c r="G879" s="6">
        <v>0</v>
      </c>
      <c r="H879" s="6">
        <v>0</v>
      </c>
      <c r="I879" s="6" t="s">
        <v>90</v>
      </c>
      <c r="K879" s="6" t="str">
        <f t="shared" si="834"/>
        <v>307001</v>
      </c>
      <c r="L879" s="4">
        <v>24</v>
      </c>
      <c r="M879" s="6" t="s">
        <v>600</v>
      </c>
      <c r="O879" s="15" t="str">
        <f>O878</f>
        <v>1.3</v>
      </c>
      <c r="P879" s="15" t="str">
        <f t="shared" ref="P879:S879" si="877">O879</f>
        <v>1.3</v>
      </c>
      <c r="Q879" s="15" t="str">
        <f t="shared" si="877"/>
        <v>1.3</v>
      </c>
      <c r="R879" s="15" t="str">
        <f>P879</f>
        <v>1.3</v>
      </c>
      <c r="S879" s="15" t="str">
        <f t="shared" si="877"/>
        <v>1.3</v>
      </c>
      <c r="T879" s="6" t="str">
        <f t="shared" si="836"/>
        <v>1|1.3#2|1.3#3|1.3#4|1.3#5|1.3</v>
      </c>
    </row>
    <row r="880" s="6" customFormat="1" ht="16.5" spans="1:20">
      <c r="A880" s="6">
        <v>1010886</v>
      </c>
      <c r="B880" s="6">
        <v>37001</v>
      </c>
      <c r="C880" s="6">
        <v>6</v>
      </c>
      <c r="D880" s="6">
        <v>1</v>
      </c>
      <c r="E880" s="6" t="str">
        <f t="shared" si="837"/>
        <v>307001:24</v>
      </c>
      <c r="F880" s="11" t="s">
        <v>396</v>
      </c>
      <c r="G880" s="6">
        <v>0</v>
      </c>
      <c r="H880" s="6">
        <v>0</v>
      </c>
      <c r="I880" s="6" t="s">
        <v>92</v>
      </c>
      <c r="K880" s="6" t="str">
        <f t="shared" si="834"/>
        <v>307001</v>
      </c>
      <c r="L880" s="4">
        <v>24</v>
      </c>
      <c r="M880" s="6" t="s">
        <v>600</v>
      </c>
      <c r="O880" s="13" t="str">
        <f t="shared" ref="O880:O884" si="878">RIGHT(F880,LEN(F880)-2)</f>
        <v>1.4</v>
      </c>
      <c r="P880" s="13" t="str">
        <f t="shared" ref="P880:S880" si="879">P879</f>
        <v>1.3</v>
      </c>
      <c r="Q880" s="13" t="str">
        <f t="shared" si="879"/>
        <v>1.3</v>
      </c>
      <c r="R880" s="13" t="str">
        <f t="shared" si="879"/>
        <v>1.3</v>
      </c>
      <c r="S880" s="13" t="str">
        <f t="shared" si="879"/>
        <v>1.3</v>
      </c>
      <c r="T880" s="6" t="str">
        <f t="shared" si="836"/>
        <v>1|1.4#2|1.3#3|1.3#4|1.3#5|1.3</v>
      </c>
    </row>
    <row r="881" s="6" customFormat="1" ht="16.5" spans="1:20">
      <c r="A881" s="6">
        <v>1010887</v>
      </c>
      <c r="B881" s="6">
        <v>37001</v>
      </c>
      <c r="C881" s="6">
        <v>6</v>
      </c>
      <c r="D881" s="6">
        <v>2</v>
      </c>
      <c r="E881" s="6" t="str">
        <f t="shared" si="837"/>
        <v>307001:24</v>
      </c>
      <c r="F881" s="11" t="s">
        <v>397</v>
      </c>
      <c r="G881" s="6">
        <v>0</v>
      </c>
      <c r="H881" s="6">
        <v>0</v>
      </c>
      <c r="I881" s="6" t="s">
        <v>94</v>
      </c>
      <c r="K881" s="6" t="str">
        <f t="shared" si="834"/>
        <v>307001</v>
      </c>
      <c r="L881" s="4">
        <v>24</v>
      </c>
      <c r="M881" s="6" t="s">
        <v>600</v>
      </c>
      <c r="O881" s="13" t="str">
        <f t="shared" si="878"/>
        <v>1.4</v>
      </c>
      <c r="P881" s="13" t="str">
        <f t="shared" ref="P881:P884" si="880">O881</f>
        <v>1.4</v>
      </c>
      <c r="Q881" s="13" t="str">
        <f t="shared" ref="Q881:S881" si="881">Q880</f>
        <v>1.3</v>
      </c>
      <c r="R881" s="13" t="str">
        <f t="shared" si="881"/>
        <v>1.3</v>
      </c>
      <c r="S881" s="13" t="str">
        <f t="shared" si="881"/>
        <v>1.3</v>
      </c>
      <c r="T881" s="6" t="str">
        <f t="shared" si="836"/>
        <v>1|1.4#2|1.4#3|1.3#4|1.3#5|1.3</v>
      </c>
    </row>
    <row r="882" s="6" customFormat="1" ht="16.5" spans="1:20">
      <c r="A882" s="6">
        <v>1010888</v>
      </c>
      <c r="B882" s="6">
        <v>37001</v>
      </c>
      <c r="C882" s="6">
        <v>6</v>
      </c>
      <c r="D882" s="6">
        <v>3</v>
      </c>
      <c r="E882" s="6" t="str">
        <f t="shared" si="837"/>
        <v>307001:24</v>
      </c>
      <c r="F882" s="11" t="s">
        <v>398</v>
      </c>
      <c r="G882" s="6">
        <v>0</v>
      </c>
      <c r="H882" s="6">
        <v>0</v>
      </c>
      <c r="I882" s="6" t="s">
        <v>96</v>
      </c>
      <c r="K882" s="6" t="str">
        <f t="shared" si="834"/>
        <v>307001</v>
      </c>
      <c r="L882" s="4">
        <v>24</v>
      </c>
      <c r="M882" s="6" t="s">
        <v>600</v>
      </c>
      <c r="O882" s="13" t="str">
        <f t="shared" si="878"/>
        <v>1.4</v>
      </c>
      <c r="P882" s="13" t="str">
        <f t="shared" si="880"/>
        <v>1.4</v>
      </c>
      <c r="Q882" s="13" t="str">
        <f t="shared" ref="Q882:Q884" si="882">P882</f>
        <v>1.4</v>
      </c>
      <c r="R882" s="13" t="str">
        <f>R881</f>
        <v>1.3</v>
      </c>
      <c r="S882" s="13" t="str">
        <f t="shared" ref="S882:S889" si="883">S881</f>
        <v>1.3</v>
      </c>
      <c r="T882" s="6" t="str">
        <f t="shared" si="836"/>
        <v>1|1.4#2|1.4#3|1.4#4|1.3#5|1.3</v>
      </c>
    </row>
    <row r="883" s="6" customFormat="1" ht="16.5" spans="1:20">
      <c r="A883" s="6">
        <v>1010889</v>
      </c>
      <c r="B883" s="6">
        <v>37001</v>
      </c>
      <c r="C883" s="6">
        <v>6</v>
      </c>
      <c r="D883" s="6">
        <v>4</v>
      </c>
      <c r="E883" s="6" t="str">
        <f t="shared" si="837"/>
        <v>307001:24</v>
      </c>
      <c r="F883" s="11" t="s">
        <v>399</v>
      </c>
      <c r="G883" s="6">
        <v>0</v>
      </c>
      <c r="H883" s="6">
        <v>0</v>
      </c>
      <c r="I883" s="6" t="s">
        <v>98</v>
      </c>
      <c r="K883" s="6" t="str">
        <f t="shared" si="834"/>
        <v>307001</v>
      </c>
      <c r="L883" s="4">
        <v>24</v>
      </c>
      <c r="M883" s="6" t="s">
        <v>600</v>
      </c>
      <c r="O883" s="13" t="str">
        <f t="shared" si="878"/>
        <v>1.4</v>
      </c>
      <c r="P883" s="13" t="str">
        <f t="shared" si="880"/>
        <v>1.4</v>
      </c>
      <c r="Q883" s="13" t="str">
        <f t="shared" si="882"/>
        <v>1.4</v>
      </c>
      <c r="R883" s="13" t="str">
        <f>Q883</f>
        <v>1.4</v>
      </c>
      <c r="S883" s="13" t="str">
        <f t="shared" si="883"/>
        <v>1.3</v>
      </c>
      <c r="T883" s="6" t="str">
        <f t="shared" si="836"/>
        <v>1|1.4#2|1.4#3|1.4#4|1.4#5|1.3</v>
      </c>
    </row>
    <row r="884" s="6" customFormat="1" ht="16.5" spans="1:20">
      <c r="A884" s="6">
        <v>1010890</v>
      </c>
      <c r="B884" s="6">
        <v>37001</v>
      </c>
      <c r="C884" s="6">
        <v>6</v>
      </c>
      <c r="D884" s="6">
        <v>5</v>
      </c>
      <c r="E884" s="6" t="str">
        <f t="shared" si="837"/>
        <v>307001:60</v>
      </c>
      <c r="F884" s="11" t="s">
        <v>400</v>
      </c>
      <c r="G884" s="6">
        <v>0</v>
      </c>
      <c r="H884" s="6">
        <v>0</v>
      </c>
      <c r="I884" s="6" t="s">
        <v>40</v>
      </c>
      <c r="K884" s="6" t="str">
        <f t="shared" si="834"/>
        <v>307001</v>
      </c>
      <c r="L884" s="4">
        <v>60</v>
      </c>
      <c r="M884" s="6" t="s">
        <v>599</v>
      </c>
      <c r="O884" s="13" t="str">
        <f t="shared" si="878"/>
        <v>1.4</v>
      </c>
      <c r="P884" s="13" t="str">
        <f t="shared" si="880"/>
        <v>1.4</v>
      </c>
      <c r="Q884" s="13" t="str">
        <f t="shared" si="882"/>
        <v>1.4</v>
      </c>
      <c r="R884" s="13" t="str">
        <f>Q884</f>
        <v>1.4</v>
      </c>
      <c r="S884" s="13" t="str">
        <f>R884</f>
        <v>1.4</v>
      </c>
      <c r="T884" s="6" t="str">
        <f t="shared" si="836"/>
        <v>1|1.4#2|1.4#3|1.4#4|1.4#5|1.4</v>
      </c>
    </row>
    <row r="885" s="6" customFormat="1" ht="16.5" spans="1:20">
      <c r="A885" s="6">
        <v>1010891</v>
      </c>
      <c r="B885" s="6">
        <v>37001</v>
      </c>
      <c r="C885" s="6">
        <v>6</v>
      </c>
      <c r="D885" s="6">
        <v>6</v>
      </c>
      <c r="E885" s="6" t="str">
        <f t="shared" si="837"/>
        <v>307001:0</v>
      </c>
      <c r="F885" s="11">
        <v>0</v>
      </c>
      <c r="G885" s="6">
        <v>11002</v>
      </c>
      <c r="H885" s="6" t="s">
        <v>407</v>
      </c>
      <c r="I885" s="6">
        <v>0</v>
      </c>
      <c r="K885" s="6" t="str">
        <f t="shared" si="834"/>
        <v>307001</v>
      </c>
      <c r="L885" s="4">
        <v>0</v>
      </c>
      <c r="M885" s="6" t="s">
        <v>593</v>
      </c>
      <c r="O885" s="13" t="str">
        <f t="shared" ref="O885:S885" si="884">O884</f>
        <v>1.4</v>
      </c>
      <c r="P885" s="13" t="str">
        <f t="shared" si="884"/>
        <v>1.4</v>
      </c>
      <c r="Q885" s="13" t="str">
        <f t="shared" si="884"/>
        <v>1.4</v>
      </c>
      <c r="R885" s="13" t="str">
        <f t="shared" si="884"/>
        <v>1.4</v>
      </c>
      <c r="S885" s="13" t="str">
        <f t="shared" si="884"/>
        <v>1.4</v>
      </c>
      <c r="T885" s="6" t="str">
        <f t="shared" si="836"/>
        <v>1|1.4#2|1.4#3|1.4#4|1.4#5|1.4</v>
      </c>
    </row>
    <row r="886" s="6" customFormat="1" ht="16.5" spans="1:20">
      <c r="A886" s="6">
        <v>1010892</v>
      </c>
      <c r="B886" s="6">
        <v>37002</v>
      </c>
      <c r="C886" s="6">
        <v>1</v>
      </c>
      <c r="D886" s="6">
        <v>0</v>
      </c>
      <c r="E886" s="6" t="str">
        <f t="shared" si="837"/>
        <v>307002:2</v>
      </c>
      <c r="F886" s="11" t="s">
        <v>356</v>
      </c>
      <c r="G886" s="6">
        <v>0</v>
      </c>
      <c r="H886" s="6">
        <v>0</v>
      </c>
      <c r="I886" s="6" t="s">
        <v>25</v>
      </c>
      <c r="K886" s="6" t="str">
        <f t="shared" si="834"/>
        <v>307002</v>
      </c>
      <c r="L886" s="4">
        <v>2</v>
      </c>
      <c r="M886" s="6" t="s">
        <v>601</v>
      </c>
      <c r="O886" s="13">
        <v>1</v>
      </c>
      <c r="P886" s="13">
        <f t="shared" ref="P886:S886" si="885">O886</f>
        <v>1</v>
      </c>
      <c r="Q886" s="13">
        <f t="shared" si="885"/>
        <v>1</v>
      </c>
      <c r="R886" s="13">
        <f>P886</f>
        <v>1</v>
      </c>
      <c r="S886" s="13">
        <f t="shared" si="885"/>
        <v>1</v>
      </c>
      <c r="T886" s="6" t="str">
        <f t="shared" si="836"/>
        <v>1|1#2|1#3|1#4|1#5|1</v>
      </c>
    </row>
    <row r="887" s="6" customFormat="1" ht="16.5" spans="1:20">
      <c r="A887" s="6">
        <v>1010893</v>
      </c>
      <c r="B887" s="6">
        <v>37002</v>
      </c>
      <c r="C887" s="6">
        <v>1</v>
      </c>
      <c r="D887" s="6">
        <v>1</v>
      </c>
      <c r="E887" s="6" t="str">
        <f t="shared" si="837"/>
        <v>307002:2</v>
      </c>
      <c r="F887" s="11" t="s">
        <v>358</v>
      </c>
      <c r="G887" s="6">
        <v>0</v>
      </c>
      <c r="H887" s="6">
        <v>0</v>
      </c>
      <c r="I887" s="6" t="s">
        <v>28</v>
      </c>
      <c r="K887" s="6" t="str">
        <f t="shared" si="834"/>
        <v>307002</v>
      </c>
      <c r="L887" s="4">
        <v>2</v>
      </c>
      <c r="M887" s="6" t="s">
        <v>601</v>
      </c>
      <c r="O887" s="13" t="str">
        <f t="shared" ref="O887:O891" si="886">RIGHT(F887,LEN(F887)-2)</f>
        <v>1.05</v>
      </c>
      <c r="P887" s="13">
        <v>1</v>
      </c>
      <c r="Q887" s="13">
        <f>Q886</f>
        <v>1</v>
      </c>
      <c r="R887" s="13">
        <f>R886</f>
        <v>1</v>
      </c>
      <c r="S887" s="13">
        <f t="shared" si="883"/>
        <v>1</v>
      </c>
      <c r="T887" s="6" t="str">
        <f t="shared" si="836"/>
        <v>1|1.05#2|1#3|1#4|1#5|1</v>
      </c>
    </row>
    <row r="888" s="6" customFormat="1" ht="16.5" spans="1:20">
      <c r="A888" s="6">
        <v>1010894</v>
      </c>
      <c r="B888" s="6">
        <v>37002</v>
      </c>
      <c r="C888" s="6">
        <v>1</v>
      </c>
      <c r="D888" s="6">
        <v>2</v>
      </c>
      <c r="E888" s="6" t="str">
        <f t="shared" si="837"/>
        <v>307002:2</v>
      </c>
      <c r="F888" s="11" t="s">
        <v>359</v>
      </c>
      <c r="G888" s="6">
        <v>0</v>
      </c>
      <c r="H888" s="6">
        <v>0</v>
      </c>
      <c r="I888" s="6" t="s">
        <v>31</v>
      </c>
      <c r="K888" s="6" t="str">
        <f t="shared" si="834"/>
        <v>307002</v>
      </c>
      <c r="L888" s="4">
        <v>2</v>
      </c>
      <c r="M888" s="6" t="s">
        <v>601</v>
      </c>
      <c r="O888" s="13" t="str">
        <f t="shared" si="886"/>
        <v>1.05</v>
      </c>
      <c r="P888" s="13" t="str">
        <f t="shared" ref="P888:P891" si="887">O888</f>
        <v>1.05</v>
      </c>
      <c r="Q888" s="13">
        <v>1</v>
      </c>
      <c r="R888" s="13">
        <f>R887</f>
        <v>1</v>
      </c>
      <c r="S888" s="13">
        <f t="shared" si="883"/>
        <v>1</v>
      </c>
      <c r="T888" s="6" t="str">
        <f t="shared" si="836"/>
        <v>1|1.05#2|1.05#3|1#4|1#5|1</v>
      </c>
    </row>
    <row r="889" s="6" customFormat="1" ht="16.5" spans="1:20">
      <c r="A889" s="6">
        <v>1010895</v>
      </c>
      <c r="B889" s="6">
        <v>37002</v>
      </c>
      <c r="C889" s="6">
        <v>1</v>
      </c>
      <c r="D889" s="6">
        <v>3</v>
      </c>
      <c r="E889" s="6" t="str">
        <f t="shared" si="837"/>
        <v>307002:3</v>
      </c>
      <c r="F889" s="11" t="s">
        <v>360</v>
      </c>
      <c r="G889" s="6">
        <v>0</v>
      </c>
      <c r="H889" s="6">
        <v>0</v>
      </c>
      <c r="I889" s="6" t="s">
        <v>34</v>
      </c>
      <c r="K889" s="6" t="str">
        <f t="shared" si="834"/>
        <v>307002</v>
      </c>
      <c r="L889" s="4">
        <v>3</v>
      </c>
      <c r="M889" s="6" t="s">
        <v>601</v>
      </c>
      <c r="O889" s="13" t="str">
        <f t="shared" si="886"/>
        <v>1.05</v>
      </c>
      <c r="P889" s="13" t="str">
        <f t="shared" si="887"/>
        <v>1.05</v>
      </c>
      <c r="Q889" s="13" t="str">
        <f t="shared" ref="Q889:Q891" si="888">P889</f>
        <v>1.05</v>
      </c>
      <c r="R889" s="13">
        <v>1</v>
      </c>
      <c r="S889" s="13">
        <f t="shared" si="883"/>
        <v>1</v>
      </c>
      <c r="T889" s="6" t="str">
        <f t="shared" si="836"/>
        <v>1|1.05#2|1.05#3|1.05#4|1#5|1</v>
      </c>
    </row>
    <row r="890" s="6" customFormat="1" ht="16.5" spans="1:20">
      <c r="A890" s="6">
        <v>1010896</v>
      </c>
      <c r="B890" s="6">
        <v>37002</v>
      </c>
      <c r="C890" s="6">
        <v>1</v>
      </c>
      <c r="D890" s="6">
        <v>4</v>
      </c>
      <c r="E890" s="6" t="str">
        <f t="shared" si="837"/>
        <v>307002:3</v>
      </c>
      <c r="F890" s="11" t="s">
        <v>361</v>
      </c>
      <c r="G890" s="6">
        <v>0</v>
      </c>
      <c r="H890" s="6">
        <v>0</v>
      </c>
      <c r="I890" s="6" t="s">
        <v>37</v>
      </c>
      <c r="K890" s="6" t="str">
        <f t="shared" si="834"/>
        <v>307002</v>
      </c>
      <c r="L890" s="4">
        <v>3</v>
      </c>
      <c r="M890" s="6" t="s">
        <v>601</v>
      </c>
      <c r="O890" s="13" t="str">
        <f t="shared" si="886"/>
        <v>1.05</v>
      </c>
      <c r="P890" s="13" t="str">
        <f t="shared" si="887"/>
        <v>1.05</v>
      </c>
      <c r="Q890" s="13" t="str">
        <f t="shared" si="888"/>
        <v>1.05</v>
      </c>
      <c r="R890" s="13" t="str">
        <f>Q890</f>
        <v>1.05</v>
      </c>
      <c r="S890" s="13">
        <v>1</v>
      </c>
      <c r="T890" s="6" t="str">
        <f t="shared" si="836"/>
        <v>1|1.05#2|1.05#3|1.05#4|1.05#5|1</v>
      </c>
    </row>
    <row r="891" s="6" customFormat="1" ht="16.5" spans="1:20">
      <c r="A891" s="6">
        <v>1010897</v>
      </c>
      <c r="B891" s="6">
        <v>37002</v>
      </c>
      <c r="C891" s="6">
        <v>1</v>
      </c>
      <c r="D891" s="6">
        <v>5</v>
      </c>
      <c r="E891" s="6" t="str">
        <f t="shared" si="837"/>
        <v>307002:3</v>
      </c>
      <c r="F891" s="11" t="s">
        <v>362</v>
      </c>
      <c r="G891" s="6">
        <v>0</v>
      </c>
      <c r="H891" s="6">
        <v>0</v>
      </c>
      <c r="I891" s="6" t="s">
        <v>40</v>
      </c>
      <c r="K891" s="6" t="str">
        <f t="shared" si="834"/>
        <v>307002</v>
      </c>
      <c r="L891" s="4">
        <v>3</v>
      </c>
      <c r="M891" s="6" t="s">
        <v>602</v>
      </c>
      <c r="O891" s="13" t="str">
        <f t="shared" si="886"/>
        <v>1.05</v>
      </c>
      <c r="P891" s="13" t="str">
        <f t="shared" si="887"/>
        <v>1.05</v>
      </c>
      <c r="Q891" s="13" t="str">
        <f t="shared" si="888"/>
        <v>1.05</v>
      </c>
      <c r="R891" s="13" t="str">
        <f>Q891</f>
        <v>1.05</v>
      </c>
      <c r="S891" s="13" t="str">
        <f>R891</f>
        <v>1.05</v>
      </c>
      <c r="T891" s="6" t="str">
        <f t="shared" si="836"/>
        <v>1|1.05#2|1.05#3|1.05#4|1.05#5|1.05</v>
      </c>
    </row>
    <row r="892" s="6" customFormat="1" ht="16.5" spans="1:20">
      <c r="A892" s="6">
        <v>1010898</v>
      </c>
      <c r="B892" s="6">
        <v>37002</v>
      </c>
      <c r="C892" s="6">
        <v>1</v>
      </c>
      <c r="D892" s="6">
        <v>6</v>
      </c>
      <c r="E892" s="6" t="str">
        <f t="shared" si="837"/>
        <v>307002:5</v>
      </c>
      <c r="F892" s="11">
        <v>0</v>
      </c>
      <c r="G892" s="6">
        <v>11002</v>
      </c>
      <c r="H892" s="6" t="s">
        <v>407</v>
      </c>
      <c r="I892" s="6">
        <v>0</v>
      </c>
      <c r="K892" s="6" t="str">
        <f t="shared" si="834"/>
        <v>307002</v>
      </c>
      <c r="L892" s="13">
        <v>5</v>
      </c>
      <c r="M892" s="6" t="s">
        <v>603</v>
      </c>
      <c r="O892" s="13" t="str">
        <f t="shared" ref="O892:S892" si="889">O891</f>
        <v>1.05</v>
      </c>
      <c r="P892" s="13" t="str">
        <f t="shared" si="889"/>
        <v>1.05</v>
      </c>
      <c r="Q892" s="13" t="str">
        <f t="shared" si="889"/>
        <v>1.05</v>
      </c>
      <c r="R892" s="13" t="str">
        <f t="shared" si="889"/>
        <v>1.05</v>
      </c>
      <c r="S892" s="13" t="str">
        <f t="shared" si="889"/>
        <v>1.05</v>
      </c>
      <c r="T892" s="6" t="str">
        <f t="shared" si="836"/>
        <v>1|1.05#2|1.05#3|1.05#4|1.05#5|1.05</v>
      </c>
    </row>
    <row r="893" s="6" customFormat="1" ht="16.5" spans="1:20">
      <c r="A893" s="6">
        <v>1010899</v>
      </c>
      <c r="B893" s="6">
        <v>37002</v>
      </c>
      <c r="C893" s="6">
        <v>2</v>
      </c>
      <c r="D893" s="6">
        <v>0</v>
      </c>
      <c r="E893" s="6" t="str">
        <f t="shared" si="837"/>
        <v>307002:5</v>
      </c>
      <c r="F893" s="11" t="s">
        <v>364</v>
      </c>
      <c r="G893" s="6">
        <v>0</v>
      </c>
      <c r="H893" s="6">
        <v>0</v>
      </c>
      <c r="I893" s="6" t="s">
        <v>43</v>
      </c>
      <c r="K893" s="6" t="str">
        <f t="shared" si="834"/>
        <v>307002</v>
      </c>
      <c r="L893" s="4">
        <v>5</v>
      </c>
      <c r="M893" s="6" t="s">
        <v>604</v>
      </c>
      <c r="O893" s="15" t="str">
        <f>O892</f>
        <v>1.05</v>
      </c>
      <c r="P893" s="15" t="str">
        <f t="shared" ref="P893:S893" si="890">O893</f>
        <v>1.05</v>
      </c>
      <c r="Q893" s="15" t="str">
        <f t="shared" si="890"/>
        <v>1.05</v>
      </c>
      <c r="R893" s="15" t="str">
        <f>P893</f>
        <v>1.05</v>
      </c>
      <c r="S893" s="15" t="str">
        <f t="shared" si="890"/>
        <v>1.05</v>
      </c>
      <c r="T893" s="6" t="str">
        <f t="shared" si="836"/>
        <v>1|1.05#2|1.05#3|1.05#4|1.05#5|1.05</v>
      </c>
    </row>
    <row r="894" s="6" customFormat="1" ht="16.5" spans="1:20">
      <c r="A894" s="6">
        <v>1010900</v>
      </c>
      <c r="B894" s="6">
        <v>37002</v>
      </c>
      <c r="C894" s="6">
        <v>2</v>
      </c>
      <c r="D894" s="6">
        <v>1</v>
      </c>
      <c r="E894" s="6" t="str">
        <f t="shared" si="837"/>
        <v>307002:5</v>
      </c>
      <c r="F894" s="11" t="s">
        <v>366</v>
      </c>
      <c r="G894" s="6">
        <v>0</v>
      </c>
      <c r="H894" s="6">
        <v>0</v>
      </c>
      <c r="I894" s="6" t="s">
        <v>45</v>
      </c>
      <c r="K894" s="6" t="str">
        <f t="shared" si="834"/>
        <v>307002</v>
      </c>
      <c r="L894" s="4">
        <v>5</v>
      </c>
      <c r="M894" s="6" t="s">
        <v>604</v>
      </c>
      <c r="O894" s="13" t="str">
        <f t="shared" ref="O894:O898" si="891">RIGHT(F894,LEN(F894)-2)</f>
        <v>1.1</v>
      </c>
      <c r="P894" s="13">
        <v>1.05</v>
      </c>
      <c r="Q894" s="13" t="str">
        <f t="shared" ref="Q894:S894" si="892">Q893</f>
        <v>1.05</v>
      </c>
      <c r="R894" s="13" t="str">
        <f t="shared" si="892"/>
        <v>1.05</v>
      </c>
      <c r="S894" s="13" t="str">
        <f t="shared" si="892"/>
        <v>1.05</v>
      </c>
      <c r="T894" s="6" t="str">
        <f t="shared" si="836"/>
        <v>1|1.1#2|1.05#3|1.05#4|1.05#5|1.05</v>
      </c>
    </row>
    <row r="895" s="6" customFormat="1" ht="16.5" spans="1:20">
      <c r="A895" s="6">
        <v>1010901</v>
      </c>
      <c r="B895" s="6">
        <v>37002</v>
      </c>
      <c r="C895" s="6">
        <v>2</v>
      </c>
      <c r="D895" s="6">
        <v>2</v>
      </c>
      <c r="E895" s="6" t="str">
        <f t="shared" si="837"/>
        <v>307002:5</v>
      </c>
      <c r="F895" s="11" t="s">
        <v>367</v>
      </c>
      <c r="G895" s="6">
        <v>0</v>
      </c>
      <c r="H895" s="6">
        <v>0</v>
      </c>
      <c r="I895" s="6" t="s">
        <v>47</v>
      </c>
      <c r="K895" s="6" t="str">
        <f t="shared" si="834"/>
        <v>307002</v>
      </c>
      <c r="L895" s="4">
        <v>5</v>
      </c>
      <c r="M895" s="6" t="s">
        <v>604</v>
      </c>
      <c r="O895" s="13" t="str">
        <f t="shared" si="891"/>
        <v>1.1</v>
      </c>
      <c r="P895" s="13" t="str">
        <f t="shared" ref="P895:P898" si="893">O895</f>
        <v>1.1</v>
      </c>
      <c r="Q895" s="13">
        <v>1.05</v>
      </c>
      <c r="R895" s="13" t="str">
        <f>R894</f>
        <v>1.05</v>
      </c>
      <c r="S895" s="13" t="str">
        <f>S894</f>
        <v>1.05</v>
      </c>
      <c r="T895" s="6" t="str">
        <f t="shared" si="836"/>
        <v>1|1.1#2|1.1#3|1.05#4|1.05#5|1.05</v>
      </c>
    </row>
    <row r="896" s="6" customFormat="1" ht="16.5" spans="1:20">
      <c r="A896" s="6">
        <v>1010902</v>
      </c>
      <c r="B896" s="6">
        <v>37002</v>
      </c>
      <c r="C896" s="6">
        <v>2</v>
      </c>
      <c r="D896" s="6">
        <v>3</v>
      </c>
      <c r="E896" s="6" t="str">
        <f t="shared" si="837"/>
        <v>307002:6</v>
      </c>
      <c r="F896" s="11" t="s">
        <v>368</v>
      </c>
      <c r="G896" s="6">
        <v>0</v>
      </c>
      <c r="H896" s="6">
        <v>0</v>
      </c>
      <c r="I896" s="6" t="s">
        <v>49</v>
      </c>
      <c r="K896" s="6" t="str">
        <f t="shared" si="834"/>
        <v>307002</v>
      </c>
      <c r="L896" s="4">
        <v>6</v>
      </c>
      <c r="M896" s="6" t="s">
        <v>604</v>
      </c>
      <c r="O896" s="13" t="str">
        <f t="shared" si="891"/>
        <v>1.1</v>
      </c>
      <c r="P896" s="13" t="str">
        <f t="shared" si="893"/>
        <v>1.1</v>
      </c>
      <c r="Q896" s="13" t="str">
        <f t="shared" ref="Q896:Q898" si="894">P896</f>
        <v>1.1</v>
      </c>
      <c r="R896" s="13">
        <v>1.05</v>
      </c>
      <c r="S896" s="13" t="str">
        <f>S895</f>
        <v>1.05</v>
      </c>
      <c r="T896" s="6" t="str">
        <f t="shared" si="836"/>
        <v>1|1.1#2|1.1#3|1.1#4|1.05#5|1.05</v>
      </c>
    </row>
    <row r="897" s="6" customFormat="1" ht="16.5" spans="1:20">
      <c r="A897" s="6">
        <v>1010903</v>
      </c>
      <c r="B897" s="6">
        <v>37002</v>
      </c>
      <c r="C897" s="6">
        <v>2</v>
      </c>
      <c r="D897" s="6">
        <v>4</v>
      </c>
      <c r="E897" s="6" t="str">
        <f t="shared" si="837"/>
        <v>307002:6</v>
      </c>
      <c r="F897" s="11" t="s">
        <v>369</v>
      </c>
      <c r="G897" s="6">
        <v>0</v>
      </c>
      <c r="H897" s="6">
        <v>0</v>
      </c>
      <c r="I897" s="6" t="s">
        <v>51</v>
      </c>
      <c r="K897" s="6" t="str">
        <f t="shared" si="834"/>
        <v>307002</v>
      </c>
      <c r="L897" s="4">
        <v>6</v>
      </c>
      <c r="M897" s="6" t="s">
        <v>604</v>
      </c>
      <c r="O897" s="13" t="str">
        <f t="shared" si="891"/>
        <v>1.1</v>
      </c>
      <c r="P897" s="13" t="str">
        <f t="shared" si="893"/>
        <v>1.1</v>
      </c>
      <c r="Q897" s="13" t="str">
        <f t="shared" si="894"/>
        <v>1.1</v>
      </c>
      <c r="R897" s="13" t="str">
        <f>Q897</f>
        <v>1.1</v>
      </c>
      <c r="S897" s="13">
        <v>1.05</v>
      </c>
      <c r="T897" s="6" t="str">
        <f t="shared" si="836"/>
        <v>1|1.1#2|1.1#3|1.1#4|1.1#5|1.05</v>
      </c>
    </row>
    <row r="898" s="6" customFormat="1" ht="16.5" spans="1:20">
      <c r="A898" s="6">
        <v>1010904</v>
      </c>
      <c r="B898" s="6">
        <v>37002</v>
      </c>
      <c r="C898" s="6">
        <v>2</v>
      </c>
      <c r="D898" s="6">
        <v>5</v>
      </c>
      <c r="E898" s="6" t="str">
        <f t="shared" si="837"/>
        <v>307002:6</v>
      </c>
      <c r="F898" s="11" t="s">
        <v>370</v>
      </c>
      <c r="G898" s="6">
        <v>0</v>
      </c>
      <c r="H898" s="6">
        <v>0</v>
      </c>
      <c r="I898" s="6" t="s">
        <v>40</v>
      </c>
      <c r="K898" s="6" t="str">
        <f t="shared" si="834"/>
        <v>307002</v>
      </c>
      <c r="L898" s="4">
        <v>6</v>
      </c>
      <c r="M898" s="6" t="s">
        <v>320</v>
      </c>
      <c r="O898" s="13" t="str">
        <f t="shared" si="891"/>
        <v>1.1</v>
      </c>
      <c r="P898" s="13" t="str">
        <f t="shared" si="893"/>
        <v>1.1</v>
      </c>
      <c r="Q898" s="13" t="str">
        <f t="shared" si="894"/>
        <v>1.1</v>
      </c>
      <c r="R898" s="13" t="str">
        <f>Q898</f>
        <v>1.1</v>
      </c>
      <c r="S898" s="13" t="str">
        <f>R898</f>
        <v>1.1</v>
      </c>
      <c r="T898" s="6" t="str">
        <f t="shared" si="836"/>
        <v>1|1.1#2|1.1#3|1.1#4|1.1#5|1.1</v>
      </c>
    </row>
    <row r="899" s="6" customFormat="1" ht="16.5" spans="1:20">
      <c r="A899" s="6">
        <v>1010905</v>
      </c>
      <c r="B899" s="6">
        <v>37002</v>
      </c>
      <c r="C899" s="6">
        <v>2</v>
      </c>
      <c r="D899" s="6">
        <v>6</v>
      </c>
      <c r="E899" s="6" t="str">
        <f t="shared" si="837"/>
        <v>307002:7</v>
      </c>
      <c r="F899" s="11">
        <v>0</v>
      </c>
      <c r="G899" s="6">
        <v>11002</v>
      </c>
      <c r="H899" s="6" t="s">
        <v>407</v>
      </c>
      <c r="I899" s="6">
        <v>0</v>
      </c>
      <c r="K899" s="6" t="str">
        <f t="shared" si="834"/>
        <v>307002</v>
      </c>
      <c r="L899" s="13">
        <v>7</v>
      </c>
      <c r="M899" s="6" t="s">
        <v>603</v>
      </c>
      <c r="O899" s="13" t="str">
        <f t="shared" ref="O899:S899" si="895">O898</f>
        <v>1.1</v>
      </c>
      <c r="P899" s="13" t="str">
        <f t="shared" si="895"/>
        <v>1.1</v>
      </c>
      <c r="Q899" s="13" t="str">
        <f t="shared" si="895"/>
        <v>1.1</v>
      </c>
      <c r="R899" s="13" t="str">
        <f t="shared" si="895"/>
        <v>1.1</v>
      </c>
      <c r="S899" s="13" t="str">
        <f t="shared" si="895"/>
        <v>1.1</v>
      </c>
      <c r="T899" s="6" t="str">
        <f t="shared" si="836"/>
        <v>1|1.1#2|1.1#3|1.1#4|1.1#5|1.1</v>
      </c>
    </row>
    <row r="900" s="6" customFormat="1" ht="16.5" spans="1:20">
      <c r="A900" s="6">
        <v>1010906</v>
      </c>
      <c r="B900" s="6">
        <v>37002</v>
      </c>
      <c r="C900" s="6">
        <v>3</v>
      </c>
      <c r="D900" s="6">
        <v>0</v>
      </c>
      <c r="E900" s="6" t="str">
        <f t="shared" si="837"/>
        <v>307002:9</v>
      </c>
      <c r="F900" s="11" t="s">
        <v>371</v>
      </c>
      <c r="G900" s="6">
        <v>0</v>
      </c>
      <c r="H900" s="6">
        <v>0</v>
      </c>
      <c r="I900" s="6" t="s">
        <v>55</v>
      </c>
      <c r="K900" s="6" t="str">
        <f t="shared" si="834"/>
        <v>307002</v>
      </c>
      <c r="L900" s="4">
        <v>9</v>
      </c>
      <c r="M900" s="6" t="s">
        <v>605</v>
      </c>
      <c r="O900" s="15" t="str">
        <f>O899</f>
        <v>1.1</v>
      </c>
      <c r="P900" s="15" t="str">
        <f t="shared" ref="P900:S900" si="896">O900</f>
        <v>1.1</v>
      </c>
      <c r="Q900" s="15" t="str">
        <f t="shared" si="896"/>
        <v>1.1</v>
      </c>
      <c r="R900" s="15" t="str">
        <f>P900</f>
        <v>1.1</v>
      </c>
      <c r="S900" s="15" t="str">
        <f t="shared" si="896"/>
        <v>1.1</v>
      </c>
      <c r="T900" s="6" t="str">
        <f t="shared" si="836"/>
        <v>1|1.1#2|1.1#3|1.1#4|1.1#5|1.1</v>
      </c>
    </row>
    <row r="901" s="6" customFormat="1" ht="16.5" spans="1:20">
      <c r="A901" s="6">
        <v>1010907</v>
      </c>
      <c r="B901" s="6">
        <v>37002</v>
      </c>
      <c r="C901" s="6">
        <v>3</v>
      </c>
      <c r="D901" s="6">
        <v>1</v>
      </c>
      <c r="E901" s="6" t="str">
        <f t="shared" si="837"/>
        <v>307002:9</v>
      </c>
      <c r="F901" s="11" t="s">
        <v>373</v>
      </c>
      <c r="G901" s="6">
        <v>0</v>
      </c>
      <c r="H901" s="6">
        <v>0</v>
      </c>
      <c r="I901" s="6" t="s">
        <v>57</v>
      </c>
      <c r="K901" s="6" t="str">
        <f t="shared" ref="K901:K964" si="897">LEFT(M901,6)</f>
        <v>307002</v>
      </c>
      <c r="L901" s="4">
        <v>9</v>
      </c>
      <c r="M901" s="6" t="s">
        <v>605</v>
      </c>
      <c r="O901" s="13" t="str">
        <f t="shared" ref="O901:O905" si="898">RIGHT(F901,LEN(F901)-2)</f>
        <v>1.15</v>
      </c>
      <c r="P901" s="13" t="str">
        <f t="shared" ref="P901:S901" si="899">P900</f>
        <v>1.1</v>
      </c>
      <c r="Q901" s="13" t="str">
        <f t="shared" si="899"/>
        <v>1.1</v>
      </c>
      <c r="R901" s="13" t="str">
        <f t="shared" si="899"/>
        <v>1.1</v>
      </c>
      <c r="S901" s="13" t="str">
        <f t="shared" si="899"/>
        <v>1.1</v>
      </c>
      <c r="T901" s="6" t="str">
        <f t="shared" ref="T901:T964" si="900">$O$2&amp;$P$3&amp;O901&amp;$O$1&amp;$P$2&amp;$P$3&amp;P901&amp;$O$1&amp;$Q$2&amp;$P$3&amp;Q901&amp;$O$1&amp;$R$2&amp;$P$3&amp;R901&amp;$O$1&amp;$S$2&amp;$P$3&amp;S901</f>
        <v>1|1.15#2|1.1#3|1.1#4|1.1#5|1.1</v>
      </c>
    </row>
    <row r="902" s="6" customFormat="1" ht="16.5" spans="1:20">
      <c r="A902" s="6">
        <v>1010908</v>
      </c>
      <c r="B902" s="6">
        <v>37002</v>
      </c>
      <c r="C902" s="6">
        <v>3</v>
      </c>
      <c r="D902" s="6">
        <v>2</v>
      </c>
      <c r="E902" s="6" t="str">
        <f t="shared" ref="E902:E965" si="901">K902&amp;$K$3&amp;L902</f>
        <v>307002:9</v>
      </c>
      <c r="F902" s="11" t="s">
        <v>374</v>
      </c>
      <c r="G902" s="6">
        <v>0</v>
      </c>
      <c r="H902" s="6">
        <v>0</v>
      </c>
      <c r="I902" s="6" t="s">
        <v>59</v>
      </c>
      <c r="K902" s="6" t="str">
        <f t="shared" si="897"/>
        <v>307002</v>
      </c>
      <c r="L902" s="4">
        <v>9</v>
      </c>
      <c r="M902" s="6" t="s">
        <v>605</v>
      </c>
      <c r="O902" s="13" t="str">
        <f t="shared" si="898"/>
        <v>1.15</v>
      </c>
      <c r="P902" s="13" t="str">
        <f t="shared" ref="P902:P905" si="902">O902</f>
        <v>1.15</v>
      </c>
      <c r="Q902" s="13" t="str">
        <f t="shared" ref="Q902:S902" si="903">Q901</f>
        <v>1.1</v>
      </c>
      <c r="R902" s="13" t="str">
        <f t="shared" si="903"/>
        <v>1.1</v>
      </c>
      <c r="S902" s="13" t="str">
        <f t="shared" si="903"/>
        <v>1.1</v>
      </c>
      <c r="T902" s="6" t="str">
        <f t="shared" si="900"/>
        <v>1|1.15#2|1.15#3|1.1#4|1.1#5|1.1</v>
      </c>
    </row>
    <row r="903" s="6" customFormat="1" ht="16.5" spans="1:20">
      <c r="A903" s="6">
        <v>1010909</v>
      </c>
      <c r="B903" s="6">
        <v>37002</v>
      </c>
      <c r="C903" s="6">
        <v>3</v>
      </c>
      <c r="D903" s="6">
        <v>3</v>
      </c>
      <c r="E903" s="6" t="str">
        <f t="shared" si="901"/>
        <v>307002:11</v>
      </c>
      <c r="F903" s="11" t="s">
        <v>375</v>
      </c>
      <c r="G903" s="6">
        <v>0</v>
      </c>
      <c r="H903" s="6">
        <v>0</v>
      </c>
      <c r="I903" s="6" t="s">
        <v>61</v>
      </c>
      <c r="K903" s="6" t="str">
        <f t="shared" si="897"/>
        <v>307002</v>
      </c>
      <c r="L903" s="4">
        <v>11</v>
      </c>
      <c r="M903" s="6" t="s">
        <v>605</v>
      </c>
      <c r="O903" s="13" t="str">
        <f t="shared" si="898"/>
        <v>1.15</v>
      </c>
      <c r="P903" s="13" t="str">
        <f t="shared" si="902"/>
        <v>1.15</v>
      </c>
      <c r="Q903" s="13" t="str">
        <f t="shared" ref="Q903:Q905" si="904">P903</f>
        <v>1.15</v>
      </c>
      <c r="R903" s="13" t="str">
        <f>R902</f>
        <v>1.1</v>
      </c>
      <c r="S903" s="13" t="str">
        <f>S902</f>
        <v>1.1</v>
      </c>
      <c r="T903" s="6" t="str">
        <f t="shared" si="900"/>
        <v>1|1.15#2|1.15#3|1.15#4|1.1#5|1.1</v>
      </c>
    </row>
    <row r="904" s="6" customFormat="1" ht="16.5" spans="1:20">
      <c r="A904" s="6">
        <v>1010910</v>
      </c>
      <c r="B904" s="6">
        <v>37002</v>
      </c>
      <c r="C904" s="6">
        <v>3</v>
      </c>
      <c r="D904" s="6">
        <v>4</v>
      </c>
      <c r="E904" s="6" t="str">
        <f t="shared" si="901"/>
        <v>307002:11</v>
      </c>
      <c r="F904" s="11" t="s">
        <v>376</v>
      </c>
      <c r="G904" s="6">
        <v>0</v>
      </c>
      <c r="H904" s="6">
        <v>0</v>
      </c>
      <c r="I904" s="6" t="s">
        <v>63</v>
      </c>
      <c r="K904" s="6" t="str">
        <f t="shared" si="897"/>
        <v>307002</v>
      </c>
      <c r="L904" s="4">
        <v>11</v>
      </c>
      <c r="M904" s="6" t="s">
        <v>605</v>
      </c>
      <c r="O904" s="13" t="str">
        <f t="shared" si="898"/>
        <v>1.15</v>
      </c>
      <c r="P904" s="13" t="str">
        <f t="shared" si="902"/>
        <v>1.15</v>
      </c>
      <c r="Q904" s="13" t="str">
        <f t="shared" si="904"/>
        <v>1.15</v>
      </c>
      <c r="R904" s="13" t="str">
        <f>Q904</f>
        <v>1.15</v>
      </c>
      <c r="S904" s="13" t="str">
        <f>S903</f>
        <v>1.1</v>
      </c>
      <c r="T904" s="6" t="str">
        <f t="shared" si="900"/>
        <v>1|1.15#2|1.15#3|1.15#4|1.15#5|1.1</v>
      </c>
    </row>
    <row r="905" s="6" customFormat="1" ht="16.5" spans="1:20">
      <c r="A905" s="6">
        <v>1010911</v>
      </c>
      <c r="B905" s="6">
        <v>37002</v>
      </c>
      <c r="C905" s="6">
        <v>3</v>
      </c>
      <c r="D905" s="6">
        <v>5</v>
      </c>
      <c r="E905" s="6" t="str">
        <f t="shared" si="901"/>
        <v>307002:11</v>
      </c>
      <c r="F905" s="11" t="s">
        <v>377</v>
      </c>
      <c r="G905" s="6">
        <v>0</v>
      </c>
      <c r="H905" s="6">
        <v>0</v>
      </c>
      <c r="I905" s="6" t="s">
        <v>40</v>
      </c>
      <c r="K905" s="6" t="str">
        <f t="shared" si="897"/>
        <v>307002</v>
      </c>
      <c r="L905" s="4">
        <v>11</v>
      </c>
      <c r="M905" s="6" t="s">
        <v>606</v>
      </c>
      <c r="O905" s="13" t="str">
        <f t="shared" si="898"/>
        <v>1.15</v>
      </c>
      <c r="P905" s="13" t="str">
        <f t="shared" si="902"/>
        <v>1.15</v>
      </c>
      <c r="Q905" s="13" t="str">
        <f t="shared" si="904"/>
        <v>1.15</v>
      </c>
      <c r="R905" s="13" t="str">
        <f>Q905</f>
        <v>1.15</v>
      </c>
      <c r="S905" s="13" t="str">
        <f>R905</f>
        <v>1.15</v>
      </c>
      <c r="T905" s="6" t="str">
        <f t="shared" si="900"/>
        <v>1|1.15#2|1.15#3|1.15#4|1.15#5|1.15</v>
      </c>
    </row>
    <row r="906" s="6" customFormat="1" ht="16.5" spans="1:20">
      <c r="A906" s="6">
        <v>1010912</v>
      </c>
      <c r="B906" s="6">
        <v>37002</v>
      </c>
      <c r="C906" s="6">
        <v>3</v>
      </c>
      <c r="D906" s="6">
        <v>6</v>
      </c>
      <c r="E906" s="6" t="str">
        <f t="shared" si="901"/>
        <v>307002:30</v>
      </c>
      <c r="F906" s="11">
        <v>0</v>
      </c>
      <c r="G906" s="6">
        <v>11002</v>
      </c>
      <c r="H906" s="6" t="s">
        <v>407</v>
      </c>
      <c r="I906" s="6">
        <v>0</v>
      </c>
      <c r="K906" s="6" t="str">
        <f t="shared" si="897"/>
        <v>307002</v>
      </c>
      <c r="L906" s="13">
        <v>30</v>
      </c>
      <c r="M906" s="6" t="s">
        <v>603</v>
      </c>
      <c r="O906" s="13" t="str">
        <f t="shared" ref="O906:S906" si="905">O905</f>
        <v>1.15</v>
      </c>
      <c r="P906" s="13" t="str">
        <f t="shared" si="905"/>
        <v>1.15</v>
      </c>
      <c r="Q906" s="13" t="str">
        <f t="shared" si="905"/>
        <v>1.15</v>
      </c>
      <c r="R906" s="13" t="str">
        <f t="shared" si="905"/>
        <v>1.15</v>
      </c>
      <c r="S906" s="13" t="str">
        <f t="shared" si="905"/>
        <v>1.15</v>
      </c>
      <c r="T906" s="6" t="str">
        <f t="shared" si="900"/>
        <v>1|1.15#2|1.15#3|1.15#4|1.15#5|1.15</v>
      </c>
    </row>
    <row r="907" s="6" customFormat="1" ht="16.5" spans="1:20">
      <c r="A907" s="6">
        <v>1010913</v>
      </c>
      <c r="B907" s="6">
        <v>37002</v>
      </c>
      <c r="C907" s="6">
        <v>4</v>
      </c>
      <c r="D907" s="6">
        <v>0</v>
      </c>
      <c r="E907" s="6" t="str">
        <f t="shared" si="901"/>
        <v>307002:13</v>
      </c>
      <c r="F907" s="11" t="s">
        <v>379</v>
      </c>
      <c r="G907" s="6">
        <v>0</v>
      </c>
      <c r="H907" s="6">
        <v>0</v>
      </c>
      <c r="I907" s="6" t="s">
        <v>67</v>
      </c>
      <c r="K907" s="6" t="str">
        <f t="shared" si="897"/>
        <v>307002</v>
      </c>
      <c r="L907" s="4">
        <v>13</v>
      </c>
      <c r="M907" s="6" t="s">
        <v>607</v>
      </c>
      <c r="O907" s="15" t="str">
        <f>O906</f>
        <v>1.15</v>
      </c>
      <c r="P907" s="15" t="str">
        <f t="shared" ref="P907:S907" si="906">O907</f>
        <v>1.15</v>
      </c>
      <c r="Q907" s="15" t="str">
        <f t="shared" si="906"/>
        <v>1.15</v>
      </c>
      <c r="R907" s="15" t="str">
        <f>P907</f>
        <v>1.15</v>
      </c>
      <c r="S907" s="15" t="str">
        <f t="shared" si="906"/>
        <v>1.15</v>
      </c>
      <c r="T907" s="6" t="str">
        <f t="shared" si="900"/>
        <v>1|1.15#2|1.15#3|1.15#4|1.15#5|1.15</v>
      </c>
    </row>
    <row r="908" s="6" customFormat="1" ht="16.5" spans="1:20">
      <c r="A908" s="6">
        <v>1010914</v>
      </c>
      <c r="B908" s="6">
        <v>37002</v>
      </c>
      <c r="C908" s="6">
        <v>4</v>
      </c>
      <c r="D908" s="6">
        <v>1</v>
      </c>
      <c r="E908" s="6" t="str">
        <f t="shared" si="901"/>
        <v>307002:13</v>
      </c>
      <c r="F908" s="11" t="s">
        <v>381</v>
      </c>
      <c r="G908" s="6">
        <v>0</v>
      </c>
      <c r="H908" s="6">
        <v>0</v>
      </c>
      <c r="I908" s="6" t="s">
        <v>69</v>
      </c>
      <c r="K908" s="6" t="str">
        <f t="shared" si="897"/>
        <v>307002</v>
      </c>
      <c r="L908" s="4">
        <v>13</v>
      </c>
      <c r="M908" s="6" t="s">
        <v>607</v>
      </c>
      <c r="O908" s="13" t="str">
        <f t="shared" ref="O908:O912" si="907">RIGHT(F908,LEN(F908)-2)</f>
        <v>1.2</v>
      </c>
      <c r="P908" s="13" t="str">
        <f t="shared" ref="P908:S908" si="908">P907</f>
        <v>1.15</v>
      </c>
      <c r="Q908" s="13" t="str">
        <f t="shared" si="908"/>
        <v>1.15</v>
      </c>
      <c r="R908" s="13" t="str">
        <f t="shared" si="908"/>
        <v>1.15</v>
      </c>
      <c r="S908" s="13" t="str">
        <f t="shared" si="908"/>
        <v>1.15</v>
      </c>
      <c r="T908" s="6" t="str">
        <f t="shared" si="900"/>
        <v>1|1.2#2|1.15#3|1.15#4|1.15#5|1.15</v>
      </c>
    </row>
    <row r="909" s="6" customFormat="1" ht="16.5" spans="1:20">
      <c r="A909" s="6">
        <v>1010915</v>
      </c>
      <c r="B909" s="6">
        <v>37002</v>
      </c>
      <c r="C909" s="6">
        <v>4</v>
      </c>
      <c r="D909" s="6">
        <v>2</v>
      </c>
      <c r="E909" s="6" t="str">
        <f t="shared" si="901"/>
        <v>307002:13</v>
      </c>
      <c r="F909" s="11" t="s">
        <v>382</v>
      </c>
      <c r="G909" s="6">
        <v>0</v>
      </c>
      <c r="H909" s="6">
        <v>0</v>
      </c>
      <c r="I909" s="6" t="s">
        <v>71</v>
      </c>
      <c r="K909" s="6" t="str">
        <f t="shared" si="897"/>
        <v>307002</v>
      </c>
      <c r="L909" s="4">
        <v>13</v>
      </c>
      <c r="M909" s="6" t="s">
        <v>607</v>
      </c>
      <c r="O909" s="13" t="str">
        <f t="shared" si="907"/>
        <v>1.2</v>
      </c>
      <c r="P909" s="13" t="str">
        <f t="shared" ref="P909:P912" si="909">O909</f>
        <v>1.2</v>
      </c>
      <c r="Q909" s="13" t="str">
        <f t="shared" ref="Q909:S909" si="910">Q908</f>
        <v>1.15</v>
      </c>
      <c r="R909" s="13" t="str">
        <f t="shared" si="910"/>
        <v>1.15</v>
      </c>
      <c r="S909" s="13" t="str">
        <f t="shared" si="910"/>
        <v>1.15</v>
      </c>
      <c r="T909" s="6" t="str">
        <f t="shared" si="900"/>
        <v>1|1.2#2|1.2#3|1.15#4|1.15#5|1.15</v>
      </c>
    </row>
    <row r="910" s="6" customFormat="1" ht="16.5" spans="1:20">
      <c r="A910" s="6">
        <v>1010916</v>
      </c>
      <c r="B910" s="6">
        <v>37002</v>
      </c>
      <c r="C910" s="6">
        <v>4</v>
      </c>
      <c r="D910" s="6">
        <v>3</v>
      </c>
      <c r="E910" s="6" t="str">
        <f t="shared" si="901"/>
        <v>307002:17</v>
      </c>
      <c r="F910" s="11" t="s">
        <v>383</v>
      </c>
      <c r="G910" s="6">
        <v>0</v>
      </c>
      <c r="H910" s="6">
        <v>0</v>
      </c>
      <c r="I910" s="6" t="s">
        <v>73</v>
      </c>
      <c r="K910" s="6" t="str">
        <f t="shared" si="897"/>
        <v>307002</v>
      </c>
      <c r="L910" s="4">
        <v>17</v>
      </c>
      <c r="M910" s="6" t="s">
        <v>607</v>
      </c>
      <c r="O910" s="13" t="str">
        <f t="shared" si="907"/>
        <v>1.2</v>
      </c>
      <c r="P910" s="13" t="str">
        <f t="shared" si="909"/>
        <v>1.2</v>
      </c>
      <c r="Q910" s="13" t="str">
        <f t="shared" ref="Q910:Q912" si="911">P910</f>
        <v>1.2</v>
      </c>
      <c r="R910" s="13" t="str">
        <f>R909</f>
        <v>1.15</v>
      </c>
      <c r="S910" s="13" t="str">
        <f>S909</f>
        <v>1.15</v>
      </c>
      <c r="T910" s="6" t="str">
        <f t="shared" si="900"/>
        <v>1|1.2#2|1.2#3|1.2#4|1.15#5|1.15</v>
      </c>
    </row>
    <row r="911" s="6" customFormat="1" ht="16.5" spans="1:20">
      <c r="A911" s="6">
        <v>1010917</v>
      </c>
      <c r="B911" s="6">
        <v>37002</v>
      </c>
      <c r="C911" s="6">
        <v>4</v>
      </c>
      <c r="D911" s="6">
        <v>4</v>
      </c>
      <c r="E911" s="6" t="str">
        <f t="shared" si="901"/>
        <v>307002:17</v>
      </c>
      <c r="F911" s="11" t="s">
        <v>384</v>
      </c>
      <c r="G911" s="6">
        <v>0</v>
      </c>
      <c r="H911" s="6">
        <v>0</v>
      </c>
      <c r="I911" s="6" t="s">
        <v>75</v>
      </c>
      <c r="K911" s="6" t="str">
        <f t="shared" si="897"/>
        <v>307002</v>
      </c>
      <c r="L911" s="4">
        <v>17</v>
      </c>
      <c r="M911" s="6" t="s">
        <v>607</v>
      </c>
      <c r="O911" s="13" t="str">
        <f t="shared" si="907"/>
        <v>1.2</v>
      </c>
      <c r="P911" s="13" t="str">
        <f t="shared" si="909"/>
        <v>1.2</v>
      </c>
      <c r="Q911" s="13" t="str">
        <f t="shared" si="911"/>
        <v>1.2</v>
      </c>
      <c r="R911" s="13" t="str">
        <f>Q911</f>
        <v>1.2</v>
      </c>
      <c r="S911" s="13" t="str">
        <f>S910</f>
        <v>1.15</v>
      </c>
      <c r="T911" s="6" t="str">
        <f t="shared" si="900"/>
        <v>1|1.2#2|1.2#3|1.2#4|1.2#5|1.15</v>
      </c>
    </row>
    <row r="912" s="6" customFormat="1" ht="16.5" spans="1:20">
      <c r="A912" s="6">
        <v>1010918</v>
      </c>
      <c r="B912" s="6">
        <v>37002</v>
      </c>
      <c r="C912" s="6">
        <v>4</v>
      </c>
      <c r="D912" s="6">
        <v>5</v>
      </c>
      <c r="E912" s="6" t="str">
        <f t="shared" si="901"/>
        <v>307002:17</v>
      </c>
      <c r="F912" s="11" t="s">
        <v>385</v>
      </c>
      <c r="G912" s="6">
        <v>0</v>
      </c>
      <c r="H912" s="6">
        <v>0</v>
      </c>
      <c r="I912" s="6" t="s">
        <v>40</v>
      </c>
      <c r="K912" s="6" t="str">
        <f t="shared" si="897"/>
        <v>307002</v>
      </c>
      <c r="L912" s="4">
        <v>17</v>
      </c>
      <c r="M912" s="6" t="s">
        <v>322</v>
      </c>
      <c r="O912" s="13" t="str">
        <f t="shared" si="907"/>
        <v>1.2</v>
      </c>
      <c r="P912" s="13" t="str">
        <f t="shared" si="909"/>
        <v>1.2</v>
      </c>
      <c r="Q912" s="13" t="str">
        <f t="shared" si="911"/>
        <v>1.2</v>
      </c>
      <c r="R912" s="13" t="str">
        <f>Q912</f>
        <v>1.2</v>
      </c>
      <c r="S912" s="13" t="str">
        <f>R912</f>
        <v>1.2</v>
      </c>
      <c r="T912" s="6" t="str">
        <f t="shared" si="900"/>
        <v>1|1.2#2|1.2#3|1.2#4|1.2#5|1.2</v>
      </c>
    </row>
    <row r="913" s="6" customFormat="1" ht="16.5" spans="1:20">
      <c r="A913" s="6">
        <v>1010919</v>
      </c>
      <c r="B913" s="6">
        <v>37002</v>
      </c>
      <c r="C913" s="6">
        <v>4</v>
      </c>
      <c r="D913" s="6">
        <v>6</v>
      </c>
      <c r="E913" s="6" t="str">
        <f t="shared" si="901"/>
        <v>307002:60</v>
      </c>
      <c r="F913" s="11">
        <v>0</v>
      </c>
      <c r="G913" s="6">
        <v>11002</v>
      </c>
      <c r="H913" s="6" t="s">
        <v>407</v>
      </c>
      <c r="I913" s="6">
        <v>0</v>
      </c>
      <c r="K913" s="6" t="str">
        <f t="shared" si="897"/>
        <v>307002</v>
      </c>
      <c r="L913" s="13">
        <v>60</v>
      </c>
      <c r="M913" s="6" t="s">
        <v>603</v>
      </c>
      <c r="O913" s="13" t="str">
        <f t="shared" ref="O913:S913" si="912">O912</f>
        <v>1.2</v>
      </c>
      <c r="P913" s="13" t="str">
        <f t="shared" si="912"/>
        <v>1.2</v>
      </c>
      <c r="Q913" s="13" t="str">
        <f t="shared" si="912"/>
        <v>1.2</v>
      </c>
      <c r="R913" s="13" t="str">
        <f t="shared" si="912"/>
        <v>1.2</v>
      </c>
      <c r="S913" s="13" t="str">
        <f t="shared" si="912"/>
        <v>1.2</v>
      </c>
      <c r="T913" s="6" t="str">
        <f t="shared" si="900"/>
        <v>1|1.2#2|1.2#3|1.2#4|1.2#5|1.2</v>
      </c>
    </row>
    <row r="914" s="6" customFormat="1" ht="16.5" spans="1:20">
      <c r="A914" s="6">
        <v>1010920</v>
      </c>
      <c r="B914" s="6">
        <v>37002</v>
      </c>
      <c r="C914" s="6">
        <v>5</v>
      </c>
      <c r="D914" s="6">
        <v>0</v>
      </c>
      <c r="E914" s="6" t="str">
        <f t="shared" si="901"/>
        <v>307002:18</v>
      </c>
      <c r="F914" s="11" t="s">
        <v>386</v>
      </c>
      <c r="G914" s="6">
        <v>0</v>
      </c>
      <c r="H914" s="6">
        <v>0</v>
      </c>
      <c r="I914" s="6" t="s">
        <v>79</v>
      </c>
      <c r="K914" s="6" t="str">
        <f t="shared" si="897"/>
        <v>307002</v>
      </c>
      <c r="L914" s="4">
        <v>18</v>
      </c>
      <c r="M914" s="6" t="s">
        <v>608</v>
      </c>
      <c r="O914" s="15" t="str">
        <f>O913</f>
        <v>1.2</v>
      </c>
      <c r="P914" s="15" t="str">
        <f t="shared" ref="P914:S914" si="913">O914</f>
        <v>1.2</v>
      </c>
      <c r="Q914" s="15" t="str">
        <f t="shared" si="913"/>
        <v>1.2</v>
      </c>
      <c r="R914" s="15" t="str">
        <f>P914</f>
        <v>1.2</v>
      </c>
      <c r="S914" s="15" t="str">
        <f t="shared" si="913"/>
        <v>1.2</v>
      </c>
      <c r="T914" s="6" t="str">
        <f t="shared" si="900"/>
        <v>1|1.2#2|1.2#3|1.2#4|1.2#5|1.2</v>
      </c>
    </row>
    <row r="915" s="6" customFormat="1" ht="16.5" spans="1:20">
      <c r="A915" s="6">
        <v>1010921</v>
      </c>
      <c r="B915" s="6">
        <v>37002</v>
      </c>
      <c r="C915" s="6">
        <v>5</v>
      </c>
      <c r="D915" s="6">
        <v>1</v>
      </c>
      <c r="E915" s="6" t="str">
        <f t="shared" si="901"/>
        <v>307002:18</v>
      </c>
      <c r="F915" s="11" t="s">
        <v>388</v>
      </c>
      <c r="G915" s="6">
        <v>0</v>
      </c>
      <c r="H915" s="6">
        <v>0</v>
      </c>
      <c r="I915" s="6" t="s">
        <v>81</v>
      </c>
      <c r="K915" s="6" t="str">
        <f t="shared" si="897"/>
        <v>307002</v>
      </c>
      <c r="L915" s="4">
        <v>18</v>
      </c>
      <c r="M915" s="6" t="s">
        <v>608</v>
      </c>
      <c r="O915" s="13" t="str">
        <f t="shared" ref="O915:O919" si="914">RIGHT(F915,LEN(F915)-2)</f>
        <v>1.3</v>
      </c>
      <c r="P915" s="13" t="str">
        <f t="shared" ref="P915:S915" si="915">P914</f>
        <v>1.2</v>
      </c>
      <c r="Q915" s="13" t="str">
        <f t="shared" si="915"/>
        <v>1.2</v>
      </c>
      <c r="R915" s="13" t="str">
        <f t="shared" si="915"/>
        <v>1.2</v>
      </c>
      <c r="S915" s="13" t="str">
        <f t="shared" si="915"/>
        <v>1.2</v>
      </c>
      <c r="T915" s="6" t="str">
        <f t="shared" si="900"/>
        <v>1|1.3#2|1.2#3|1.2#4|1.2#5|1.2</v>
      </c>
    </row>
    <row r="916" s="6" customFormat="1" ht="16.5" spans="1:20">
      <c r="A916" s="6">
        <v>1010922</v>
      </c>
      <c r="B916" s="6">
        <v>37002</v>
      </c>
      <c r="C916" s="6">
        <v>5</v>
      </c>
      <c r="D916" s="6">
        <v>2</v>
      </c>
      <c r="E916" s="6" t="str">
        <f t="shared" si="901"/>
        <v>307002:18</v>
      </c>
      <c r="F916" s="11" t="s">
        <v>389</v>
      </c>
      <c r="G916" s="6">
        <v>0</v>
      </c>
      <c r="H916" s="6">
        <v>0</v>
      </c>
      <c r="I916" s="6" t="s">
        <v>83</v>
      </c>
      <c r="K916" s="6" t="str">
        <f t="shared" si="897"/>
        <v>307002</v>
      </c>
      <c r="L916" s="4">
        <v>18</v>
      </c>
      <c r="M916" s="6" t="s">
        <v>608</v>
      </c>
      <c r="O916" s="13" t="str">
        <f t="shared" si="914"/>
        <v>1.3</v>
      </c>
      <c r="P916" s="13" t="str">
        <f t="shared" ref="P916:P919" si="916">O916</f>
        <v>1.3</v>
      </c>
      <c r="Q916" s="13" t="str">
        <f t="shared" ref="Q916:S916" si="917">Q915</f>
        <v>1.2</v>
      </c>
      <c r="R916" s="13" t="str">
        <f t="shared" si="917"/>
        <v>1.2</v>
      </c>
      <c r="S916" s="13" t="str">
        <f t="shared" si="917"/>
        <v>1.2</v>
      </c>
      <c r="T916" s="6" t="str">
        <f t="shared" si="900"/>
        <v>1|1.3#2|1.3#3|1.2#4|1.2#5|1.2</v>
      </c>
    </row>
    <row r="917" s="6" customFormat="1" ht="16.5" spans="1:20">
      <c r="A917" s="6">
        <v>1010923</v>
      </c>
      <c r="B917" s="6">
        <v>37002</v>
      </c>
      <c r="C917" s="6">
        <v>5</v>
      </c>
      <c r="D917" s="6">
        <v>3</v>
      </c>
      <c r="E917" s="6" t="str">
        <f t="shared" si="901"/>
        <v>307002:22</v>
      </c>
      <c r="F917" s="11" t="s">
        <v>390</v>
      </c>
      <c r="G917" s="6">
        <v>0</v>
      </c>
      <c r="H917" s="6">
        <v>0</v>
      </c>
      <c r="I917" s="6" t="s">
        <v>85</v>
      </c>
      <c r="K917" s="6" t="str">
        <f t="shared" si="897"/>
        <v>307002</v>
      </c>
      <c r="L917" s="4">
        <v>22</v>
      </c>
      <c r="M917" s="6" t="s">
        <v>608</v>
      </c>
      <c r="O917" s="13" t="str">
        <f t="shared" si="914"/>
        <v>1.3</v>
      </c>
      <c r="P917" s="13" t="str">
        <f t="shared" si="916"/>
        <v>1.3</v>
      </c>
      <c r="Q917" s="13" t="str">
        <f t="shared" ref="Q917:Q919" si="918">P917</f>
        <v>1.3</v>
      </c>
      <c r="R917" s="13" t="str">
        <f>R916</f>
        <v>1.2</v>
      </c>
      <c r="S917" s="13" t="str">
        <f>S916</f>
        <v>1.2</v>
      </c>
      <c r="T917" s="6" t="str">
        <f t="shared" si="900"/>
        <v>1|1.3#2|1.3#3|1.3#4|1.2#5|1.2</v>
      </c>
    </row>
    <row r="918" s="6" customFormat="1" ht="16.5" spans="1:20">
      <c r="A918" s="6">
        <v>1010924</v>
      </c>
      <c r="B918" s="6">
        <v>37002</v>
      </c>
      <c r="C918" s="6">
        <v>5</v>
      </c>
      <c r="D918" s="6">
        <v>4</v>
      </c>
      <c r="E918" s="6" t="str">
        <f t="shared" si="901"/>
        <v>307002:22</v>
      </c>
      <c r="F918" s="11" t="s">
        <v>391</v>
      </c>
      <c r="G918" s="6">
        <v>0</v>
      </c>
      <c r="H918" s="6">
        <v>0</v>
      </c>
      <c r="I918" s="6" t="s">
        <v>87</v>
      </c>
      <c r="K918" s="6" t="str">
        <f t="shared" si="897"/>
        <v>307002</v>
      </c>
      <c r="L918" s="4">
        <v>22</v>
      </c>
      <c r="M918" s="6" t="s">
        <v>608</v>
      </c>
      <c r="O918" s="13" t="str">
        <f t="shared" si="914"/>
        <v>1.3</v>
      </c>
      <c r="P918" s="13" t="str">
        <f t="shared" si="916"/>
        <v>1.3</v>
      </c>
      <c r="Q918" s="13" t="str">
        <f t="shared" si="918"/>
        <v>1.3</v>
      </c>
      <c r="R918" s="13" t="str">
        <f>Q918</f>
        <v>1.3</v>
      </c>
      <c r="S918" s="13" t="str">
        <f>S917</f>
        <v>1.2</v>
      </c>
      <c r="T918" s="6" t="str">
        <f t="shared" si="900"/>
        <v>1|1.3#2|1.3#3|1.3#4|1.3#5|1.2</v>
      </c>
    </row>
    <row r="919" s="6" customFormat="1" ht="16.5" spans="1:20">
      <c r="A919" s="6">
        <v>1010925</v>
      </c>
      <c r="B919" s="6">
        <v>37002</v>
      </c>
      <c r="C919" s="6">
        <v>5</v>
      </c>
      <c r="D919" s="6">
        <v>5</v>
      </c>
      <c r="E919" s="6" t="str">
        <f t="shared" si="901"/>
        <v>307002:22</v>
      </c>
      <c r="F919" s="11" t="s">
        <v>392</v>
      </c>
      <c r="G919" s="6">
        <v>0</v>
      </c>
      <c r="H919" s="6">
        <v>0</v>
      </c>
      <c r="I919" s="6" t="s">
        <v>40</v>
      </c>
      <c r="K919" s="6" t="str">
        <f t="shared" si="897"/>
        <v>307002</v>
      </c>
      <c r="L919" s="4">
        <v>22</v>
      </c>
      <c r="M919" s="6" t="s">
        <v>609</v>
      </c>
      <c r="O919" s="13" t="str">
        <f t="shared" si="914"/>
        <v>1.3</v>
      </c>
      <c r="P919" s="13" t="str">
        <f t="shared" si="916"/>
        <v>1.3</v>
      </c>
      <c r="Q919" s="13" t="str">
        <f t="shared" si="918"/>
        <v>1.3</v>
      </c>
      <c r="R919" s="13" t="str">
        <f>Q919</f>
        <v>1.3</v>
      </c>
      <c r="S919" s="13" t="str">
        <f>R919</f>
        <v>1.3</v>
      </c>
      <c r="T919" s="6" t="str">
        <f t="shared" si="900"/>
        <v>1|1.3#2|1.3#3|1.3#4|1.3#5|1.3</v>
      </c>
    </row>
    <row r="920" s="6" customFormat="1" ht="16.5" spans="1:20">
      <c r="A920" s="6">
        <v>1010926</v>
      </c>
      <c r="B920" s="6">
        <v>37002</v>
      </c>
      <c r="C920" s="6">
        <v>5</v>
      </c>
      <c r="D920" s="6">
        <v>6</v>
      </c>
      <c r="E920" s="6" t="str">
        <f t="shared" si="901"/>
        <v>307002:60</v>
      </c>
      <c r="F920" s="11">
        <v>0</v>
      </c>
      <c r="G920" s="6">
        <v>11002</v>
      </c>
      <c r="H920" s="6" t="s">
        <v>407</v>
      </c>
      <c r="I920" s="6">
        <v>0</v>
      </c>
      <c r="K920" s="6" t="str">
        <f t="shared" si="897"/>
        <v>307002</v>
      </c>
      <c r="L920" s="13">
        <v>60</v>
      </c>
      <c r="M920" s="6" t="s">
        <v>603</v>
      </c>
      <c r="O920" s="13" t="str">
        <f t="shared" ref="O920:S920" si="919">O919</f>
        <v>1.3</v>
      </c>
      <c r="P920" s="13" t="str">
        <f t="shared" si="919"/>
        <v>1.3</v>
      </c>
      <c r="Q920" s="13" t="str">
        <f t="shared" si="919"/>
        <v>1.3</v>
      </c>
      <c r="R920" s="13" t="str">
        <f t="shared" si="919"/>
        <v>1.3</v>
      </c>
      <c r="S920" s="13" t="str">
        <f t="shared" si="919"/>
        <v>1.3</v>
      </c>
      <c r="T920" s="6" t="str">
        <f t="shared" si="900"/>
        <v>1|1.3#2|1.3#3|1.3#4|1.3#5|1.3</v>
      </c>
    </row>
    <row r="921" s="6" customFormat="1" ht="16.5" spans="1:20">
      <c r="A921" s="6">
        <v>1010927</v>
      </c>
      <c r="B921" s="6">
        <v>37002</v>
      </c>
      <c r="C921" s="6">
        <v>6</v>
      </c>
      <c r="D921" s="6">
        <v>0</v>
      </c>
      <c r="E921" s="6" t="str">
        <f t="shared" si="901"/>
        <v>307002:24</v>
      </c>
      <c r="F921" s="11" t="s">
        <v>394</v>
      </c>
      <c r="G921" s="6">
        <v>0</v>
      </c>
      <c r="H921" s="6">
        <v>0</v>
      </c>
      <c r="I921" s="6" t="s">
        <v>90</v>
      </c>
      <c r="K921" s="6" t="str">
        <f t="shared" si="897"/>
        <v>307002</v>
      </c>
      <c r="L921" s="4">
        <v>24</v>
      </c>
      <c r="M921" s="6" t="s">
        <v>610</v>
      </c>
      <c r="O921" s="15" t="str">
        <f>O920</f>
        <v>1.3</v>
      </c>
      <c r="P921" s="15" t="str">
        <f t="shared" ref="P921:S921" si="920">O921</f>
        <v>1.3</v>
      </c>
      <c r="Q921" s="15" t="str">
        <f t="shared" si="920"/>
        <v>1.3</v>
      </c>
      <c r="R921" s="15" t="str">
        <f>P921</f>
        <v>1.3</v>
      </c>
      <c r="S921" s="15" t="str">
        <f t="shared" si="920"/>
        <v>1.3</v>
      </c>
      <c r="T921" s="6" t="str">
        <f t="shared" si="900"/>
        <v>1|1.3#2|1.3#3|1.3#4|1.3#5|1.3</v>
      </c>
    </row>
    <row r="922" s="6" customFormat="1" ht="16.5" spans="1:20">
      <c r="A922" s="6">
        <v>1010928</v>
      </c>
      <c r="B922" s="6">
        <v>37002</v>
      </c>
      <c r="C922" s="6">
        <v>6</v>
      </c>
      <c r="D922" s="6">
        <v>1</v>
      </c>
      <c r="E922" s="6" t="str">
        <f t="shared" si="901"/>
        <v>307002:24</v>
      </c>
      <c r="F922" s="11" t="s">
        <v>396</v>
      </c>
      <c r="G922" s="6">
        <v>0</v>
      </c>
      <c r="H922" s="6">
        <v>0</v>
      </c>
      <c r="I922" s="6" t="s">
        <v>92</v>
      </c>
      <c r="K922" s="6" t="str">
        <f t="shared" si="897"/>
        <v>307002</v>
      </c>
      <c r="L922" s="4">
        <v>24</v>
      </c>
      <c r="M922" s="6" t="s">
        <v>610</v>
      </c>
      <c r="O922" s="13" t="str">
        <f t="shared" ref="O922:O926" si="921">RIGHT(F922,LEN(F922)-2)</f>
        <v>1.4</v>
      </c>
      <c r="P922" s="13" t="str">
        <f t="shared" ref="P922:S922" si="922">P921</f>
        <v>1.3</v>
      </c>
      <c r="Q922" s="13" t="str">
        <f t="shared" si="922"/>
        <v>1.3</v>
      </c>
      <c r="R922" s="13" t="str">
        <f t="shared" si="922"/>
        <v>1.3</v>
      </c>
      <c r="S922" s="13" t="str">
        <f t="shared" si="922"/>
        <v>1.3</v>
      </c>
      <c r="T922" s="6" t="str">
        <f t="shared" si="900"/>
        <v>1|1.4#2|1.3#3|1.3#4|1.3#5|1.3</v>
      </c>
    </row>
    <row r="923" s="6" customFormat="1" ht="16.5" spans="1:20">
      <c r="A923" s="6">
        <v>1010929</v>
      </c>
      <c r="B923" s="6">
        <v>37002</v>
      </c>
      <c r="C923" s="6">
        <v>6</v>
      </c>
      <c r="D923" s="6">
        <v>2</v>
      </c>
      <c r="E923" s="6" t="str">
        <f t="shared" si="901"/>
        <v>307002:24</v>
      </c>
      <c r="F923" s="11" t="s">
        <v>397</v>
      </c>
      <c r="G923" s="6">
        <v>0</v>
      </c>
      <c r="H923" s="6">
        <v>0</v>
      </c>
      <c r="I923" s="6" t="s">
        <v>94</v>
      </c>
      <c r="K923" s="6" t="str">
        <f t="shared" si="897"/>
        <v>307002</v>
      </c>
      <c r="L923" s="4">
        <v>24</v>
      </c>
      <c r="M923" s="6" t="s">
        <v>610</v>
      </c>
      <c r="O923" s="13" t="str">
        <f t="shared" si="921"/>
        <v>1.4</v>
      </c>
      <c r="P923" s="13" t="str">
        <f t="shared" ref="P923:P926" si="923">O923</f>
        <v>1.4</v>
      </c>
      <c r="Q923" s="13" t="str">
        <f t="shared" ref="Q923:S923" si="924">Q922</f>
        <v>1.3</v>
      </c>
      <c r="R923" s="13" t="str">
        <f t="shared" si="924"/>
        <v>1.3</v>
      </c>
      <c r="S923" s="13" t="str">
        <f t="shared" si="924"/>
        <v>1.3</v>
      </c>
      <c r="T923" s="6" t="str">
        <f t="shared" si="900"/>
        <v>1|1.4#2|1.4#3|1.3#4|1.3#5|1.3</v>
      </c>
    </row>
    <row r="924" s="6" customFormat="1" ht="16.5" spans="1:20">
      <c r="A924" s="6">
        <v>1010930</v>
      </c>
      <c r="B924" s="6">
        <v>37002</v>
      </c>
      <c r="C924" s="6">
        <v>6</v>
      </c>
      <c r="D924" s="6">
        <v>3</v>
      </c>
      <c r="E924" s="6" t="str">
        <f t="shared" si="901"/>
        <v>307002:24</v>
      </c>
      <c r="F924" s="11" t="s">
        <v>398</v>
      </c>
      <c r="G924" s="6">
        <v>0</v>
      </c>
      <c r="H924" s="6">
        <v>0</v>
      </c>
      <c r="I924" s="6" t="s">
        <v>96</v>
      </c>
      <c r="K924" s="6" t="str">
        <f t="shared" si="897"/>
        <v>307002</v>
      </c>
      <c r="L924" s="4">
        <v>24</v>
      </c>
      <c r="M924" s="6" t="s">
        <v>610</v>
      </c>
      <c r="O924" s="13" t="str">
        <f t="shared" si="921"/>
        <v>1.4</v>
      </c>
      <c r="P924" s="13" t="str">
        <f t="shared" si="923"/>
        <v>1.4</v>
      </c>
      <c r="Q924" s="13" t="str">
        <f t="shared" ref="Q924:Q926" si="925">P924</f>
        <v>1.4</v>
      </c>
      <c r="R924" s="13" t="str">
        <f>R923</f>
        <v>1.3</v>
      </c>
      <c r="S924" s="13" t="str">
        <f t="shared" ref="S924:S931" si="926">S923</f>
        <v>1.3</v>
      </c>
      <c r="T924" s="6" t="str">
        <f t="shared" si="900"/>
        <v>1|1.4#2|1.4#3|1.4#4|1.3#5|1.3</v>
      </c>
    </row>
    <row r="925" s="6" customFormat="1" ht="16.5" spans="1:20">
      <c r="A925" s="6">
        <v>1010931</v>
      </c>
      <c r="B925" s="6">
        <v>37002</v>
      </c>
      <c r="C925" s="6">
        <v>6</v>
      </c>
      <c r="D925" s="6">
        <v>4</v>
      </c>
      <c r="E925" s="6" t="str">
        <f t="shared" si="901"/>
        <v>307002:24</v>
      </c>
      <c r="F925" s="11" t="s">
        <v>399</v>
      </c>
      <c r="G925" s="6">
        <v>0</v>
      </c>
      <c r="H925" s="6">
        <v>0</v>
      </c>
      <c r="I925" s="6" t="s">
        <v>98</v>
      </c>
      <c r="K925" s="6" t="str">
        <f t="shared" si="897"/>
        <v>307002</v>
      </c>
      <c r="L925" s="4">
        <v>24</v>
      </c>
      <c r="M925" s="6" t="s">
        <v>610</v>
      </c>
      <c r="O925" s="13" t="str">
        <f t="shared" si="921"/>
        <v>1.4</v>
      </c>
      <c r="P925" s="13" t="str">
        <f t="shared" si="923"/>
        <v>1.4</v>
      </c>
      <c r="Q925" s="13" t="str">
        <f t="shared" si="925"/>
        <v>1.4</v>
      </c>
      <c r="R925" s="13" t="str">
        <f>Q925</f>
        <v>1.4</v>
      </c>
      <c r="S925" s="13" t="str">
        <f t="shared" si="926"/>
        <v>1.3</v>
      </c>
      <c r="T925" s="6" t="str">
        <f t="shared" si="900"/>
        <v>1|1.4#2|1.4#3|1.4#4|1.4#5|1.3</v>
      </c>
    </row>
    <row r="926" s="6" customFormat="1" ht="16.5" spans="1:20">
      <c r="A926" s="6">
        <v>1010932</v>
      </c>
      <c r="B926" s="6">
        <v>37002</v>
      </c>
      <c r="C926" s="6">
        <v>6</v>
      </c>
      <c r="D926" s="6">
        <v>5</v>
      </c>
      <c r="E926" s="6" t="str">
        <f t="shared" si="901"/>
        <v>307002:60</v>
      </c>
      <c r="F926" s="11" t="s">
        <v>400</v>
      </c>
      <c r="G926" s="6">
        <v>0</v>
      </c>
      <c r="H926" s="6">
        <v>0</v>
      </c>
      <c r="I926" s="6" t="s">
        <v>40</v>
      </c>
      <c r="K926" s="6" t="str">
        <f t="shared" si="897"/>
        <v>307002</v>
      </c>
      <c r="L926" s="4">
        <v>60</v>
      </c>
      <c r="M926" s="6" t="s">
        <v>609</v>
      </c>
      <c r="O926" s="13" t="str">
        <f t="shared" si="921"/>
        <v>1.4</v>
      </c>
      <c r="P926" s="13" t="str">
        <f t="shared" si="923"/>
        <v>1.4</v>
      </c>
      <c r="Q926" s="13" t="str">
        <f t="shared" si="925"/>
        <v>1.4</v>
      </c>
      <c r="R926" s="13" t="str">
        <f>Q926</f>
        <v>1.4</v>
      </c>
      <c r="S926" s="13" t="str">
        <f>R926</f>
        <v>1.4</v>
      </c>
      <c r="T926" s="6" t="str">
        <f t="shared" si="900"/>
        <v>1|1.4#2|1.4#3|1.4#4|1.4#5|1.4</v>
      </c>
    </row>
    <row r="927" s="6" customFormat="1" ht="16.5" spans="1:20">
      <c r="A927" s="6">
        <v>1010933</v>
      </c>
      <c r="B927" s="6">
        <v>37002</v>
      </c>
      <c r="C927" s="6">
        <v>6</v>
      </c>
      <c r="D927" s="6">
        <v>6</v>
      </c>
      <c r="E927" s="6" t="str">
        <f t="shared" si="901"/>
        <v>307002:0</v>
      </c>
      <c r="F927" s="11">
        <v>0</v>
      </c>
      <c r="G927" s="6">
        <v>11002</v>
      </c>
      <c r="H927" s="6" t="s">
        <v>407</v>
      </c>
      <c r="I927" s="6">
        <v>0</v>
      </c>
      <c r="K927" s="6" t="str">
        <f t="shared" si="897"/>
        <v>307002</v>
      </c>
      <c r="L927" s="4">
        <v>0</v>
      </c>
      <c r="M927" s="6" t="s">
        <v>603</v>
      </c>
      <c r="O927" s="13" t="str">
        <f t="shared" ref="O927:S927" si="927">O926</f>
        <v>1.4</v>
      </c>
      <c r="P927" s="13" t="str">
        <f t="shared" si="927"/>
        <v>1.4</v>
      </c>
      <c r="Q927" s="13" t="str">
        <f t="shared" si="927"/>
        <v>1.4</v>
      </c>
      <c r="R927" s="13" t="str">
        <f t="shared" si="927"/>
        <v>1.4</v>
      </c>
      <c r="S927" s="13" t="str">
        <f t="shared" si="927"/>
        <v>1.4</v>
      </c>
      <c r="T927" s="6" t="str">
        <f t="shared" si="900"/>
        <v>1|1.4#2|1.4#3|1.4#4|1.4#5|1.4</v>
      </c>
    </row>
    <row r="928" s="6" customFormat="1" ht="16.5" spans="1:20">
      <c r="A928" s="6">
        <v>1010934</v>
      </c>
      <c r="B928" s="6">
        <v>38001</v>
      </c>
      <c r="C928" s="6">
        <v>1</v>
      </c>
      <c r="D928" s="6">
        <v>0</v>
      </c>
      <c r="E928" s="6" t="str">
        <f t="shared" si="901"/>
        <v>308001:2</v>
      </c>
      <c r="F928" s="11" t="s">
        <v>356</v>
      </c>
      <c r="G928" s="6">
        <v>0</v>
      </c>
      <c r="H928" s="6">
        <v>0</v>
      </c>
      <c r="I928" s="6" t="s">
        <v>25</v>
      </c>
      <c r="K928" s="6" t="str">
        <f t="shared" si="897"/>
        <v>308001</v>
      </c>
      <c r="L928" s="4">
        <v>2</v>
      </c>
      <c r="M928" s="6" t="s">
        <v>611</v>
      </c>
      <c r="O928" s="13">
        <v>1</v>
      </c>
      <c r="P928" s="13">
        <f t="shared" ref="P928:S928" si="928">O928</f>
        <v>1</v>
      </c>
      <c r="Q928" s="13">
        <f t="shared" si="928"/>
        <v>1</v>
      </c>
      <c r="R928" s="13">
        <f>P928</f>
        <v>1</v>
      </c>
      <c r="S928" s="13">
        <f t="shared" si="928"/>
        <v>1</v>
      </c>
      <c r="T928" s="6" t="str">
        <f t="shared" si="900"/>
        <v>1|1#2|1#3|1#4|1#5|1</v>
      </c>
    </row>
    <row r="929" s="6" customFormat="1" ht="16.5" spans="1:20">
      <c r="A929" s="6">
        <v>1010935</v>
      </c>
      <c r="B929" s="6">
        <v>38001</v>
      </c>
      <c r="C929" s="6">
        <v>1</v>
      </c>
      <c r="D929" s="6">
        <v>1</v>
      </c>
      <c r="E929" s="6" t="str">
        <f t="shared" si="901"/>
        <v>308001:2</v>
      </c>
      <c r="F929" s="11" t="s">
        <v>358</v>
      </c>
      <c r="G929" s="6">
        <v>0</v>
      </c>
      <c r="H929" s="6">
        <v>0</v>
      </c>
      <c r="I929" s="6" t="s">
        <v>28</v>
      </c>
      <c r="K929" s="6" t="str">
        <f t="shared" si="897"/>
        <v>308001</v>
      </c>
      <c r="L929" s="4">
        <v>2</v>
      </c>
      <c r="M929" s="6" t="s">
        <v>611</v>
      </c>
      <c r="O929" s="13" t="str">
        <f t="shared" ref="O929:O933" si="929">RIGHT(F929,LEN(F929)-2)</f>
        <v>1.05</v>
      </c>
      <c r="P929" s="13">
        <v>1</v>
      </c>
      <c r="Q929" s="13">
        <f>Q928</f>
        <v>1</v>
      </c>
      <c r="R929" s="13">
        <f>R928</f>
        <v>1</v>
      </c>
      <c r="S929" s="13">
        <f t="shared" si="926"/>
        <v>1</v>
      </c>
      <c r="T929" s="6" t="str">
        <f t="shared" si="900"/>
        <v>1|1.05#2|1#3|1#4|1#5|1</v>
      </c>
    </row>
    <row r="930" s="6" customFormat="1" ht="16.5" spans="1:20">
      <c r="A930" s="6">
        <v>1010936</v>
      </c>
      <c r="B930" s="6">
        <v>38001</v>
      </c>
      <c r="C930" s="6">
        <v>1</v>
      </c>
      <c r="D930" s="6">
        <v>2</v>
      </c>
      <c r="E930" s="6" t="str">
        <f t="shared" si="901"/>
        <v>308001:2</v>
      </c>
      <c r="F930" s="11" t="s">
        <v>359</v>
      </c>
      <c r="G930" s="6">
        <v>0</v>
      </c>
      <c r="H930" s="6">
        <v>0</v>
      </c>
      <c r="I930" s="6" t="s">
        <v>31</v>
      </c>
      <c r="K930" s="6" t="str">
        <f t="shared" si="897"/>
        <v>308001</v>
      </c>
      <c r="L930" s="4">
        <v>2</v>
      </c>
      <c r="M930" s="6" t="s">
        <v>611</v>
      </c>
      <c r="O930" s="13" t="str">
        <f t="shared" si="929"/>
        <v>1.05</v>
      </c>
      <c r="P930" s="13" t="str">
        <f t="shared" ref="P930:P933" si="930">O930</f>
        <v>1.05</v>
      </c>
      <c r="Q930" s="13">
        <v>1</v>
      </c>
      <c r="R930" s="13">
        <f>R929</f>
        <v>1</v>
      </c>
      <c r="S930" s="13">
        <f t="shared" si="926"/>
        <v>1</v>
      </c>
      <c r="T930" s="6" t="str">
        <f t="shared" si="900"/>
        <v>1|1.05#2|1.05#3|1#4|1#5|1</v>
      </c>
    </row>
    <row r="931" s="6" customFormat="1" ht="16.5" spans="1:20">
      <c r="A931" s="6">
        <v>1010937</v>
      </c>
      <c r="B931" s="6">
        <v>38001</v>
      </c>
      <c r="C931" s="6">
        <v>1</v>
      </c>
      <c r="D931" s="6">
        <v>3</v>
      </c>
      <c r="E931" s="6" t="str">
        <f t="shared" si="901"/>
        <v>308001:3</v>
      </c>
      <c r="F931" s="11" t="s">
        <v>360</v>
      </c>
      <c r="G931" s="6">
        <v>0</v>
      </c>
      <c r="H931" s="6">
        <v>0</v>
      </c>
      <c r="I931" s="6" t="s">
        <v>34</v>
      </c>
      <c r="K931" s="6" t="str">
        <f t="shared" si="897"/>
        <v>308001</v>
      </c>
      <c r="L931" s="4">
        <v>3</v>
      </c>
      <c r="M931" s="6" t="s">
        <v>611</v>
      </c>
      <c r="O931" s="13" t="str">
        <f t="shared" si="929"/>
        <v>1.05</v>
      </c>
      <c r="P931" s="13" t="str">
        <f t="shared" si="930"/>
        <v>1.05</v>
      </c>
      <c r="Q931" s="13" t="str">
        <f t="shared" ref="Q931:Q933" si="931">P931</f>
        <v>1.05</v>
      </c>
      <c r="R931" s="13">
        <v>1</v>
      </c>
      <c r="S931" s="13">
        <f t="shared" si="926"/>
        <v>1</v>
      </c>
      <c r="T931" s="6" t="str">
        <f t="shared" si="900"/>
        <v>1|1.05#2|1.05#3|1.05#4|1#5|1</v>
      </c>
    </row>
    <row r="932" s="6" customFormat="1" ht="16.5" spans="1:20">
      <c r="A932" s="6">
        <v>1010938</v>
      </c>
      <c r="B932" s="6">
        <v>38001</v>
      </c>
      <c r="C932" s="6">
        <v>1</v>
      </c>
      <c r="D932" s="6">
        <v>4</v>
      </c>
      <c r="E932" s="6" t="str">
        <f t="shared" si="901"/>
        <v>308001:3</v>
      </c>
      <c r="F932" s="11" t="s">
        <v>361</v>
      </c>
      <c r="G932" s="6">
        <v>0</v>
      </c>
      <c r="H932" s="6">
        <v>0</v>
      </c>
      <c r="I932" s="6" t="s">
        <v>37</v>
      </c>
      <c r="K932" s="6" t="str">
        <f t="shared" si="897"/>
        <v>308001</v>
      </c>
      <c r="L932" s="4">
        <v>3</v>
      </c>
      <c r="M932" s="6" t="s">
        <v>611</v>
      </c>
      <c r="O932" s="13" t="str">
        <f t="shared" si="929"/>
        <v>1.05</v>
      </c>
      <c r="P932" s="13" t="str">
        <f t="shared" si="930"/>
        <v>1.05</v>
      </c>
      <c r="Q932" s="13" t="str">
        <f t="shared" si="931"/>
        <v>1.05</v>
      </c>
      <c r="R932" s="13" t="str">
        <f>Q932</f>
        <v>1.05</v>
      </c>
      <c r="S932" s="13">
        <v>1</v>
      </c>
      <c r="T932" s="6" t="str">
        <f t="shared" si="900"/>
        <v>1|1.05#2|1.05#3|1.05#4|1.05#5|1</v>
      </c>
    </row>
    <row r="933" s="6" customFormat="1" ht="16.5" spans="1:20">
      <c r="A933" s="6">
        <v>1010939</v>
      </c>
      <c r="B933" s="6">
        <v>38001</v>
      </c>
      <c r="C933" s="6">
        <v>1</v>
      </c>
      <c r="D933" s="6">
        <v>5</v>
      </c>
      <c r="E933" s="6" t="str">
        <f t="shared" si="901"/>
        <v>308001:3</v>
      </c>
      <c r="F933" s="11" t="s">
        <v>362</v>
      </c>
      <c r="G933" s="6">
        <v>0</v>
      </c>
      <c r="H933" s="6">
        <v>0</v>
      </c>
      <c r="I933" s="6" t="s">
        <v>40</v>
      </c>
      <c r="K933" s="6" t="str">
        <f t="shared" si="897"/>
        <v>308001</v>
      </c>
      <c r="L933" s="4">
        <v>3</v>
      </c>
      <c r="M933" s="6" t="s">
        <v>612</v>
      </c>
      <c r="O933" s="13" t="str">
        <f t="shared" si="929"/>
        <v>1.05</v>
      </c>
      <c r="P933" s="13" t="str">
        <f t="shared" si="930"/>
        <v>1.05</v>
      </c>
      <c r="Q933" s="13" t="str">
        <f t="shared" si="931"/>
        <v>1.05</v>
      </c>
      <c r="R933" s="13" t="str">
        <f>Q933</f>
        <v>1.05</v>
      </c>
      <c r="S933" s="13" t="str">
        <f>R933</f>
        <v>1.05</v>
      </c>
      <c r="T933" s="6" t="str">
        <f t="shared" si="900"/>
        <v>1|1.05#2|1.05#3|1.05#4|1.05#5|1.05</v>
      </c>
    </row>
    <row r="934" s="6" customFormat="1" ht="16.5" spans="1:20">
      <c r="A934" s="6">
        <v>1010940</v>
      </c>
      <c r="B934" s="6">
        <v>38001</v>
      </c>
      <c r="C934" s="6">
        <v>1</v>
      </c>
      <c r="D934" s="6">
        <v>6</v>
      </c>
      <c r="E934" s="6" t="str">
        <f t="shared" si="901"/>
        <v>308001:5</v>
      </c>
      <c r="F934" s="11">
        <v>0</v>
      </c>
      <c r="G934" s="6">
        <v>11002</v>
      </c>
      <c r="H934" s="6" t="s">
        <v>407</v>
      </c>
      <c r="I934" s="6">
        <v>0</v>
      </c>
      <c r="K934" s="6" t="str">
        <f t="shared" si="897"/>
        <v>308001</v>
      </c>
      <c r="L934" s="13">
        <v>5</v>
      </c>
      <c r="M934" s="6" t="s">
        <v>613</v>
      </c>
      <c r="O934" s="13" t="str">
        <f t="shared" ref="O934:S934" si="932">O933</f>
        <v>1.05</v>
      </c>
      <c r="P934" s="13" t="str">
        <f t="shared" si="932"/>
        <v>1.05</v>
      </c>
      <c r="Q934" s="13" t="str">
        <f t="shared" si="932"/>
        <v>1.05</v>
      </c>
      <c r="R934" s="13" t="str">
        <f t="shared" si="932"/>
        <v>1.05</v>
      </c>
      <c r="S934" s="13" t="str">
        <f t="shared" si="932"/>
        <v>1.05</v>
      </c>
      <c r="T934" s="6" t="str">
        <f t="shared" si="900"/>
        <v>1|1.05#2|1.05#3|1.05#4|1.05#5|1.05</v>
      </c>
    </row>
    <row r="935" s="6" customFormat="1" ht="16.5" spans="1:20">
      <c r="A935" s="6">
        <v>1010941</v>
      </c>
      <c r="B935" s="6">
        <v>38001</v>
      </c>
      <c r="C935" s="6">
        <v>2</v>
      </c>
      <c r="D935" s="6">
        <v>0</v>
      </c>
      <c r="E935" s="6" t="str">
        <f t="shared" si="901"/>
        <v>308001:5</v>
      </c>
      <c r="F935" s="11" t="s">
        <v>364</v>
      </c>
      <c r="G935" s="6">
        <v>0</v>
      </c>
      <c r="H935" s="6">
        <v>0</v>
      </c>
      <c r="I935" s="6" t="s">
        <v>43</v>
      </c>
      <c r="K935" s="6" t="str">
        <f t="shared" si="897"/>
        <v>308001</v>
      </c>
      <c r="L935" s="4">
        <v>5</v>
      </c>
      <c r="M935" s="6" t="s">
        <v>614</v>
      </c>
      <c r="O935" s="15" t="str">
        <f>O934</f>
        <v>1.05</v>
      </c>
      <c r="P935" s="15" t="str">
        <f t="shared" ref="P935:S935" si="933">O935</f>
        <v>1.05</v>
      </c>
      <c r="Q935" s="15" t="str">
        <f t="shared" si="933"/>
        <v>1.05</v>
      </c>
      <c r="R935" s="15" t="str">
        <f>P935</f>
        <v>1.05</v>
      </c>
      <c r="S935" s="15" t="str">
        <f t="shared" si="933"/>
        <v>1.05</v>
      </c>
      <c r="T935" s="6" t="str">
        <f t="shared" si="900"/>
        <v>1|1.05#2|1.05#3|1.05#4|1.05#5|1.05</v>
      </c>
    </row>
    <row r="936" s="6" customFormat="1" ht="16.5" spans="1:20">
      <c r="A936" s="6">
        <v>1010942</v>
      </c>
      <c r="B936" s="6">
        <v>38001</v>
      </c>
      <c r="C936" s="6">
        <v>2</v>
      </c>
      <c r="D936" s="6">
        <v>1</v>
      </c>
      <c r="E936" s="6" t="str">
        <f t="shared" si="901"/>
        <v>308001:5</v>
      </c>
      <c r="F936" s="11" t="s">
        <v>366</v>
      </c>
      <c r="G936" s="6">
        <v>0</v>
      </c>
      <c r="H936" s="6">
        <v>0</v>
      </c>
      <c r="I936" s="6" t="s">
        <v>45</v>
      </c>
      <c r="K936" s="6" t="str">
        <f t="shared" si="897"/>
        <v>308001</v>
      </c>
      <c r="L936" s="4">
        <v>5</v>
      </c>
      <c r="M936" s="6" t="s">
        <v>614</v>
      </c>
      <c r="O936" s="13" t="str">
        <f t="shared" ref="O936:O940" si="934">RIGHT(F936,LEN(F936)-2)</f>
        <v>1.1</v>
      </c>
      <c r="P936" s="13">
        <v>1.05</v>
      </c>
      <c r="Q936" s="13" t="str">
        <f t="shared" ref="Q936:S936" si="935">Q935</f>
        <v>1.05</v>
      </c>
      <c r="R936" s="13" t="str">
        <f t="shared" si="935"/>
        <v>1.05</v>
      </c>
      <c r="S936" s="13" t="str">
        <f t="shared" si="935"/>
        <v>1.05</v>
      </c>
      <c r="T936" s="6" t="str">
        <f t="shared" si="900"/>
        <v>1|1.1#2|1.05#3|1.05#4|1.05#5|1.05</v>
      </c>
    </row>
    <row r="937" s="6" customFormat="1" ht="16.5" spans="1:20">
      <c r="A937" s="6">
        <v>1010943</v>
      </c>
      <c r="B937" s="6">
        <v>38001</v>
      </c>
      <c r="C937" s="6">
        <v>2</v>
      </c>
      <c r="D937" s="6">
        <v>2</v>
      </c>
      <c r="E937" s="6" t="str">
        <f t="shared" si="901"/>
        <v>308001:5</v>
      </c>
      <c r="F937" s="11" t="s">
        <v>367</v>
      </c>
      <c r="G937" s="6">
        <v>0</v>
      </c>
      <c r="H937" s="6">
        <v>0</v>
      </c>
      <c r="I937" s="6" t="s">
        <v>47</v>
      </c>
      <c r="K937" s="6" t="str">
        <f t="shared" si="897"/>
        <v>308001</v>
      </c>
      <c r="L937" s="4">
        <v>5</v>
      </c>
      <c r="M937" s="6" t="s">
        <v>614</v>
      </c>
      <c r="O937" s="13" t="str">
        <f t="shared" si="934"/>
        <v>1.1</v>
      </c>
      <c r="P937" s="13" t="str">
        <f t="shared" ref="P937:P940" si="936">O937</f>
        <v>1.1</v>
      </c>
      <c r="Q937" s="13">
        <v>1.05</v>
      </c>
      <c r="R937" s="13" t="str">
        <f>R936</f>
        <v>1.05</v>
      </c>
      <c r="S937" s="13" t="str">
        <f>S936</f>
        <v>1.05</v>
      </c>
      <c r="T937" s="6" t="str">
        <f t="shared" si="900"/>
        <v>1|1.1#2|1.1#3|1.05#4|1.05#5|1.05</v>
      </c>
    </row>
    <row r="938" s="6" customFormat="1" ht="16.5" spans="1:20">
      <c r="A938" s="6">
        <v>1010944</v>
      </c>
      <c r="B938" s="6">
        <v>38001</v>
      </c>
      <c r="C938" s="6">
        <v>2</v>
      </c>
      <c r="D938" s="6">
        <v>3</v>
      </c>
      <c r="E938" s="6" t="str">
        <f t="shared" si="901"/>
        <v>308001:6</v>
      </c>
      <c r="F938" s="11" t="s">
        <v>368</v>
      </c>
      <c r="G938" s="6">
        <v>0</v>
      </c>
      <c r="H938" s="6">
        <v>0</v>
      </c>
      <c r="I938" s="6" t="s">
        <v>49</v>
      </c>
      <c r="K938" s="6" t="str">
        <f t="shared" si="897"/>
        <v>308001</v>
      </c>
      <c r="L938" s="4">
        <v>6</v>
      </c>
      <c r="M938" s="6" t="s">
        <v>614</v>
      </c>
      <c r="O938" s="13" t="str">
        <f t="shared" si="934"/>
        <v>1.1</v>
      </c>
      <c r="P938" s="13" t="str">
        <f t="shared" si="936"/>
        <v>1.1</v>
      </c>
      <c r="Q938" s="13" t="str">
        <f t="shared" ref="Q938:Q940" si="937">P938</f>
        <v>1.1</v>
      </c>
      <c r="R938" s="13">
        <v>1.05</v>
      </c>
      <c r="S938" s="13" t="str">
        <f>S937</f>
        <v>1.05</v>
      </c>
      <c r="T938" s="6" t="str">
        <f t="shared" si="900"/>
        <v>1|1.1#2|1.1#3|1.1#4|1.05#5|1.05</v>
      </c>
    </row>
    <row r="939" s="6" customFormat="1" ht="16.5" spans="1:20">
      <c r="A939" s="6">
        <v>1010945</v>
      </c>
      <c r="B939" s="6">
        <v>38001</v>
      </c>
      <c r="C939" s="6">
        <v>2</v>
      </c>
      <c r="D939" s="6">
        <v>4</v>
      </c>
      <c r="E939" s="6" t="str">
        <f t="shared" si="901"/>
        <v>308001:6</v>
      </c>
      <c r="F939" s="11" t="s">
        <v>369</v>
      </c>
      <c r="G939" s="6">
        <v>0</v>
      </c>
      <c r="H939" s="6">
        <v>0</v>
      </c>
      <c r="I939" s="6" t="s">
        <v>51</v>
      </c>
      <c r="K939" s="6" t="str">
        <f t="shared" si="897"/>
        <v>308001</v>
      </c>
      <c r="L939" s="4">
        <v>6</v>
      </c>
      <c r="M939" s="6" t="s">
        <v>614</v>
      </c>
      <c r="O939" s="13" t="str">
        <f t="shared" si="934"/>
        <v>1.1</v>
      </c>
      <c r="P939" s="13" t="str">
        <f t="shared" si="936"/>
        <v>1.1</v>
      </c>
      <c r="Q939" s="13" t="str">
        <f t="shared" si="937"/>
        <v>1.1</v>
      </c>
      <c r="R939" s="13" t="str">
        <f>Q939</f>
        <v>1.1</v>
      </c>
      <c r="S939" s="13">
        <v>1.05</v>
      </c>
      <c r="T939" s="6" t="str">
        <f t="shared" si="900"/>
        <v>1|1.1#2|1.1#3|1.1#4|1.1#5|1.05</v>
      </c>
    </row>
    <row r="940" s="6" customFormat="1" ht="16.5" spans="1:20">
      <c r="A940" s="6">
        <v>1010946</v>
      </c>
      <c r="B940" s="6">
        <v>38001</v>
      </c>
      <c r="C940" s="6">
        <v>2</v>
      </c>
      <c r="D940" s="6">
        <v>5</v>
      </c>
      <c r="E940" s="6" t="str">
        <f t="shared" si="901"/>
        <v>308001:6</v>
      </c>
      <c r="F940" s="11" t="s">
        <v>370</v>
      </c>
      <c r="G940" s="6">
        <v>0</v>
      </c>
      <c r="H940" s="6">
        <v>0</v>
      </c>
      <c r="I940" s="6" t="s">
        <v>40</v>
      </c>
      <c r="K940" s="6" t="str">
        <f t="shared" si="897"/>
        <v>308001</v>
      </c>
      <c r="L940" s="4">
        <v>6</v>
      </c>
      <c r="M940" s="6" t="s">
        <v>331</v>
      </c>
      <c r="O940" s="13" t="str">
        <f t="shared" si="934"/>
        <v>1.1</v>
      </c>
      <c r="P940" s="13" t="str">
        <f t="shared" si="936"/>
        <v>1.1</v>
      </c>
      <c r="Q940" s="13" t="str">
        <f t="shared" si="937"/>
        <v>1.1</v>
      </c>
      <c r="R940" s="13" t="str">
        <f>Q940</f>
        <v>1.1</v>
      </c>
      <c r="S940" s="13" t="str">
        <f>R940</f>
        <v>1.1</v>
      </c>
      <c r="T940" s="6" t="str">
        <f t="shared" si="900"/>
        <v>1|1.1#2|1.1#3|1.1#4|1.1#5|1.1</v>
      </c>
    </row>
    <row r="941" s="6" customFormat="1" ht="16.5" spans="1:20">
      <c r="A941" s="6">
        <v>1010947</v>
      </c>
      <c r="B941" s="6">
        <v>38001</v>
      </c>
      <c r="C941" s="6">
        <v>2</v>
      </c>
      <c r="D941" s="6">
        <v>6</v>
      </c>
      <c r="E941" s="6" t="str">
        <f t="shared" si="901"/>
        <v>308001:7</v>
      </c>
      <c r="F941" s="11">
        <v>0</v>
      </c>
      <c r="G941" s="6">
        <v>11002</v>
      </c>
      <c r="H941" s="6" t="s">
        <v>407</v>
      </c>
      <c r="I941" s="6">
        <v>0</v>
      </c>
      <c r="K941" s="6" t="str">
        <f t="shared" si="897"/>
        <v>308001</v>
      </c>
      <c r="L941" s="13">
        <v>7</v>
      </c>
      <c r="M941" s="6" t="s">
        <v>613</v>
      </c>
      <c r="O941" s="13" t="str">
        <f t="shared" ref="O941:S941" si="938">O940</f>
        <v>1.1</v>
      </c>
      <c r="P941" s="13" t="str">
        <f t="shared" si="938"/>
        <v>1.1</v>
      </c>
      <c r="Q941" s="13" t="str">
        <f t="shared" si="938"/>
        <v>1.1</v>
      </c>
      <c r="R941" s="13" t="str">
        <f t="shared" si="938"/>
        <v>1.1</v>
      </c>
      <c r="S941" s="13" t="str">
        <f t="shared" si="938"/>
        <v>1.1</v>
      </c>
      <c r="T941" s="6" t="str">
        <f t="shared" si="900"/>
        <v>1|1.1#2|1.1#3|1.1#4|1.1#5|1.1</v>
      </c>
    </row>
    <row r="942" s="6" customFormat="1" ht="16.5" spans="1:20">
      <c r="A942" s="6">
        <v>1010948</v>
      </c>
      <c r="B942" s="6">
        <v>38001</v>
      </c>
      <c r="C942" s="6">
        <v>3</v>
      </c>
      <c r="D942" s="6">
        <v>0</v>
      </c>
      <c r="E942" s="6" t="str">
        <f t="shared" si="901"/>
        <v>308001:9</v>
      </c>
      <c r="F942" s="11" t="s">
        <v>371</v>
      </c>
      <c r="G942" s="6">
        <v>0</v>
      </c>
      <c r="H942" s="6">
        <v>0</v>
      </c>
      <c r="I942" s="6" t="s">
        <v>55</v>
      </c>
      <c r="K942" s="6" t="str">
        <f t="shared" si="897"/>
        <v>308001</v>
      </c>
      <c r="L942" s="4">
        <v>9</v>
      </c>
      <c r="M942" s="6" t="s">
        <v>615</v>
      </c>
      <c r="O942" s="15" t="str">
        <f>O941</f>
        <v>1.1</v>
      </c>
      <c r="P942" s="15" t="str">
        <f t="shared" ref="P942:S942" si="939">O942</f>
        <v>1.1</v>
      </c>
      <c r="Q942" s="15" t="str">
        <f t="shared" si="939"/>
        <v>1.1</v>
      </c>
      <c r="R942" s="15" t="str">
        <f>P942</f>
        <v>1.1</v>
      </c>
      <c r="S942" s="15" t="str">
        <f t="shared" si="939"/>
        <v>1.1</v>
      </c>
      <c r="T942" s="6" t="str">
        <f t="shared" si="900"/>
        <v>1|1.1#2|1.1#3|1.1#4|1.1#5|1.1</v>
      </c>
    </row>
    <row r="943" s="6" customFormat="1" ht="16.5" spans="1:20">
      <c r="A943" s="6">
        <v>1010949</v>
      </c>
      <c r="B943" s="6">
        <v>38001</v>
      </c>
      <c r="C943" s="6">
        <v>3</v>
      </c>
      <c r="D943" s="6">
        <v>1</v>
      </c>
      <c r="E943" s="6" t="str">
        <f t="shared" si="901"/>
        <v>308001:9</v>
      </c>
      <c r="F943" s="11" t="s">
        <v>373</v>
      </c>
      <c r="G943" s="6">
        <v>0</v>
      </c>
      <c r="H943" s="6">
        <v>0</v>
      </c>
      <c r="I943" s="6" t="s">
        <v>57</v>
      </c>
      <c r="K943" s="6" t="str">
        <f t="shared" si="897"/>
        <v>308001</v>
      </c>
      <c r="L943" s="4">
        <v>9</v>
      </c>
      <c r="M943" s="6" t="s">
        <v>615</v>
      </c>
      <c r="O943" s="13" t="str">
        <f t="shared" ref="O943:O947" si="940">RIGHT(F943,LEN(F943)-2)</f>
        <v>1.15</v>
      </c>
      <c r="P943" s="13" t="str">
        <f t="shared" ref="P943:S943" si="941">P942</f>
        <v>1.1</v>
      </c>
      <c r="Q943" s="13" t="str">
        <f t="shared" si="941"/>
        <v>1.1</v>
      </c>
      <c r="R943" s="13" t="str">
        <f t="shared" si="941"/>
        <v>1.1</v>
      </c>
      <c r="S943" s="13" t="str">
        <f t="shared" si="941"/>
        <v>1.1</v>
      </c>
      <c r="T943" s="6" t="str">
        <f t="shared" si="900"/>
        <v>1|1.15#2|1.1#3|1.1#4|1.1#5|1.1</v>
      </c>
    </row>
    <row r="944" s="6" customFormat="1" ht="16.5" spans="1:20">
      <c r="A944" s="6">
        <v>1010950</v>
      </c>
      <c r="B944" s="6">
        <v>38001</v>
      </c>
      <c r="C944" s="6">
        <v>3</v>
      </c>
      <c r="D944" s="6">
        <v>2</v>
      </c>
      <c r="E944" s="6" t="str">
        <f t="shared" si="901"/>
        <v>308001:9</v>
      </c>
      <c r="F944" s="11" t="s">
        <v>374</v>
      </c>
      <c r="G944" s="6">
        <v>0</v>
      </c>
      <c r="H944" s="6">
        <v>0</v>
      </c>
      <c r="I944" s="6" t="s">
        <v>59</v>
      </c>
      <c r="K944" s="6" t="str">
        <f t="shared" si="897"/>
        <v>308001</v>
      </c>
      <c r="L944" s="4">
        <v>9</v>
      </c>
      <c r="M944" s="6" t="s">
        <v>615</v>
      </c>
      <c r="O944" s="13" t="str">
        <f t="shared" si="940"/>
        <v>1.15</v>
      </c>
      <c r="P944" s="13" t="str">
        <f t="shared" ref="P944:P947" si="942">O944</f>
        <v>1.15</v>
      </c>
      <c r="Q944" s="13" t="str">
        <f t="shared" ref="Q944:S944" si="943">Q943</f>
        <v>1.1</v>
      </c>
      <c r="R944" s="13" t="str">
        <f t="shared" si="943"/>
        <v>1.1</v>
      </c>
      <c r="S944" s="13" t="str">
        <f t="shared" si="943"/>
        <v>1.1</v>
      </c>
      <c r="T944" s="6" t="str">
        <f t="shared" si="900"/>
        <v>1|1.15#2|1.15#3|1.1#4|1.1#5|1.1</v>
      </c>
    </row>
    <row r="945" s="6" customFormat="1" ht="16.5" spans="1:20">
      <c r="A945" s="6">
        <v>1010951</v>
      </c>
      <c r="B945" s="6">
        <v>38001</v>
      </c>
      <c r="C945" s="6">
        <v>3</v>
      </c>
      <c r="D945" s="6">
        <v>3</v>
      </c>
      <c r="E945" s="6" t="str">
        <f t="shared" si="901"/>
        <v>308001:11</v>
      </c>
      <c r="F945" s="11" t="s">
        <v>375</v>
      </c>
      <c r="G945" s="6">
        <v>0</v>
      </c>
      <c r="H945" s="6">
        <v>0</v>
      </c>
      <c r="I945" s="6" t="s">
        <v>61</v>
      </c>
      <c r="K945" s="6" t="str">
        <f t="shared" si="897"/>
        <v>308001</v>
      </c>
      <c r="L945" s="4">
        <v>11</v>
      </c>
      <c r="M945" s="6" t="s">
        <v>615</v>
      </c>
      <c r="O945" s="13" t="str">
        <f t="shared" si="940"/>
        <v>1.15</v>
      </c>
      <c r="P945" s="13" t="str">
        <f t="shared" si="942"/>
        <v>1.15</v>
      </c>
      <c r="Q945" s="13" t="str">
        <f t="shared" ref="Q945:Q947" si="944">P945</f>
        <v>1.15</v>
      </c>
      <c r="R945" s="13" t="str">
        <f>R944</f>
        <v>1.1</v>
      </c>
      <c r="S945" s="13" t="str">
        <f>S944</f>
        <v>1.1</v>
      </c>
      <c r="T945" s="6" t="str">
        <f t="shared" si="900"/>
        <v>1|1.15#2|1.15#3|1.15#4|1.1#5|1.1</v>
      </c>
    </row>
    <row r="946" s="6" customFormat="1" ht="16.5" spans="1:20">
      <c r="A946" s="6">
        <v>1010952</v>
      </c>
      <c r="B946" s="6">
        <v>38001</v>
      </c>
      <c r="C946" s="6">
        <v>3</v>
      </c>
      <c r="D946" s="6">
        <v>4</v>
      </c>
      <c r="E946" s="6" t="str">
        <f t="shared" si="901"/>
        <v>308001:11</v>
      </c>
      <c r="F946" s="11" t="s">
        <v>376</v>
      </c>
      <c r="G946" s="6">
        <v>0</v>
      </c>
      <c r="H946" s="6">
        <v>0</v>
      </c>
      <c r="I946" s="6" t="s">
        <v>63</v>
      </c>
      <c r="K946" s="6" t="str">
        <f t="shared" si="897"/>
        <v>308001</v>
      </c>
      <c r="L946" s="4">
        <v>11</v>
      </c>
      <c r="M946" s="6" t="s">
        <v>615</v>
      </c>
      <c r="O946" s="13" t="str">
        <f t="shared" si="940"/>
        <v>1.15</v>
      </c>
      <c r="P946" s="13" t="str">
        <f t="shared" si="942"/>
        <v>1.15</v>
      </c>
      <c r="Q946" s="13" t="str">
        <f t="shared" si="944"/>
        <v>1.15</v>
      </c>
      <c r="R946" s="13" t="str">
        <f>Q946</f>
        <v>1.15</v>
      </c>
      <c r="S946" s="13" t="str">
        <f>S945</f>
        <v>1.1</v>
      </c>
      <c r="T946" s="6" t="str">
        <f t="shared" si="900"/>
        <v>1|1.15#2|1.15#3|1.15#4|1.15#5|1.1</v>
      </c>
    </row>
    <row r="947" s="6" customFormat="1" ht="16.5" spans="1:20">
      <c r="A947" s="6">
        <v>1010953</v>
      </c>
      <c r="B947" s="6">
        <v>38001</v>
      </c>
      <c r="C947" s="6">
        <v>3</v>
      </c>
      <c r="D947" s="6">
        <v>5</v>
      </c>
      <c r="E947" s="6" t="str">
        <f t="shared" si="901"/>
        <v>308001:11</v>
      </c>
      <c r="F947" s="11" t="s">
        <v>377</v>
      </c>
      <c r="G947" s="6">
        <v>0</v>
      </c>
      <c r="H947" s="6">
        <v>0</v>
      </c>
      <c r="I947" s="6" t="s">
        <v>40</v>
      </c>
      <c r="K947" s="6" t="str">
        <f t="shared" si="897"/>
        <v>308001</v>
      </c>
      <c r="L947" s="4">
        <v>11</v>
      </c>
      <c r="M947" s="6" t="s">
        <v>616</v>
      </c>
      <c r="O947" s="13" t="str">
        <f t="shared" si="940"/>
        <v>1.15</v>
      </c>
      <c r="P947" s="13" t="str">
        <f t="shared" si="942"/>
        <v>1.15</v>
      </c>
      <c r="Q947" s="13" t="str">
        <f t="shared" si="944"/>
        <v>1.15</v>
      </c>
      <c r="R947" s="13" t="str">
        <f>Q947</f>
        <v>1.15</v>
      </c>
      <c r="S947" s="13" t="str">
        <f>R947</f>
        <v>1.15</v>
      </c>
      <c r="T947" s="6" t="str">
        <f t="shared" si="900"/>
        <v>1|1.15#2|1.15#3|1.15#4|1.15#5|1.15</v>
      </c>
    </row>
    <row r="948" s="6" customFormat="1" ht="16.5" spans="1:20">
      <c r="A948" s="6">
        <v>1010954</v>
      </c>
      <c r="B948" s="6">
        <v>38001</v>
      </c>
      <c r="C948" s="6">
        <v>3</v>
      </c>
      <c r="D948" s="6">
        <v>6</v>
      </c>
      <c r="E948" s="6" t="str">
        <f t="shared" si="901"/>
        <v>308001:30</v>
      </c>
      <c r="F948" s="11">
        <v>0</v>
      </c>
      <c r="G948" s="6">
        <v>11002</v>
      </c>
      <c r="H948" s="6" t="s">
        <v>407</v>
      </c>
      <c r="I948" s="6">
        <v>0</v>
      </c>
      <c r="K948" s="6" t="str">
        <f t="shared" si="897"/>
        <v>308001</v>
      </c>
      <c r="L948" s="13">
        <v>30</v>
      </c>
      <c r="M948" s="6" t="s">
        <v>613</v>
      </c>
      <c r="O948" s="13" t="str">
        <f t="shared" ref="O948:S948" si="945">O947</f>
        <v>1.15</v>
      </c>
      <c r="P948" s="13" t="str">
        <f t="shared" si="945"/>
        <v>1.15</v>
      </c>
      <c r="Q948" s="13" t="str">
        <f t="shared" si="945"/>
        <v>1.15</v>
      </c>
      <c r="R948" s="13" t="str">
        <f t="shared" si="945"/>
        <v>1.15</v>
      </c>
      <c r="S948" s="13" t="str">
        <f t="shared" si="945"/>
        <v>1.15</v>
      </c>
      <c r="T948" s="6" t="str">
        <f t="shared" si="900"/>
        <v>1|1.15#2|1.15#3|1.15#4|1.15#5|1.15</v>
      </c>
    </row>
    <row r="949" s="6" customFormat="1" ht="16.5" spans="1:20">
      <c r="A949" s="6">
        <v>1010955</v>
      </c>
      <c r="B949" s="6">
        <v>38001</v>
      </c>
      <c r="C949" s="6">
        <v>4</v>
      </c>
      <c r="D949" s="6">
        <v>0</v>
      </c>
      <c r="E949" s="6" t="str">
        <f t="shared" si="901"/>
        <v>308001:13</v>
      </c>
      <c r="F949" s="11" t="s">
        <v>379</v>
      </c>
      <c r="G949" s="6">
        <v>0</v>
      </c>
      <c r="H949" s="6">
        <v>0</v>
      </c>
      <c r="I949" s="6" t="s">
        <v>67</v>
      </c>
      <c r="K949" s="6" t="str">
        <f t="shared" si="897"/>
        <v>308001</v>
      </c>
      <c r="L949" s="4">
        <v>13</v>
      </c>
      <c r="M949" s="6" t="s">
        <v>617</v>
      </c>
      <c r="O949" s="15" t="str">
        <f>O948</f>
        <v>1.15</v>
      </c>
      <c r="P949" s="15" t="str">
        <f t="shared" ref="P949:S949" si="946">O949</f>
        <v>1.15</v>
      </c>
      <c r="Q949" s="15" t="str">
        <f t="shared" si="946"/>
        <v>1.15</v>
      </c>
      <c r="R949" s="15" t="str">
        <f>P949</f>
        <v>1.15</v>
      </c>
      <c r="S949" s="15" t="str">
        <f t="shared" si="946"/>
        <v>1.15</v>
      </c>
      <c r="T949" s="6" t="str">
        <f t="shared" si="900"/>
        <v>1|1.15#2|1.15#3|1.15#4|1.15#5|1.15</v>
      </c>
    </row>
    <row r="950" s="6" customFormat="1" ht="16.5" spans="1:20">
      <c r="A950" s="6">
        <v>1010956</v>
      </c>
      <c r="B950" s="6">
        <v>38001</v>
      </c>
      <c r="C950" s="6">
        <v>4</v>
      </c>
      <c r="D950" s="6">
        <v>1</v>
      </c>
      <c r="E950" s="6" t="str">
        <f t="shared" si="901"/>
        <v>308001:13</v>
      </c>
      <c r="F950" s="11" t="s">
        <v>381</v>
      </c>
      <c r="G950" s="6">
        <v>0</v>
      </c>
      <c r="H950" s="6">
        <v>0</v>
      </c>
      <c r="I950" s="6" t="s">
        <v>69</v>
      </c>
      <c r="K950" s="6" t="str">
        <f t="shared" si="897"/>
        <v>308001</v>
      </c>
      <c r="L950" s="4">
        <v>13</v>
      </c>
      <c r="M950" s="6" t="s">
        <v>617</v>
      </c>
      <c r="O950" s="13" t="str">
        <f t="shared" ref="O950:O954" si="947">RIGHT(F950,LEN(F950)-2)</f>
        <v>1.2</v>
      </c>
      <c r="P950" s="13" t="str">
        <f t="shared" ref="P950:S950" si="948">P949</f>
        <v>1.15</v>
      </c>
      <c r="Q950" s="13" t="str">
        <f t="shared" si="948"/>
        <v>1.15</v>
      </c>
      <c r="R950" s="13" t="str">
        <f t="shared" si="948"/>
        <v>1.15</v>
      </c>
      <c r="S950" s="13" t="str">
        <f t="shared" si="948"/>
        <v>1.15</v>
      </c>
      <c r="T950" s="6" t="str">
        <f t="shared" si="900"/>
        <v>1|1.2#2|1.15#3|1.15#4|1.15#5|1.15</v>
      </c>
    </row>
    <row r="951" s="6" customFormat="1" ht="16.5" spans="1:20">
      <c r="A951" s="6">
        <v>1010957</v>
      </c>
      <c r="B951" s="6">
        <v>38001</v>
      </c>
      <c r="C951" s="6">
        <v>4</v>
      </c>
      <c r="D951" s="6">
        <v>2</v>
      </c>
      <c r="E951" s="6" t="str">
        <f t="shared" si="901"/>
        <v>308001:13</v>
      </c>
      <c r="F951" s="11" t="s">
        <v>382</v>
      </c>
      <c r="G951" s="6">
        <v>0</v>
      </c>
      <c r="H951" s="6">
        <v>0</v>
      </c>
      <c r="I951" s="6" t="s">
        <v>71</v>
      </c>
      <c r="K951" s="6" t="str">
        <f t="shared" si="897"/>
        <v>308001</v>
      </c>
      <c r="L951" s="4">
        <v>13</v>
      </c>
      <c r="M951" s="6" t="s">
        <v>617</v>
      </c>
      <c r="O951" s="13" t="str">
        <f t="shared" si="947"/>
        <v>1.2</v>
      </c>
      <c r="P951" s="13" t="str">
        <f t="shared" ref="P951:P954" si="949">O951</f>
        <v>1.2</v>
      </c>
      <c r="Q951" s="13" t="str">
        <f t="shared" ref="Q951:S951" si="950">Q950</f>
        <v>1.15</v>
      </c>
      <c r="R951" s="13" t="str">
        <f t="shared" si="950"/>
        <v>1.15</v>
      </c>
      <c r="S951" s="13" t="str">
        <f t="shared" si="950"/>
        <v>1.15</v>
      </c>
      <c r="T951" s="6" t="str">
        <f t="shared" si="900"/>
        <v>1|1.2#2|1.2#3|1.15#4|1.15#5|1.15</v>
      </c>
    </row>
    <row r="952" s="6" customFormat="1" ht="16.5" spans="1:20">
      <c r="A952" s="6">
        <v>1010958</v>
      </c>
      <c r="B952" s="6">
        <v>38001</v>
      </c>
      <c r="C952" s="6">
        <v>4</v>
      </c>
      <c r="D952" s="6">
        <v>3</v>
      </c>
      <c r="E952" s="6" t="str">
        <f t="shared" si="901"/>
        <v>308001:17</v>
      </c>
      <c r="F952" s="11" t="s">
        <v>383</v>
      </c>
      <c r="G952" s="6">
        <v>0</v>
      </c>
      <c r="H952" s="6">
        <v>0</v>
      </c>
      <c r="I952" s="6" t="s">
        <v>73</v>
      </c>
      <c r="K952" s="6" t="str">
        <f t="shared" si="897"/>
        <v>308001</v>
      </c>
      <c r="L952" s="4">
        <v>17</v>
      </c>
      <c r="M952" s="6" t="s">
        <v>617</v>
      </c>
      <c r="O952" s="13" t="str">
        <f t="shared" si="947"/>
        <v>1.2</v>
      </c>
      <c r="P952" s="13" t="str">
        <f t="shared" si="949"/>
        <v>1.2</v>
      </c>
      <c r="Q952" s="13" t="str">
        <f t="shared" ref="Q952:Q954" si="951">P952</f>
        <v>1.2</v>
      </c>
      <c r="R952" s="13" t="str">
        <f>R951</f>
        <v>1.15</v>
      </c>
      <c r="S952" s="13" t="str">
        <f>S951</f>
        <v>1.15</v>
      </c>
      <c r="T952" s="6" t="str">
        <f t="shared" si="900"/>
        <v>1|1.2#2|1.2#3|1.2#4|1.15#5|1.15</v>
      </c>
    </row>
    <row r="953" s="6" customFormat="1" ht="16.5" spans="1:20">
      <c r="A953" s="6">
        <v>1010959</v>
      </c>
      <c r="B953" s="6">
        <v>38001</v>
      </c>
      <c r="C953" s="6">
        <v>4</v>
      </c>
      <c r="D953" s="6">
        <v>4</v>
      </c>
      <c r="E953" s="6" t="str">
        <f t="shared" si="901"/>
        <v>308001:17</v>
      </c>
      <c r="F953" s="11" t="s">
        <v>384</v>
      </c>
      <c r="G953" s="6">
        <v>0</v>
      </c>
      <c r="H953" s="6">
        <v>0</v>
      </c>
      <c r="I953" s="6" t="s">
        <v>75</v>
      </c>
      <c r="K953" s="6" t="str">
        <f t="shared" si="897"/>
        <v>308001</v>
      </c>
      <c r="L953" s="4">
        <v>17</v>
      </c>
      <c r="M953" s="6" t="s">
        <v>617</v>
      </c>
      <c r="O953" s="13" t="str">
        <f t="shared" si="947"/>
        <v>1.2</v>
      </c>
      <c r="P953" s="13" t="str">
        <f t="shared" si="949"/>
        <v>1.2</v>
      </c>
      <c r="Q953" s="13" t="str">
        <f t="shared" si="951"/>
        <v>1.2</v>
      </c>
      <c r="R953" s="13" t="str">
        <f>Q953</f>
        <v>1.2</v>
      </c>
      <c r="S953" s="13" t="str">
        <f>S952</f>
        <v>1.15</v>
      </c>
      <c r="T953" s="6" t="str">
        <f t="shared" si="900"/>
        <v>1|1.2#2|1.2#3|1.2#4|1.2#5|1.15</v>
      </c>
    </row>
    <row r="954" s="6" customFormat="1" ht="16.5" spans="1:20">
      <c r="A954" s="6">
        <v>1010960</v>
      </c>
      <c r="B954" s="6">
        <v>38001</v>
      </c>
      <c r="C954" s="6">
        <v>4</v>
      </c>
      <c r="D954" s="6">
        <v>5</v>
      </c>
      <c r="E954" s="6" t="str">
        <f t="shared" si="901"/>
        <v>308001:17</v>
      </c>
      <c r="F954" s="11" t="s">
        <v>385</v>
      </c>
      <c r="G954" s="6">
        <v>0</v>
      </c>
      <c r="H954" s="6">
        <v>0</v>
      </c>
      <c r="I954" s="6" t="s">
        <v>40</v>
      </c>
      <c r="K954" s="6" t="str">
        <f t="shared" si="897"/>
        <v>308001</v>
      </c>
      <c r="L954" s="4">
        <v>17</v>
      </c>
      <c r="M954" s="6" t="s">
        <v>333</v>
      </c>
      <c r="O954" s="13" t="str">
        <f t="shared" si="947"/>
        <v>1.2</v>
      </c>
      <c r="P954" s="13" t="str">
        <f t="shared" si="949"/>
        <v>1.2</v>
      </c>
      <c r="Q954" s="13" t="str">
        <f t="shared" si="951"/>
        <v>1.2</v>
      </c>
      <c r="R954" s="13" t="str">
        <f>Q954</f>
        <v>1.2</v>
      </c>
      <c r="S954" s="13" t="str">
        <f>R954</f>
        <v>1.2</v>
      </c>
      <c r="T954" s="6" t="str">
        <f t="shared" si="900"/>
        <v>1|1.2#2|1.2#3|1.2#4|1.2#5|1.2</v>
      </c>
    </row>
    <row r="955" s="6" customFormat="1" ht="16.5" spans="1:20">
      <c r="A955" s="6">
        <v>1010961</v>
      </c>
      <c r="B955" s="6">
        <v>38001</v>
      </c>
      <c r="C955" s="6">
        <v>4</v>
      </c>
      <c r="D955" s="6">
        <v>6</v>
      </c>
      <c r="E955" s="6" t="str">
        <f t="shared" si="901"/>
        <v>308001:60</v>
      </c>
      <c r="F955" s="11">
        <v>0</v>
      </c>
      <c r="G955" s="6">
        <v>11002</v>
      </c>
      <c r="H955" s="6" t="s">
        <v>407</v>
      </c>
      <c r="I955" s="6">
        <v>0</v>
      </c>
      <c r="K955" s="6" t="str">
        <f t="shared" si="897"/>
        <v>308001</v>
      </c>
      <c r="L955" s="13">
        <v>60</v>
      </c>
      <c r="M955" s="6" t="s">
        <v>613</v>
      </c>
      <c r="O955" s="13" t="str">
        <f t="shared" ref="O955:S955" si="952">O954</f>
        <v>1.2</v>
      </c>
      <c r="P955" s="13" t="str">
        <f t="shared" si="952"/>
        <v>1.2</v>
      </c>
      <c r="Q955" s="13" t="str">
        <f t="shared" si="952"/>
        <v>1.2</v>
      </c>
      <c r="R955" s="13" t="str">
        <f t="shared" si="952"/>
        <v>1.2</v>
      </c>
      <c r="S955" s="13" t="str">
        <f t="shared" si="952"/>
        <v>1.2</v>
      </c>
      <c r="T955" s="6" t="str">
        <f t="shared" si="900"/>
        <v>1|1.2#2|1.2#3|1.2#4|1.2#5|1.2</v>
      </c>
    </row>
    <row r="956" s="6" customFormat="1" ht="16.5" spans="1:20">
      <c r="A956" s="6">
        <v>1010962</v>
      </c>
      <c r="B956" s="6">
        <v>38001</v>
      </c>
      <c r="C956" s="6">
        <v>5</v>
      </c>
      <c r="D956" s="6">
        <v>0</v>
      </c>
      <c r="E956" s="6" t="str">
        <f t="shared" si="901"/>
        <v>308001:18</v>
      </c>
      <c r="F956" s="11" t="s">
        <v>386</v>
      </c>
      <c r="G956" s="6">
        <v>0</v>
      </c>
      <c r="H956" s="6">
        <v>0</v>
      </c>
      <c r="I956" s="6" t="s">
        <v>79</v>
      </c>
      <c r="K956" s="6" t="str">
        <f t="shared" si="897"/>
        <v>308001</v>
      </c>
      <c r="L956" s="4">
        <v>18</v>
      </c>
      <c r="M956" s="6" t="s">
        <v>618</v>
      </c>
      <c r="O956" s="15" t="str">
        <f>O955</f>
        <v>1.2</v>
      </c>
      <c r="P956" s="15" t="str">
        <f t="shared" ref="P956:S956" si="953">O956</f>
        <v>1.2</v>
      </c>
      <c r="Q956" s="15" t="str">
        <f t="shared" si="953"/>
        <v>1.2</v>
      </c>
      <c r="R956" s="15" t="str">
        <f>P956</f>
        <v>1.2</v>
      </c>
      <c r="S956" s="15" t="str">
        <f t="shared" si="953"/>
        <v>1.2</v>
      </c>
      <c r="T956" s="6" t="str">
        <f t="shared" si="900"/>
        <v>1|1.2#2|1.2#3|1.2#4|1.2#5|1.2</v>
      </c>
    </row>
    <row r="957" s="6" customFormat="1" ht="16.5" spans="1:20">
      <c r="A957" s="6">
        <v>1010963</v>
      </c>
      <c r="B957" s="6">
        <v>38001</v>
      </c>
      <c r="C957" s="6">
        <v>5</v>
      </c>
      <c r="D957" s="6">
        <v>1</v>
      </c>
      <c r="E957" s="6" t="str">
        <f t="shared" si="901"/>
        <v>308001:18</v>
      </c>
      <c r="F957" s="11" t="s">
        <v>388</v>
      </c>
      <c r="G957" s="6">
        <v>0</v>
      </c>
      <c r="H957" s="6">
        <v>0</v>
      </c>
      <c r="I957" s="6" t="s">
        <v>81</v>
      </c>
      <c r="K957" s="6" t="str">
        <f t="shared" si="897"/>
        <v>308001</v>
      </c>
      <c r="L957" s="4">
        <v>18</v>
      </c>
      <c r="M957" s="6" t="s">
        <v>618</v>
      </c>
      <c r="O957" s="13" t="str">
        <f t="shared" ref="O957:O961" si="954">RIGHT(F957,LEN(F957)-2)</f>
        <v>1.3</v>
      </c>
      <c r="P957" s="13" t="str">
        <f t="shared" ref="P957:S957" si="955">P956</f>
        <v>1.2</v>
      </c>
      <c r="Q957" s="13" t="str">
        <f t="shared" si="955"/>
        <v>1.2</v>
      </c>
      <c r="R957" s="13" t="str">
        <f t="shared" si="955"/>
        <v>1.2</v>
      </c>
      <c r="S957" s="13" t="str">
        <f t="shared" si="955"/>
        <v>1.2</v>
      </c>
      <c r="T957" s="6" t="str">
        <f t="shared" si="900"/>
        <v>1|1.3#2|1.2#3|1.2#4|1.2#5|1.2</v>
      </c>
    </row>
    <row r="958" s="6" customFormat="1" ht="16.5" spans="1:20">
      <c r="A958" s="6">
        <v>1010964</v>
      </c>
      <c r="B958" s="6">
        <v>38001</v>
      </c>
      <c r="C958" s="6">
        <v>5</v>
      </c>
      <c r="D958" s="6">
        <v>2</v>
      </c>
      <c r="E958" s="6" t="str">
        <f t="shared" si="901"/>
        <v>308001:18</v>
      </c>
      <c r="F958" s="11" t="s">
        <v>389</v>
      </c>
      <c r="G958" s="6">
        <v>0</v>
      </c>
      <c r="H958" s="6">
        <v>0</v>
      </c>
      <c r="I958" s="6" t="s">
        <v>83</v>
      </c>
      <c r="K958" s="6" t="str">
        <f t="shared" si="897"/>
        <v>308001</v>
      </c>
      <c r="L958" s="4">
        <v>18</v>
      </c>
      <c r="M958" s="6" t="s">
        <v>618</v>
      </c>
      <c r="O958" s="13" t="str">
        <f t="shared" si="954"/>
        <v>1.3</v>
      </c>
      <c r="P958" s="13" t="str">
        <f t="shared" ref="P958:P961" si="956">O958</f>
        <v>1.3</v>
      </c>
      <c r="Q958" s="13" t="str">
        <f t="shared" ref="Q958:S958" si="957">Q957</f>
        <v>1.2</v>
      </c>
      <c r="R958" s="13" t="str">
        <f t="shared" si="957"/>
        <v>1.2</v>
      </c>
      <c r="S958" s="13" t="str">
        <f t="shared" si="957"/>
        <v>1.2</v>
      </c>
      <c r="T958" s="6" t="str">
        <f t="shared" si="900"/>
        <v>1|1.3#2|1.3#3|1.2#4|1.2#5|1.2</v>
      </c>
    </row>
    <row r="959" s="6" customFormat="1" ht="16.5" spans="1:20">
      <c r="A959" s="6">
        <v>1010965</v>
      </c>
      <c r="B959" s="6">
        <v>38001</v>
      </c>
      <c r="C959" s="6">
        <v>5</v>
      </c>
      <c r="D959" s="6">
        <v>3</v>
      </c>
      <c r="E959" s="6" t="str">
        <f t="shared" si="901"/>
        <v>308001:22</v>
      </c>
      <c r="F959" s="11" t="s">
        <v>390</v>
      </c>
      <c r="G959" s="6">
        <v>0</v>
      </c>
      <c r="H959" s="6">
        <v>0</v>
      </c>
      <c r="I959" s="6" t="s">
        <v>85</v>
      </c>
      <c r="K959" s="6" t="str">
        <f t="shared" si="897"/>
        <v>308001</v>
      </c>
      <c r="L959" s="4">
        <v>22</v>
      </c>
      <c r="M959" s="6" t="s">
        <v>618</v>
      </c>
      <c r="O959" s="13" t="str">
        <f t="shared" si="954"/>
        <v>1.3</v>
      </c>
      <c r="P959" s="13" t="str">
        <f t="shared" si="956"/>
        <v>1.3</v>
      </c>
      <c r="Q959" s="13" t="str">
        <f t="shared" ref="Q959:Q961" si="958">P959</f>
        <v>1.3</v>
      </c>
      <c r="R959" s="13" t="str">
        <f>R958</f>
        <v>1.2</v>
      </c>
      <c r="S959" s="13" t="str">
        <f>S958</f>
        <v>1.2</v>
      </c>
      <c r="T959" s="6" t="str">
        <f t="shared" si="900"/>
        <v>1|1.3#2|1.3#3|1.3#4|1.2#5|1.2</v>
      </c>
    </row>
    <row r="960" s="6" customFormat="1" ht="16.5" spans="1:20">
      <c r="A960" s="6">
        <v>1010966</v>
      </c>
      <c r="B960" s="6">
        <v>38001</v>
      </c>
      <c r="C960" s="6">
        <v>5</v>
      </c>
      <c r="D960" s="6">
        <v>4</v>
      </c>
      <c r="E960" s="6" t="str">
        <f t="shared" si="901"/>
        <v>308001:22</v>
      </c>
      <c r="F960" s="11" t="s">
        <v>391</v>
      </c>
      <c r="G960" s="6">
        <v>0</v>
      </c>
      <c r="H960" s="6">
        <v>0</v>
      </c>
      <c r="I960" s="6" t="s">
        <v>87</v>
      </c>
      <c r="K960" s="6" t="str">
        <f t="shared" si="897"/>
        <v>308001</v>
      </c>
      <c r="L960" s="4">
        <v>22</v>
      </c>
      <c r="M960" s="6" t="s">
        <v>618</v>
      </c>
      <c r="O960" s="13" t="str">
        <f t="shared" si="954"/>
        <v>1.3</v>
      </c>
      <c r="P960" s="13" t="str">
        <f t="shared" si="956"/>
        <v>1.3</v>
      </c>
      <c r="Q960" s="13" t="str">
        <f t="shared" si="958"/>
        <v>1.3</v>
      </c>
      <c r="R960" s="13" t="str">
        <f>Q960</f>
        <v>1.3</v>
      </c>
      <c r="S960" s="13" t="str">
        <f>S959</f>
        <v>1.2</v>
      </c>
      <c r="T960" s="6" t="str">
        <f t="shared" si="900"/>
        <v>1|1.3#2|1.3#3|1.3#4|1.3#5|1.2</v>
      </c>
    </row>
    <row r="961" s="6" customFormat="1" ht="16.5" spans="1:20">
      <c r="A961" s="6">
        <v>1010967</v>
      </c>
      <c r="B961" s="6">
        <v>38001</v>
      </c>
      <c r="C961" s="6">
        <v>5</v>
      </c>
      <c r="D961" s="6">
        <v>5</v>
      </c>
      <c r="E961" s="6" t="str">
        <f t="shared" si="901"/>
        <v>308001:22</v>
      </c>
      <c r="F961" s="11" t="s">
        <v>392</v>
      </c>
      <c r="G961" s="6">
        <v>0</v>
      </c>
      <c r="H961" s="6">
        <v>0</v>
      </c>
      <c r="I961" s="6" t="s">
        <v>40</v>
      </c>
      <c r="K961" s="6" t="str">
        <f t="shared" si="897"/>
        <v>308001</v>
      </c>
      <c r="L961" s="4">
        <v>22</v>
      </c>
      <c r="M961" s="6" t="s">
        <v>619</v>
      </c>
      <c r="O961" s="13" t="str">
        <f t="shared" si="954"/>
        <v>1.3</v>
      </c>
      <c r="P961" s="13" t="str">
        <f t="shared" si="956"/>
        <v>1.3</v>
      </c>
      <c r="Q961" s="13" t="str">
        <f t="shared" si="958"/>
        <v>1.3</v>
      </c>
      <c r="R961" s="13" t="str">
        <f>Q961</f>
        <v>1.3</v>
      </c>
      <c r="S961" s="13" t="str">
        <f>R961</f>
        <v>1.3</v>
      </c>
      <c r="T961" s="6" t="str">
        <f t="shared" si="900"/>
        <v>1|1.3#2|1.3#3|1.3#4|1.3#5|1.3</v>
      </c>
    </row>
    <row r="962" s="6" customFormat="1" ht="16.5" spans="1:20">
      <c r="A962" s="6">
        <v>1010968</v>
      </c>
      <c r="B962" s="6">
        <v>38001</v>
      </c>
      <c r="C962" s="6">
        <v>5</v>
      </c>
      <c r="D962" s="6">
        <v>6</v>
      </c>
      <c r="E962" s="6" t="str">
        <f t="shared" si="901"/>
        <v>308001:60</v>
      </c>
      <c r="F962" s="11">
        <v>0</v>
      </c>
      <c r="G962" s="6">
        <v>11002</v>
      </c>
      <c r="H962" s="6" t="s">
        <v>407</v>
      </c>
      <c r="I962" s="6">
        <v>0</v>
      </c>
      <c r="K962" s="6" t="str">
        <f t="shared" si="897"/>
        <v>308001</v>
      </c>
      <c r="L962" s="13">
        <v>60</v>
      </c>
      <c r="M962" s="6" t="s">
        <v>613</v>
      </c>
      <c r="O962" s="13" t="str">
        <f t="shared" ref="O962:S962" si="959">O961</f>
        <v>1.3</v>
      </c>
      <c r="P962" s="13" t="str">
        <f t="shared" si="959"/>
        <v>1.3</v>
      </c>
      <c r="Q962" s="13" t="str">
        <f t="shared" si="959"/>
        <v>1.3</v>
      </c>
      <c r="R962" s="13" t="str">
        <f t="shared" si="959"/>
        <v>1.3</v>
      </c>
      <c r="S962" s="13" t="str">
        <f t="shared" si="959"/>
        <v>1.3</v>
      </c>
      <c r="T962" s="6" t="str">
        <f t="shared" si="900"/>
        <v>1|1.3#2|1.3#3|1.3#4|1.3#5|1.3</v>
      </c>
    </row>
    <row r="963" s="6" customFormat="1" ht="16.5" spans="1:20">
      <c r="A963" s="6">
        <v>1010969</v>
      </c>
      <c r="B963" s="6">
        <v>38001</v>
      </c>
      <c r="C963" s="6">
        <v>6</v>
      </c>
      <c r="D963" s="6">
        <v>0</v>
      </c>
      <c r="E963" s="6" t="str">
        <f t="shared" si="901"/>
        <v>308001:24</v>
      </c>
      <c r="F963" s="11" t="s">
        <v>394</v>
      </c>
      <c r="G963" s="6">
        <v>0</v>
      </c>
      <c r="H963" s="6">
        <v>0</v>
      </c>
      <c r="I963" s="6" t="s">
        <v>90</v>
      </c>
      <c r="K963" s="6" t="str">
        <f t="shared" si="897"/>
        <v>308001</v>
      </c>
      <c r="L963" s="4">
        <v>24</v>
      </c>
      <c r="M963" s="6" t="s">
        <v>620</v>
      </c>
      <c r="O963" s="15" t="str">
        <f>O962</f>
        <v>1.3</v>
      </c>
      <c r="P963" s="15" t="str">
        <f t="shared" ref="P963:S963" si="960">O963</f>
        <v>1.3</v>
      </c>
      <c r="Q963" s="15" t="str">
        <f t="shared" si="960"/>
        <v>1.3</v>
      </c>
      <c r="R963" s="15" t="str">
        <f>P963</f>
        <v>1.3</v>
      </c>
      <c r="S963" s="15" t="str">
        <f t="shared" si="960"/>
        <v>1.3</v>
      </c>
      <c r="T963" s="6" t="str">
        <f t="shared" si="900"/>
        <v>1|1.3#2|1.3#3|1.3#4|1.3#5|1.3</v>
      </c>
    </row>
    <row r="964" s="6" customFormat="1" ht="16.5" spans="1:20">
      <c r="A964" s="6">
        <v>1010970</v>
      </c>
      <c r="B964" s="6">
        <v>38001</v>
      </c>
      <c r="C964" s="6">
        <v>6</v>
      </c>
      <c r="D964" s="6">
        <v>1</v>
      </c>
      <c r="E964" s="6" t="str">
        <f t="shared" si="901"/>
        <v>308001:24</v>
      </c>
      <c r="F964" s="11" t="s">
        <v>396</v>
      </c>
      <c r="G964" s="6">
        <v>0</v>
      </c>
      <c r="H964" s="6">
        <v>0</v>
      </c>
      <c r="I964" s="6" t="s">
        <v>92</v>
      </c>
      <c r="K964" s="6" t="str">
        <f t="shared" si="897"/>
        <v>308001</v>
      </c>
      <c r="L964" s="4">
        <v>24</v>
      </c>
      <c r="M964" s="6" t="s">
        <v>620</v>
      </c>
      <c r="O964" s="13" t="str">
        <f t="shared" ref="O964:O968" si="961">RIGHT(F964,LEN(F964)-2)</f>
        <v>1.4</v>
      </c>
      <c r="P964" s="13" t="str">
        <f t="shared" ref="P964:S964" si="962">P963</f>
        <v>1.3</v>
      </c>
      <c r="Q964" s="13" t="str">
        <f t="shared" si="962"/>
        <v>1.3</v>
      </c>
      <c r="R964" s="13" t="str">
        <f t="shared" si="962"/>
        <v>1.3</v>
      </c>
      <c r="S964" s="13" t="str">
        <f t="shared" si="962"/>
        <v>1.3</v>
      </c>
      <c r="T964" s="6" t="str">
        <f t="shared" si="900"/>
        <v>1|1.4#2|1.3#3|1.3#4|1.3#5|1.3</v>
      </c>
    </row>
    <row r="965" s="6" customFormat="1" ht="16.5" spans="1:20">
      <c r="A965" s="6">
        <v>1010971</v>
      </c>
      <c r="B965" s="6">
        <v>38001</v>
      </c>
      <c r="C965" s="6">
        <v>6</v>
      </c>
      <c r="D965" s="6">
        <v>2</v>
      </c>
      <c r="E965" s="6" t="str">
        <f t="shared" si="901"/>
        <v>308001:24</v>
      </c>
      <c r="F965" s="11" t="s">
        <v>397</v>
      </c>
      <c r="G965" s="6">
        <v>0</v>
      </c>
      <c r="H965" s="6">
        <v>0</v>
      </c>
      <c r="I965" s="6" t="s">
        <v>94</v>
      </c>
      <c r="K965" s="6" t="str">
        <f t="shared" ref="K965:K1011" si="963">LEFT(M965,6)</f>
        <v>308001</v>
      </c>
      <c r="L965" s="4">
        <v>24</v>
      </c>
      <c r="M965" s="6" t="s">
        <v>620</v>
      </c>
      <c r="O965" s="13" t="str">
        <f t="shared" si="961"/>
        <v>1.4</v>
      </c>
      <c r="P965" s="13" t="str">
        <f t="shared" ref="P965:P968" si="964">O965</f>
        <v>1.4</v>
      </c>
      <c r="Q965" s="13" t="str">
        <f t="shared" ref="Q965:S965" si="965">Q964</f>
        <v>1.3</v>
      </c>
      <c r="R965" s="13" t="str">
        <f t="shared" si="965"/>
        <v>1.3</v>
      </c>
      <c r="S965" s="13" t="str">
        <f t="shared" si="965"/>
        <v>1.3</v>
      </c>
      <c r="T965" s="6" t="str">
        <f t="shared" ref="T965:T1011" si="966">$O$2&amp;$P$3&amp;O965&amp;$O$1&amp;$P$2&amp;$P$3&amp;P965&amp;$O$1&amp;$Q$2&amp;$P$3&amp;Q965&amp;$O$1&amp;$R$2&amp;$P$3&amp;R965&amp;$O$1&amp;$S$2&amp;$P$3&amp;S965</f>
        <v>1|1.4#2|1.4#3|1.3#4|1.3#5|1.3</v>
      </c>
    </row>
    <row r="966" s="6" customFormat="1" ht="16.5" spans="1:20">
      <c r="A966" s="6">
        <v>1010972</v>
      </c>
      <c r="B966" s="6">
        <v>38001</v>
      </c>
      <c r="C966" s="6">
        <v>6</v>
      </c>
      <c r="D966" s="6">
        <v>3</v>
      </c>
      <c r="E966" s="6" t="str">
        <f t="shared" ref="E966:E1011" si="967">K966&amp;$K$3&amp;L966</f>
        <v>308001:24</v>
      </c>
      <c r="F966" s="11" t="s">
        <v>398</v>
      </c>
      <c r="G966" s="6">
        <v>0</v>
      </c>
      <c r="H966" s="6">
        <v>0</v>
      </c>
      <c r="I966" s="6" t="s">
        <v>96</v>
      </c>
      <c r="K966" s="6" t="str">
        <f t="shared" si="963"/>
        <v>308001</v>
      </c>
      <c r="L966" s="4">
        <v>24</v>
      </c>
      <c r="M966" s="6" t="s">
        <v>620</v>
      </c>
      <c r="O966" s="13" t="str">
        <f t="shared" si="961"/>
        <v>1.4</v>
      </c>
      <c r="P966" s="13" t="str">
        <f t="shared" si="964"/>
        <v>1.4</v>
      </c>
      <c r="Q966" s="13" t="str">
        <f t="shared" ref="Q966:Q968" si="968">P966</f>
        <v>1.4</v>
      </c>
      <c r="R966" s="13" t="str">
        <f>R965</f>
        <v>1.3</v>
      </c>
      <c r="S966" s="13" t="str">
        <f t="shared" ref="S966:S973" si="969">S965</f>
        <v>1.3</v>
      </c>
      <c r="T966" s="6" t="str">
        <f t="shared" si="966"/>
        <v>1|1.4#2|1.4#3|1.4#4|1.3#5|1.3</v>
      </c>
    </row>
    <row r="967" s="6" customFormat="1" ht="16.5" spans="1:20">
      <c r="A967" s="6">
        <v>1010973</v>
      </c>
      <c r="B967" s="6">
        <v>38001</v>
      </c>
      <c r="C967" s="6">
        <v>6</v>
      </c>
      <c r="D967" s="6">
        <v>4</v>
      </c>
      <c r="E967" s="6" t="str">
        <f t="shared" si="967"/>
        <v>308001:24</v>
      </c>
      <c r="F967" s="11" t="s">
        <v>399</v>
      </c>
      <c r="G967" s="6">
        <v>0</v>
      </c>
      <c r="H967" s="6">
        <v>0</v>
      </c>
      <c r="I967" s="6" t="s">
        <v>98</v>
      </c>
      <c r="K967" s="6" t="str">
        <f t="shared" si="963"/>
        <v>308001</v>
      </c>
      <c r="L967" s="4">
        <v>24</v>
      </c>
      <c r="M967" s="6" t="s">
        <v>620</v>
      </c>
      <c r="O967" s="13" t="str">
        <f t="shared" si="961"/>
        <v>1.4</v>
      </c>
      <c r="P967" s="13" t="str">
        <f t="shared" si="964"/>
        <v>1.4</v>
      </c>
      <c r="Q967" s="13" t="str">
        <f t="shared" si="968"/>
        <v>1.4</v>
      </c>
      <c r="R967" s="13" t="str">
        <f>Q967</f>
        <v>1.4</v>
      </c>
      <c r="S967" s="13" t="str">
        <f t="shared" si="969"/>
        <v>1.3</v>
      </c>
      <c r="T967" s="6" t="str">
        <f t="shared" si="966"/>
        <v>1|1.4#2|1.4#3|1.4#4|1.4#5|1.3</v>
      </c>
    </row>
    <row r="968" s="6" customFormat="1" ht="16.5" spans="1:20">
      <c r="A968" s="6">
        <v>1010974</v>
      </c>
      <c r="B968" s="6">
        <v>38001</v>
      </c>
      <c r="C968" s="6">
        <v>6</v>
      </c>
      <c r="D968" s="6">
        <v>5</v>
      </c>
      <c r="E968" s="6" t="str">
        <f t="shared" si="967"/>
        <v>308001:60</v>
      </c>
      <c r="F968" s="11" t="s">
        <v>400</v>
      </c>
      <c r="G968" s="6">
        <v>0</v>
      </c>
      <c r="H968" s="6">
        <v>0</v>
      </c>
      <c r="I968" s="6" t="s">
        <v>40</v>
      </c>
      <c r="K968" s="6" t="str">
        <f t="shared" si="963"/>
        <v>308001</v>
      </c>
      <c r="L968" s="4">
        <v>60</v>
      </c>
      <c r="M968" s="6" t="s">
        <v>619</v>
      </c>
      <c r="O968" s="13" t="str">
        <f t="shared" si="961"/>
        <v>1.4</v>
      </c>
      <c r="P968" s="13" t="str">
        <f t="shared" si="964"/>
        <v>1.4</v>
      </c>
      <c r="Q968" s="13" t="str">
        <f t="shared" si="968"/>
        <v>1.4</v>
      </c>
      <c r="R968" s="13" t="str">
        <f>Q968</f>
        <v>1.4</v>
      </c>
      <c r="S968" s="13" t="str">
        <f>R968</f>
        <v>1.4</v>
      </c>
      <c r="T968" s="6" t="str">
        <f t="shared" si="966"/>
        <v>1|1.4#2|1.4#3|1.4#4|1.4#5|1.4</v>
      </c>
    </row>
    <row r="969" s="6" customFormat="1" ht="16.5" spans="1:20">
      <c r="A969" s="6">
        <v>1010975</v>
      </c>
      <c r="B969" s="6">
        <v>38001</v>
      </c>
      <c r="C969" s="6">
        <v>6</v>
      </c>
      <c r="D969" s="6">
        <v>6</v>
      </c>
      <c r="E969" s="6" t="str">
        <f t="shared" si="967"/>
        <v>308001:0</v>
      </c>
      <c r="F969" s="11">
        <v>0</v>
      </c>
      <c r="G969" s="6">
        <v>11002</v>
      </c>
      <c r="H969" s="6" t="s">
        <v>407</v>
      </c>
      <c r="I969" s="6">
        <v>0</v>
      </c>
      <c r="K969" s="6" t="str">
        <f t="shared" si="963"/>
        <v>308001</v>
      </c>
      <c r="L969" s="4">
        <v>0</v>
      </c>
      <c r="M969" s="6" t="s">
        <v>613</v>
      </c>
      <c r="O969" s="13" t="str">
        <f t="shared" ref="O969:S969" si="970">O968</f>
        <v>1.4</v>
      </c>
      <c r="P969" s="13" t="str">
        <f t="shared" si="970"/>
        <v>1.4</v>
      </c>
      <c r="Q969" s="13" t="str">
        <f t="shared" si="970"/>
        <v>1.4</v>
      </c>
      <c r="R969" s="13" t="str">
        <f t="shared" si="970"/>
        <v>1.4</v>
      </c>
      <c r="S969" s="13" t="str">
        <f t="shared" si="970"/>
        <v>1.4</v>
      </c>
      <c r="T969" s="6" t="str">
        <f t="shared" si="966"/>
        <v>1|1.4#2|1.4#3|1.4#4|1.4#5|1.4</v>
      </c>
    </row>
    <row r="970" s="6" customFormat="1" ht="16.5" spans="1:20">
      <c r="A970" s="6">
        <v>1010976</v>
      </c>
      <c r="B970" s="6">
        <v>38002</v>
      </c>
      <c r="C970" s="6">
        <v>1</v>
      </c>
      <c r="D970" s="6">
        <v>0</v>
      </c>
      <c r="E970" s="6" t="str">
        <f t="shared" si="967"/>
        <v>308002:2</v>
      </c>
      <c r="F970" s="11" t="s">
        <v>356</v>
      </c>
      <c r="G970" s="6">
        <v>0</v>
      </c>
      <c r="H970" s="6">
        <v>0</v>
      </c>
      <c r="I970" s="6" t="s">
        <v>25</v>
      </c>
      <c r="K970" s="6" t="str">
        <f t="shared" si="963"/>
        <v>308002</v>
      </c>
      <c r="L970" s="4">
        <v>2</v>
      </c>
      <c r="M970" s="6" t="s">
        <v>621</v>
      </c>
      <c r="O970" s="13">
        <v>1</v>
      </c>
      <c r="P970" s="13">
        <f t="shared" ref="P970:S970" si="971">O970</f>
        <v>1</v>
      </c>
      <c r="Q970" s="13">
        <f t="shared" si="971"/>
        <v>1</v>
      </c>
      <c r="R970" s="13">
        <f>P970</f>
        <v>1</v>
      </c>
      <c r="S970" s="13">
        <f t="shared" si="971"/>
        <v>1</v>
      </c>
      <c r="T970" s="6" t="str">
        <f t="shared" si="966"/>
        <v>1|1#2|1#3|1#4|1#5|1</v>
      </c>
    </row>
    <row r="971" s="6" customFormat="1" ht="16.5" spans="1:20">
      <c r="A971" s="6">
        <v>1010977</v>
      </c>
      <c r="B971" s="6">
        <v>38002</v>
      </c>
      <c r="C971" s="6">
        <v>1</v>
      </c>
      <c r="D971" s="6">
        <v>1</v>
      </c>
      <c r="E971" s="6" t="str">
        <f t="shared" si="967"/>
        <v>308002:2</v>
      </c>
      <c r="F971" s="11" t="s">
        <v>358</v>
      </c>
      <c r="G971" s="6">
        <v>0</v>
      </c>
      <c r="H971" s="6">
        <v>0</v>
      </c>
      <c r="I971" s="6" t="s">
        <v>28</v>
      </c>
      <c r="K971" s="6" t="str">
        <f t="shared" si="963"/>
        <v>308002</v>
      </c>
      <c r="L971" s="4">
        <v>2</v>
      </c>
      <c r="M971" s="6" t="s">
        <v>621</v>
      </c>
      <c r="O971" s="13" t="str">
        <f t="shared" ref="O971:O975" si="972">RIGHT(F971,LEN(F971)-2)</f>
        <v>1.05</v>
      </c>
      <c r="P971" s="13">
        <v>1</v>
      </c>
      <c r="Q971" s="13">
        <f>Q970</f>
        <v>1</v>
      </c>
      <c r="R971" s="13">
        <f>R970</f>
        <v>1</v>
      </c>
      <c r="S971" s="13">
        <f t="shared" si="969"/>
        <v>1</v>
      </c>
      <c r="T971" s="6" t="str">
        <f t="shared" si="966"/>
        <v>1|1.05#2|1#3|1#4|1#5|1</v>
      </c>
    </row>
    <row r="972" s="6" customFormat="1" ht="16.5" spans="1:20">
      <c r="A972" s="6">
        <v>1010978</v>
      </c>
      <c r="B972" s="6">
        <v>38002</v>
      </c>
      <c r="C972" s="6">
        <v>1</v>
      </c>
      <c r="D972" s="6">
        <v>2</v>
      </c>
      <c r="E972" s="6" t="str">
        <f t="shared" si="967"/>
        <v>308002:2</v>
      </c>
      <c r="F972" s="11" t="s">
        <v>359</v>
      </c>
      <c r="G972" s="6">
        <v>0</v>
      </c>
      <c r="H972" s="6">
        <v>0</v>
      </c>
      <c r="I972" s="6" t="s">
        <v>31</v>
      </c>
      <c r="K972" s="6" t="str">
        <f t="shared" si="963"/>
        <v>308002</v>
      </c>
      <c r="L972" s="4">
        <v>2</v>
      </c>
      <c r="M972" s="6" t="s">
        <v>621</v>
      </c>
      <c r="O972" s="13" t="str">
        <f t="shared" si="972"/>
        <v>1.05</v>
      </c>
      <c r="P972" s="13" t="str">
        <f t="shared" ref="P972:P975" si="973">O972</f>
        <v>1.05</v>
      </c>
      <c r="Q972" s="13">
        <v>1</v>
      </c>
      <c r="R972" s="13">
        <f>R971</f>
        <v>1</v>
      </c>
      <c r="S972" s="13">
        <f t="shared" si="969"/>
        <v>1</v>
      </c>
      <c r="T972" s="6" t="str">
        <f t="shared" si="966"/>
        <v>1|1.05#2|1.05#3|1#4|1#5|1</v>
      </c>
    </row>
    <row r="973" s="6" customFormat="1" ht="16.5" spans="1:20">
      <c r="A973" s="6">
        <v>1010979</v>
      </c>
      <c r="B973" s="6">
        <v>38002</v>
      </c>
      <c r="C973" s="6">
        <v>1</v>
      </c>
      <c r="D973" s="6">
        <v>3</v>
      </c>
      <c r="E973" s="6" t="str">
        <f t="shared" si="967"/>
        <v>308002:3</v>
      </c>
      <c r="F973" s="11" t="s">
        <v>360</v>
      </c>
      <c r="G973" s="6">
        <v>0</v>
      </c>
      <c r="H973" s="6">
        <v>0</v>
      </c>
      <c r="I973" s="6" t="s">
        <v>34</v>
      </c>
      <c r="K973" s="6" t="str">
        <f t="shared" si="963"/>
        <v>308002</v>
      </c>
      <c r="L973" s="4">
        <v>3</v>
      </c>
      <c r="M973" s="6" t="s">
        <v>621</v>
      </c>
      <c r="O973" s="13" t="str">
        <f t="shared" si="972"/>
        <v>1.05</v>
      </c>
      <c r="P973" s="13" t="str">
        <f t="shared" si="973"/>
        <v>1.05</v>
      </c>
      <c r="Q973" s="13" t="str">
        <f t="shared" ref="Q973:Q975" si="974">P973</f>
        <v>1.05</v>
      </c>
      <c r="R973" s="13">
        <v>1</v>
      </c>
      <c r="S973" s="13">
        <f t="shared" si="969"/>
        <v>1</v>
      </c>
      <c r="T973" s="6" t="str">
        <f t="shared" si="966"/>
        <v>1|1.05#2|1.05#3|1.05#4|1#5|1</v>
      </c>
    </row>
    <row r="974" s="6" customFormat="1" ht="16.5" spans="1:20">
      <c r="A974" s="6">
        <v>1010980</v>
      </c>
      <c r="B974" s="6">
        <v>38002</v>
      </c>
      <c r="C974" s="6">
        <v>1</v>
      </c>
      <c r="D974" s="6">
        <v>4</v>
      </c>
      <c r="E974" s="6" t="str">
        <f t="shared" si="967"/>
        <v>308002:3</v>
      </c>
      <c r="F974" s="11" t="s">
        <v>361</v>
      </c>
      <c r="G974" s="6">
        <v>0</v>
      </c>
      <c r="H974" s="6">
        <v>0</v>
      </c>
      <c r="I974" s="6" t="s">
        <v>37</v>
      </c>
      <c r="K974" s="6" t="str">
        <f t="shared" si="963"/>
        <v>308002</v>
      </c>
      <c r="L974" s="4">
        <v>3</v>
      </c>
      <c r="M974" s="6" t="s">
        <v>621</v>
      </c>
      <c r="O974" s="13" t="str">
        <f t="shared" si="972"/>
        <v>1.05</v>
      </c>
      <c r="P974" s="13" t="str">
        <f t="shared" si="973"/>
        <v>1.05</v>
      </c>
      <c r="Q974" s="13" t="str">
        <f t="shared" si="974"/>
        <v>1.05</v>
      </c>
      <c r="R974" s="13" t="str">
        <f>Q974</f>
        <v>1.05</v>
      </c>
      <c r="S974" s="13">
        <v>1</v>
      </c>
      <c r="T974" s="6" t="str">
        <f t="shared" si="966"/>
        <v>1|1.05#2|1.05#3|1.05#4|1.05#5|1</v>
      </c>
    </row>
    <row r="975" s="6" customFormat="1" ht="16.5" spans="1:20">
      <c r="A975" s="6">
        <v>1010981</v>
      </c>
      <c r="B975" s="6">
        <v>38002</v>
      </c>
      <c r="C975" s="6">
        <v>1</v>
      </c>
      <c r="D975" s="6">
        <v>5</v>
      </c>
      <c r="E975" s="6" t="str">
        <f t="shared" si="967"/>
        <v>308002:3</v>
      </c>
      <c r="F975" s="11" t="s">
        <v>362</v>
      </c>
      <c r="G975" s="6">
        <v>0</v>
      </c>
      <c r="H975" s="6">
        <v>0</v>
      </c>
      <c r="I975" s="6" t="s">
        <v>40</v>
      </c>
      <c r="K975" s="6" t="str">
        <f t="shared" si="963"/>
        <v>308002</v>
      </c>
      <c r="L975" s="4">
        <v>3</v>
      </c>
      <c r="M975" s="6" t="s">
        <v>622</v>
      </c>
      <c r="O975" s="13" t="str">
        <f t="shared" si="972"/>
        <v>1.05</v>
      </c>
      <c r="P975" s="13" t="str">
        <f t="shared" si="973"/>
        <v>1.05</v>
      </c>
      <c r="Q975" s="13" t="str">
        <f t="shared" si="974"/>
        <v>1.05</v>
      </c>
      <c r="R975" s="13" t="str">
        <f>Q975</f>
        <v>1.05</v>
      </c>
      <c r="S975" s="13" t="str">
        <f>R975</f>
        <v>1.05</v>
      </c>
      <c r="T975" s="6" t="str">
        <f t="shared" si="966"/>
        <v>1|1.05#2|1.05#3|1.05#4|1.05#5|1.05</v>
      </c>
    </row>
    <row r="976" s="6" customFormat="1" ht="16.5" spans="1:20">
      <c r="A976" s="6">
        <v>1010982</v>
      </c>
      <c r="B976" s="6">
        <v>38002</v>
      </c>
      <c r="C976" s="6">
        <v>1</v>
      </c>
      <c r="D976" s="6">
        <v>6</v>
      </c>
      <c r="E976" s="6" t="str">
        <f t="shared" si="967"/>
        <v>308002:5</v>
      </c>
      <c r="F976" s="11">
        <v>0</v>
      </c>
      <c r="G976" s="6">
        <v>11002</v>
      </c>
      <c r="H976" s="6" t="s">
        <v>407</v>
      </c>
      <c r="I976" s="6">
        <v>0</v>
      </c>
      <c r="K976" s="6" t="str">
        <f t="shared" si="963"/>
        <v>308002</v>
      </c>
      <c r="L976" s="13">
        <v>5</v>
      </c>
      <c r="M976" s="6" t="s">
        <v>623</v>
      </c>
      <c r="O976" s="13" t="str">
        <f t="shared" ref="O976:S976" si="975">O975</f>
        <v>1.05</v>
      </c>
      <c r="P976" s="13" t="str">
        <f t="shared" si="975"/>
        <v>1.05</v>
      </c>
      <c r="Q976" s="13" t="str">
        <f t="shared" si="975"/>
        <v>1.05</v>
      </c>
      <c r="R976" s="13" t="str">
        <f t="shared" si="975"/>
        <v>1.05</v>
      </c>
      <c r="S976" s="13" t="str">
        <f t="shared" si="975"/>
        <v>1.05</v>
      </c>
      <c r="T976" s="6" t="str">
        <f t="shared" si="966"/>
        <v>1|1.05#2|1.05#3|1.05#4|1.05#5|1.05</v>
      </c>
    </row>
    <row r="977" s="6" customFormat="1" ht="16.5" spans="1:20">
      <c r="A977" s="6">
        <v>1010983</v>
      </c>
      <c r="B977" s="6">
        <v>38002</v>
      </c>
      <c r="C977" s="6">
        <v>2</v>
      </c>
      <c r="D977" s="6">
        <v>0</v>
      </c>
      <c r="E977" s="6" t="str">
        <f t="shared" si="967"/>
        <v>308002:5</v>
      </c>
      <c r="F977" s="11" t="s">
        <v>364</v>
      </c>
      <c r="G977" s="6">
        <v>0</v>
      </c>
      <c r="H977" s="6">
        <v>0</v>
      </c>
      <c r="I977" s="6" t="s">
        <v>43</v>
      </c>
      <c r="K977" s="6" t="str">
        <f t="shared" si="963"/>
        <v>308002</v>
      </c>
      <c r="L977" s="4">
        <v>5</v>
      </c>
      <c r="M977" s="6" t="s">
        <v>624</v>
      </c>
      <c r="O977" s="15" t="str">
        <f>O976</f>
        <v>1.05</v>
      </c>
      <c r="P977" s="15" t="str">
        <f t="shared" ref="P977:S977" si="976">O977</f>
        <v>1.05</v>
      </c>
      <c r="Q977" s="15" t="str">
        <f t="shared" si="976"/>
        <v>1.05</v>
      </c>
      <c r="R977" s="15" t="str">
        <f>P977</f>
        <v>1.05</v>
      </c>
      <c r="S977" s="15" t="str">
        <f t="shared" si="976"/>
        <v>1.05</v>
      </c>
      <c r="T977" s="6" t="str">
        <f t="shared" si="966"/>
        <v>1|1.05#2|1.05#3|1.05#4|1.05#5|1.05</v>
      </c>
    </row>
    <row r="978" s="6" customFormat="1" ht="16.5" spans="1:20">
      <c r="A978" s="6">
        <v>1010984</v>
      </c>
      <c r="B978" s="6">
        <v>38002</v>
      </c>
      <c r="C978" s="6">
        <v>2</v>
      </c>
      <c r="D978" s="6">
        <v>1</v>
      </c>
      <c r="E978" s="6" t="str">
        <f t="shared" si="967"/>
        <v>308002:5</v>
      </c>
      <c r="F978" s="11" t="s">
        <v>366</v>
      </c>
      <c r="G978" s="6">
        <v>0</v>
      </c>
      <c r="H978" s="6">
        <v>0</v>
      </c>
      <c r="I978" s="6" t="s">
        <v>45</v>
      </c>
      <c r="K978" s="6" t="str">
        <f t="shared" si="963"/>
        <v>308002</v>
      </c>
      <c r="L978" s="4">
        <v>5</v>
      </c>
      <c r="M978" s="6" t="s">
        <v>624</v>
      </c>
      <c r="O978" s="13" t="str">
        <f t="shared" ref="O978:O982" si="977">RIGHT(F978,LEN(F978)-2)</f>
        <v>1.1</v>
      </c>
      <c r="P978" s="13">
        <v>1.05</v>
      </c>
      <c r="Q978" s="13" t="str">
        <f t="shared" ref="Q978:S978" si="978">Q977</f>
        <v>1.05</v>
      </c>
      <c r="R978" s="13" t="str">
        <f t="shared" si="978"/>
        <v>1.05</v>
      </c>
      <c r="S978" s="13" t="str">
        <f t="shared" si="978"/>
        <v>1.05</v>
      </c>
      <c r="T978" s="6" t="str">
        <f t="shared" si="966"/>
        <v>1|1.1#2|1.05#3|1.05#4|1.05#5|1.05</v>
      </c>
    </row>
    <row r="979" s="6" customFormat="1" ht="16.5" spans="1:20">
      <c r="A979" s="6">
        <v>1010985</v>
      </c>
      <c r="B979" s="6">
        <v>38002</v>
      </c>
      <c r="C979" s="6">
        <v>2</v>
      </c>
      <c r="D979" s="6">
        <v>2</v>
      </c>
      <c r="E979" s="6" t="str">
        <f t="shared" si="967"/>
        <v>308002:5</v>
      </c>
      <c r="F979" s="11" t="s">
        <v>367</v>
      </c>
      <c r="G979" s="6">
        <v>0</v>
      </c>
      <c r="H979" s="6">
        <v>0</v>
      </c>
      <c r="I979" s="6" t="s">
        <v>47</v>
      </c>
      <c r="K979" s="6" t="str">
        <f t="shared" si="963"/>
        <v>308002</v>
      </c>
      <c r="L979" s="4">
        <v>5</v>
      </c>
      <c r="M979" s="6" t="s">
        <v>624</v>
      </c>
      <c r="O979" s="13" t="str">
        <f t="shared" si="977"/>
        <v>1.1</v>
      </c>
      <c r="P979" s="13" t="str">
        <f t="shared" ref="P979:P982" si="979">O979</f>
        <v>1.1</v>
      </c>
      <c r="Q979" s="13">
        <v>1.05</v>
      </c>
      <c r="R979" s="13" t="str">
        <f>R978</f>
        <v>1.05</v>
      </c>
      <c r="S979" s="13" t="str">
        <f>S978</f>
        <v>1.05</v>
      </c>
      <c r="T979" s="6" t="str">
        <f t="shared" si="966"/>
        <v>1|1.1#2|1.1#3|1.05#4|1.05#5|1.05</v>
      </c>
    </row>
    <row r="980" s="6" customFormat="1" ht="16.5" spans="1:20">
      <c r="A980" s="6">
        <v>1010986</v>
      </c>
      <c r="B980" s="6">
        <v>38002</v>
      </c>
      <c r="C980" s="6">
        <v>2</v>
      </c>
      <c r="D980" s="6">
        <v>3</v>
      </c>
      <c r="E980" s="6" t="str">
        <f t="shared" si="967"/>
        <v>308002:6</v>
      </c>
      <c r="F980" s="11" t="s">
        <v>368</v>
      </c>
      <c r="G980" s="6">
        <v>0</v>
      </c>
      <c r="H980" s="6">
        <v>0</v>
      </c>
      <c r="I980" s="6" t="s">
        <v>49</v>
      </c>
      <c r="K980" s="6" t="str">
        <f t="shared" si="963"/>
        <v>308002</v>
      </c>
      <c r="L980" s="4">
        <v>6</v>
      </c>
      <c r="M980" s="6" t="s">
        <v>624</v>
      </c>
      <c r="O980" s="13" t="str">
        <f t="shared" si="977"/>
        <v>1.1</v>
      </c>
      <c r="P980" s="13" t="str">
        <f t="shared" si="979"/>
        <v>1.1</v>
      </c>
      <c r="Q980" s="13" t="str">
        <f t="shared" ref="Q980:Q982" si="980">P980</f>
        <v>1.1</v>
      </c>
      <c r="R980" s="13">
        <v>1.05</v>
      </c>
      <c r="S980" s="13" t="str">
        <f>S979</f>
        <v>1.05</v>
      </c>
      <c r="T980" s="6" t="str">
        <f t="shared" si="966"/>
        <v>1|1.1#2|1.1#3|1.1#4|1.05#5|1.05</v>
      </c>
    </row>
    <row r="981" s="6" customFormat="1" ht="16.5" spans="1:20">
      <c r="A981" s="6">
        <v>1010987</v>
      </c>
      <c r="B981" s="6">
        <v>38002</v>
      </c>
      <c r="C981" s="6">
        <v>2</v>
      </c>
      <c r="D981" s="6">
        <v>4</v>
      </c>
      <c r="E981" s="6" t="str">
        <f t="shared" si="967"/>
        <v>308002:6</v>
      </c>
      <c r="F981" s="11" t="s">
        <v>369</v>
      </c>
      <c r="G981" s="6">
        <v>0</v>
      </c>
      <c r="H981" s="6">
        <v>0</v>
      </c>
      <c r="I981" s="6" t="s">
        <v>51</v>
      </c>
      <c r="K981" s="6" t="str">
        <f t="shared" si="963"/>
        <v>308002</v>
      </c>
      <c r="L981" s="4">
        <v>6</v>
      </c>
      <c r="M981" s="6" t="s">
        <v>624</v>
      </c>
      <c r="O981" s="13" t="str">
        <f t="shared" si="977"/>
        <v>1.1</v>
      </c>
      <c r="P981" s="13" t="str">
        <f t="shared" si="979"/>
        <v>1.1</v>
      </c>
      <c r="Q981" s="13" t="str">
        <f t="shared" si="980"/>
        <v>1.1</v>
      </c>
      <c r="R981" s="13" t="str">
        <f>Q981</f>
        <v>1.1</v>
      </c>
      <c r="S981" s="13">
        <v>1.05</v>
      </c>
      <c r="T981" s="6" t="str">
        <f t="shared" si="966"/>
        <v>1|1.1#2|1.1#3|1.1#4|1.1#5|1.05</v>
      </c>
    </row>
    <row r="982" s="6" customFormat="1" ht="16.5" spans="1:20">
      <c r="A982" s="6">
        <v>1010988</v>
      </c>
      <c r="B982" s="6">
        <v>38002</v>
      </c>
      <c r="C982" s="6">
        <v>2</v>
      </c>
      <c r="D982" s="6">
        <v>5</v>
      </c>
      <c r="E982" s="6" t="str">
        <f t="shared" si="967"/>
        <v>308002:6</v>
      </c>
      <c r="F982" s="11" t="s">
        <v>370</v>
      </c>
      <c r="G982" s="6">
        <v>0</v>
      </c>
      <c r="H982" s="6">
        <v>0</v>
      </c>
      <c r="I982" s="6" t="s">
        <v>40</v>
      </c>
      <c r="K982" s="6" t="str">
        <f t="shared" si="963"/>
        <v>308002</v>
      </c>
      <c r="L982" s="4">
        <v>6</v>
      </c>
      <c r="M982" s="6" t="s">
        <v>342</v>
      </c>
      <c r="O982" s="13" t="str">
        <f t="shared" si="977"/>
        <v>1.1</v>
      </c>
      <c r="P982" s="13" t="str">
        <f t="shared" si="979"/>
        <v>1.1</v>
      </c>
      <c r="Q982" s="13" t="str">
        <f t="shared" si="980"/>
        <v>1.1</v>
      </c>
      <c r="R982" s="13" t="str">
        <f>Q982</f>
        <v>1.1</v>
      </c>
      <c r="S982" s="13" t="str">
        <f>R982</f>
        <v>1.1</v>
      </c>
      <c r="T982" s="6" t="str">
        <f t="shared" si="966"/>
        <v>1|1.1#2|1.1#3|1.1#4|1.1#5|1.1</v>
      </c>
    </row>
    <row r="983" s="6" customFormat="1" ht="16.5" spans="1:20">
      <c r="A983" s="6">
        <v>1010989</v>
      </c>
      <c r="B983" s="6">
        <v>38002</v>
      </c>
      <c r="C983" s="6">
        <v>2</v>
      </c>
      <c r="D983" s="6">
        <v>6</v>
      </c>
      <c r="E983" s="6" t="str">
        <f t="shared" si="967"/>
        <v>308002:7</v>
      </c>
      <c r="F983" s="11">
        <v>0</v>
      </c>
      <c r="G983" s="6">
        <v>11002</v>
      </c>
      <c r="H983" s="6" t="s">
        <v>407</v>
      </c>
      <c r="I983" s="6">
        <v>0</v>
      </c>
      <c r="K983" s="6" t="str">
        <f t="shared" si="963"/>
        <v>308002</v>
      </c>
      <c r="L983" s="13">
        <v>7</v>
      </c>
      <c r="M983" s="6" t="s">
        <v>623</v>
      </c>
      <c r="O983" s="13" t="str">
        <f t="shared" ref="O983:S983" si="981">O982</f>
        <v>1.1</v>
      </c>
      <c r="P983" s="13" t="str">
        <f t="shared" si="981"/>
        <v>1.1</v>
      </c>
      <c r="Q983" s="13" t="str">
        <f t="shared" si="981"/>
        <v>1.1</v>
      </c>
      <c r="R983" s="13" t="str">
        <f t="shared" si="981"/>
        <v>1.1</v>
      </c>
      <c r="S983" s="13" t="str">
        <f t="shared" si="981"/>
        <v>1.1</v>
      </c>
      <c r="T983" s="6" t="str">
        <f t="shared" si="966"/>
        <v>1|1.1#2|1.1#3|1.1#4|1.1#5|1.1</v>
      </c>
    </row>
    <row r="984" s="6" customFormat="1" ht="16.5" spans="1:20">
      <c r="A984" s="6">
        <v>1010990</v>
      </c>
      <c r="B984" s="6">
        <v>38002</v>
      </c>
      <c r="C984" s="6">
        <v>3</v>
      </c>
      <c r="D984" s="6">
        <v>0</v>
      </c>
      <c r="E984" s="6" t="str">
        <f t="shared" si="967"/>
        <v>308002:9</v>
      </c>
      <c r="F984" s="11" t="s">
        <v>371</v>
      </c>
      <c r="G984" s="6">
        <v>0</v>
      </c>
      <c r="H984" s="6">
        <v>0</v>
      </c>
      <c r="I984" s="6" t="s">
        <v>55</v>
      </c>
      <c r="K984" s="6" t="str">
        <f t="shared" si="963"/>
        <v>308002</v>
      </c>
      <c r="L984" s="4">
        <v>9</v>
      </c>
      <c r="M984" s="6" t="s">
        <v>625</v>
      </c>
      <c r="O984" s="15" t="str">
        <f>O983</f>
        <v>1.1</v>
      </c>
      <c r="P984" s="15" t="str">
        <f t="shared" ref="P984:S984" si="982">O984</f>
        <v>1.1</v>
      </c>
      <c r="Q984" s="15" t="str">
        <f t="shared" si="982"/>
        <v>1.1</v>
      </c>
      <c r="R984" s="15" t="str">
        <f>P984</f>
        <v>1.1</v>
      </c>
      <c r="S984" s="15" t="str">
        <f t="shared" si="982"/>
        <v>1.1</v>
      </c>
      <c r="T984" s="6" t="str">
        <f t="shared" si="966"/>
        <v>1|1.1#2|1.1#3|1.1#4|1.1#5|1.1</v>
      </c>
    </row>
    <row r="985" s="6" customFormat="1" ht="16.5" spans="1:20">
      <c r="A985" s="6">
        <v>1010991</v>
      </c>
      <c r="B985" s="6">
        <v>38002</v>
      </c>
      <c r="C985" s="6">
        <v>3</v>
      </c>
      <c r="D985" s="6">
        <v>1</v>
      </c>
      <c r="E985" s="6" t="str">
        <f t="shared" si="967"/>
        <v>308002:9</v>
      </c>
      <c r="F985" s="11" t="s">
        <v>373</v>
      </c>
      <c r="G985" s="6">
        <v>0</v>
      </c>
      <c r="H985" s="6">
        <v>0</v>
      </c>
      <c r="I985" s="6" t="s">
        <v>57</v>
      </c>
      <c r="K985" s="6" t="str">
        <f t="shared" si="963"/>
        <v>308002</v>
      </c>
      <c r="L985" s="4">
        <v>9</v>
      </c>
      <c r="M985" s="6" t="s">
        <v>625</v>
      </c>
      <c r="O985" s="13" t="str">
        <f t="shared" ref="O985:O989" si="983">RIGHT(F985,LEN(F985)-2)</f>
        <v>1.15</v>
      </c>
      <c r="P985" s="13" t="str">
        <f t="shared" ref="P985:S985" si="984">P984</f>
        <v>1.1</v>
      </c>
      <c r="Q985" s="13" t="str">
        <f t="shared" si="984"/>
        <v>1.1</v>
      </c>
      <c r="R985" s="13" t="str">
        <f t="shared" si="984"/>
        <v>1.1</v>
      </c>
      <c r="S985" s="13" t="str">
        <f t="shared" si="984"/>
        <v>1.1</v>
      </c>
      <c r="T985" s="6" t="str">
        <f t="shared" si="966"/>
        <v>1|1.15#2|1.1#3|1.1#4|1.1#5|1.1</v>
      </c>
    </row>
    <row r="986" s="6" customFormat="1" ht="16.5" spans="1:20">
      <c r="A986" s="6">
        <v>1010992</v>
      </c>
      <c r="B986" s="6">
        <v>38002</v>
      </c>
      <c r="C986" s="6">
        <v>3</v>
      </c>
      <c r="D986" s="6">
        <v>2</v>
      </c>
      <c r="E986" s="6" t="str">
        <f t="shared" si="967"/>
        <v>308002:9</v>
      </c>
      <c r="F986" s="11" t="s">
        <v>374</v>
      </c>
      <c r="G986" s="6">
        <v>0</v>
      </c>
      <c r="H986" s="6">
        <v>0</v>
      </c>
      <c r="I986" s="6" t="s">
        <v>59</v>
      </c>
      <c r="K986" s="6" t="str">
        <f t="shared" si="963"/>
        <v>308002</v>
      </c>
      <c r="L986" s="4">
        <v>9</v>
      </c>
      <c r="M986" s="6" t="s">
        <v>625</v>
      </c>
      <c r="O986" s="13" t="str">
        <f t="shared" si="983"/>
        <v>1.15</v>
      </c>
      <c r="P986" s="13" t="str">
        <f t="shared" ref="P986:P989" si="985">O986</f>
        <v>1.15</v>
      </c>
      <c r="Q986" s="13" t="str">
        <f t="shared" ref="Q986:S986" si="986">Q985</f>
        <v>1.1</v>
      </c>
      <c r="R986" s="13" t="str">
        <f t="shared" si="986"/>
        <v>1.1</v>
      </c>
      <c r="S986" s="13" t="str">
        <f t="shared" si="986"/>
        <v>1.1</v>
      </c>
      <c r="T986" s="6" t="str">
        <f t="shared" si="966"/>
        <v>1|1.15#2|1.15#3|1.1#4|1.1#5|1.1</v>
      </c>
    </row>
    <row r="987" s="6" customFormat="1" ht="16.5" spans="1:20">
      <c r="A987" s="6">
        <v>1010993</v>
      </c>
      <c r="B987" s="6">
        <v>38002</v>
      </c>
      <c r="C987" s="6">
        <v>3</v>
      </c>
      <c r="D987" s="6">
        <v>3</v>
      </c>
      <c r="E987" s="6" t="str">
        <f t="shared" si="967"/>
        <v>308002:11</v>
      </c>
      <c r="F987" s="11" t="s">
        <v>375</v>
      </c>
      <c r="G987" s="6">
        <v>0</v>
      </c>
      <c r="H987" s="6">
        <v>0</v>
      </c>
      <c r="I987" s="6" t="s">
        <v>61</v>
      </c>
      <c r="K987" s="6" t="str">
        <f t="shared" si="963"/>
        <v>308002</v>
      </c>
      <c r="L987" s="4">
        <v>11</v>
      </c>
      <c r="M987" s="6" t="s">
        <v>625</v>
      </c>
      <c r="O987" s="13" t="str">
        <f t="shared" si="983"/>
        <v>1.15</v>
      </c>
      <c r="P987" s="13" t="str">
        <f t="shared" si="985"/>
        <v>1.15</v>
      </c>
      <c r="Q987" s="13" t="str">
        <f t="shared" ref="Q987:Q989" si="987">P987</f>
        <v>1.15</v>
      </c>
      <c r="R987" s="13" t="str">
        <f>R986</f>
        <v>1.1</v>
      </c>
      <c r="S987" s="13" t="str">
        <f>S986</f>
        <v>1.1</v>
      </c>
      <c r="T987" s="6" t="str">
        <f t="shared" si="966"/>
        <v>1|1.15#2|1.15#3|1.15#4|1.1#5|1.1</v>
      </c>
    </row>
    <row r="988" s="6" customFormat="1" ht="16.5" spans="1:20">
      <c r="A988" s="6">
        <v>1010994</v>
      </c>
      <c r="B988" s="6">
        <v>38002</v>
      </c>
      <c r="C988" s="6">
        <v>3</v>
      </c>
      <c r="D988" s="6">
        <v>4</v>
      </c>
      <c r="E988" s="6" t="str">
        <f t="shared" si="967"/>
        <v>308002:11</v>
      </c>
      <c r="F988" s="11" t="s">
        <v>376</v>
      </c>
      <c r="G988" s="6">
        <v>0</v>
      </c>
      <c r="H988" s="6">
        <v>0</v>
      </c>
      <c r="I988" s="6" t="s">
        <v>63</v>
      </c>
      <c r="K988" s="6" t="str">
        <f t="shared" si="963"/>
        <v>308002</v>
      </c>
      <c r="L988" s="4">
        <v>11</v>
      </c>
      <c r="M988" s="6" t="s">
        <v>625</v>
      </c>
      <c r="O988" s="13" t="str">
        <f t="shared" si="983"/>
        <v>1.15</v>
      </c>
      <c r="P988" s="13" t="str">
        <f t="shared" si="985"/>
        <v>1.15</v>
      </c>
      <c r="Q988" s="13" t="str">
        <f t="shared" si="987"/>
        <v>1.15</v>
      </c>
      <c r="R988" s="13" t="str">
        <f>Q988</f>
        <v>1.15</v>
      </c>
      <c r="S988" s="13" t="str">
        <f>S987</f>
        <v>1.1</v>
      </c>
      <c r="T988" s="6" t="str">
        <f t="shared" si="966"/>
        <v>1|1.15#2|1.15#3|1.15#4|1.15#5|1.1</v>
      </c>
    </row>
    <row r="989" s="6" customFormat="1" ht="16.5" spans="1:20">
      <c r="A989" s="6">
        <v>1010995</v>
      </c>
      <c r="B989" s="6">
        <v>38002</v>
      </c>
      <c r="C989" s="6">
        <v>3</v>
      </c>
      <c r="D989" s="6">
        <v>5</v>
      </c>
      <c r="E989" s="6" t="str">
        <f t="shared" si="967"/>
        <v>308002:11</v>
      </c>
      <c r="F989" s="11" t="s">
        <v>377</v>
      </c>
      <c r="G989" s="6">
        <v>0</v>
      </c>
      <c r="H989" s="6">
        <v>0</v>
      </c>
      <c r="I989" s="6" t="s">
        <v>40</v>
      </c>
      <c r="K989" s="6" t="str">
        <f t="shared" si="963"/>
        <v>308002</v>
      </c>
      <c r="L989" s="4">
        <v>11</v>
      </c>
      <c r="M989" s="6" t="s">
        <v>626</v>
      </c>
      <c r="O989" s="13" t="str">
        <f t="shared" si="983"/>
        <v>1.15</v>
      </c>
      <c r="P989" s="13" t="str">
        <f t="shared" si="985"/>
        <v>1.15</v>
      </c>
      <c r="Q989" s="13" t="str">
        <f t="shared" si="987"/>
        <v>1.15</v>
      </c>
      <c r="R989" s="13" t="str">
        <f>Q989</f>
        <v>1.15</v>
      </c>
      <c r="S989" s="13" t="str">
        <f>R989</f>
        <v>1.15</v>
      </c>
      <c r="T989" s="6" t="str">
        <f t="shared" si="966"/>
        <v>1|1.15#2|1.15#3|1.15#4|1.15#5|1.15</v>
      </c>
    </row>
    <row r="990" s="6" customFormat="1" ht="16.5" spans="1:20">
      <c r="A990" s="6">
        <v>1010996</v>
      </c>
      <c r="B990" s="6">
        <v>38002</v>
      </c>
      <c r="C990" s="6">
        <v>3</v>
      </c>
      <c r="D990" s="6">
        <v>6</v>
      </c>
      <c r="E990" s="6" t="str">
        <f t="shared" si="967"/>
        <v>308002:30</v>
      </c>
      <c r="F990" s="11">
        <v>0</v>
      </c>
      <c r="G990" s="6">
        <v>11002</v>
      </c>
      <c r="H990" s="6" t="s">
        <v>407</v>
      </c>
      <c r="I990" s="6">
        <v>0</v>
      </c>
      <c r="K990" s="6" t="str">
        <f t="shared" si="963"/>
        <v>308002</v>
      </c>
      <c r="L990" s="13">
        <v>30</v>
      </c>
      <c r="M990" s="6" t="s">
        <v>623</v>
      </c>
      <c r="O990" s="13" t="str">
        <f t="shared" ref="O990:S990" si="988">O989</f>
        <v>1.15</v>
      </c>
      <c r="P990" s="13" t="str">
        <f t="shared" si="988"/>
        <v>1.15</v>
      </c>
      <c r="Q990" s="13" t="str">
        <f t="shared" si="988"/>
        <v>1.15</v>
      </c>
      <c r="R990" s="13" t="str">
        <f t="shared" si="988"/>
        <v>1.15</v>
      </c>
      <c r="S990" s="13" t="str">
        <f t="shared" si="988"/>
        <v>1.15</v>
      </c>
      <c r="T990" s="6" t="str">
        <f t="shared" si="966"/>
        <v>1|1.15#2|1.15#3|1.15#4|1.15#5|1.15</v>
      </c>
    </row>
    <row r="991" s="6" customFormat="1" ht="16.5" spans="1:20">
      <c r="A991" s="6">
        <v>1010997</v>
      </c>
      <c r="B991" s="6">
        <v>38002</v>
      </c>
      <c r="C991" s="6">
        <v>4</v>
      </c>
      <c r="D991" s="6">
        <v>0</v>
      </c>
      <c r="E991" s="6" t="str">
        <f t="shared" si="967"/>
        <v>308002:13</v>
      </c>
      <c r="F991" s="11" t="s">
        <v>379</v>
      </c>
      <c r="G991" s="6">
        <v>0</v>
      </c>
      <c r="H991" s="6">
        <v>0</v>
      </c>
      <c r="I991" s="6" t="s">
        <v>67</v>
      </c>
      <c r="K991" s="6" t="str">
        <f t="shared" si="963"/>
        <v>308002</v>
      </c>
      <c r="L991" s="4">
        <v>13</v>
      </c>
      <c r="M991" s="6" t="s">
        <v>627</v>
      </c>
      <c r="O991" s="15" t="str">
        <f>O990</f>
        <v>1.15</v>
      </c>
      <c r="P991" s="15" t="str">
        <f t="shared" ref="P991:S991" si="989">O991</f>
        <v>1.15</v>
      </c>
      <c r="Q991" s="15" t="str">
        <f t="shared" si="989"/>
        <v>1.15</v>
      </c>
      <c r="R991" s="15" t="str">
        <f>P991</f>
        <v>1.15</v>
      </c>
      <c r="S991" s="15" t="str">
        <f t="shared" si="989"/>
        <v>1.15</v>
      </c>
      <c r="T991" s="6" t="str">
        <f t="shared" si="966"/>
        <v>1|1.15#2|1.15#3|1.15#4|1.15#5|1.15</v>
      </c>
    </row>
    <row r="992" s="6" customFormat="1" ht="16.5" spans="1:20">
      <c r="A992" s="6">
        <v>1010998</v>
      </c>
      <c r="B992" s="6">
        <v>38002</v>
      </c>
      <c r="C992" s="6">
        <v>4</v>
      </c>
      <c r="D992" s="6">
        <v>1</v>
      </c>
      <c r="E992" s="6" t="str">
        <f t="shared" si="967"/>
        <v>308002:13</v>
      </c>
      <c r="F992" s="11" t="s">
        <v>381</v>
      </c>
      <c r="G992" s="6">
        <v>0</v>
      </c>
      <c r="H992" s="6">
        <v>0</v>
      </c>
      <c r="I992" s="6" t="s">
        <v>69</v>
      </c>
      <c r="K992" s="6" t="str">
        <f t="shared" si="963"/>
        <v>308002</v>
      </c>
      <c r="L992" s="4">
        <v>13</v>
      </c>
      <c r="M992" s="6" t="s">
        <v>627</v>
      </c>
      <c r="O992" s="13" t="str">
        <f t="shared" ref="O992:O996" si="990">RIGHT(F992,LEN(F992)-2)</f>
        <v>1.2</v>
      </c>
      <c r="P992" s="13" t="str">
        <f t="shared" ref="P992:S992" si="991">P991</f>
        <v>1.15</v>
      </c>
      <c r="Q992" s="13" t="str">
        <f t="shared" si="991"/>
        <v>1.15</v>
      </c>
      <c r="R992" s="13" t="str">
        <f t="shared" si="991"/>
        <v>1.15</v>
      </c>
      <c r="S992" s="13" t="str">
        <f t="shared" si="991"/>
        <v>1.15</v>
      </c>
      <c r="T992" s="6" t="str">
        <f t="shared" si="966"/>
        <v>1|1.2#2|1.15#3|1.15#4|1.15#5|1.15</v>
      </c>
    </row>
    <row r="993" s="6" customFormat="1" ht="16.5" spans="1:20">
      <c r="A993" s="6">
        <v>1010999</v>
      </c>
      <c r="B993" s="6">
        <v>38002</v>
      </c>
      <c r="C993" s="6">
        <v>4</v>
      </c>
      <c r="D993" s="6">
        <v>2</v>
      </c>
      <c r="E993" s="6" t="str">
        <f t="shared" si="967"/>
        <v>308002:13</v>
      </c>
      <c r="F993" s="11" t="s">
        <v>382</v>
      </c>
      <c r="G993" s="6">
        <v>0</v>
      </c>
      <c r="H993" s="6">
        <v>0</v>
      </c>
      <c r="I993" s="6" t="s">
        <v>71</v>
      </c>
      <c r="K993" s="6" t="str">
        <f t="shared" si="963"/>
        <v>308002</v>
      </c>
      <c r="L993" s="4">
        <v>13</v>
      </c>
      <c r="M993" s="6" t="s">
        <v>627</v>
      </c>
      <c r="O993" s="13" t="str">
        <f t="shared" si="990"/>
        <v>1.2</v>
      </c>
      <c r="P993" s="13" t="str">
        <f t="shared" ref="P993:P996" si="992">O993</f>
        <v>1.2</v>
      </c>
      <c r="Q993" s="13" t="str">
        <f t="shared" ref="Q993:S993" si="993">Q992</f>
        <v>1.15</v>
      </c>
      <c r="R993" s="13" t="str">
        <f t="shared" si="993"/>
        <v>1.15</v>
      </c>
      <c r="S993" s="13" t="str">
        <f t="shared" si="993"/>
        <v>1.15</v>
      </c>
      <c r="T993" s="6" t="str">
        <f t="shared" si="966"/>
        <v>1|1.2#2|1.2#3|1.15#4|1.15#5|1.15</v>
      </c>
    </row>
    <row r="994" s="6" customFormat="1" ht="16.5" spans="1:20">
      <c r="A994" s="6">
        <v>1011000</v>
      </c>
      <c r="B994" s="6">
        <v>38002</v>
      </c>
      <c r="C994" s="6">
        <v>4</v>
      </c>
      <c r="D994" s="6">
        <v>3</v>
      </c>
      <c r="E994" s="6" t="str">
        <f t="shared" si="967"/>
        <v>308002:17</v>
      </c>
      <c r="F994" s="11" t="s">
        <v>383</v>
      </c>
      <c r="G994" s="6">
        <v>0</v>
      </c>
      <c r="H994" s="6">
        <v>0</v>
      </c>
      <c r="I994" s="6" t="s">
        <v>73</v>
      </c>
      <c r="K994" s="6" t="str">
        <f t="shared" si="963"/>
        <v>308002</v>
      </c>
      <c r="L994" s="4">
        <v>17</v>
      </c>
      <c r="M994" s="6" t="s">
        <v>627</v>
      </c>
      <c r="O994" s="13" t="str">
        <f t="shared" si="990"/>
        <v>1.2</v>
      </c>
      <c r="P994" s="13" t="str">
        <f t="shared" si="992"/>
        <v>1.2</v>
      </c>
      <c r="Q994" s="13" t="str">
        <f t="shared" ref="Q994:Q996" si="994">P994</f>
        <v>1.2</v>
      </c>
      <c r="R994" s="13" t="str">
        <f>R993</f>
        <v>1.15</v>
      </c>
      <c r="S994" s="13" t="str">
        <f>S993</f>
        <v>1.15</v>
      </c>
      <c r="T994" s="6" t="str">
        <f t="shared" si="966"/>
        <v>1|1.2#2|1.2#3|1.2#4|1.15#5|1.15</v>
      </c>
    </row>
    <row r="995" s="6" customFormat="1" ht="16.5" spans="1:20">
      <c r="A995" s="6">
        <v>1011001</v>
      </c>
      <c r="B995" s="6">
        <v>38002</v>
      </c>
      <c r="C995" s="6">
        <v>4</v>
      </c>
      <c r="D995" s="6">
        <v>4</v>
      </c>
      <c r="E995" s="6" t="str">
        <f t="shared" si="967"/>
        <v>308002:17</v>
      </c>
      <c r="F995" s="11" t="s">
        <v>384</v>
      </c>
      <c r="G995" s="6">
        <v>0</v>
      </c>
      <c r="H995" s="6">
        <v>0</v>
      </c>
      <c r="I995" s="6" t="s">
        <v>75</v>
      </c>
      <c r="K995" s="6" t="str">
        <f t="shared" si="963"/>
        <v>308002</v>
      </c>
      <c r="L995" s="4">
        <v>17</v>
      </c>
      <c r="M995" s="6" t="s">
        <v>627</v>
      </c>
      <c r="O995" s="13" t="str">
        <f t="shared" si="990"/>
        <v>1.2</v>
      </c>
      <c r="P995" s="13" t="str">
        <f t="shared" si="992"/>
        <v>1.2</v>
      </c>
      <c r="Q995" s="13" t="str">
        <f t="shared" si="994"/>
        <v>1.2</v>
      </c>
      <c r="R995" s="13" t="str">
        <f>Q995</f>
        <v>1.2</v>
      </c>
      <c r="S995" s="13" t="str">
        <f>S994</f>
        <v>1.15</v>
      </c>
      <c r="T995" s="6" t="str">
        <f t="shared" si="966"/>
        <v>1|1.2#2|1.2#3|1.2#4|1.2#5|1.15</v>
      </c>
    </row>
    <row r="996" s="6" customFormat="1" ht="16.5" spans="1:20">
      <c r="A996" s="6">
        <v>1011002</v>
      </c>
      <c r="B996" s="6">
        <v>38002</v>
      </c>
      <c r="C996" s="6">
        <v>4</v>
      </c>
      <c r="D996" s="6">
        <v>5</v>
      </c>
      <c r="E996" s="6" t="str">
        <f t="shared" si="967"/>
        <v>308002:17</v>
      </c>
      <c r="F996" s="11" t="s">
        <v>385</v>
      </c>
      <c r="G996" s="6">
        <v>0</v>
      </c>
      <c r="H996" s="6">
        <v>0</v>
      </c>
      <c r="I996" s="6" t="s">
        <v>40</v>
      </c>
      <c r="K996" s="6" t="str">
        <f t="shared" si="963"/>
        <v>308002</v>
      </c>
      <c r="L996" s="4">
        <v>17</v>
      </c>
      <c r="M996" s="6" t="s">
        <v>344</v>
      </c>
      <c r="O996" s="13" t="str">
        <f t="shared" si="990"/>
        <v>1.2</v>
      </c>
      <c r="P996" s="13" t="str">
        <f t="shared" si="992"/>
        <v>1.2</v>
      </c>
      <c r="Q996" s="13" t="str">
        <f t="shared" si="994"/>
        <v>1.2</v>
      </c>
      <c r="R996" s="13" t="str">
        <f>Q996</f>
        <v>1.2</v>
      </c>
      <c r="S996" s="13" t="str">
        <f>R996</f>
        <v>1.2</v>
      </c>
      <c r="T996" s="6" t="str">
        <f t="shared" si="966"/>
        <v>1|1.2#2|1.2#3|1.2#4|1.2#5|1.2</v>
      </c>
    </row>
    <row r="997" s="6" customFormat="1" ht="16.5" spans="1:20">
      <c r="A997" s="6">
        <v>1011003</v>
      </c>
      <c r="B997" s="6">
        <v>38002</v>
      </c>
      <c r="C997" s="6">
        <v>4</v>
      </c>
      <c r="D997" s="6">
        <v>6</v>
      </c>
      <c r="E997" s="6" t="str">
        <f t="shared" si="967"/>
        <v>308002:60</v>
      </c>
      <c r="F997" s="11">
        <v>0</v>
      </c>
      <c r="G997" s="6">
        <v>11002</v>
      </c>
      <c r="H997" s="6" t="s">
        <v>407</v>
      </c>
      <c r="I997" s="6">
        <v>0</v>
      </c>
      <c r="K997" s="6" t="str">
        <f t="shared" si="963"/>
        <v>308002</v>
      </c>
      <c r="L997" s="13">
        <v>60</v>
      </c>
      <c r="M997" s="6" t="s">
        <v>623</v>
      </c>
      <c r="O997" s="13" t="str">
        <f t="shared" ref="O997:S997" si="995">O996</f>
        <v>1.2</v>
      </c>
      <c r="P997" s="13" t="str">
        <f t="shared" si="995"/>
        <v>1.2</v>
      </c>
      <c r="Q997" s="13" t="str">
        <f t="shared" si="995"/>
        <v>1.2</v>
      </c>
      <c r="R997" s="13" t="str">
        <f t="shared" si="995"/>
        <v>1.2</v>
      </c>
      <c r="S997" s="13" t="str">
        <f t="shared" si="995"/>
        <v>1.2</v>
      </c>
      <c r="T997" s="6" t="str">
        <f t="shared" si="966"/>
        <v>1|1.2#2|1.2#3|1.2#4|1.2#5|1.2</v>
      </c>
    </row>
    <row r="998" s="6" customFormat="1" ht="16.5" spans="1:20">
      <c r="A998" s="6">
        <v>1011004</v>
      </c>
      <c r="B998" s="6">
        <v>38002</v>
      </c>
      <c r="C998" s="6">
        <v>5</v>
      </c>
      <c r="D998" s="6">
        <v>0</v>
      </c>
      <c r="E998" s="6" t="str">
        <f t="shared" si="967"/>
        <v>308002:18</v>
      </c>
      <c r="F998" s="11" t="s">
        <v>386</v>
      </c>
      <c r="G998" s="6">
        <v>0</v>
      </c>
      <c r="H998" s="6">
        <v>0</v>
      </c>
      <c r="I998" s="6" t="s">
        <v>79</v>
      </c>
      <c r="K998" s="6" t="str">
        <f t="shared" si="963"/>
        <v>308002</v>
      </c>
      <c r="L998" s="4">
        <v>18</v>
      </c>
      <c r="M998" s="6" t="s">
        <v>628</v>
      </c>
      <c r="O998" s="15" t="str">
        <f>O997</f>
        <v>1.2</v>
      </c>
      <c r="P998" s="15" t="str">
        <f t="shared" ref="P998:S998" si="996">O998</f>
        <v>1.2</v>
      </c>
      <c r="Q998" s="15" t="str">
        <f t="shared" si="996"/>
        <v>1.2</v>
      </c>
      <c r="R998" s="15" t="str">
        <f>P998</f>
        <v>1.2</v>
      </c>
      <c r="S998" s="15" t="str">
        <f t="shared" si="996"/>
        <v>1.2</v>
      </c>
      <c r="T998" s="6" t="str">
        <f t="shared" si="966"/>
        <v>1|1.2#2|1.2#3|1.2#4|1.2#5|1.2</v>
      </c>
    </row>
    <row r="999" s="6" customFormat="1" ht="16.5" spans="1:20">
      <c r="A999" s="6">
        <v>1011005</v>
      </c>
      <c r="B999" s="6">
        <v>38002</v>
      </c>
      <c r="C999" s="6">
        <v>5</v>
      </c>
      <c r="D999" s="6">
        <v>1</v>
      </c>
      <c r="E999" s="6" t="str">
        <f t="shared" si="967"/>
        <v>308002:18</v>
      </c>
      <c r="F999" s="11" t="s">
        <v>388</v>
      </c>
      <c r="G999" s="6">
        <v>0</v>
      </c>
      <c r="H999" s="6">
        <v>0</v>
      </c>
      <c r="I999" s="6" t="s">
        <v>81</v>
      </c>
      <c r="K999" s="6" t="str">
        <f t="shared" si="963"/>
        <v>308002</v>
      </c>
      <c r="L999" s="4">
        <v>18</v>
      </c>
      <c r="M999" s="6" t="s">
        <v>628</v>
      </c>
      <c r="O999" s="13" t="str">
        <f t="shared" ref="O999:O1003" si="997">RIGHT(F999,LEN(F999)-2)</f>
        <v>1.3</v>
      </c>
      <c r="P999" s="13" t="str">
        <f t="shared" ref="P999:S999" si="998">P998</f>
        <v>1.2</v>
      </c>
      <c r="Q999" s="13" t="str">
        <f t="shared" si="998"/>
        <v>1.2</v>
      </c>
      <c r="R999" s="13" t="str">
        <f t="shared" si="998"/>
        <v>1.2</v>
      </c>
      <c r="S999" s="13" t="str">
        <f t="shared" si="998"/>
        <v>1.2</v>
      </c>
      <c r="T999" s="6" t="str">
        <f t="shared" si="966"/>
        <v>1|1.3#2|1.2#3|1.2#4|1.2#5|1.2</v>
      </c>
    </row>
    <row r="1000" s="6" customFormat="1" ht="16.5" spans="1:20">
      <c r="A1000" s="6">
        <v>1011006</v>
      </c>
      <c r="B1000" s="6">
        <v>38002</v>
      </c>
      <c r="C1000" s="6">
        <v>5</v>
      </c>
      <c r="D1000" s="6">
        <v>2</v>
      </c>
      <c r="E1000" s="6" t="str">
        <f t="shared" si="967"/>
        <v>308002:18</v>
      </c>
      <c r="F1000" s="11" t="s">
        <v>389</v>
      </c>
      <c r="G1000" s="6">
        <v>0</v>
      </c>
      <c r="H1000" s="6">
        <v>0</v>
      </c>
      <c r="I1000" s="6" t="s">
        <v>83</v>
      </c>
      <c r="K1000" s="6" t="str">
        <f t="shared" si="963"/>
        <v>308002</v>
      </c>
      <c r="L1000" s="4">
        <v>18</v>
      </c>
      <c r="M1000" s="6" t="s">
        <v>628</v>
      </c>
      <c r="O1000" s="13" t="str">
        <f t="shared" si="997"/>
        <v>1.3</v>
      </c>
      <c r="P1000" s="13" t="str">
        <f t="shared" ref="P1000:P1003" si="999">O1000</f>
        <v>1.3</v>
      </c>
      <c r="Q1000" s="13" t="str">
        <f t="shared" ref="Q1000:S1000" si="1000">Q999</f>
        <v>1.2</v>
      </c>
      <c r="R1000" s="13" t="str">
        <f t="shared" si="1000"/>
        <v>1.2</v>
      </c>
      <c r="S1000" s="13" t="str">
        <f t="shared" si="1000"/>
        <v>1.2</v>
      </c>
      <c r="T1000" s="6" t="str">
        <f t="shared" si="966"/>
        <v>1|1.3#2|1.3#3|1.2#4|1.2#5|1.2</v>
      </c>
    </row>
    <row r="1001" s="6" customFormat="1" ht="16.5" spans="1:20">
      <c r="A1001" s="6">
        <v>1011007</v>
      </c>
      <c r="B1001" s="6">
        <v>38002</v>
      </c>
      <c r="C1001" s="6">
        <v>5</v>
      </c>
      <c r="D1001" s="6">
        <v>3</v>
      </c>
      <c r="E1001" s="6" t="str">
        <f t="shared" si="967"/>
        <v>308002:22</v>
      </c>
      <c r="F1001" s="11" t="s">
        <v>390</v>
      </c>
      <c r="G1001" s="6">
        <v>0</v>
      </c>
      <c r="H1001" s="6">
        <v>0</v>
      </c>
      <c r="I1001" s="6" t="s">
        <v>85</v>
      </c>
      <c r="K1001" s="6" t="str">
        <f t="shared" si="963"/>
        <v>308002</v>
      </c>
      <c r="L1001" s="4">
        <v>22</v>
      </c>
      <c r="M1001" s="6" t="s">
        <v>628</v>
      </c>
      <c r="O1001" s="13" t="str">
        <f t="shared" si="997"/>
        <v>1.3</v>
      </c>
      <c r="P1001" s="13" t="str">
        <f t="shared" si="999"/>
        <v>1.3</v>
      </c>
      <c r="Q1001" s="13" t="str">
        <f t="shared" ref="Q1001:Q1003" si="1001">P1001</f>
        <v>1.3</v>
      </c>
      <c r="R1001" s="13" t="str">
        <f>R1000</f>
        <v>1.2</v>
      </c>
      <c r="S1001" s="13" t="str">
        <f>S1000</f>
        <v>1.2</v>
      </c>
      <c r="T1001" s="6" t="str">
        <f t="shared" si="966"/>
        <v>1|1.3#2|1.3#3|1.3#4|1.2#5|1.2</v>
      </c>
    </row>
    <row r="1002" s="6" customFormat="1" ht="16.5" spans="1:20">
      <c r="A1002" s="6">
        <v>1011008</v>
      </c>
      <c r="B1002" s="6">
        <v>38002</v>
      </c>
      <c r="C1002" s="6">
        <v>5</v>
      </c>
      <c r="D1002" s="6">
        <v>4</v>
      </c>
      <c r="E1002" s="6" t="str">
        <f t="shared" si="967"/>
        <v>308002:22</v>
      </c>
      <c r="F1002" s="11" t="s">
        <v>391</v>
      </c>
      <c r="G1002" s="6">
        <v>0</v>
      </c>
      <c r="H1002" s="6">
        <v>0</v>
      </c>
      <c r="I1002" s="6" t="s">
        <v>87</v>
      </c>
      <c r="K1002" s="6" t="str">
        <f t="shared" si="963"/>
        <v>308002</v>
      </c>
      <c r="L1002" s="4">
        <v>22</v>
      </c>
      <c r="M1002" s="6" t="s">
        <v>628</v>
      </c>
      <c r="O1002" s="13" t="str">
        <f t="shared" si="997"/>
        <v>1.3</v>
      </c>
      <c r="P1002" s="13" t="str">
        <f t="shared" si="999"/>
        <v>1.3</v>
      </c>
      <c r="Q1002" s="13" t="str">
        <f t="shared" si="1001"/>
        <v>1.3</v>
      </c>
      <c r="R1002" s="13" t="str">
        <f>Q1002</f>
        <v>1.3</v>
      </c>
      <c r="S1002" s="13" t="str">
        <f>S1001</f>
        <v>1.2</v>
      </c>
      <c r="T1002" s="6" t="str">
        <f t="shared" si="966"/>
        <v>1|1.3#2|1.3#3|1.3#4|1.3#5|1.2</v>
      </c>
    </row>
    <row r="1003" s="6" customFormat="1" ht="16.5" spans="1:20">
      <c r="A1003" s="6">
        <v>1011009</v>
      </c>
      <c r="B1003" s="6">
        <v>38002</v>
      </c>
      <c r="C1003" s="6">
        <v>5</v>
      </c>
      <c r="D1003" s="6">
        <v>5</v>
      </c>
      <c r="E1003" s="6" t="str">
        <f t="shared" si="967"/>
        <v>308002:22</v>
      </c>
      <c r="F1003" s="11" t="s">
        <v>392</v>
      </c>
      <c r="G1003" s="6">
        <v>0</v>
      </c>
      <c r="H1003" s="6">
        <v>0</v>
      </c>
      <c r="I1003" s="6" t="s">
        <v>40</v>
      </c>
      <c r="K1003" s="6" t="str">
        <f t="shared" si="963"/>
        <v>308002</v>
      </c>
      <c r="L1003" s="4">
        <v>22</v>
      </c>
      <c r="M1003" s="6" t="s">
        <v>629</v>
      </c>
      <c r="O1003" s="13" t="str">
        <f t="shared" si="997"/>
        <v>1.3</v>
      </c>
      <c r="P1003" s="13" t="str">
        <f t="shared" si="999"/>
        <v>1.3</v>
      </c>
      <c r="Q1003" s="13" t="str">
        <f t="shared" si="1001"/>
        <v>1.3</v>
      </c>
      <c r="R1003" s="13" t="str">
        <f>Q1003</f>
        <v>1.3</v>
      </c>
      <c r="S1003" s="13" t="str">
        <f>R1003</f>
        <v>1.3</v>
      </c>
      <c r="T1003" s="6" t="str">
        <f t="shared" si="966"/>
        <v>1|1.3#2|1.3#3|1.3#4|1.3#5|1.3</v>
      </c>
    </row>
    <row r="1004" s="6" customFormat="1" ht="16.5" spans="1:20">
      <c r="A1004" s="6">
        <v>1011010</v>
      </c>
      <c r="B1004" s="6">
        <v>38002</v>
      </c>
      <c r="C1004" s="6">
        <v>5</v>
      </c>
      <c r="D1004" s="6">
        <v>6</v>
      </c>
      <c r="E1004" s="6" t="str">
        <f t="shared" si="967"/>
        <v>308002:60</v>
      </c>
      <c r="F1004" s="11">
        <v>0</v>
      </c>
      <c r="G1004" s="6">
        <v>11002</v>
      </c>
      <c r="H1004" s="6" t="s">
        <v>407</v>
      </c>
      <c r="I1004" s="6">
        <v>0</v>
      </c>
      <c r="K1004" s="6" t="str">
        <f t="shared" si="963"/>
        <v>308002</v>
      </c>
      <c r="L1004" s="13">
        <v>60</v>
      </c>
      <c r="M1004" s="6" t="s">
        <v>623</v>
      </c>
      <c r="O1004" s="13" t="str">
        <f t="shared" ref="O1004:S1004" si="1002">O1003</f>
        <v>1.3</v>
      </c>
      <c r="P1004" s="13" t="str">
        <f t="shared" si="1002"/>
        <v>1.3</v>
      </c>
      <c r="Q1004" s="13" t="str">
        <f t="shared" si="1002"/>
        <v>1.3</v>
      </c>
      <c r="R1004" s="13" t="str">
        <f t="shared" si="1002"/>
        <v>1.3</v>
      </c>
      <c r="S1004" s="13" t="str">
        <f t="shared" si="1002"/>
        <v>1.3</v>
      </c>
      <c r="T1004" s="6" t="str">
        <f t="shared" si="966"/>
        <v>1|1.3#2|1.3#3|1.3#4|1.3#5|1.3</v>
      </c>
    </row>
    <row r="1005" s="6" customFormat="1" ht="16.5" spans="1:20">
      <c r="A1005" s="6">
        <v>1011011</v>
      </c>
      <c r="B1005" s="6">
        <v>38002</v>
      </c>
      <c r="C1005" s="6">
        <v>6</v>
      </c>
      <c r="D1005" s="6">
        <v>0</v>
      </c>
      <c r="E1005" s="6" t="str">
        <f t="shared" si="967"/>
        <v>308002:24</v>
      </c>
      <c r="F1005" s="11" t="s">
        <v>394</v>
      </c>
      <c r="G1005" s="6">
        <v>0</v>
      </c>
      <c r="H1005" s="6">
        <v>0</v>
      </c>
      <c r="I1005" s="6" t="s">
        <v>90</v>
      </c>
      <c r="K1005" s="6" t="str">
        <f t="shared" si="963"/>
        <v>308002</v>
      </c>
      <c r="L1005" s="4">
        <v>24</v>
      </c>
      <c r="M1005" s="6" t="s">
        <v>630</v>
      </c>
      <c r="O1005" s="15" t="str">
        <f>O1004</f>
        <v>1.3</v>
      </c>
      <c r="P1005" s="15" t="str">
        <f t="shared" ref="P1005:S1005" si="1003">O1005</f>
        <v>1.3</v>
      </c>
      <c r="Q1005" s="15" t="str">
        <f t="shared" si="1003"/>
        <v>1.3</v>
      </c>
      <c r="R1005" s="15" t="str">
        <f>P1005</f>
        <v>1.3</v>
      </c>
      <c r="S1005" s="15" t="str">
        <f t="shared" si="1003"/>
        <v>1.3</v>
      </c>
      <c r="T1005" s="6" t="str">
        <f t="shared" si="966"/>
        <v>1|1.3#2|1.3#3|1.3#4|1.3#5|1.3</v>
      </c>
    </row>
    <row r="1006" s="6" customFormat="1" ht="16.5" spans="1:20">
      <c r="A1006" s="6">
        <v>1011012</v>
      </c>
      <c r="B1006" s="6">
        <v>38002</v>
      </c>
      <c r="C1006" s="6">
        <v>6</v>
      </c>
      <c r="D1006" s="6">
        <v>1</v>
      </c>
      <c r="E1006" s="6" t="str">
        <f t="shared" si="967"/>
        <v>308002:24</v>
      </c>
      <c r="F1006" s="11" t="s">
        <v>396</v>
      </c>
      <c r="G1006" s="6">
        <v>0</v>
      </c>
      <c r="H1006" s="6">
        <v>0</v>
      </c>
      <c r="I1006" s="6" t="s">
        <v>92</v>
      </c>
      <c r="K1006" s="6" t="str">
        <f t="shared" si="963"/>
        <v>308002</v>
      </c>
      <c r="L1006" s="4">
        <v>24</v>
      </c>
      <c r="M1006" s="6" t="s">
        <v>630</v>
      </c>
      <c r="O1006" s="13" t="str">
        <f t="shared" ref="O1006:O1010" si="1004">RIGHT(F1006,LEN(F1006)-2)</f>
        <v>1.4</v>
      </c>
      <c r="P1006" s="13" t="str">
        <f t="shared" ref="P1006:S1006" si="1005">P1005</f>
        <v>1.3</v>
      </c>
      <c r="Q1006" s="13" t="str">
        <f t="shared" si="1005"/>
        <v>1.3</v>
      </c>
      <c r="R1006" s="13" t="str">
        <f t="shared" si="1005"/>
        <v>1.3</v>
      </c>
      <c r="S1006" s="13" t="str">
        <f t="shared" si="1005"/>
        <v>1.3</v>
      </c>
      <c r="T1006" s="6" t="str">
        <f t="shared" si="966"/>
        <v>1|1.4#2|1.3#3|1.3#4|1.3#5|1.3</v>
      </c>
    </row>
    <row r="1007" s="6" customFormat="1" ht="16.5" spans="1:20">
      <c r="A1007" s="6">
        <v>1011013</v>
      </c>
      <c r="B1007" s="6">
        <v>38002</v>
      </c>
      <c r="C1007" s="6">
        <v>6</v>
      </c>
      <c r="D1007" s="6">
        <v>2</v>
      </c>
      <c r="E1007" s="6" t="str">
        <f t="shared" si="967"/>
        <v>308002:24</v>
      </c>
      <c r="F1007" s="11" t="s">
        <v>397</v>
      </c>
      <c r="G1007" s="6">
        <v>0</v>
      </c>
      <c r="H1007" s="6">
        <v>0</v>
      </c>
      <c r="I1007" s="6" t="s">
        <v>94</v>
      </c>
      <c r="K1007" s="6" t="str">
        <f t="shared" si="963"/>
        <v>308002</v>
      </c>
      <c r="L1007" s="4">
        <v>24</v>
      </c>
      <c r="M1007" s="6" t="s">
        <v>630</v>
      </c>
      <c r="O1007" s="13" t="str">
        <f t="shared" si="1004"/>
        <v>1.4</v>
      </c>
      <c r="P1007" s="13" t="str">
        <f t="shared" ref="P1007:P1010" si="1006">O1007</f>
        <v>1.4</v>
      </c>
      <c r="Q1007" s="13" t="str">
        <f t="shared" ref="Q1007:S1007" si="1007">Q1006</f>
        <v>1.3</v>
      </c>
      <c r="R1007" s="13" t="str">
        <f t="shared" si="1007"/>
        <v>1.3</v>
      </c>
      <c r="S1007" s="13" t="str">
        <f t="shared" si="1007"/>
        <v>1.3</v>
      </c>
      <c r="T1007" s="6" t="str">
        <f t="shared" si="966"/>
        <v>1|1.4#2|1.4#3|1.3#4|1.3#5|1.3</v>
      </c>
    </row>
    <row r="1008" s="6" customFormat="1" ht="16.5" spans="1:20">
      <c r="A1008" s="6">
        <v>1011014</v>
      </c>
      <c r="B1008" s="6">
        <v>38002</v>
      </c>
      <c r="C1008" s="6">
        <v>6</v>
      </c>
      <c r="D1008" s="6">
        <v>3</v>
      </c>
      <c r="E1008" s="6" t="str">
        <f t="shared" si="967"/>
        <v>308002:24</v>
      </c>
      <c r="F1008" s="11" t="s">
        <v>398</v>
      </c>
      <c r="G1008" s="6">
        <v>0</v>
      </c>
      <c r="H1008" s="6">
        <v>0</v>
      </c>
      <c r="I1008" s="6" t="s">
        <v>96</v>
      </c>
      <c r="K1008" s="6" t="str">
        <f t="shared" si="963"/>
        <v>308002</v>
      </c>
      <c r="L1008" s="4">
        <v>24</v>
      </c>
      <c r="M1008" s="6" t="s">
        <v>630</v>
      </c>
      <c r="O1008" s="13" t="str">
        <f t="shared" si="1004"/>
        <v>1.4</v>
      </c>
      <c r="P1008" s="13" t="str">
        <f t="shared" si="1006"/>
        <v>1.4</v>
      </c>
      <c r="Q1008" s="13" t="str">
        <f t="shared" ref="Q1008:Q1010" si="1008">P1008</f>
        <v>1.4</v>
      </c>
      <c r="R1008" s="13" t="str">
        <f>R1007</f>
        <v>1.3</v>
      </c>
      <c r="S1008" s="13" t="str">
        <f>S1007</f>
        <v>1.3</v>
      </c>
      <c r="T1008" s="6" t="str">
        <f t="shared" si="966"/>
        <v>1|1.4#2|1.4#3|1.4#4|1.3#5|1.3</v>
      </c>
    </row>
    <row r="1009" s="6" customFormat="1" ht="16.5" spans="1:20">
      <c r="A1009" s="6">
        <v>1011015</v>
      </c>
      <c r="B1009" s="6">
        <v>38002</v>
      </c>
      <c r="C1009" s="6">
        <v>6</v>
      </c>
      <c r="D1009" s="6">
        <v>4</v>
      </c>
      <c r="E1009" s="6" t="str">
        <f t="shared" si="967"/>
        <v>308002:24</v>
      </c>
      <c r="F1009" s="11" t="s">
        <v>399</v>
      </c>
      <c r="G1009" s="6">
        <v>0</v>
      </c>
      <c r="H1009" s="6">
        <v>0</v>
      </c>
      <c r="I1009" s="6" t="s">
        <v>98</v>
      </c>
      <c r="K1009" s="6" t="str">
        <f t="shared" si="963"/>
        <v>308002</v>
      </c>
      <c r="L1009" s="4">
        <v>24</v>
      </c>
      <c r="M1009" s="6" t="s">
        <v>630</v>
      </c>
      <c r="O1009" s="13" t="str">
        <f t="shared" si="1004"/>
        <v>1.4</v>
      </c>
      <c r="P1009" s="13" t="str">
        <f t="shared" si="1006"/>
        <v>1.4</v>
      </c>
      <c r="Q1009" s="13" t="str">
        <f t="shared" si="1008"/>
        <v>1.4</v>
      </c>
      <c r="R1009" s="13" t="str">
        <f>Q1009</f>
        <v>1.4</v>
      </c>
      <c r="S1009" s="13" t="str">
        <f>S1008</f>
        <v>1.3</v>
      </c>
      <c r="T1009" s="6" t="str">
        <f t="shared" si="966"/>
        <v>1|1.4#2|1.4#3|1.4#4|1.4#5|1.3</v>
      </c>
    </row>
    <row r="1010" s="6" customFormat="1" ht="16.5" spans="1:20">
      <c r="A1010" s="6">
        <v>1011016</v>
      </c>
      <c r="B1010" s="6">
        <v>38002</v>
      </c>
      <c r="C1010" s="6">
        <v>6</v>
      </c>
      <c r="D1010" s="6">
        <v>5</v>
      </c>
      <c r="E1010" s="6" t="str">
        <f t="shared" si="967"/>
        <v>308002:60</v>
      </c>
      <c r="F1010" s="11" t="s">
        <v>400</v>
      </c>
      <c r="G1010" s="6">
        <v>0</v>
      </c>
      <c r="H1010" s="6">
        <v>0</v>
      </c>
      <c r="I1010" s="6" t="s">
        <v>40</v>
      </c>
      <c r="K1010" s="6" t="str">
        <f t="shared" si="963"/>
        <v>308002</v>
      </c>
      <c r="L1010" s="4">
        <v>60</v>
      </c>
      <c r="M1010" s="6" t="s">
        <v>629</v>
      </c>
      <c r="O1010" s="13" t="str">
        <f t="shared" si="1004"/>
        <v>1.4</v>
      </c>
      <c r="P1010" s="13" t="str">
        <f t="shared" si="1006"/>
        <v>1.4</v>
      </c>
      <c r="Q1010" s="13" t="str">
        <f t="shared" si="1008"/>
        <v>1.4</v>
      </c>
      <c r="R1010" s="13" t="str">
        <f>Q1010</f>
        <v>1.4</v>
      </c>
      <c r="S1010" s="13" t="str">
        <f>R1010</f>
        <v>1.4</v>
      </c>
      <c r="T1010" s="6" t="str">
        <f t="shared" si="966"/>
        <v>1|1.4#2|1.4#3|1.4#4|1.4#5|1.4</v>
      </c>
    </row>
    <row r="1011" s="6" customFormat="1" ht="16.5" spans="1:20">
      <c r="A1011" s="6">
        <v>1011017</v>
      </c>
      <c r="B1011" s="6">
        <v>38002</v>
      </c>
      <c r="C1011" s="6">
        <v>6</v>
      </c>
      <c r="D1011" s="6">
        <v>6</v>
      </c>
      <c r="E1011" s="6" t="str">
        <f t="shared" si="967"/>
        <v>308002:0</v>
      </c>
      <c r="F1011" s="11">
        <v>0</v>
      </c>
      <c r="G1011" s="6">
        <v>11002</v>
      </c>
      <c r="H1011" s="6" t="s">
        <v>407</v>
      </c>
      <c r="I1011" s="6">
        <v>0</v>
      </c>
      <c r="K1011" s="6" t="str">
        <f t="shared" si="963"/>
        <v>308002</v>
      </c>
      <c r="L1011" s="4">
        <v>0</v>
      </c>
      <c r="M1011" s="6" t="s">
        <v>623</v>
      </c>
      <c r="O1011" s="13" t="str">
        <f t="shared" ref="O1011:S1011" si="1009">O1010</f>
        <v>1.4</v>
      </c>
      <c r="P1011" s="13" t="str">
        <f t="shared" si="1009"/>
        <v>1.4</v>
      </c>
      <c r="Q1011" s="13" t="str">
        <f t="shared" si="1009"/>
        <v>1.4</v>
      </c>
      <c r="R1011" s="13" t="str">
        <f t="shared" si="1009"/>
        <v>1.4</v>
      </c>
      <c r="S1011" s="13" t="str">
        <f t="shared" si="1009"/>
        <v>1.4</v>
      </c>
      <c r="T1011" s="6" t="str">
        <f t="shared" si="966"/>
        <v>1|1.4#2|1.4#3|1.4#4|1.4#5|1.4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"/>
  <sheetViews>
    <sheetView workbookViewId="0">
      <selection activeCell="E9" sqref="E9"/>
    </sheetView>
  </sheetViews>
  <sheetFormatPr defaultColWidth="9" defaultRowHeight="13.5"/>
  <sheetData>
    <row r="1" s="4" customFormat="1" ht="16.5" spans="1:32">
      <c r="A1" s="4" t="s">
        <v>631</v>
      </c>
      <c r="C1" s="5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="4" customFormat="1" ht="16.5" spans="1:32">
      <c r="A2" s="4" t="s">
        <v>632</v>
      </c>
      <c r="B2" s="5" t="s">
        <v>633</v>
      </c>
      <c r="C2" s="5" t="s">
        <v>633</v>
      </c>
      <c r="D2" s="4" t="s">
        <v>634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="4" customFormat="1" ht="16.5" spans="1:32">
      <c r="A3" s="4">
        <v>1</v>
      </c>
      <c r="B3" s="4">
        <v>1</v>
      </c>
      <c r="C3" s="5" t="s">
        <v>635</v>
      </c>
      <c r="D3" s="4">
        <v>2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="4" customFormat="1" ht="16.5" spans="1:32">
      <c r="A4" s="4">
        <v>1</v>
      </c>
      <c r="B4" s="4">
        <v>2</v>
      </c>
      <c r="C4" s="5" t="s">
        <v>636</v>
      </c>
      <c r="D4" s="4">
        <v>2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="4" customFormat="1" ht="16.5" spans="1:32">
      <c r="A5" s="4">
        <v>1</v>
      </c>
      <c r="B5" s="4">
        <v>3</v>
      </c>
      <c r="C5" s="5" t="s">
        <v>637</v>
      </c>
      <c r="D5" s="4">
        <v>2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="4" customFormat="1" ht="16.5" spans="1:32">
      <c r="A6" s="4">
        <v>1</v>
      </c>
      <c r="B6" s="4">
        <v>4</v>
      </c>
      <c r="C6" s="5" t="s">
        <v>638</v>
      </c>
      <c r="D6" s="4">
        <v>3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="4" customFormat="1" ht="16.5" spans="1:32">
      <c r="A7" s="4">
        <v>1</v>
      </c>
      <c r="B7" s="4">
        <v>5</v>
      </c>
      <c r="C7" s="5" t="s">
        <v>639</v>
      </c>
      <c r="D7" s="4">
        <v>3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="4" customFormat="1" ht="16.5" spans="1:32">
      <c r="A8" s="4">
        <v>1</v>
      </c>
      <c r="B8" s="4">
        <v>6</v>
      </c>
      <c r="C8" s="5" t="s">
        <v>640</v>
      </c>
      <c r="D8" s="4">
        <v>3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="4" customFormat="1" ht="16.5" spans="1:32">
      <c r="A9" s="4">
        <v>1</v>
      </c>
      <c r="B9" s="4">
        <v>7</v>
      </c>
      <c r="C9" s="5">
        <v>2</v>
      </c>
      <c r="D9" s="4">
        <v>5</v>
      </c>
      <c r="E9" s="4">
        <f>SUM(D3:D9)</f>
        <v>20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="4" customFormat="1" ht="16.5" spans="1:32">
      <c r="A10" s="4">
        <v>2</v>
      </c>
      <c r="B10" s="4">
        <v>1</v>
      </c>
      <c r="C10" s="5" t="s">
        <v>641</v>
      </c>
      <c r="D10" s="4">
        <v>5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="4" customFormat="1" ht="16.5" spans="1:32">
      <c r="A11" s="4">
        <v>2</v>
      </c>
      <c r="B11" s="4">
        <v>2</v>
      </c>
      <c r="C11" s="5" t="s">
        <v>642</v>
      </c>
      <c r="D11" s="4">
        <v>5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="4" customFormat="1" ht="16.5" spans="1:32">
      <c r="A12" s="4">
        <v>2</v>
      </c>
      <c r="B12" s="4">
        <v>3</v>
      </c>
      <c r="C12" s="5" t="s">
        <v>643</v>
      </c>
      <c r="D12" s="4">
        <v>5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="4" customFormat="1" ht="16.5" spans="1:32">
      <c r="A13" s="4">
        <v>2</v>
      </c>
      <c r="B13" s="4">
        <v>4</v>
      </c>
      <c r="C13" s="5" t="s">
        <v>644</v>
      </c>
      <c r="D13" s="4">
        <v>6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="4" customFormat="1" ht="16.5" spans="1:32">
      <c r="A14" s="4">
        <v>2</v>
      </c>
      <c r="B14" s="4">
        <v>5</v>
      </c>
      <c r="C14" s="5" t="s">
        <v>645</v>
      </c>
      <c r="D14" s="4">
        <v>6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="4" customFormat="1" ht="16.5" spans="1:32">
      <c r="A15" s="4">
        <v>2</v>
      </c>
      <c r="B15" s="4">
        <v>6</v>
      </c>
      <c r="C15" s="5" t="s">
        <v>646</v>
      </c>
      <c r="D15" s="4">
        <v>6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="4" customFormat="1" ht="16.5" spans="1:32">
      <c r="A16" s="4">
        <v>2</v>
      </c>
      <c r="B16" s="4">
        <v>7</v>
      </c>
      <c r="C16" s="5">
        <v>3</v>
      </c>
      <c r="D16" s="4">
        <v>7</v>
      </c>
      <c r="E16" s="4">
        <f>SUM(D10:D16)</f>
        <v>40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="4" customFormat="1" ht="16.5" spans="1:32">
      <c r="A17" s="4">
        <v>3</v>
      </c>
      <c r="B17" s="4">
        <v>1</v>
      </c>
      <c r="C17" s="5" t="s">
        <v>647</v>
      </c>
      <c r="D17" s="4">
        <v>9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="4" customFormat="1" ht="16.5" spans="1:32">
      <c r="A18" s="4">
        <v>3</v>
      </c>
      <c r="B18" s="4">
        <v>2</v>
      </c>
      <c r="C18" s="5" t="s">
        <v>648</v>
      </c>
      <c r="D18" s="4">
        <v>9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="4" customFormat="1" ht="16.5" spans="1:32">
      <c r="A19" s="4">
        <v>3</v>
      </c>
      <c r="B19" s="4">
        <v>3</v>
      </c>
      <c r="C19" s="5" t="s">
        <v>649</v>
      </c>
      <c r="D19" s="4">
        <v>9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="4" customFormat="1" ht="16.5" spans="1:32">
      <c r="A20" s="4">
        <v>3</v>
      </c>
      <c r="B20" s="4">
        <v>4</v>
      </c>
      <c r="C20" s="5" t="s">
        <v>650</v>
      </c>
      <c r="D20" s="4">
        <v>11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="4" customFormat="1" ht="16.5" spans="1:32">
      <c r="A21" s="4">
        <v>3</v>
      </c>
      <c r="B21" s="4">
        <v>5</v>
      </c>
      <c r="C21" s="5" t="s">
        <v>651</v>
      </c>
      <c r="D21" s="4">
        <v>11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="4" customFormat="1" ht="16.5" spans="1:32">
      <c r="A22" s="4">
        <v>3</v>
      </c>
      <c r="B22" s="4">
        <v>6</v>
      </c>
      <c r="C22" s="5" t="s">
        <v>652</v>
      </c>
      <c r="D22" s="4">
        <v>11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="4" customFormat="1" ht="16.5" spans="1:32">
      <c r="A23" s="4">
        <v>3</v>
      </c>
      <c r="B23" s="4">
        <v>7</v>
      </c>
      <c r="C23" s="5">
        <v>4</v>
      </c>
      <c r="D23" s="4">
        <v>30</v>
      </c>
      <c r="E23" s="4">
        <f>SUM(D17:D23)</f>
        <v>90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="4" customFormat="1" ht="16.5" spans="1:32">
      <c r="A24" s="4">
        <v>4</v>
      </c>
      <c r="B24" s="4">
        <v>1</v>
      </c>
      <c r="C24" s="5" t="s">
        <v>653</v>
      </c>
      <c r="D24" s="4">
        <v>13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="4" customFormat="1" ht="16.5" spans="1:32">
      <c r="A25" s="4">
        <v>4</v>
      </c>
      <c r="B25" s="4">
        <v>2</v>
      </c>
      <c r="C25" s="5" t="s">
        <v>654</v>
      </c>
      <c r="D25" s="4">
        <v>13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="4" customFormat="1" ht="16.5" spans="1:32">
      <c r="A26" s="4">
        <v>4</v>
      </c>
      <c r="B26" s="4">
        <v>3</v>
      </c>
      <c r="C26" s="5" t="s">
        <v>655</v>
      </c>
      <c r="D26" s="4">
        <v>13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="4" customFormat="1" ht="16.5" spans="1:32">
      <c r="A27" s="4">
        <v>4</v>
      </c>
      <c r="B27" s="4">
        <v>4</v>
      </c>
      <c r="C27" s="5" t="s">
        <v>656</v>
      </c>
      <c r="D27" s="4">
        <v>17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="4" customFormat="1" ht="16.5" spans="1:32">
      <c r="A28" s="4">
        <v>4</v>
      </c>
      <c r="B28" s="4">
        <v>5</v>
      </c>
      <c r="C28" s="5" t="s">
        <v>657</v>
      </c>
      <c r="D28" s="4">
        <v>17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="4" customFormat="1" ht="16.5" spans="1:32">
      <c r="A29" s="4">
        <v>4</v>
      </c>
      <c r="B29" s="4">
        <v>6</v>
      </c>
      <c r="C29" s="5" t="s">
        <v>658</v>
      </c>
      <c r="D29" s="4">
        <v>17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="4" customFormat="1" ht="16.5" spans="1:32">
      <c r="A30" s="4">
        <v>4</v>
      </c>
      <c r="B30" s="4">
        <v>7</v>
      </c>
      <c r="C30" s="5">
        <v>5</v>
      </c>
      <c r="D30" s="4">
        <v>60</v>
      </c>
      <c r="E30" s="4">
        <f>SUM(D24:D30)</f>
        <v>150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="4" customFormat="1" ht="16.5" spans="1:32">
      <c r="A31" s="4">
        <v>5</v>
      </c>
      <c r="B31" s="4">
        <v>1</v>
      </c>
      <c r="C31" s="5" t="s">
        <v>659</v>
      </c>
      <c r="D31" s="4">
        <v>18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="4" customFormat="1" ht="16.5" spans="1:32">
      <c r="A32" s="4">
        <v>5</v>
      </c>
      <c r="B32" s="4">
        <v>2</v>
      </c>
      <c r="C32" s="5" t="s">
        <v>660</v>
      </c>
      <c r="D32" s="4">
        <v>18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="4" customFormat="1" ht="16.5" spans="1:32">
      <c r="A33" s="4">
        <v>5</v>
      </c>
      <c r="B33" s="4">
        <v>3</v>
      </c>
      <c r="C33" s="5" t="s">
        <v>661</v>
      </c>
      <c r="D33" s="4">
        <v>18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="4" customFormat="1" ht="16.5" spans="1:32">
      <c r="A34" s="4">
        <v>5</v>
      </c>
      <c r="B34" s="4">
        <v>4</v>
      </c>
      <c r="C34" s="5" t="s">
        <v>662</v>
      </c>
      <c r="D34" s="4">
        <v>22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="4" customFormat="1" ht="16.5" spans="1:32">
      <c r="A35" s="4">
        <v>5</v>
      </c>
      <c r="B35" s="4">
        <v>5</v>
      </c>
      <c r="C35" s="5" t="s">
        <v>663</v>
      </c>
      <c r="D35" s="4">
        <v>22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="4" customFormat="1" ht="16.5" spans="1:32">
      <c r="A36" s="4">
        <v>5</v>
      </c>
      <c r="B36" s="4">
        <v>6</v>
      </c>
      <c r="C36" s="5" t="s">
        <v>664</v>
      </c>
      <c r="D36" s="4">
        <v>22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="4" customFormat="1" ht="16.5" spans="1:32">
      <c r="A37" s="4">
        <v>5</v>
      </c>
      <c r="B37" s="4">
        <v>7</v>
      </c>
      <c r="C37" s="5">
        <v>6</v>
      </c>
      <c r="D37" s="4">
        <v>60</v>
      </c>
      <c r="E37" s="4">
        <f>SUM(D31:D37)</f>
        <v>180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="4" customFormat="1" ht="16.5" spans="1:32">
      <c r="A38" s="4">
        <v>6</v>
      </c>
      <c r="B38" s="4">
        <v>1</v>
      </c>
      <c r="C38" s="5" t="s">
        <v>665</v>
      </c>
      <c r="D38" s="4">
        <v>24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="4" customFormat="1" ht="16.5" spans="1:32">
      <c r="A39" s="4">
        <v>6</v>
      </c>
      <c r="B39" s="4">
        <v>2</v>
      </c>
      <c r="C39" s="5" t="s">
        <v>666</v>
      </c>
      <c r="D39" s="4">
        <v>24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="4" customFormat="1" ht="16.5" spans="1:32">
      <c r="A40" s="4">
        <v>6</v>
      </c>
      <c r="B40" s="4">
        <v>3</v>
      </c>
      <c r="C40" s="5" t="s">
        <v>667</v>
      </c>
      <c r="D40" s="4">
        <v>24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="4" customFormat="1" ht="16.5" spans="1:32">
      <c r="A41" s="4">
        <v>6</v>
      </c>
      <c r="B41" s="4">
        <v>4</v>
      </c>
      <c r="C41" s="5" t="s">
        <v>668</v>
      </c>
      <c r="D41" s="4">
        <v>24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="4" customFormat="1" ht="16.5" spans="1:32">
      <c r="A42" s="4">
        <v>6</v>
      </c>
      <c r="B42" s="4">
        <v>5</v>
      </c>
      <c r="C42" s="5" t="s">
        <v>669</v>
      </c>
      <c r="D42" s="4">
        <v>24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="4" customFormat="1" ht="16.5" spans="1:32">
      <c r="A43" s="4">
        <v>6</v>
      </c>
      <c r="B43" s="4">
        <v>6</v>
      </c>
      <c r="C43" s="5" t="s">
        <v>670</v>
      </c>
      <c r="D43" s="4">
        <v>60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="4" customFormat="1" ht="16.5" spans="3:32">
      <c r="C44" s="5"/>
      <c r="D44" s="4">
        <v>620</v>
      </c>
      <c r="E44" s="4">
        <v>180</v>
      </c>
      <c r="F44" s="4">
        <v>450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"/>
  <sheetViews>
    <sheetView workbookViewId="0">
      <selection activeCell="A36" sqref="$A36:$XFD36"/>
    </sheetView>
  </sheetViews>
  <sheetFormatPr defaultColWidth="9" defaultRowHeight="17.25"/>
  <cols>
    <col min="1" max="2" width="9" style="1"/>
    <col min="3" max="3" width="11" style="1" customWidth="1"/>
    <col min="4" max="4" width="11.625" style="1" customWidth="1"/>
    <col min="5" max="5" width="12.5" style="1" customWidth="1"/>
    <col min="6" max="16384" width="9" style="1"/>
  </cols>
  <sheetData>
    <row r="1" spans="1:20">
      <c r="A1" s="1" t="s">
        <v>671</v>
      </c>
      <c r="B1" s="1" t="s">
        <v>672</v>
      </c>
      <c r="J1" s="1" t="s">
        <v>355</v>
      </c>
      <c r="R1" s="1" t="s">
        <v>671</v>
      </c>
      <c r="S1" s="1" t="s">
        <v>673</v>
      </c>
      <c r="T1" s="1" t="s">
        <v>674</v>
      </c>
    </row>
    <row r="2" spans="1:2">
      <c r="A2" s="1" t="s">
        <v>673</v>
      </c>
      <c r="B2" s="1" t="s">
        <v>675</v>
      </c>
    </row>
    <row r="3" spans="1:2">
      <c r="A3" s="1" t="s">
        <v>674</v>
      </c>
      <c r="B3" s="2" t="s">
        <v>676</v>
      </c>
    </row>
    <row r="4" spans="3:20"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R4" s="1">
        <v>1</v>
      </c>
      <c r="S4" s="1">
        <v>1.2</v>
      </c>
      <c r="T4" s="1">
        <v>1.5</v>
      </c>
    </row>
    <row r="5" spans="1:15">
      <c r="A5" s="3">
        <v>101</v>
      </c>
      <c r="B5" s="3" t="s">
        <v>677</v>
      </c>
      <c r="C5" s="1">
        <v>10</v>
      </c>
      <c r="D5" s="1">
        <v>15</v>
      </c>
      <c r="E5" s="1">
        <v>20</v>
      </c>
      <c r="F5" s="1">
        <v>25</v>
      </c>
      <c r="G5" s="1">
        <v>30</v>
      </c>
      <c r="H5" s="1">
        <v>40</v>
      </c>
      <c r="J5" s="1" t="str">
        <f>$A5&amp;$J$1&amp;C5</f>
        <v>101|10</v>
      </c>
      <c r="K5" s="1" t="str">
        <f>$A5&amp;$J$1&amp;D5</f>
        <v>101|15</v>
      </c>
      <c r="L5" s="1" t="str">
        <f>$A5&amp;$J$1&amp;E5</f>
        <v>101|20</v>
      </c>
      <c r="M5" s="1" t="str">
        <f>$A5&amp;$J$1&amp;F5</f>
        <v>101|25</v>
      </c>
      <c r="N5" s="1" t="str">
        <f>$A5&amp;$J$1&amp;G5</f>
        <v>101|30</v>
      </c>
      <c r="O5" s="1" t="str">
        <f>$A5&amp;$J$1&amp;H5</f>
        <v>101|40</v>
      </c>
    </row>
    <row r="6" spans="1:15">
      <c r="A6" s="3">
        <v>102</v>
      </c>
      <c r="B6" s="3" t="s">
        <v>678</v>
      </c>
      <c r="C6" s="1">
        <f>C5*0.8</f>
        <v>8</v>
      </c>
      <c r="D6" s="1">
        <f>D5*0.8</f>
        <v>12</v>
      </c>
      <c r="E6" s="1">
        <f>E5*0.8</f>
        <v>16</v>
      </c>
      <c r="F6" s="1">
        <f>F5*0.8</f>
        <v>20</v>
      </c>
      <c r="G6" s="1">
        <v>25</v>
      </c>
      <c r="H6" s="1">
        <v>30</v>
      </c>
      <c r="J6" s="1" t="str">
        <f t="shared" ref="J6:J44" si="0">$A6&amp;$J$1&amp;C6</f>
        <v>102|8</v>
      </c>
      <c r="K6" s="1" t="str">
        <f>$A6&amp;$J$1&amp;D6</f>
        <v>102|12</v>
      </c>
      <c r="L6" s="1" t="str">
        <f>$A6&amp;$J$1&amp;E6</f>
        <v>102|16</v>
      </c>
      <c r="M6" s="1" t="str">
        <f>$A6&amp;$J$1&amp;F6</f>
        <v>102|20</v>
      </c>
      <c r="N6" s="1" t="str">
        <f>$A6&amp;$J$1&amp;G6</f>
        <v>102|25</v>
      </c>
      <c r="O6" s="1" t="str">
        <f>$A6&amp;$J$1&amp;H6</f>
        <v>102|30</v>
      </c>
    </row>
    <row r="7" spans="1:15">
      <c r="A7" s="3">
        <v>103</v>
      </c>
      <c r="B7" s="3" t="s">
        <v>679</v>
      </c>
      <c r="C7" s="1">
        <v>5</v>
      </c>
      <c r="D7" s="1">
        <v>6</v>
      </c>
      <c r="E7" s="1">
        <v>7</v>
      </c>
      <c r="F7" s="1">
        <v>8</v>
      </c>
      <c r="G7" s="1">
        <v>9</v>
      </c>
      <c r="H7" s="1">
        <v>12</v>
      </c>
      <c r="J7" s="1" t="str">
        <f t="shared" si="0"/>
        <v>103|5</v>
      </c>
      <c r="K7" s="1" t="str">
        <f>$A7&amp;$J$1&amp;D7</f>
        <v>103|6</v>
      </c>
      <c r="L7" s="1" t="str">
        <f>$A7&amp;$J$1&amp;E7</f>
        <v>103|7</v>
      </c>
      <c r="M7" s="1" t="str">
        <f>$A7&amp;$J$1&amp;F7</f>
        <v>103|8</v>
      </c>
      <c r="N7" s="1" t="str">
        <f>$A7&amp;$J$1&amp;G7</f>
        <v>103|9</v>
      </c>
      <c r="O7" s="1" t="str">
        <f>$A7&amp;$J$1&amp;H7</f>
        <v>103|12</v>
      </c>
    </row>
    <row r="8" spans="1:15">
      <c r="A8" s="3">
        <v>104</v>
      </c>
      <c r="B8" s="3" t="s">
        <v>680</v>
      </c>
      <c r="C8" s="1">
        <f t="shared" ref="C8:H8" si="1">C7</f>
        <v>5</v>
      </c>
      <c r="D8" s="1">
        <f t="shared" si="1"/>
        <v>6</v>
      </c>
      <c r="E8" s="1">
        <f t="shared" si="1"/>
        <v>7</v>
      </c>
      <c r="F8" s="1">
        <f t="shared" si="1"/>
        <v>8</v>
      </c>
      <c r="G8" s="1">
        <f t="shared" si="1"/>
        <v>9</v>
      </c>
      <c r="H8" s="1">
        <f t="shared" si="1"/>
        <v>12</v>
      </c>
      <c r="J8" s="1" t="str">
        <f t="shared" si="0"/>
        <v>104|5</v>
      </c>
      <c r="K8" s="1" t="str">
        <f>$A8&amp;$J$1&amp;D8</f>
        <v>104|6</v>
      </c>
      <c r="L8" s="1" t="str">
        <f>$A8&amp;$J$1&amp;E8</f>
        <v>104|7</v>
      </c>
      <c r="M8" s="1" t="str">
        <f>$A8&amp;$J$1&amp;F8</f>
        <v>104|8</v>
      </c>
      <c r="N8" s="1" t="str">
        <f>$A8&amp;$J$1&amp;G8</f>
        <v>104|9</v>
      </c>
      <c r="O8" s="1" t="str">
        <f>$A8&amp;$J$1&amp;H8</f>
        <v>104|12</v>
      </c>
    </row>
    <row r="9" spans="1:15">
      <c r="A9" s="3">
        <v>105</v>
      </c>
      <c r="B9" s="3" t="s">
        <v>681</v>
      </c>
      <c r="C9" s="1">
        <f t="shared" ref="C9:H9" si="2">C6</f>
        <v>8</v>
      </c>
      <c r="D9" s="1">
        <f t="shared" si="2"/>
        <v>12</v>
      </c>
      <c r="E9" s="1">
        <f t="shared" si="2"/>
        <v>16</v>
      </c>
      <c r="F9" s="1">
        <f t="shared" si="2"/>
        <v>20</v>
      </c>
      <c r="G9" s="1">
        <f t="shared" si="2"/>
        <v>25</v>
      </c>
      <c r="H9" s="1">
        <f t="shared" si="2"/>
        <v>30</v>
      </c>
      <c r="J9" s="1" t="str">
        <f t="shared" si="0"/>
        <v>105|8</v>
      </c>
      <c r="K9" s="1" t="str">
        <f>$A9&amp;$J$1&amp;D9</f>
        <v>105|12</v>
      </c>
      <c r="L9" s="1" t="str">
        <f>$A9&amp;$J$1&amp;E9</f>
        <v>105|16</v>
      </c>
      <c r="M9" s="1" t="str">
        <f>$A9&amp;$J$1&amp;F9</f>
        <v>105|20</v>
      </c>
      <c r="N9" s="1" t="str">
        <f>$A9&amp;$J$1&amp;G9</f>
        <v>105|25</v>
      </c>
      <c r="O9" s="1" t="str">
        <f>$A9&amp;$J$1&amp;H9</f>
        <v>105|30</v>
      </c>
    </row>
    <row r="10" spans="1:15">
      <c r="A10" s="3">
        <v>111</v>
      </c>
      <c r="B10" s="3" t="s">
        <v>682</v>
      </c>
      <c r="C10" s="1">
        <f t="shared" ref="C10:H10" si="3">C5</f>
        <v>10</v>
      </c>
      <c r="D10" s="1">
        <f t="shared" si="3"/>
        <v>15</v>
      </c>
      <c r="E10" s="1">
        <f t="shared" si="3"/>
        <v>20</v>
      </c>
      <c r="F10" s="1">
        <f t="shared" si="3"/>
        <v>25</v>
      </c>
      <c r="G10" s="1">
        <f t="shared" si="3"/>
        <v>30</v>
      </c>
      <c r="H10" s="1">
        <f t="shared" si="3"/>
        <v>40</v>
      </c>
      <c r="J10" s="1" t="str">
        <f t="shared" si="0"/>
        <v>111|10</v>
      </c>
      <c r="K10" s="1" t="str">
        <f>$A10&amp;$J$1&amp;D10</f>
        <v>111|15</v>
      </c>
      <c r="L10" s="1" t="str">
        <f>$A10&amp;$J$1&amp;E10</f>
        <v>111|20</v>
      </c>
      <c r="M10" s="1" t="str">
        <f>$A10&amp;$J$1&amp;F10</f>
        <v>111|25</v>
      </c>
      <c r="N10" s="1" t="str">
        <f>$A10&amp;$J$1&amp;G10</f>
        <v>111|30</v>
      </c>
      <c r="O10" s="1" t="str">
        <f>$A10&amp;$J$1&amp;H10</f>
        <v>111|40</v>
      </c>
    </row>
    <row r="11" spans="1:15">
      <c r="A11" s="3">
        <v>112</v>
      </c>
      <c r="B11" s="3" t="s">
        <v>683</v>
      </c>
      <c r="C11" s="1">
        <f t="shared" ref="C11:C44" si="4">C6</f>
        <v>8</v>
      </c>
      <c r="D11" s="1">
        <f t="shared" ref="D11:D44" si="5">D6</f>
        <v>12</v>
      </c>
      <c r="E11" s="1">
        <f t="shared" ref="E11:E44" si="6">E6</f>
        <v>16</v>
      </c>
      <c r="F11" s="1">
        <f t="shared" ref="F11:F44" si="7">F6</f>
        <v>20</v>
      </c>
      <c r="G11" s="1">
        <f t="shared" ref="G11:G44" si="8">G6</f>
        <v>25</v>
      </c>
      <c r="H11" s="1">
        <f t="shared" ref="H11:H44" si="9">H6</f>
        <v>30</v>
      </c>
      <c r="J11" s="1" t="str">
        <f t="shared" si="0"/>
        <v>112|8</v>
      </c>
      <c r="K11" s="1" t="str">
        <f>$A11&amp;$J$1&amp;D11</f>
        <v>112|12</v>
      </c>
      <c r="L11" s="1" t="str">
        <f>$A11&amp;$J$1&amp;E11</f>
        <v>112|16</v>
      </c>
      <c r="M11" s="1" t="str">
        <f>$A11&amp;$J$1&amp;F11</f>
        <v>112|20</v>
      </c>
      <c r="N11" s="1" t="str">
        <f>$A11&amp;$J$1&amp;G11</f>
        <v>112|25</v>
      </c>
      <c r="O11" s="1" t="str">
        <f>$A11&amp;$J$1&amp;H11</f>
        <v>112|30</v>
      </c>
    </row>
    <row r="12" spans="1:15">
      <c r="A12" s="3">
        <v>113</v>
      </c>
      <c r="B12" s="3" t="s">
        <v>684</v>
      </c>
      <c r="C12" s="1">
        <f t="shared" si="4"/>
        <v>5</v>
      </c>
      <c r="D12" s="1">
        <f t="shared" si="5"/>
        <v>6</v>
      </c>
      <c r="E12" s="1">
        <f t="shared" si="6"/>
        <v>7</v>
      </c>
      <c r="F12" s="1">
        <f t="shared" si="7"/>
        <v>8</v>
      </c>
      <c r="G12" s="1">
        <f t="shared" si="8"/>
        <v>9</v>
      </c>
      <c r="H12" s="1">
        <f t="shared" si="9"/>
        <v>12</v>
      </c>
      <c r="J12" s="1" t="str">
        <f t="shared" si="0"/>
        <v>113|5</v>
      </c>
      <c r="K12" s="1" t="str">
        <f>$A12&amp;$J$1&amp;D12</f>
        <v>113|6</v>
      </c>
      <c r="L12" s="1" t="str">
        <f>$A12&amp;$J$1&amp;E12</f>
        <v>113|7</v>
      </c>
      <c r="M12" s="1" t="str">
        <f>$A12&amp;$J$1&amp;F12</f>
        <v>113|8</v>
      </c>
      <c r="N12" s="1" t="str">
        <f>$A12&amp;$J$1&amp;G12</f>
        <v>113|9</v>
      </c>
      <c r="O12" s="1" t="str">
        <f>$A12&amp;$J$1&amp;H12</f>
        <v>113|12</v>
      </c>
    </row>
    <row r="13" spans="1:15">
      <c r="A13" s="3">
        <v>114</v>
      </c>
      <c r="B13" s="3" t="s">
        <v>685</v>
      </c>
      <c r="C13" s="1">
        <f t="shared" si="4"/>
        <v>5</v>
      </c>
      <c r="D13" s="1">
        <f t="shared" si="5"/>
        <v>6</v>
      </c>
      <c r="E13" s="1">
        <f t="shared" si="6"/>
        <v>7</v>
      </c>
      <c r="F13" s="1">
        <f t="shared" si="7"/>
        <v>8</v>
      </c>
      <c r="G13" s="1">
        <f t="shared" si="8"/>
        <v>9</v>
      </c>
      <c r="H13" s="1">
        <f t="shared" si="9"/>
        <v>12</v>
      </c>
      <c r="J13" s="1" t="str">
        <f t="shared" si="0"/>
        <v>114|5</v>
      </c>
      <c r="K13" s="1" t="str">
        <f>$A13&amp;$J$1&amp;D13</f>
        <v>114|6</v>
      </c>
      <c r="L13" s="1" t="str">
        <f>$A13&amp;$J$1&amp;E13</f>
        <v>114|7</v>
      </c>
      <c r="M13" s="1" t="str">
        <f>$A13&amp;$J$1&amp;F13</f>
        <v>114|8</v>
      </c>
      <c r="N13" s="1" t="str">
        <f>$A13&amp;$J$1&amp;G13</f>
        <v>114|9</v>
      </c>
      <c r="O13" s="1" t="str">
        <f>$A13&amp;$J$1&amp;H13</f>
        <v>114|12</v>
      </c>
    </row>
    <row r="14" spans="1:15">
      <c r="A14" s="3">
        <v>115</v>
      </c>
      <c r="B14" s="3" t="s">
        <v>686</v>
      </c>
      <c r="C14" s="1">
        <f t="shared" si="4"/>
        <v>8</v>
      </c>
      <c r="D14" s="1">
        <f t="shared" si="5"/>
        <v>12</v>
      </c>
      <c r="E14" s="1">
        <f t="shared" si="6"/>
        <v>16</v>
      </c>
      <c r="F14" s="1">
        <f t="shared" si="7"/>
        <v>20</v>
      </c>
      <c r="G14" s="1">
        <f t="shared" si="8"/>
        <v>25</v>
      </c>
      <c r="H14" s="1">
        <f t="shared" si="9"/>
        <v>30</v>
      </c>
      <c r="J14" s="1" t="str">
        <f t="shared" si="0"/>
        <v>115|8</v>
      </c>
      <c r="K14" s="1" t="str">
        <f>$A14&amp;$J$1&amp;D14</f>
        <v>115|12</v>
      </c>
      <c r="L14" s="1" t="str">
        <f>$A14&amp;$J$1&amp;E14</f>
        <v>115|16</v>
      </c>
      <c r="M14" s="1" t="str">
        <f>$A14&amp;$J$1&amp;F14</f>
        <v>115|20</v>
      </c>
      <c r="N14" s="1" t="str">
        <f>$A14&amp;$J$1&amp;G14</f>
        <v>115|25</v>
      </c>
      <c r="O14" s="1" t="str">
        <f>$A14&amp;$J$1&amp;H14</f>
        <v>115|30</v>
      </c>
    </row>
    <row r="15" spans="1:15">
      <c r="A15" s="3">
        <v>121</v>
      </c>
      <c r="B15" s="3" t="s">
        <v>687</v>
      </c>
      <c r="C15" s="1">
        <f t="shared" si="4"/>
        <v>10</v>
      </c>
      <c r="D15" s="1">
        <f t="shared" si="5"/>
        <v>15</v>
      </c>
      <c r="E15" s="1">
        <f t="shared" si="6"/>
        <v>20</v>
      </c>
      <c r="F15" s="1">
        <f t="shared" si="7"/>
        <v>25</v>
      </c>
      <c r="G15" s="1">
        <f t="shared" si="8"/>
        <v>30</v>
      </c>
      <c r="H15" s="1">
        <f t="shared" si="9"/>
        <v>40</v>
      </c>
      <c r="J15" s="1" t="str">
        <f t="shared" si="0"/>
        <v>121|10</v>
      </c>
      <c r="K15" s="1" t="str">
        <f>$A15&amp;$J$1&amp;D15</f>
        <v>121|15</v>
      </c>
      <c r="L15" s="1" t="str">
        <f>$A15&amp;$J$1&amp;E15</f>
        <v>121|20</v>
      </c>
      <c r="M15" s="1" t="str">
        <f>$A15&amp;$J$1&amp;F15</f>
        <v>121|25</v>
      </c>
      <c r="N15" s="1" t="str">
        <f>$A15&amp;$J$1&amp;G15</f>
        <v>121|30</v>
      </c>
      <c r="O15" s="1" t="str">
        <f>$A15&amp;$J$1&amp;H15</f>
        <v>121|40</v>
      </c>
    </row>
    <row r="16" spans="1:15">
      <c r="A16" s="3">
        <v>122</v>
      </c>
      <c r="B16" s="3" t="s">
        <v>688</v>
      </c>
      <c r="C16" s="1">
        <f t="shared" si="4"/>
        <v>8</v>
      </c>
      <c r="D16" s="1">
        <f t="shared" si="5"/>
        <v>12</v>
      </c>
      <c r="E16" s="1">
        <f t="shared" si="6"/>
        <v>16</v>
      </c>
      <c r="F16" s="1">
        <f t="shared" si="7"/>
        <v>20</v>
      </c>
      <c r="G16" s="1">
        <f t="shared" si="8"/>
        <v>25</v>
      </c>
      <c r="H16" s="1">
        <f t="shared" si="9"/>
        <v>30</v>
      </c>
      <c r="J16" s="1" t="str">
        <f t="shared" si="0"/>
        <v>122|8</v>
      </c>
      <c r="K16" s="1" t="str">
        <f>$A16&amp;$J$1&amp;D16</f>
        <v>122|12</v>
      </c>
      <c r="L16" s="1" t="str">
        <f>$A16&amp;$J$1&amp;E16</f>
        <v>122|16</v>
      </c>
      <c r="M16" s="1" t="str">
        <f>$A16&amp;$J$1&amp;F16</f>
        <v>122|20</v>
      </c>
      <c r="N16" s="1" t="str">
        <f>$A16&amp;$J$1&amp;G16</f>
        <v>122|25</v>
      </c>
      <c r="O16" s="1" t="str">
        <f>$A16&amp;$J$1&amp;H16</f>
        <v>122|30</v>
      </c>
    </row>
    <row r="17" spans="1:15">
      <c r="A17" s="3">
        <v>123</v>
      </c>
      <c r="B17" s="3" t="s">
        <v>689</v>
      </c>
      <c r="C17" s="1">
        <f t="shared" si="4"/>
        <v>5</v>
      </c>
      <c r="D17" s="1">
        <f t="shared" si="5"/>
        <v>6</v>
      </c>
      <c r="E17" s="1">
        <f t="shared" si="6"/>
        <v>7</v>
      </c>
      <c r="F17" s="1">
        <f t="shared" si="7"/>
        <v>8</v>
      </c>
      <c r="G17" s="1">
        <f t="shared" si="8"/>
        <v>9</v>
      </c>
      <c r="H17" s="1">
        <f t="shared" si="9"/>
        <v>12</v>
      </c>
      <c r="J17" s="1" t="str">
        <f t="shared" si="0"/>
        <v>123|5</v>
      </c>
      <c r="K17" s="1" t="str">
        <f>$A17&amp;$J$1&amp;D17</f>
        <v>123|6</v>
      </c>
      <c r="L17" s="1" t="str">
        <f>$A17&amp;$J$1&amp;E17</f>
        <v>123|7</v>
      </c>
      <c r="M17" s="1" t="str">
        <f>$A17&amp;$J$1&amp;F17</f>
        <v>123|8</v>
      </c>
      <c r="N17" s="1" t="str">
        <f>$A17&amp;$J$1&amp;G17</f>
        <v>123|9</v>
      </c>
      <c r="O17" s="1" t="str">
        <f>$A17&amp;$J$1&amp;H17</f>
        <v>123|12</v>
      </c>
    </row>
    <row r="18" spans="1:15">
      <c r="A18" s="3">
        <v>124</v>
      </c>
      <c r="B18" s="3" t="s">
        <v>690</v>
      </c>
      <c r="C18" s="1">
        <f t="shared" si="4"/>
        <v>5</v>
      </c>
      <c r="D18" s="1">
        <f t="shared" si="5"/>
        <v>6</v>
      </c>
      <c r="E18" s="1">
        <f t="shared" si="6"/>
        <v>7</v>
      </c>
      <c r="F18" s="1">
        <f t="shared" si="7"/>
        <v>8</v>
      </c>
      <c r="G18" s="1">
        <f t="shared" si="8"/>
        <v>9</v>
      </c>
      <c r="H18" s="1">
        <f t="shared" si="9"/>
        <v>12</v>
      </c>
      <c r="J18" s="1" t="str">
        <f t="shared" si="0"/>
        <v>124|5</v>
      </c>
      <c r="K18" s="1" t="str">
        <f>$A18&amp;$J$1&amp;D18</f>
        <v>124|6</v>
      </c>
      <c r="L18" s="1" t="str">
        <f>$A18&amp;$J$1&amp;E18</f>
        <v>124|7</v>
      </c>
      <c r="M18" s="1" t="str">
        <f>$A18&amp;$J$1&amp;F18</f>
        <v>124|8</v>
      </c>
      <c r="N18" s="1" t="str">
        <f>$A18&amp;$J$1&amp;G18</f>
        <v>124|9</v>
      </c>
      <c r="O18" s="1" t="str">
        <f>$A18&amp;$J$1&amp;H18</f>
        <v>124|12</v>
      </c>
    </row>
    <row r="19" spans="1:15">
      <c r="A19" s="3">
        <v>125</v>
      </c>
      <c r="B19" s="3" t="s">
        <v>691</v>
      </c>
      <c r="C19" s="1">
        <f t="shared" si="4"/>
        <v>8</v>
      </c>
      <c r="D19" s="1">
        <f t="shared" si="5"/>
        <v>12</v>
      </c>
      <c r="E19" s="1">
        <f t="shared" si="6"/>
        <v>16</v>
      </c>
      <c r="F19" s="1">
        <f t="shared" si="7"/>
        <v>20</v>
      </c>
      <c r="G19" s="1">
        <f t="shared" si="8"/>
        <v>25</v>
      </c>
      <c r="H19" s="1">
        <f t="shared" si="9"/>
        <v>30</v>
      </c>
      <c r="J19" s="1" t="str">
        <f t="shared" si="0"/>
        <v>125|8</v>
      </c>
      <c r="K19" s="1" t="str">
        <f>$A19&amp;$J$1&amp;D19</f>
        <v>125|12</v>
      </c>
      <c r="L19" s="1" t="str">
        <f>$A19&amp;$J$1&amp;E19</f>
        <v>125|16</v>
      </c>
      <c r="M19" s="1" t="str">
        <f>$A19&amp;$J$1&amp;F19</f>
        <v>125|20</v>
      </c>
      <c r="N19" s="1" t="str">
        <f>$A19&amp;$J$1&amp;G19</f>
        <v>125|25</v>
      </c>
      <c r="O19" s="1" t="str">
        <f>$A19&amp;$J$1&amp;H19</f>
        <v>125|30</v>
      </c>
    </row>
    <row r="20" spans="1:15">
      <c r="A20" s="3">
        <v>131</v>
      </c>
      <c r="B20" s="3" t="s">
        <v>692</v>
      </c>
      <c r="C20" s="1">
        <f t="shared" si="4"/>
        <v>10</v>
      </c>
      <c r="D20" s="1">
        <f t="shared" si="5"/>
        <v>15</v>
      </c>
      <c r="E20" s="1">
        <f t="shared" si="6"/>
        <v>20</v>
      </c>
      <c r="F20" s="1">
        <f t="shared" si="7"/>
        <v>25</v>
      </c>
      <c r="G20" s="1">
        <f t="shared" si="8"/>
        <v>30</v>
      </c>
      <c r="H20" s="1">
        <f t="shared" si="9"/>
        <v>40</v>
      </c>
      <c r="J20" s="1" t="str">
        <f t="shared" si="0"/>
        <v>131|10</v>
      </c>
      <c r="K20" s="1" t="str">
        <f>$A20&amp;$J$1&amp;D20</f>
        <v>131|15</v>
      </c>
      <c r="L20" s="1" t="str">
        <f>$A20&amp;$J$1&amp;E20</f>
        <v>131|20</v>
      </c>
      <c r="M20" s="1" t="str">
        <f>$A20&amp;$J$1&amp;F20</f>
        <v>131|25</v>
      </c>
      <c r="N20" s="1" t="str">
        <f>$A20&amp;$J$1&amp;G20</f>
        <v>131|30</v>
      </c>
      <c r="O20" s="1" t="str">
        <f>$A20&amp;$J$1&amp;H20</f>
        <v>131|40</v>
      </c>
    </row>
    <row r="21" spans="1:15">
      <c r="A21" s="3">
        <v>132</v>
      </c>
      <c r="B21" s="3" t="s">
        <v>693</v>
      </c>
      <c r="C21" s="1">
        <f t="shared" si="4"/>
        <v>8</v>
      </c>
      <c r="D21" s="1">
        <f t="shared" si="5"/>
        <v>12</v>
      </c>
      <c r="E21" s="1">
        <f t="shared" si="6"/>
        <v>16</v>
      </c>
      <c r="F21" s="1">
        <f t="shared" si="7"/>
        <v>20</v>
      </c>
      <c r="G21" s="1">
        <f t="shared" si="8"/>
        <v>25</v>
      </c>
      <c r="H21" s="1">
        <f t="shared" si="9"/>
        <v>30</v>
      </c>
      <c r="J21" s="1" t="str">
        <f t="shared" si="0"/>
        <v>132|8</v>
      </c>
      <c r="K21" s="1" t="str">
        <f>$A21&amp;$J$1&amp;D21</f>
        <v>132|12</v>
      </c>
      <c r="L21" s="1" t="str">
        <f>$A21&amp;$J$1&amp;E21</f>
        <v>132|16</v>
      </c>
      <c r="M21" s="1" t="str">
        <f>$A21&amp;$J$1&amp;F21</f>
        <v>132|20</v>
      </c>
      <c r="N21" s="1" t="str">
        <f>$A21&amp;$J$1&amp;G21</f>
        <v>132|25</v>
      </c>
      <c r="O21" s="1" t="str">
        <f>$A21&amp;$J$1&amp;H21</f>
        <v>132|30</v>
      </c>
    </row>
    <row r="22" spans="1:15">
      <c r="A22" s="3">
        <v>133</v>
      </c>
      <c r="B22" s="3" t="s">
        <v>694</v>
      </c>
      <c r="C22" s="1">
        <f t="shared" si="4"/>
        <v>5</v>
      </c>
      <c r="D22" s="1">
        <f t="shared" si="5"/>
        <v>6</v>
      </c>
      <c r="E22" s="1">
        <f t="shared" si="6"/>
        <v>7</v>
      </c>
      <c r="F22" s="1">
        <f t="shared" si="7"/>
        <v>8</v>
      </c>
      <c r="G22" s="1">
        <f t="shared" si="8"/>
        <v>9</v>
      </c>
      <c r="H22" s="1">
        <f t="shared" si="9"/>
        <v>12</v>
      </c>
      <c r="J22" s="1" t="str">
        <f t="shared" si="0"/>
        <v>133|5</v>
      </c>
      <c r="K22" s="1" t="str">
        <f>$A22&amp;$J$1&amp;D22</f>
        <v>133|6</v>
      </c>
      <c r="L22" s="1" t="str">
        <f>$A22&amp;$J$1&amp;E22</f>
        <v>133|7</v>
      </c>
      <c r="M22" s="1" t="str">
        <f>$A22&amp;$J$1&amp;F22</f>
        <v>133|8</v>
      </c>
      <c r="N22" s="1" t="str">
        <f>$A22&amp;$J$1&amp;G22</f>
        <v>133|9</v>
      </c>
      <c r="O22" s="1" t="str">
        <f>$A22&amp;$J$1&amp;H22</f>
        <v>133|12</v>
      </c>
    </row>
    <row r="23" spans="1:15">
      <c r="A23" s="3">
        <v>134</v>
      </c>
      <c r="B23" s="3" t="s">
        <v>695</v>
      </c>
      <c r="C23" s="1">
        <f t="shared" si="4"/>
        <v>5</v>
      </c>
      <c r="D23" s="1">
        <f t="shared" si="5"/>
        <v>6</v>
      </c>
      <c r="E23" s="1">
        <f t="shared" si="6"/>
        <v>7</v>
      </c>
      <c r="F23" s="1">
        <f t="shared" si="7"/>
        <v>8</v>
      </c>
      <c r="G23" s="1">
        <f t="shared" si="8"/>
        <v>9</v>
      </c>
      <c r="H23" s="1">
        <f t="shared" si="9"/>
        <v>12</v>
      </c>
      <c r="J23" s="1" t="str">
        <f t="shared" si="0"/>
        <v>134|5</v>
      </c>
      <c r="K23" s="1" t="str">
        <f>$A23&amp;$J$1&amp;D23</f>
        <v>134|6</v>
      </c>
      <c r="L23" s="1" t="str">
        <f>$A23&amp;$J$1&amp;E23</f>
        <v>134|7</v>
      </c>
      <c r="M23" s="1" t="str">
        <f>$A23&amp;$J$1&amp;F23</f>
        <v>134|8</v>
      </c>
      <c r="N23" s="1" t="str">
        <f>$A23&amp;$J$1&amp;G23</f>
        <v>134|9</v>
      </c>
      <c r="O23" s="1" t="str">
        <f>$A23&amp;$J$1&amp;H23</f>
        <v>134|12</v>
      </c>
    </row>
    <row r="24" spans="1:15">
      <c r="A24" s="3">
        <v>135</v>
      </c>
      <c r="B24" s="3" t="s">
        <v>696</v>
      </c>
      <c r="C24" s="1">
        <f t="shared" si="4"/>
        <v>8</v>
      </c>
      <c r="D24" s="1">
        <f t="shared" si="5"/>
        <v>12</v>
      </c>
      <c r="E24" s="1">
        <f t="shared" si="6"/>
        <v>16</v>
      </c>
      <c r="F24" s="1">
        <f t="shared" si="7"/>
        <v>20</v>
      </c>
      <c r="G24" s="1">
        <f t="shared" si="8"/>
        <v>25</v>
      </c>
      <c r="H24" s="1">
        <f t="shared" si="9"/>
        <v>30</v>
      </c>
      <c r="J24" s="1" t="str">
        <f t="shared" si="0"/>
        <v>135|8</v>
      </c>
      <c r="K24" s="1" t="str">
        <f>$A24&amp;$J$1&amp;D24</f>
        <v>135|12</v>
      </c>
      <c r="L24" s="1" t="str">
        <f>$A24&amp;$J$1&amp;E24</f>
        <v>135|16</v>
      </c>
      <c r="M24" s="1" t="str">
        <f>$A24&amp;$J$1&amp;F24</f>
        <v>135|20</v>
      </c>
      <c r="N24" s="1" t="str">
        <f>$A24&amp;$J$1&amp;G24</f>
        <v>135|25</v>
      </c>
      <c r="O24" s="1" t="str">
        <f>$A24&amp;$J$1&amp;H24</f>
        <v>135|30</v>
      </c>
    </row>
    <row r="25" spans="1:15">
      <c r="A25" s="3">
        <v>141</v>
      </c>
      <c r="B25" s="3" t="s">
        <v>697</v>
      </c>
      <c r="C25" s="1">
        <f t="shared" si="4"/>
        <v>10</v>
      </c>
      <c r="D25" s="1">
        <f t="shared" si="5"/>
        <v>15</v>
      </c>
      <c r="E25" s="1">
        <f t="shared" si="6"/>
        <v>20</v>
      </c>
      <c r="F25" s="1">
        <f t="shared" si="7"/>
        <v>25</v>
      </c>
      <c r="G25" s="1">
        <f t="shared" si="8"/>
        <v>30</v>
      </c>
      <c r="H25" s="1">
        <f t="shared" si="9"/>
        <v>40</v>
      </c>
      <c r="J25" s="1" t="str">
        <f t="shared" si="0"/>
        <v>141|10</v>
      </c>
      <c r="K25" s="1" t="str">
        <f>$A25&amp;$J$1&amp;D25</f>
        <v>141|15</v>
      </c>
      <c r="L25" s="1" t="str">
        <f>$A25&amp;$J$1&amp;E25</f>
        <v>141|20</v>
      </c>
      <c r="M25" s="1" t="str">
        <f>$A25&amp;$J$1&amp;F25</f>
        <v>141|25</v>
      </c>
      <c r="N25" s="1" t="str">
        <f>$A25&amp;$J$1&amp;G25</f>
        <v>141|30</v>
      </c>
      <c r="O25" s="1" t="str">
        <f>$A25&amp;$J$1&amp;H25</f>
        <v>141|40</v>
      </c>
    </row>
    <row r="26" spans="1:15">
      <c r="A26" s="3">
        <v>142</v>
      </c>
      <c r="B26" s="3" t="s">
        <v>698</v>
      </c>
      <c r="C26" s="1">
        <f t="shared" si="4"/>
        <v>8</v>
      </c>
      <c r="D26" s="1">
        <f t="shared" si="5"/>
        <v>12</v>
      </c>
      <c r="E26" s="1">
        <f t="shared" si="6"/>
        <v>16</v>
      </c>
      <c r="F26" s="1">
        <f t="shared" si="7"/>
        <v>20</v>
      </c>
      <c r="G26" s="1">
        <f t="shared" si="8"/>
        <v>25</v>
      </c>
      <c r="H26" s="1">
        <f t="shared" si="9"/>
        <v>30</v>
      </c>
      <c r="J26" s="1" t="str">
        <f t="shared" si="0"/>
        <v>142|8</v>
      </c>
      <c r="K26" s="1" t="str">
        <f>$A26&amp;$J$1&amp;D26</f>
        <v>142|12</v>
      </c>
      <c r="L26" s="1" t="str">
        <f>$A26&amp;$J$1&amp;E26</f>
        <v>142|16</v>
      </c>
      <c r="M26" s="1" t="str">
        <f>$A26&amp;$J$1&amp;F26</f>
        <v>142|20</v>
      </c>
      <c r="N26" s="1" t="str">
        <f>$A26&amp;$J$1&amp;G26</f>
        <v>142|25</v>
      </c>
      <c r="O26" s="1" t="str">
        <f>$A26&amp;$J$1&amp;H26</f>
        <v>142|30</v>
      </c>
    </row>
    <row r="27" spans="1:15">
      <c r="A27" s="3">
        <v>143</v>
      </c>
      <c r="B27" s="3" t="s">
        <v>699</v>
      </c>
      <c r="C27" s="1">
        <f t="shared" si="4"/>
        <v>5</v>
      </c>
      <c r="D27" s="1">
        <f t="shared" si="5"/>
        <v>6</v>
      </c>
      <c r="E27" s="1">
        <f t="shared" si="6"/>
        <v>7</v>
      </c>
      <c r="F27" s="1">
        <f t="shared" si="7"/>
        <v>8</v>
      </c>
      <c r="G27" s="1">
        <f t="shared" si="8"/>
        <v>9</v>
      </c>
      <c r="H27" s="1">
        <f t="shared" si="9"/>
        <v>12</v>
      </c>
      <c r="J27" s="1" t="str">
        <f t="shared" si="0"/>
        <v>143|5</v>
      </c>
      <c r="K27" s="1" t="str">
        <f>$A27&amp;$J$1&amp;D27</f>
        <v>143|6</v>
      </c>
      <c r="L27" s="1" t="str">
        <f>$A27&amp;$J$1&amp;E27</f>
        <v>143|7</v>
      </c>
      <c r="M27" s="1" t="str">
        <f>$A27&amp;$J$1&amp;F27</f>
        <v>143|8</v>
      </c>
      <c r="N27" s="1" t="str">
        <f>$A27&amp;$J$1&amp;G27</f>
        <v>143|9</v>
      </c>
      <c r="O27" s="1" t="str">
        <f>$A27&amp;$J$1&amp;H27</f>
        <v>143|12</v>
      </c>
    </row>
    <row r="28" spans="1:15">
      <c r="A28" s="3">
        <v>144</v>
      </c>
      <c r="B28" s="3" t="s">
        <v>700</v>
      </c>
      <c r="C28" s="1">
        <f t="shared" si="4"/>
        <v>5</v>
      </c>
      <c r="D28" s="1">
        <f t="shared" si="5"/>
        <v>6</v>
      </c>
      <c r="E28" s="1">
        <f t="shared" si="6"/>
        <v>7</v>
      </c>
      <c r="F28" s="1">
        <f t="shared" si="7"/>
        <v>8</v>
      </c>
      <c r="G28" s="1">
        <f t="shared" si="8"/>
        <v>9</v>
      </c>
      <c r="H28" s="1">
        <f t="shared" si="9"/>
        <v>12</v>
      </c>
      <c r="J28" s="1" t="str">
        <f t="shared" si="0"/>
        <v>144|5</v>
      </c>
      <c r="K28" s="1" t="str">
        <f>$A28&amp;$J$1&amp;D28</f>
        <v>144|6</v>
      </c>
      <c r="L28" s="1" t="str">
        <f>$A28&amp;$J$1&amp;E28</f>
        <v>144|7</v>
      </c>
      <c r="M28" s="1" t="str">
        <f>$A28&amp;$J$1&amp;F28</f>
        <v>144|8</v>
      </c>
      <c r="N28" s="1" t="str">
        <f>$A28&amp;$J$1&amp;G28</f>
        <v>144|9</v>
      </c>
      <c r="O28" s="1" t="str">
        <f>$A28&amp;$J$1&amp;H28</f>
        <v>144|12</v>
      </c>
    </row>
    <row r="29" spans="1:15">
      <c r="A29" s="3">
        <v>145</v>
      </c>
      <c r="B29" s="3" t="s">
        <v>701</v>
      </c>
      <c r="C29" s="1">
        <f t="shared" si="4"/>
        <v>8</v>
      </c>
      <c r="D29" s="1">
        <f t="shared" si="5"/>
        <v>12</v>
      </c>
      <c r="E29" s="1">
        <f t="shared" si="6"/>
        <v>16</v>
      </c>
      <c r="F29" s="1">
        <f t="shared" si="7"/>
        <v>20</v>
      </c>
      <c r="G29" s="1">
        <f t="shared" si="8"/>
        <v>25</v>
      </c>
      <c r="H29" s="1">
        <f t="shared" si="9"/>
        <v>30</v>
      </c>
      <c r="J29" s="1" t="str">
        <f t="shared" si="0"/>
        <v>145|8</v>
      </c>
      <c r="K29" s="1" t="str">
        <f>$A29&amp;$J$1&amp;D29</f>
        <v>145|12</v>
      </c>
      <c r="L29" s="1" t="str">
        <f>$A29&amp;$J$1&amp;E29</f>
        <v>145|16</v>
      </c>
      <c r="M29" s="1" t="str">
        <f>$A29&amp;$J$1&amp;F29</f>
        <v>145|20</v>
      </c>
      <c r="N29" s="1" t="str">
        <f>$A29&amp;$J$1&amp;G29</f>
        <v>145|25</v>
      </c>
      <c r="O29" s="1" t="str">
        <f>$A29&amp;$J$1&amp;H29</f>
        <v>145|30</v>
      </c>
    </row>
    <row r="30" spans="1:15">
      <c r="A30" s="3">
        <v>151</v>
      </c>
      <c r="B30" s="3" t="s">
        <v>702</v>
      </c>
      <c r="C30" s="1">
        <f t="shared" si="4"/>
        <v>10</v>
      </c>
      <c r="D30" s="1">
        <f t="shared" si="5"/>
        <v>15</v>
      </c>
      <c r="E30" s="1">
        <f t="shared" si="6"/>
        <v>20</v>
      </c>
      <c r="F30" s="1">
        <f t="shared" si="7"/>
        <v>25</v>
      </c>
      <c r="G30" s="1">
        <f t="shared" si="8"/>
        <v>30</v>
      </c>
      <c r="H30" s="1">
        <f t="shared" si="9"/>
        <v>40</v>
      </c>
      <c r="J30" s="1" t="str">
        <f t="shared" si="0"/>
        <v>151|10</v>
      </c>
      <c r="K30" s="1" t="str">
        <f>$A30&amp;$J$1&amp;D30</f>
        <v>151|15</v>
      </c>
      <c r="L30" s="1" t="str">
        <f>$A30&amp;$J$1&amp;E30</f>
        <v>151|20</v>
      </c>
      <c r="M30" s="1" t="str">
        <f>$A30&amp;$J$1&amp;F30</f>
        <v>151|25</v>
      </c>
      <c r="N30" s="1" t="str">
        <f>$A30&amp;$J$1&amp;G30</f>
        <v>151|30</v>
      </c>
      <c r="O30" s="1" t="str">
        <f>$A30&amp;$J$1&amp;H30</f>
        <v>151|40</v>
      </c>
    </row>
    <row r="31" spans="1:15">
      <c r="A31" s="3">
        <v>152</v>
      </c>
      <c r="B31" s="3" t="s">
        <v>703</v>
      </c>
      <c r="C31" s="1">
        <f t="shared" si="4"/>
        <v>8</v>
      </c>
      <c r="D31" s="1">
        <f t="shared" si="5"/>
        <v>12</v>
      </c>
      <c r="E31" s="1">
        <f t="shared" si="6"/>
        <v>16</v>
      </c>
      <c r="F31" s="1">
        <f t="shared" si="7"/>
        <v>20</v>
      </c>
      <c r="G31" s="1">
        <f t="shared" si="8"/>
        <v>25</v>
      </c>
      <c r="H31" s="1">
        <f t="shared" si="9"/>
        <v>30</v>
      </c>
      <c r="J31" s="1" t="str">
        <f t="shared" si="0"/>
        <v>152|8</v>
      </c>
      <c r="K31" s="1" t="str">
        <f>$A31&amp;$J$1&amp;D31</f>
        <v>152|12</v>
      </c>
      <c r="L31" s="1" t="str">
        <f>$A31&amp;$J$1&amp;E31</f>
        <v>152|16</v>
      </c>
      <c r="M31" s="1" t="str">
        <f>$A31&amp;$J$1&amp;F31</f>
        <v>152|20</v>
      </c>
      <c r="N31" s="1" t="str">
        <f>$A31&amp;$J$1&amp;G31</f>
        <v>152|25</v>
      </c>
      <c r="O31" s="1" t="str">
        <f>$A31&amp;$J$1&amp;H31</f>
        <v>152|30</v>
      </c>
    </row>
    <row r="32" spans="1:15">
      <c r="A32" s="3">
        <v>153</v>
      </c>
      <c r="B32" s="3" t="s">
        <v>704</v>
      </c>
      <c r="C32" s="1">
        <f t="shared" si="4"/>
        <v>5</v>
      </c>
      <c r="D32" s="1">
        <f t="shared" si="5"/>
        <v>6</v>
      </c>
      <c r="E32" s="1">
        <f t="shared" si="6"/>
        <v>7</v>
      </c>
      <c r="F32" s="1">
        <f t="shared" si="7"/>
        <v>8</v>
      </c>
      <c r="G32" s="1">
        <f t="shared" si="8"/>
        <v>9</v>
      </c>
      <c r="H32" s="1">
        <f t="shared" si="9"/>
        <v>12</v>
      </c>
      <c r="J32" s="1" t="str">
        <f t="shared" si="0"/>
        <v>153|5</v>
      </c>
      <c r="K32" s="1" t="str">
        <f>$A32&amp;$J$1&amp;D32</f>
        <v>153|6</v>
      </c>
      <c r="L32" s="1" t="str">
        <f>$A32&amp;$J$1&amp;E32</f>
        <v>153|7</v>
      </c>
      <c r="M32" s="1" t="str">
        <f>$A32&amp;$J$1&amp;F32</f>
        <v>153|8</v>
      </c>
      <c r="N32" s="1" t="str">
        <f>$A32&amp;$J$1&amp;G32</f>
        <v>153|9</v>
      </c>
      <c r="O32" s="1" t="str">
        <f>$A32&amp;$J$1&amp;H32</f>
        <v>153|12</v>
      </c>
    </row>
    <row r="33" spans="1:15">
      <c r="A33" s="3">
        <v>154</v>
      </c>
      <c r="B33" s="3" t="s">
        <v>705</v>
      </c>
      <c r="C33" s="1">
        <f t="shared" si="4"/>
        <v>5</v>
      </c>
      <c r="D33" s="1">
        <f t="shared" si="5"/>
        <v>6</v>
      </c>
      <c r="E33" s="1">
        <f t="shared" si="6"/>
        <v>7</v>
      </c>
      <c r="F33" s="1">
        <f t="shared" si="7"/>
        <v>8</v>
      </c>
      <c r="G33" s="1">
        <f t="shared" si="8"/>
        <v>9</v>
      </c>
      <c r="H33" s="1">
        <f t="shared" si="9"/>
        <v>12</v>
      </c>
      <c r="J33" s="1" t="str">
        <f t="shared" si="0"/>
        <v>154|5</v>
      </c>
      <c r="K33" s="1" t="str">
        <f>$A33&amp;$J$1&amp;D33</f>
        <v>154|6</v>
      </c>
      <c r="L33" s="1" t="str">
        <f>$A33&amp;$J$1&amp;E33</f>
        <v>154|7</v>
      </c>
      <c r="M33" s="1" t="str">
        <f>$A33&amp;$J$1&amp;F33</f>
        <v>154|8</v>
      </c>
      <c r="N33" s="1" t="str">
        <f>$A33&amp;$J$1&amp;G33</f>
        <v>154|9</v>
      </c>
      <c r="O33" s="1" t="str">
        <f>$A33&amp;$J$1&amp;H33</f>
        <v>154|12</v>
      </c>
    </row>
    <row r="34" spans="1:15">
      <c r="A34" s="3">
        <v>155</v>
      </c>
      <c r="B34" s="3" t="s">
        <v>706</v>
      </c>
      <c r="C34" s="1">
        <f t="shared" si="4"/>
        <v>8</v>
      </c>
      <c r="D34" s="1">
        <f t="shared" si="5"/>
        <v>12</v>
      </c>
      <c r="E34" s="1">
        <f t="shared" si="6"/>
        <v>16</v>
      </c>
      <c r="F34" s="1">
        <f t="shared" si="7"/>
        <v>20</v>
      </c>
      <c r="G34" s="1">
        <f t="shared" si="8"/>
        <v>25</v>
      </c>
      <c r="H34" s="1">
        <f t="shared" si="9"/>
        <v>30</v>
      </c>
      <c r="J34" s="1" t="str">
        <f t="shared" si="0"/>
        <v>155|8</v>
      </c>
      <c r="K34" s="1" t="str">
        <f>$A34&amp;$J$1&amp;D34</f>
        <v>155|12</v>
      </c>
      <c r="L34" s="1" t="str">
        <f>$A34&amp;$J$1&amp;E34</f>
        <v>155|16</v>
      </c>
      <c r="M34" s="1" t="str">
        <f>$A34&amp;$J$1&amp;F34</f>
        <v>155|20</v>
      </c>
      <c r="N34" s="1" t="str">
        <f>$A34&amp;$J$1&amp;G34</f>
        <v>155|25</v>
      </c>
      <c r="O34" s="1" t="str">
        <f>$A34&amp;$J$1&amp;H34</f>
        <v>155|30</v>
      </c>
    </row>
    <row r="35" spans="1:15">
      <c r="A35" s="3">
        <v>161</v>
      </c>
      <c r="B35" s="3" t="s">
        <v>707</v>
      </c>
      <c r="C35" s="1">
        <f t="shared" si="4"/>
        <v>10</v>
      </c>
      <c r="D35" s="1">
        <f t="shared" si="5"/>
        <v>15</v>
      </c>
      <c r="E35" s="1">
        <f t="shared" si="6"/>
        <v>20</v>
      </c>
      <c r="F35" s="1">
        <f t="shared" si="7"/>
        <v>25</v>
      </c>
      <c r="G35" s="1">
        <f t="shared" si="8"/>
        <v>30</v>
      </c>
      <c r="H35" s="1">
        <f t="shared" si="9"/>
        <v>40</v>
      </c>
      <c r="J35" s="1" t="str">
        <f t="shared" si="0"/>
        <v>161|10</v>
      </c>
      <c r="K35" s="1" t="str">
        <f>$A35&amp;$J$1&amp;D35</f>
        <v>161|15</v>
      </c>
      <c r="L35" s="1" t="str">
        <f>$A35&amp;$J$1&amp;E35</f>
        <v>161|20</v>
      </c>
      <c r="M35" s="1" t="str">
        <f>$A35&amp;$J$1&amp;F35</f>
        <v>161|25</v>
      </c>
      <c r="N35" s="1" t="str">
        <f>$A35&amp;$J$1&amp;G35</f>
        <v>161|30</v>
      </c>
      <c r="O35" s="1" t="str">
        <f>$A35&amp;$J$1&amp;H35</f>
        <v>161|40</v>
      </c>
    </row>
    <row r="36" spans="1:15">
      <c r="A36" s="3">
        <v>162</v>
      </c>
      <c r="B36" s="3" t="s">
        <v>708</v>
      </c>
      <c r="C36" s="1">
        <f t="shared" si="4"/>
        <v>8</v>
      </c>
      <c r="D36" s="1">
        <f t="shared" si="5"/>
        <v>12</v>
      </c>
      <c r="E36" s="1">
        <f t="shared" si="6"/>
        <v>16</v>
      </c>
      <c r="F36" s="1">
        <f t="shared" si="7"/>
        <v>20</v>
      </c>
      <c r="G36" s="1">
        <f t="shared" si="8"/>
        <v>25</v>
      </c>
      <c r="H36" s="1">
        <f t="shared" si="9"/>
        <v>30</v>
      </c>
      <c r="J36" s="1" t="str">
        <f t="shared" si="0"/>
        <v>162|8</v>
      </c>
      <c r="K36" s="1" t="str">
        <f>$A36&amp;$J$1&amp;D36</f>
        <v>162|12</v>
      </c>
      <c r="L36" s="1" t="str">
        <f>$A36&amp;$J$1&amp;E36</f>
        <v>162|16</v>
      </c>
      <c r="M36" s="1" t="str">
        <f>$A36&amp;$J$1&amp;F36</f>
        <v>162|20</v>
      </c>
      <c r="N36" s="1" t="str">
        <f>$A36&amp;$J$1&amp;G36</f>
        <v>162|25</v>
      </c>
      <c r="O36" s="1" t="str">
        <f>$A36&amp;$J$1&amp;H36</f>
        <v>162|30</v>
      </c>
    </row>
    <row r="37" spans="1:15">
      <c r="A37" s="3">
        <v>163</v>
      </c>
      <c r="B37" s="3" t="s">
        <v>709</v>
      </c>
      <c r="C37" s="1">
        <f t="shared" si="4"/>
        <v>5</v>
      </c>
      <c r="D37" s="1">
        <f t="shared" si="5"/>
        <v>6</v>
      </c>
      <c r="E37" s="1">
        <f t="shared" si="6"/>
        <v>7</v>
      </c>
      <c r="F37" s="1">
        <f t="shared" si="7"/>
        <v>8</v>
      </c>
      <c r="G37" s="1">
        <f t="shared" si="8"/>
        <v>9</v>
      </c>
      <c r="H37" s="1">
        <f t="shared" si="9"/>
        <v>12</v>
      </c>
      <c r="J37" s="1" t="str">
        <f t="shared" si="0"/>
        <v>163|5</v>
      </c>
      <c r="K37" s="1" t="str">
        <f>$A37&amp;$J$1&amp;D37</f>
        <v>163|6</v>
      </c>
      <c r="L37" s="1" t="str">
        <f>$A37&amp;$J$1&amp;E37</f>
        <v>163|7</v>
      </c>
      <c r="M37" s="1" t="str">
        <f>$A37&amp;$J$1&amp;F37</f>
        <v>163|8</v>
      </c>
      <c r="N37" s="1" t="str">
        <f>$A37&amp;$J$1&amp;G37</f>
        <v>163|9</v>
      </c>
      <c r="O37" s="1" t="str">
        <f>$A37&amp;$J$1&amp;H37</f>
        <v>163|12</v>
      </c>
    </row>
    <row r="38" spans="1:15">
      <c r="A38" s="3">
        <v>164</v>
      </c>
      <c r="B38" s="3" t="s">
        <v>710</v>
      </c>
      <c r="C38" s="1">
        <f t="shared" si="4"/>
        <v>5</v>
      </c>
      <c r="D38" s="1">
        <f t="shared" si="5"/>
        <v>6</v>
      </c>
      <c r="E38" s="1">
        <f t="shared" si="6"/>
        <v>7</v>
      </c>
      <c r="F38" s="1">
        <f t="shared" si="7"/>
        <v>8</v>
      </c>
      <c r="G38" s="1">
        <f t="shared" si="8"/>
        <v>9</v>
      </c>
      <c r="H38" s="1">
        <f t="shared" si="9"/>
        <v>12</v>
      </c>
      <c r="J38" s="1" t="str">
        <f t="shared" si="0"/>
        <v>164|5</v>
      </c>
      <c r="K38" s="1" t="str">
        <f>$A38&amp;$J$1&amp;D38</f>
        <v>164|6</v>
      </c>
      <c r="L38" s="1" t="str">
        <f>$A38&amp;$J$1&amp;E38</f>
        <v>164|7</v>
      </c>
      <c r="M38" s="1" t="str">
        <f>$A38&amp;$J$1&amp;F38</f>
        <v>164|8</v>
      </c>
      <c r="N38" s="1" t="str">
        <f>$A38&amp;$J$1&amp;G38</f>
        <v>164|9</v>
      </c>
      <c r="O38" s="1" t="str">
        <f>$A38&amp;$J$1&amp;H38</f>
        <v>164|12</v>
      </c>
    </row>
    <row r="39" spans="1:15">
      <c r="A39" s="3">
        <v>165</v>
      </c>
      <c r="B39" s="3" t="s">
        <v>711</v>
      </c>
      <c r="C39" s="1">
        <f t="shared" si="4"/>
        <v>8</v>
      </c>
      <c r="D39" s="1">
        <f t="shared" si="5"/>
        <v>12</v>
      </c>
      <c r="E39" s="1">
        <f t="shared" si="6"/>
        <v>16</v>
      </c>
      <c r="F39" s="1">
        <f t="shared" si="7"/>
        <v>20</v>
      </c>
      <c r="G39" s="1">
        <f t="shared" si="8"/>
        <v>25</v>
      </c>
      <c r="H39" s="1">
        <f t="shared" si="9"/>
        <v>30</v>
      </c>
      <c r="J39" s="1" t="str">
        <f t="shared" si="0"/>
        <v>165|8</v>
      </c>
      <c r="K39" s="1" t="str">
        <f>$A39&amp;$J$1&amp;D39</f>
        <v>165|12</v>
      </c>
      <c r="L39" s="1" t="str">
        <f>$A39&amp;$J$1&amp;E39</f>
        <v>165|16</v>
      </c>
      <c r="M39" s="1" t="str">
        <f>$A39&amp;$J$1&amp;F39</f>
        <v>165|20</v>
      </c>
      <c r="N39" s="1" t="str">
        <f>$A39&amp;$J$1&amp;G39</f>
        <v>165|25</v>
      </c>
      <c r="O39" s="1" t="str">
        <f>$A39&amp;$J$1&amp;H39</f>
        <v>165|30</v>
      </c>
    </row>
    <row r="40" spans="1:15">
      <c r="A40" s="3">
        <v>171</v>
      </c>
      <c r="B40" s="3" t="s">
        <v>712</v>
      </c>
      <c r="C40" s="1">
        <f t="shared" si="4"/>
        <v>10</v>
      </c>
      <c r="D40" s="1">
        <f t="shared" si="5"/>
        <v>15</v>
      </c>
      <c r="E40" s="1">
        <f t="shared" si="6"/>
        <v>20</v>
      </c>
      <c r="F40" s="1">
        <f t="shared" si="7"/>
        <v>25</v>
      </c>
      <c r="G40" s="1">
        <f t="shared" si="8"/>
        <v>30</v>
      </c>
      <c r="H40" s="1">
        <f t="shared" si="9"/>
        <v>40</v>
      </c>
      <c r="J40" s="1" t="str">
        <f t="shared" si="0"/>
        <v>171|10</v>
      </c>
      <c r="K40" s="1" t="str">
        <f>$A40&amp;$J$1&amp;D40</f>
        <v>171|15</v>
      </c>
      <c r="L40" s="1" t="str">
        <f>$A40&amp;$J$1&amp;E40</f>
        <v>171|20</v>
      </c>
      <c r="M40" s="1" t="str">
        <f>$A40&amp;$J$1&amp;F40</f>
        <v>171|25</v>
      </c>
      <c r="N40" s="1" t="str">
        <f>$A40&amp;$J$1&amp;G40</f>
        <v>171|30</v>
      </c>
      <c r="O40" s="1" t="str">
        <f>$A40&amp;$J$1&amp;H40</f>
        <v>171|40</v>
      </c>
    </row>
    <row r="41" spans="1:15">
      <c r="A41" s="3">
        <v>172</v>
      </c>
      <c r="B41" s="3" t="s">
        <v>713</v>
      </c>
      <c r="C41" s="1">
        <f t="shared" si="4"/>
        <v>8</v>
      </c>
      <c r="D41" s="1">
        <f t="shared" si="5"/>
        <v>12</v>
      </c>
      <c r="E41" s="1">
        <f t="shared" si="6"/>
        <v>16</v>
      </c>
      <c r="F41" s="1">
        <f t="shared" si="7"/>
        <v>20</v>
      </c>
      <c r="G41" s="1">
        <f t="shared" si="8"/>
        <v>25</v>
      </c>
      <c r="H41" s="1">
        <f t="shared" si="9"/>
        <v>30</v>
      </c>
      <c r="J41" s="1" t="str">
        <f t="shared" si="0"/>
        <v>172|8</v>
      </c>
      <c r="K41" s="1" t="str">
        <f>$A41&amp;$J$1&amp;D41</f>
        <v>172|12</v>
      </c>
      <c r="L41" s="1" t="str">
        <f>$A41&amp;$J$1&amp;E41</f>
        <v>172|16</v>
      </c>
      <c r="M41" s="1" t="str">
        <f>$A41&amp;$J$1&amp;F41</f>
        <v>172|20</v>
      </c>
      <c r="N41" s="1" t="str">
        <f>$A41&amp;$J$1&amp;G41</f>
        <v>172|25</v>
      </c>
      <c r="O41" s="1" t="str">
        <f>$A41&amp;$J$1&amp;H41</f>
        <v>172|30</v>
      </c>
    </row>
    <row r="42" spans="1:15">
      <c r="A42" s="3">
        <v>173</v>
      </c>
      <c r="B42" s="3" t="s">
        <v>714</v>
      </c>
      <c r="C42" s="1">
        <f t="shared" si="4"/>
        <v>5</v>
      </c>
      <c r="D42" s="1">
        <f t="shared" si="5"/>
        <v>6</v>
      </c>
      <c r="E42" s="1">
        <f t="shared" si="6"/>
        <v>7</v>
      </c>
      <c r="F42" s="1">
        <f t="shared" si="7"/>
        <v>8</v>
      </c>
      <c r="G42" s="1">
        <f t="shared" si="8"/>
        <v>9</v>
      </c>
      <c r="H42" s="1">
        <f t="shared" si="9"/>
        <v>12</v>
      </c>
      <c r="J42" s="1" t="str">
        <f t="shared" si="0"/>
        <v>173|5</v>
      </c>
      <c r="K42" s="1" t="str">
        <f>$A42&amp;$J$1&amp;D42</f>
        <v>173|6</v>
      </c>
      <c r="L42" s="1" t="str">
        <f>$A42&amp;$J$1&amp;E42</f>
        <v>173|7</v>
      </c>
      <c r="M42" s="1" t="str">
        <f>$A42&amp;$J$1&amp;F42</f>
        <v>173|8</v>
      </c>
      <c r="N42" s="1" t="str">
        <f>$A42&amp;$J$1&amp;G42</f>
        <v>173|9</v>
      </c>
      <c r="O42" s="1" t="str">
        <f>$A42&amp;$J$1&amp;H42</f>
        <v>173|12</v>
      </c>
    </row>
    <row r="43" spans="1:15">
      <c r="A43" s="3">
        <v>174</v>
      </c>
      <c r="B43" s="3" t="s">
        <v>715</v>
      </c>
      <c r="C43" s="1">
        <f t="shared" si="4"/>
        <v>5</v>
      </c>
      <c r="D43" s="1">
        <f t="shared" si="5"/>
        <v>6</v>
      </c>
      <c r="E43" s="1">
        <f t="shared" si="6"/>
        <v>7</v>
      </c>
      <c r="F43" s="1">
        <f t="shared" si="7"/>
        <v>8</v>
      </c>
      <c r="G43" s="1">
        <f t="shared" si="8"/>
        <v>9</v>
      </c>
      <c r="H43" s="1">
        <f t="shared" si="9"/>
        <v>12</v>
      </c>
      <c r="J43" s="1" t="str">
        <f t="shared" si="0"/>
        <v>174|5</v>
      </c>
      <c r="K43" s="1" t="str">
        <f>$A43&amp;$J$1&amp;D43</f>
        <v>174|6</v>
      </c>
      <c r="L43" s="1" t="str">
        <f>$A43&amp;$J$1&amp;E43</f>
        <v>174|7</v>
      </c>
      <c r="M43" s="1" t="str">
        <f>$A43&amp;$J$1&amp;F43</f>
        <v>174|8</v>
      </c>
      <c r="N43" s="1" t="str">
        <f>$A43&amp;$J$1&amp;G43</f>
        <v>174|9</v>
      </c>
      <c r="O43" s="1" t="str">
        <f>$A43&amp;$J$1&amp;H43</f>
        <v>174|12</v>
      </c>
    </row>
    <row r="44" spans="1:15">
      <c r="A44" s="3">
        <v>175</v>
      </c>
      <c r="B44" s="3" t="s">
        <v>716</v>
      </c>
      <c r="C44" s="1">
        <f t="shared" si="4"/>
        <v>8</v>
      </c>
      <c r="D44" s="1">
        <f t="shared" si="5"/>
        <v>12</v>
      </c>
      <c r="E44" s="1">
        <f t="shared" si="6"/>
        <v>16</v>
      </c>
      <c r="F44" s="1">
        <f t="shared" si="7"/>
        <v>20</v>
      </c>
      <c r="G44" s="1">
        <f t="shared" si="8"/>
        <v>25</v>
      </c>
      <c r="H44" s="1">
        <f t="shared" si="9"/>
        <v>30</v>
      </c>
      <c r="J44" s="1" t="str">
        <f t="shared" si="0"/>
        <v>175|8</v>
      </c>
      <c r="K44" s="1" t="str">
        <f>$A44&amp;$J$1&amp;D44</f>
        <v>175|12</v>
      </c>
      <c r="L44" s="1" t="str">
        <f>$A44&amp;$J$1&amp;E44</f>
        <v>175|16</v>
      </c>
      <c r="M44" s="1" t="str">
        <f>$A44&amp;$J$1&amp;F44</f>
        <v>175|20</v>
      </c>
      <c r="N44" s="1" t="str">
        <f>$A44&amp;$J$1&amp;G44</f>
        <v>175|25</v>
      </c>
      <c r="O44" s="1" t="str">
        <f>$A44&amp;$J$1&amp;H44</f>
        <v>175|30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G1008"/>
  <sheetViews>
    <sheetView topLeftCell="A973" workbookViewId="0">
      <selection activeCell="G1" sqref="G1:G1008"/>
    </sheetView>
  </sheetViews>
  <sheetFormatPr defaultColWidth="9" defaultRowHeight="13.5" outlineLevelCol="6"/>
  <sheetData>
    <row r="1" spans="5:7">
      <c r="E1">
        <v>101001</v>
      </c>
      <c r="F1">
        <v>20</v>
      </c>
      <c r="G1" t="str">
        <f>IF(E1=0,0,E1&amp;":"&amp;F1)</f>
        <v>101001:20</v>
      </c>
    </row>
    <row r="2" spans="5:7">
      <c r="E2">
        <v>101001</v>
      </c>
      <c r="F2">
        <v>20</v>
      </c>
      <c r="G2" t="str">
        <f t="shared" ref="G2:G65" si="0">IF(E2=0,0,E2&amp;":"&amp;F2)</f>
        <v>101001:20</v>
      </c>
    </row>
    <row r="3" spans="5:7">
      <c r="E3">
        <v>101001</v>
      </c>
      <c r="F3">
        <v>20</v>
      </c>
      <c r="G3" t="str">
        <f t="shared" si="0"/>
        <v>101001:20</v>
      </c>
    </row>
    <row r="4" spans="5:7">
      <c r="E4">
        <v>101001</v>
      </c>
      <c r="F4">
        <v>20</v>
      </c>
      <c r="G4" t="str">
        <f t="shared" si="0"/>
        <v>101001:20</v>
      </c>
    </row>
    <row r="5" spans="5:7">
      <c r="E5">
        <v>101001</v>
      </c>
      <c r="F5">
        <v>20</v>
      </c>
      <c r="G5" t="str">
        <f t="shared" si="0"/>
        <v>101001:20</v>
      </c>
    </row>
    <row r="6" spans="5:7">
      <c r="E6">
        <v>101001</v>
      </c>
      <c r="F6">
        <v>20</v>
      </c>
      <c r="G6" t="str">
        <f t="shared" si="0"/>
        <v>101001:20</v>
      </c>
    </row>
    <row r="7" spans="5:7">
      <c r="E7">
        <v>101001</v>
      </c>
      <c r="F7">
        <v>20</v>
      </c>
      <c r="G7" t="str">
        <f t="shared" si="0"/>
        <v>101001:20</v>
      </c>
    </row>
    <row r="8" spans="5:7">
      <c r="E8">
        <v>101001</v>
      </c>
      <c r="F8">
        <v>40</v>
      </c>
      <c r="G8" t="str">
        <f t="shared" si="0"/>
        <v>101001:40</v>
      </c>
    </row>
    <row r="9" spans="5:7">
      <c r="E9">
        <v>101001</v>
      </c>
      <c r="F9">
        <v>40</v>
      </c>
      <c r="G9" t="str">
        <f t="shared" si="0"/>
        <v>101001:40</v>
      </c>
    </row>
    <row r="10" spans="5:7">
      <c r="E10">
        <v>101001</v>
      </c>
      <c r="F10">
        <v>40</v>
      </c>
      <c r="G10" t="str">
        <f t="shared" si="0"/>
        <v>101001:40</v>
      </c>
    </row>
    <row r="11" spans="5:7">
      <c r="E11">
        <v>101001</v>
      </c>
      <c r="F11">
        <v>40</v>
      </c>
      <c r="G11" t="str">
        <f t="shared" si="0"/>
        <v>101001:40</v>
      </c>
    </row>
    <row r="12" spans="5:7">
      <c r="E12">
        <v>101001</v>
      </c>
      <c r="F12">
        <v>40</v>
      </c>
      <c r="G12" t="str">
        <f t="shared" si="0"/>
        <v>101001:40</v>
      </c>
    </row>
    <row r="13" spans="5:7">
      <c r="E13">
        <v>101001</v>
      </c>
      <c r="F13">
        <v>40</v>
      </c>
      <c r="G13" t="str">
        <f t="shared" si="0"/>
        <v>101001:40</v>
      </c>
    </row>
    <row r="14" spans="5:7">
      <c r="E14">
        <v>101001</v>
      </c>
      <c r="F14">
        <v>40</v>
      </c>
      <c r="G14" t="str">
        <f t="shared" si="0"/>
        <v>101001:40</v>
      </c>
    </row>
    <row r="15" spans="5:7">
      <c r="E15">
        <v>101001</v>
      </c>
      <c r="F15">
        <v>90</v>
      </c>
      <c r="G15" t="str">
        <f t="shared" si="0"/>
        <v>101001:90</v>
      </c>
    </row>
    <row r="16" spans="5:7">
      <c r="E16">
        <v>101001</v>
      </c>
      <c r="F16">
        <v>90</v>
      </c>
      <c r="G16" t="str">
        <f t="shared" si="0"/>
        <v>101001:90</v>
      </c>
    </row>
    <row r="17" spans="5:7">
      <c r="E17">
        <v>101001</v>
      </c>
      <c r="F17">
        <v>90</v>
      </c>
      <c r="G17" t="str">
        <f t="shared" si="0"/>
        <v>101001:90</v>
      </c>
    </row>
    <row r="18" spans="5:7">
      <c r="E18">
        <v>101001</v>
      </c>
      <c r="F18">
        <v>90</v>
      </c>
      <c r="G18" t="str">
        <f t="shared" si="0"/>
        <v>101001:90</v>
      </c>
    </row>
    <row r="19" spans="5:7">
      <c r="E19">
        <v>101001</v>
      </c>
      <c r="F19">
        <v>90</v>
      </c>
      <c r="G19" t="str">
        <f t="shared" si="0"/>
        <v>101001:90</v>
      </c>
    </row>
    <row r="20" spans="5:7">
      <c r="E20">
        <v>101001</v>
      </c>
      <c r="F20">
        <v>90</v>
      </c>
      <c r="G20" t="str">
        <f t="shared" si="0"/>
        <v>101001:90</v>
      </c>
    </row>
    <row r="21" spans="5:7">
      <c r="E21">
        <v>101001</v>
      </c>
      <c r="F21">
        <v>90</v>
      </c>
      <c r="G21" t="str">
        <f t="shared" si="0"/>
        <v>101001:90</v>
      </c>
    </row>
    <row r="22" spans="5:7">
      <c r="E22">
        <v>101001</v>
      </c>
      <c r="F22">
        <v>150</v>
      </c>
      <c r="G22" t="str">
        <f t="shared" si="0"/>
        <v>101001:150</v>
      </c>
    </row>
    <row r="23" spans="5:7">
      <c r="E23">
        <v>101001</v>
      </c>
      <c r="F23">
        <v>150</v>
      </c>
      <c r="G23" t="str">
        <f t="shared" si="0"/>
        <v>101001:150</v>
      </c>
    </row>
    <row r="24" spans="5:7">
      <c r="E24">
        <v>101001</v>
      </c>
      <c r="F24">
        <v>150</v>
      </c>
      <c r="G24" t="str">
        <f t="shared" si="0"/>
        <v>101001:150</v>
      </c>
    </row>
    <row r="25" spans="5:7">
      <c r="E25">
        <v>101001</v>
      </c>
      <c r="F25">
        <v>150</v>
      </c>
      <c r="G25" t="str">
        <f t="shared" si="0"/>
        <v>101001:150</v>
      </c>
    </row>
    <row r="26" spans="5:7">
      <c r="E26">
        <v>101001</v>
      </c>
      <c r="F26">
        <v>150</v>
      </c>
      <c r="G26" t="str">
        <f t="shared" si="0"/>
        <v>101001:150</v>
      </c>
    </row>
    <row r="27" spans="5:7">
      <c r="E27">
        <v>101001</v>
      </c>
      <c r="F27">
        <v>150</v>
      </c>
      <c r="G27" t="str">
        <f t="shared" si="0"/>
        <v>101001:150</v>
      </c>
    </row>
    <row r="28" spans="5:7">
      <c r="E28">
        <v>101001</v>
      </c>
      <c r="F28">
        <v>150</v>
      </c>
      <c r="G28" t="str">
        <f t="shared" si="0"/>
        <v>101001:150</v>
      </c>
    </row>
    <row r="29" spans="5:7">
      <c r="E29">
        <v>101001</v>
      </c>
      <c r="F29">
        <v>180</v>
      </c>
      <c r="G29" t="str">
        <f t="shared" si="0"/>
        <v>101001:180</v>
      </c>
    </row>
    <row r="30" spans="5:7">
      <c r="E30">
        <v>101001</v>
      </c>
      <c r="F30">
        <v>180</v>
      </c>
      <c r="G30" t="str">
        <f t="shared" si="0"/>
        <v>101001:180</v>
      </c>
    </row>
    <row r="31" spans="5:7">
      <c r="E31">
        <v>101001</v>
      </c>
      <c r="F31">
        <v>180</v>
      </c>
      <c r="G31" t="str">
        <f t="shared" si="0"/>
        <v>101001:180</v>
      </c>
    </row>
    <row r="32" spans="5:7">
      <c r="E32">
        <v>101001</v>
      </c>
      <c r="F32">
        <v>180</v>
      </c>
      <c r="G32" t="str">
        <f t="shared" si="0"/>
        <v>101001:180</v>
      </c>
    </row>
    <row r="33" spans="5:7">
      <c r="E33">
        <v>101001</v>
      </c>
      <c r="F33">
        <v>180</v>
      </c>
      <c r="G33" t="str">
        <f t="shared" si="0"/>
        <v>101001:180</v>
      </c>
    </row>
    <row r="34" spans="5:7">
      <c r="E34">
        <v>101001</v>
      </c>
      <c r="F34">
        <v>180</v>
      </c>
      <c r="G34" t="str">
        <f t="shared" si="0"/>
        <v>101001:180</v>
      </c>
    </row>
    <row r="35" spans="5:7">
      <c r="E35">
        <v>101001</v>
      </c>
      <c r="F35">
        <v>180</v>
      </c>
      <c r="G35" t="str">
        <f t="shared" si="0"/>
        <v>101001:180</v>
      </c>
    </row>
    <row r="36" spans="5:7">
      <c r="E36">
        <v>101001</v>
      </c>
      <c r="F36">
        <v>180</v>
      </c>
      <c r="G36" t="str">
        <f t="shared" si="0"/>
        <v>101001:180</v>
      </c>
    </row>
    <row r="37" spans="5:7">
      <c r="E37">
        <v>101001</v>
      </c>
      <c r="F37">
        <v>180</v>
      </c>
      <c r="G37" t="str">
        <f t="shared" si="0"/>
        <v>101001:180</v>
      </c>
    </row>
    <row r="38" spans="5:7">
      <c r="E38">
        <v>101001</v>
      </c>
      <c r="F38">
        <v>180</v>
      </c>
      <c r="G38" t="str">
        <f t="shared" si="0"/>
        <v>101001:180</v>
      </c>
    </row>
    <row r="39" spans="5:7">
      <c r="E39">
        <v>101001</v>
      </c>
      <c r="F39">
        <v>180</v>
      </c>
      <c r="G39" t="str">
        <f t="shared" si="0"/>
        <v>101001:180</v>
      </c>
    </row>
    <row r="40" spans="5:7">
      <c r="E40">
        <v>101001</v>
      </c>
      <c r="F40">
        <v>180</v>
      </c>
      <c r="G40" t="str">
        <f t="shared" si="0"/>
        <v>101001:180</v>
      </c>
    </row>
    <row r="41" spans="5:7">
      <c r="E41">
        <v>101001</v>
      </c>
      <c r="F41">
        <v>180</v>
      </c>
      <c r="G41" t="str">
        <f t="shared" si="0"/>
        <v>101001:180</v>
      </c>
    </row>
    <row r="42" spans="5:7">
      <c r="E42">
        <v>0</v>
      </c>
      <c r="G42">
        <f t="shared" si="0"/>
        <v>0</v>
      </c>
    </row>
    <row r="43" spans="5:7">
      <c r="E43">
        <v>102001</v>
      </c>
      <c r="F43">
        <v>20</v>
      </c>
      <c r="G43" t="str">
        <f t="shared" si="0"/>
        <v>102001:20</v>
      </c>
    </row>
    <row r="44" spans="5:7">
      <c r="E44">
        <v>102001</v>
      </c>
      <c r="F44">
        <v>20</v>
      </c>
      <c r="G44" t="str">
        <f t="shared" si="0"/>
        <v>102001:20</v>
      </c>
    </row>
    <row r="45" spans="5:7">
      <c r="E45">
        <v>102001</v>
      </c>
      <c r="F45">
        <v>20</v>
      </c>
      <c r="G45" t="str">
        <f t="shared" si="0"/>
        <v>102001:20</v>
      </c>
    </row>
    <row r="46" spans="5:7">
      <c r="E46">
        <v>102001</v>
      </c>
      <c r="F46">
        <v>20</v>
      </c>
      <c r="G46" t="str">
        <f t="shared" si="0"/>
        <v>102001:20</v>
      </c>
    </row>
    <row r="47" spans="5:7">
      <c r="E47">
        <v>102001</v>
      </c>
      <c r="F47">
        <v>20</v>
      </c>
      <c r="G47" t="str">
        <f t="shared" si="0"/>
        <v>102001:20</v>
      </c>
    </row>
    <row r="48" spans="5:7">
      <c r="E48">
        <v>102001</v>
      </c>
      <c r="F48">
        <v>20</v>
      </c>
      <c r="G48" t="str">
        <f t="shared" si="0"/>
        <v>102001:20</v>
      </c>
    </row>
    <row r="49" spans="5:7">
      <c r="E49">
        <v>102001</v>
      </c>
      <c r="F49">
        <v>20</v>
      </c>
      <c r="G49" t="str">
        <f t="shared" si="0"/>
        <v>102001:20</v>
      </c>
    </row>
    <row r="50" spans="5:7">
      <c r="E50">
        <v>102001</v>
      </c>
      <c r="F50">
        <v>40</v>
      </c>
      <c r="G50" t="str">
        <f t="shared" si="0"/>
        <v>102001:40</v>
      </c>
    </row>
    <row r="51" spans="5:7">
      <c r="E51">
        <v>102001</v>
      </c>
      <c r="F51">
        <v>40</v>
      </c>
      <c r="G51" t="str">
        <f t="shared" si="0"/>
        <v>102001:40</v>
      </c>
    </row>
    <row r="52" spans="5:7">
      <c r="E52">
        <v>102001</v>
      </c>
      <c r="F52">
        <v>40</v>
      </c>
      <c r="G52" t="str">
        <f t="shared" si="0"/>
        <v>102001:40</v>
      </c>
    </row>
    <row r="53" spans="5:7">
      <c r="E53">
        <v>102001</v>
      </c>
      <c r="F53">
        <v>40</v>
      </c>
      <c r="G53" t="str">
        <f t="shared" si="0"/>
        <v>102001:40</v>
      </c>
    </row>
    <row r="54" spans="5:7">
      <c r="E54">
        <v>102001</v>
      </c>
      <c r="F54">
        <v>40</v>
      </c>
      <c r="G54" t="str">
        <f t="shared" si="0"/>
        <v>102001:40</v>
      </c>
    </row>
    <row r="55" spans="5:7">
      <c r="E55">
        <v>102001</v>
      </c>
      <c r="F55">
        <v>40</v>
      </c>
      <c r="G55" t="str">
        <f t="shared" si="0"/>
        <v>102001:40</v>
      </c>
    </row>
    <row r="56" spans="5:7">
      <c r="E56">
        <v>102001</v>
      </c>
      <c r="F56">
        <v>40</v>
      </c>
      <c r="G56" t="str">
        <f t="shared" si="0"/>
        <v>102001:40</v>
      </c>
    </row>
    <row r="57" spans="5:7">
      <c r="E57">
        <v>102001</v>
      </c>
      <c r="F57">
        <v>90</v>
      </c>
      <c r="G57" t="str">
        <f t="shared" si="0"/>
        <v>102001:90</v>
      </c>
    </row>
    <row r="58" spans="5:7">
      <c r="E58">
        <v>102001</v>
      </c>
      <c r="F58">
        <v>90</v>
      </c>
      <c r="G58" t="str">
        <f t="shared" si="0"/>
        <v>102001:90</v>
      </c>
    </row>
    <row r="59" spans="5:7">
      <c r="E59">
        <v>102001</v>
      </c>
      <c r="F59">
        <v>90</v>
      </c>
      <c r="G59" t="str">
        <f t="shared" si="0"/>
        <v>102001:90</v>
      </c>
    </row>
    <row r="60" spans="5:7">
      <c r="E60">
        <v>102001</v>
      </c>
      <c r="F60">
        <v>90</v>
      </c>
      <c r="G60" t="str">
        <f t="shared" si="0"/>
        <v>102001:90</v>
      </c>
    </row>
    <row r="61" spans="5:7">
      <c r="E61">
        <v>102001</v>
      </c>
      <c r="F61">
        <v>90</v>
      </c>
      <c r="G61" t="str">
        <f t="shared" si="0"/>
        <v>102001:90</v>
      </c>
    </row>
    <row r="62" spans="5:7">
      <c r="E62">
        <v>102001</v>
      </c>
      <c r="F62">
        <v>90</v>
      </c>
      <c r="G62" t="str">
        <f t="shared" si="0"/>
        <v>102001:90</v>
      </c>
    </row>
    <row r="63" spans="5:7">
      <c r="E63">
        <v>102001</v>
      </c>
      <c r="F63">
        <v>90</v>
      </c>
      <c r="G63" t="str">
        <f t="shared" si="0"/>
        <v>102001:90</v>
      </c>
    </row>
    <row r="64" spans="5:7">
      <c r="E64">
        <v>102001</v>
      </c>
      <c r="F64">
        <v>150</v>
      </c>
      <c r="G64" t="str">
        <f t="shared" si="0"/>
        <v>102001:150</v>
      </c>
    </row>
    <row r="65" spans="5:7">
      <c r="E65">
        <v>102001</v>
      </c>
      <c r="F65">
        <v>150</v>
      </c>
      <c r="G65" t="str">
        <f t="shared" si="0"/>
        <v>102001:150</v>
      </c>
    </row>
    <row r="66" spans="5:7">
      <c r="E66">
        <v>102001</v>
      </c>
      <c r="F66">
        <v>150</v>
      </c>
      <c r="G66" t="str">
        <f t="shared" ref="G66:G129" si="1">IF(E66=0,0,E66&amp;":"&amp;F66)</f>
        <v>102001:150</v>
      </c>
    </row>
    <row r="67" spans="5:7">
      <c r="E67">
        <v>102001</v>
      </c>
      <c r="F67">
        <v>150</v>
      </c>
      <c r="G67" t="str">
        <f t="shared" si="1"/>
        <v>102001:150</v>
      </c>
    </row>
    <row r="68" spans="5:7">
      <c r="E68">
        <v>102001</v>
      </c>
      <c r="F68">
        <v>150</v>
      </c>
      <c r="G68" t="str">
        <f t="shared" si="1"/>
        <v>102001:150</v>
      </c>
    </row>
    <row r="69" spans="5:7">
      <c r="E69">
        <v>102001</v>
      </c>
      <c r="F69">
        <v>150</v>
      </c>
      <c r="G69" t="str">
        <f t="shared" si="1"/>
        <v>102001:150</v>
      </c>
    </row>
    <row r="70" spans="5:7">
      <c r="E70">
        <v>102001</v>
      </c>
      <c r="F70">
        <v>150</v>
      </c>
      <c r="G70" t="str">
        <f t="shared" si="1"/>
        <v>102001:150</v>
      </c>
    </row>
    <row r="71" spans="5:7">
      <c r="E71">
        <v>102001</v>
      </c>
      <c r="F71">
        <v>180</v>
      </c>
      <c r="G71" t="str">
        <f t="shared" si="1"/>
        <v>102001:180</v>
      </c>
    </row>
    <row r="72" spans="5:7">
      <c r="E72">
        <v>102001</v>
      </c>
      <c r="F72">
        <v>180</v>
      </c>
      <c r="G72" t="str">
        <f t="shared" si="1"/>
        <v>102001:180</v>
      </c>
    </row>
    <row r="73" spans="5:7">
      <c r="E73">
        <v>102001</v>
      </c>
      <c r="F73">
        <v>180</v>
      </c>
      <c r="G73" t="str">
        <f t="shared" si="1"/>
        <v>102001:180</v>
      </c>
    </row>
    <row r="74" spans="5:7">
      <c r="E74">
        <v>102001</v>
      </c>
      <c r="F74">
        <v>180</v>
      </c>
      <c r="G74" t="str">
        <f t="shared" si="1"/>
        <v>102001:180</v>
      </c>
    </row>
    <row r="75" spans="5:7">
      <c r="E75">
        <v>102001</v>
      </c>
      <c r="F75">
        <v>180</v>
      </c>
      <c r="G75" t="str">
        <f t="shared" si="1"/>
        <v>102001:180</v>
      </c>
    </row>
    <row r="76" spans="5:7">
      <c r="E76">
        <v>102001</v>
      </c>
      <c r="F76">
        <v>180</v>
      </c>
      <c r="G76" t="str">
        <f t="shared" si="1"/>
        <v>102001:180</v>
      </c>
    </row>
    <row r="77" spans="5:7">
      <c r="E77">
        <v>102001</v>
      </c>
      <c r="F77">
        <v>180</v>
      </c>
      <c r="G77" t="str">
        <f t="shared" si="1"/>
        <v>102001:180</v>
      </c>
    </row>
    <row r="78" spans="5:7">
      <c r="E78">
        <v>102001</v>
      </c>
      <c r="F78">
        <v>180</v>
      </c>
      <c r="G78" t="str">
        <f t="shared" si="1"/>
        <v>102001:180</v>
      </c>
    </row>
    <row r="79" spans="5:7">
      <c r="E79">
        <v>102001</v>
      </c>
      <c r="F79">
        <v>180</v>
      </c>
      <c r="G79" t="str">
        <f t="shared" si="1"/>
        <v>102001:180</v>
      </c>
    </row>
    <row r="80" spans="5:7">
      <c r="E80">
        <v>102001</v>
      </c>
      <c r="F80">
        <v>180</v>
      </c>
      <c r="G80" t="str">
        <f t="shared" si="1"/>
        <v>102001:180</v>
      </c>
    </row>
    <row r="81" spans="5:7">
      <c r="E81">
        <v>102001</v>
      </c>
      <c r="F81">
        <v>180</v>
      </c>
      <c r="G81" t="str">
        <f t="shared" si="1"/>
        <v>102001:180</v>
      </c>
    </row>
    <row r="82" spans="5:7">
      <c r="E82">
        <v>102001</v>
      </c>
      <c r="F82">
        <v>180</v>
      </c>
      <c r="G82" t="str">
        <f t="shared" si="1"/>
        <v>102001:180</v>
      </c>
    </row>
    <row r="83" spans="5:7">
      <c r="E83">
        <v>102001</v>
      </c>
      <c r="F83">
        <v>180</v>
      </c>
      <c r="G83" t="str">
        <f t="shared" si="1"/>
        <v>102001:180</v>
      </c>
    </row>
    <row r="84" spans="5:7">
      <c r="E84">
        <v>0</v>
      </c>
      <c r="G84">
        <f t="shared" si="1"/>
        <v>0</v>
      </c>
    </row>
    <row r="85" spans="5:7">
      <c r="E85">
        <v>103001</v>
      </c>
      <c r="F85">
        <v>20</v>
      </c>
      <c r="G85" t="str">
        <f t="shared" si="1"/>
        <v>103001:20</v>
      </c>
    </row>
    <row r="86" spans="5:7">
      <c r="E86">
        <v>103001</v>
      </c>
      <c r="F86">
        <v>20</v>
      </c>
      <c r="G86" t="str">
        <f t="shared" si="1"/>
        <v>103001:20</v>
      </c>
    </row>
    <row r="87" spans="5:7">
      <c r="E87">
        <v>103001</v>
      </c>
      <c r="F87">
        <v>20</v>
      </c>
      <c r="G87" t="str">
        <f t="shared" si="1"/>
        <v>103001:20</v>
      </c>
    </row>
    <row r="88" spans="5:7">
      <c r="E88">
        <v>103001</v>
      </c>
      <c r="F88">
        <v>20</v>
      </c>
      <c r="G88" t="str">
        <f t="shared" si="1"/>
        <v>103001:20</v>
      </c>
    </row>
    <row r="89" spans="5:7">
      <c r="E89">
        <v>103001</v>
      </c>
      <c r="F89">
        <v>20</v>
      </c>
      <c r="G89" t="str">
        <f t="shared" si="1"/>
        <v>103001:20</v>
      </c>
    </row>
    <row r="90" spans="5:7">
      <c r="E90">
        <v>103001</v>
      </c>
      <c r="F90">
        <v>20</v>
      </c>
      <c r="G90" t="str">
        <f t="shared" si="1"/>
        <v>103001:20</v>
      </c>
    </row>
    <row r="91" spans="5:7">
      <c r="E91">
        <v>103001</v>
      </c>
      <c r="F91">
        <v>20</v>
      </c>
      <c r="G91" t="str">
        <f t="shared" si="1"/>
        <v>103001:20</v>
      </c>
    </row>
    <row r="92" spans="5:7">
      <c r="E92">
        <v>103001</v>
      </c>
      <c r="F92">
        <v>40</v>
      </c>
      <c r="G92" t="str">
        <f t="shared" si="1"/>
        <v>103001:40</v>
      </c>
    </row>
    <row r="93" spans="5:7">
      <c r="E93">
        <v>103001</v>
      </c>
      <c r="F93">
        <v>40</v>
      </c>
      <c r="G93" t="str">
        <f t="shared" si="1"/>
        <v>103001:40</v>
      </c>
    </row>
    <row r="94" spans="5:7">
      <c r="E94">
        <v>103001</v>
      </c>
      <c r="F94">
        <v>40</v>
      </c>
      <c r="G94" t="str">
        <f t="shared" si="1"/>
        <v>103001:40</v>
      </c>
    </row>
    <row r="95" spans="5:7">
      <c r="E95">
        <v>103001</v>
      </c>
      <c r="F95">
        <v>40</v>
      </c>
      <c r="G95" t="str">
        <f t="shared" si="1"/>
        <v>103001:40</v>
      </c>
    </row>
    <row r="96" spans="5:7">
      <c r="E96">
        <v>103001</v>
      </c>
      <c r="F96">
        <v>40</v>
      </c>
      <c r="G96" t="str">
        <f t="shared" si="1"/>
        <v>103001:40</v>
      </c>
    </row>
    <row r="97" spans="5:7">
      <c r="E97">
        <v>103001</v>
      </c>
      <c r="F97">
        <v>40</v>
      </c>
      <c r="G97" t="str">
        <f t="shared" si="1"/>
        <v>103001:40</v>
      </c>
    </row>
    <row r="98" spans="5:7">
      <c r="E98">
        <v>103001</v>
      </c>
      <c r="F98">
        <v>40</v>
      </c>
      <c r="G98" t="str">
        <f t="shared" si="1"/>
        <v>103001:40</v>
      </c>
    </row>
    <row r="99" spans="5:7">
      <c r="E99">
        <v>103001</v>
      </c>
      <c r="F99">
        <v>90</v>
      </c>
      <c r="G99" t="str">
        <f t="shared" si="1"/>
        <v>103001:90</v>
      </c>
    </row>
    <row r="100" spans="5:7">
      <c r="E100">
        <v>103001</v>
      </c>
      <c r="F100">
        <v>90</v>
      </c>
      <c r="G100" t="str">
        <f t="shared" si="1"/>
        <v>103001:90</v>
      </c>
    </row>
    <row r="101" spans="5:7">
      <c r="E101">
        <v>103001</v>
      </c>
      <c r="F101">
        <v>90</v>
      </c>
      <c r="G101" t="str">
        <f t="shared" si="1"/>
        <v>103001:90</v>
      </c>
    </row>
    <row r="102" spans="5:7">
      <c r="E102">
        <v>103001</v>
      </c>
      <c r="F102">
        <v>90</v>
      </c>
      <c r="G102" t="str">
        <f t="shared" si="1"/>
        <v>103001:90</v>
      </c>
    </row>
    <row r="103" spans="5:7">
      <c r="E103">
        <v>103001</v>
      </c>
      <c r="F103">
        <v>90</v>
      </c>
      <c r="G103" t="str">
        <f t="shared" si="1"/>
        <v>103001:90</v>
      </c>
    </row>
    <row r="104" spans="5:7">
      <c r="E104">
        <v>103001</v>
      </c>
      <c r="F104">
        <v>90</v>
      </c>
      <c r="G104" t="str">
        <f t="shared" si="1"/>
        <v>103001:90</v>
      </c>
    </row>
    <row r="105" spans="5:7">
      <c r="E105">
        <v>103001</v>
      </c>
      <c r="F105">
        <v>90</v>
      </c>
      <c r="G105" t="str">
        <f t="shared" si="1"/>
        <v>103001:90</v>
      </c>
    </row>
    <row r="106" spans="5:7">
      <c r="E106">
        <v>103001</v>
      </c>
      <c r="F106">
        <v>150</v>
      </c>
      <c r="G106" t="str">
        <f t="shared" si="1"/>
        <v>103001:150</v>
      </c>
    </row>
    <row r="107" spans="5:7">
      <c r="E107">
        <v>103001</v>
      </c>
      <c r="F107">
        <v>150</v>
      </c>
      <c r="G107" t="str">
        <f t="shared" si="1"/>
        <v>103001:150</v>
      </c>
    </row>
    <row r="108" spans="5:7">
      <c r="E108">
        <v>103001</v>
      </c>
      <c r="F108">
        <v>150</v>
      </c>
      <c r="G108" t="str">
        <f t="shared" si="1"/>
        <v>103001:150</v>
      </c>
    </row>
    <row r="109" spans="5:7">
      <c r="E109">
        <v>103001</v>
      </c>
      <c r="F109">
        <v>150</v>
      </c>
      <c r="G109" t="str">
        <f t="shared" si="1"/>
        <v>103001:150</v>
      </c>
    </row>
    <row r="110" spans="5:7">
      <c r="E110">
        <v>103001</v>
      </c>
      <c r="F110">
        <v>150</v>
      </c>
      <c r="G110" t="str">
        <f t="shared" si="1"/>
        <v>103001:150</v>
      </c>
    </row>
    <row r="111" spans="5:7">
      <c r="E111">
        <v>103001</v>
      </c>
      <c r="F111">
        <v>150</v>
      </c>
      <c r="G111" t="str">
        <f t="shared" si="1"/>
        <v>103001:150</v>
      </c>
    </row>
    <row r="112" spans="5:7">
      <c r="E112">
        <v>103001</v>
      </c>
      <c r="F112">
        <v>150</v>
      </c>
      <c r="G112" t="str">
        <f t="shared" si="1"/>
        <v>103001:150</v>
      </c>
    </row>
    <row r="113" spans="5:7">
      <c r="E113">
        <v>103001</v>
      </c>
      <c r="F113">
        <v>180</v>
      </c>
      <c r="G113" t="str">
        <f t="shared" si="1"/>
        <v>103001:180</v>
      </c>
    </row>
    <row r="114" spans="5:7">
      <c r="E114">
        <v>103001</v>
      </c>
      <c r="F114">
        <v>180</v>
      </c>
      <c r="G114" t="str">
        <f t="shared" si="1"/>
        <v>103001:180</v>
      </c>
    </row>
    <row r="115" spans="5:7">
      <c r="E115">
        <v>103001</v>
      </c>
      <c r="F115">
        <v>180</v>
      </c>
      <c r="G115" t="str">
        <f t="shared" si="1"/>
        <v>103001:180</v>
      </c>
    </row>
    <row r="116" spans="5:7">
      <c r="E116">
        <v>103001</v>
      </c>
      <c r="F116">
        <v>180</v>
      </c>
      <c r="G116" t="str">
        <f t="shared" si="1"/>
        <v>103001:180</v>
      </c>
    </row>
    <row r="117" spans="5:7">
      <c r="E117">
        <v>103001</v>
      </c>
      <c r="F117">
        <v>180</v>
      </c>
      <c r="G117" t="str">
        <f t="shared" si="1"/>
        <v>103001:180</v>
      </c>
    </row>
    <row r="118" spans="5:7">
      <c r="E118">
        <v>103001</v>
      </c>
      <c r="F118">
        <v>180</v>
      </c>
      <c r="G118" t="str">
        <f t="shared" si="1"/>
        <v>103001:180</v>
      </c>
    </row>
    <row r="119" spans="5:7">
      <c r="E119">
        <v>103001</v>
      </c>
      <c r="F119">
        <v>180</v>
      </c>
      <c r="G119" t="str">
        <f t="shared" si="1"/>
        <v>103001:180</v>
      </c>
    </row>
    <row r="120" spans="5:7">
      <c r="E120">
        <v>103001</v>
      </c>
      <c r="F120">
        <v>180</v>
      </c>
      <c r="G120" t="str">
        <f t="shared" si="1"/>
        <v>103001:180</v>
      </c>
    </row>
    <row r="121" spans="5:7">
      <c r="E121">
        <v>103001</v>
      </c>
      <c r="F121">
        <v>180</v>
      </c>
      <c r="G121" t="str">
        <f t="shared" si="1"/>
        <v>103001:180</v>
      </c>
    </row>
    <row r="122" spans="5:7">
      <c r="E122">
        <v>103001</v>
      </c>
      <c r="F122">
        <v>180</v>
      </c>
      <c r="G122" t="str">
        <f t="shared" si="1"/>
        <v>103001:180</v>
      </c>
    </row>
    <row r="123" spans="5:7">
      <c r="E123">
        <v>103001</v>
      </c>
      <c r="F123">
        <v>180</v>
      </c>
      <c r="G123" t="str">
        <f t="shared" si="1"/>
        <v>103001:180</v>
      </c>
    </row>
    <row r="124" spans="5:7">
      <c r="E124">
        <v>103001</v>
      </c>
      <c r="F124">
        <v>180</v>
      </c>
      <c r="G124" t="str">
        <f t="shared" si="1"/>
        <v>103001:180</v>
      </c>
    </row>
    <row r="125" spans="5:7">
      <c r="E125">
        <v>103001</v>
      </c>
      <c r="F125">
        <v>180</v>
      </c>
      <c r="G125" t="str">
        <f t="shared" si="1"/>
        <v>103001:180</v>
      </c>
    </row>
    <row r="126" spans="5:7">
      <c r="E126">
        <v>0</v>
      </c>
      <c r="G126">
        <f t="shared" si="1"/>
        <v>0</v>
      </c>
    </row>
    <row r="127" spans="5:7">
      <c r="E127">
        <v>104001</v>
      </c>
      <c r="F127">
        <v>20</v>
      </c>
      <c r="G127" t="str">
        <f t="shared" si="1"/>
        <v>104001:20</v>
      </c>
    </row>
    <row r="128" spans="5:7">
      <c r="E128">
        <v>104001</v>
      </c>
      <c r="F128">
        <v>20</v>
      </c>
      <c r="G128" t="str">
        <f t="shared" si="1"/>
        <v>104001:20</v>
      </c>
    </row>
    <row r="129" spans="5:7">
      <c r="E129">
        <v>104001</v>
      </c>
      <c r="F129">
        <v>20</v>
      </c>
      <c r="G129" t="str">
        <f t="shared" si="1"/>
        <v>104001:20</v>
      </c>
    </row>
    <row r="130" spans="5:7">
      <c r="E130">
        <v>104001</v>
      </c>
      <c r="F130">
        <v>20</v>
      </c>
      <c r="G130" t="str">
        <f t="shared" ref="G130:G193" si="2">IF(E130=0,0,E130&amp;":"&amp;F130)</f>
        <v>104001:20</v>
      </c>
    </row>
    <row r="131" spans="5:7">
      <c r="E131">
        <v>104001</v>
      </c>
      <c r="F131">
        <v>20</v>
      </c>
      <c r="G131" t="str">
        <f t="shared" si="2"/>
        <v>104001:20</v>
      </c>
    </row>
    <row r="132" spans="5:7">
      <c r="E132">
        <v>104001</v>
      </c>
      <c r="F132">
        <v>20</v>
      </c>
      <c r="G132" t="str">
        <f t="shared" si="2"/>
        <v>104001:20</v>
      </c>
    </row>
    <row r="133" spans="5:7">
      <c r="E133">
        <v>104001</v>
      </c>
      <c r="F133">
        <v>20</v>
      </c>
      <c r="G133" t="str">
        <f t="shared" si="2"/>
        <v>104001:20</v>
      </c>
    </row>
    <row r="134" spans="5:7">
      <c r="E134">
        <v>104001</v>
      </c>
      <c r="F134">
        <v>40</v>
      </c>
      <c r="G134" t="str">
        <f t="shared" si="2"/>
        <v>104001:40</v>
      </c>
    </row>
    <row r="135" spans="5:7">
      <c r="E135">
        <v>104001</v>
      </c>
      <c r="F135">
        <v>40</v>
      </c>
      <c r="G135" t="str">
        <f t="shared" si="2"/>
        <v>104001:40</v>
      </c>
    </row>
    <row r="136" spans="5:7">
      <c r="E136">
        <v>104001</v>
      </c>
      <c r="F136">
        <v>40</v>
      </c>
      <c r="G136" t="str">
        <f t="shared" si="2"/>
        <v>104001:40</v>
      </c>
    </row>
    <row r="137" spans="5:7">
      <c r="E137">
        <v>104001</v>
      </c>
      <c r="F137">
        <v>40</v>
      </c>
      <c r="G137" t="str">
        <f t="shared" si="2"/>
        <v>104001:40</v>
      </c>
    </row>
    <row r="138" spans="5:7">
      <c r="E138">
        <v>104001</v>
      </c>
      <c r="F138">
        <v>40</v>
      </c>
      <c r="G138" t="str">
        <f t="shared" si="2"/>
        <v>104001:40</v>
      </c>
    </row>
    <row r="139" spans="5:7">
      <c r="E139">
        <v>104001</v>
      </c>
      <c r="F139">
        <v>40</v>
      </c>
      <c r="G139" t="str">
        <f t="shared" si="2"/>
        <v>104001:40</v>
      </c>
    </row>
    <row r="140" spans="5:7">
      <c r="E140">
        <v>104001</v>
      </c>
      <c r="F140">
        <v>40</v>
      </c>
      <c r="G140" t="str">
        <f t="shared" si="2"/>
        <v>104001:40</v>
      </c>
    </row>
    <row r="141" spans="5:7">
      <c r="E141">
        <v>104001</v>
      </c>
      <c r="F141">
        <v>90</v>
      </c>
      <c r="G141" t="str">
        <f t="shared" si="2"/>
        <v>104001:90</v>
      </c>
    </row>
    <row r="142" spans="5:7">
      <c r="E142">
        <v>104001</v>
      </c>
      <c r="F142">
        <v>90</v>
      </c>
      <c r="G142" t="str">
        <f t="shared" si="2"/>
        <v>104001:90</v>
      </c>
    </row>
    <row r="143" spans="5:7">
      <c r="E143">
        <v>104001</v>
      </c>
      <c r="F143">
        <v>90</v>
      </c>
      <c r="G143" t="str">
        <f t="shared" si="2"/>
        <v>104001:90</v>
      </c>
    </row>
    <row r="144" spans="5:7">
      <c r="E144">
        <v>104001</v>
      </c>
      <c r="F144">
        <v>90</v>
      </c>
      <c r="G144" t="str">
        <f t="shared" si="2"/>
        <v>104001:90</v>
      </c>
    </row>
    <row r="145" spans="5:7">
      <c r="E145">
        <v>104001</v>
      </c>
      <c r="F145">
        <v>90</v>
      </c>
      <c r="G145" t="str">
        <f t="shared" si="2"/>
        <v>104001:90</v>
      </c>
    </row>
    <row r="146" spans="5:7">
      <c r="E146">
        <v>104001</v>
      </c>
      <c r="F146">
        <v>90</v>
      </c>
      <c r="G146" t="str">
        <f t="shared" si="2"/>
        <v>104001:90</v>
      </c>
    </row>
    <row r="147" spans="5:7">
      <c r="E147">
        <v>104001</v>
      </c>
      <c r="F147">
        <v>90</v>
      </c>
      <c r="G147" t="str">
        <f t="shared" si="2"/>
        <v>104001:90</v>
      </c>
    </row>
    <row r="148" spans="5:7">
      <c r="E148">
        <v>104001</v>
      </c>
      <c r="F148">
        <v>150</v>
      </c>
      <c r="G148" t="str">
        <f t="shared" si="2"/>
        <v>104001:150</v>
      </c>
    </row>
    <row r="149" spans="5:7">
      <c r="E149">
        <v>104001</v>
      </c>
      <c r="F149">
        <v>150</v>
      </c>
      <c r="G149" t="str">
        <f t="shared" si="2"/>
        <v>104001:150</v>
      </c>
    </row>
    <row r="150" spans="5:7">
      <c r="E150">
        <v>104001</v>
      </c>
      <c r="F150">
        <v>150</v>
      </c>
      <c r="G150" t="str">
        <f t="shared" si="2"/>
        <v>104001:150</v>
      </c>
    </row>
    <row r="151" spans="5:7">
      <c r="E151">
        <v>104001</v>
      </c>
      <c r="F151">
        <v>150</v>
      </c>
      <c r="G151" t="str">
        <f t="shared" si="2"/>
        <v>104001:150</v>
      </c>
    </row>
    <row r="152" spans="5:7">
      <c r="E152">
        <v>104001</v>
      </c>
      <c r="F152">
        <v>150</v>
      </c>
      <c r="G152" t="str">
        <f t="shared" si="2"/>
        <v>104001:150</v>
      </c>
    </row>
    <row r="153" spans="5:7">
      <c r="E153">
        <v>104001</v>
      </c>
      <c r="F153">
        <v>150</v>
      </c>
      <c r="G153" t="str">
        <f t="shared" si="2"/>
        <v>104001:150</v>
      </c>
    </row>
    <row r="154" spans="5:7">
      <c r="E154">
        <v>104001</v>
      </c>
      <c r="F154">
        <v>150</v>
      </c>
      <c r="G154" t="str">
        <f t="shared" si="2"/>
        <v>104001:150</v>
      </c>
    </row>
    <row r="155" spans="5:7">
      <c r="E155">
        <v>104001</v>
      </c>
      <c r="F155">
        <v>180</v>
      </c>
      <c r="G155" t="str">
        <f t="shared" si="2"/>
        <v>104001:180</v>
      </c>
    </row>
    <row r="156" spans="5:7">
      <c r="E156">
        <v>104001</v>
      </c>
      <c r="F156">
        <v>180</v>
      </c>
      <c r="G156" t="str">
        <f t="shared" si="2"/>
        <v>104001:180</v>
      </c>
    </row>
    <row r="157" spans="5:7">
      <c r="E157">
        <v>104001</v>
      </c>
      <c r="F157">
        <v>180</v>
      </c>
      <c r="G157" t="str">
        <f t="shared" si="2"/>
        <v>104001:180</v>
      </c>
    </row>
    <row r="158" spans="5:7">
      <c r="E158">
        <v>104001</v>
      </c>
      <c r="F158">
        <v>180</v>
      </c>
      <c r="G158" t="str">
        <f t="shared" si="2"/>
        <v>104001:180</v>
      </c>
    </row>
    <row r="159" spans="5:7">
      <c r="E159">
        <v>104001</v>
      </c>
      <c r="F159">
        <v>180</v>
      </c>
      <c r="G159" t="str">
        <f t="shared" si="2"/>
        <v>104001:180</v>
      </c>
    </row>
    <row r="160" spans="5:7">
      <c r="E160">
        <v>104001</v>
      </c>
      <c r="F160">
        <v>180</v>
      </c>
      <c r="G160" t="str">
        <f t="shared" si="2"/>
        <v>104001:180</v>
      </c>
    </row>
    <row r="161" spans="5:7">
      <c r="E161">
        <v>104001</v>
      </c>
      <c r="F161">
        <v>180</v>
      </c>
      <c r="G161" t="str">
        <f t="shared" si="2"/>
        <v>104001:180</v>
      </c>
    </row>
    <row r="162" spans="5:7">
      <c r="E162">
        <v>104001</v>
      </c>
      <c r="F162">
        <v>180</v>
      </c>
      <c r="G162" t="str">
        <f t="shared" si="2"/>
        <v>104001:180</v>
      </c>
    </row>
    <row r="163" spans="5:7">
      <c r="E163">
        <v>104001</v>
      </c>
      <c r="F163">
        <v>180</v>
      </c>
      <c r="G163" t="str">
        <f t="shared" si="2"/>
        <v>104001:180</v>
      </c>
    </row>
    <row r="164" spans="5:7">
      <c r="E164">
        <v>104001</v>
      </c>
      <c r="F164">
        <v>180</v>
      </c>
      <c r="G164" t="str">
        <f t="shared" si="2"/>
        <v>104001:180</v>
      </c>
    </row>
    <row r="165" spans="5:7">
      <c r="E165">
        <v>104001</v>
      </c>
      <c r="F165">
        <v>180</v>
      </c>
      <c r="G165" t="str">
        <f t="shared" si="2"/>
        <v>104001:180</v>
      </c>
    </row>
    <row r="166" spans="5:7">
      <c r="E166">
        <v>104001</v>
      </c>
      <c r="F166">
        <v>180</v>
      </c>
      <c r="G166" t="str">
        <f t="shared" si="2"/>
        <v>104001:180</v>
      </c>
    </row>
    <row r="167" spans="5:7">
      <c r="E167">
        <v>104001</v>
      </c>
      <c r="F167">
        <v>180</v>
      </c>
      <c r="G167" t="str">
        <f t="shared" si="2"/>
        <v>104001:180</v>
      </c>
    </row>
    <row r="168" spans="5:7">
      <c r="E168">
        <v>0</v>
      </c>
      <c r="G168">
        <f t="shared" si="2"/>
        <v>0</v>
      </c>
    </row>
    <row r="169" spans="5:7">
      <c r="E169">
        <v>105001</v>
      </c>
      <c r="F169">
        <v>20</v>
      </c>
      <c r="G169" t="str">
        <f t="shared" si="2"/>
        <v>105001:20</v>
      </c>
    </row>
    <row r="170" spans="5:7">
      <c r="E170">
        <v>105001</v>
      </c>
      <c r="F170">
        <v>20</v>
      </c>
      <c r="G170" t="str">
        <f t="shared" si="2"/>
        <v>105001:20</v>
      </c>
    </row>
    <row r="171" spans="5:7">
      <c r="E171">
        <v>105001</v>
      </c>
      <c r="F171">
        <v>20</v>
      </c>
      <c r="G171" t="str">
        <f t="shared" si="2"/>
        <v>105001:20</v>
      </c>
    </row>
    <row r="172" spans="5:7">
      <c r="E172">
        <v>105001</v>
      </c>
      <c r="F172">
        <v>20</v>
      </c>
      <c r="G172" t="str">
        <f t="shared" si="2"/>
        <v>105001:20</v>
      </c>
    </row>
    <row r="173" spans="5:7">
      <c r="E173">
        <v>105001</v>
      </c>
      <c r="F173">
        <v>20</v>
      </c>
      <c r="G173" t="str">
        <f t="shared" si="2"/>
        <v>105001:20</v>
      </c>
    </row>
    <row r="174" spans="5:7">
      <c r="E174">
        <v>105001</v>
      </c>
      <c r="F174">
        <v>20</v>
      </c>
      <c r="G174" t="str">
        <f t="shared" si="2"/>
        <v>105001:20</v>
      </c>
    </row>
    <row r="175" spans="5:7">
      <c r="E175">
        <v>105001</v>
      </c>
      <c r="F175">
        <v>20</v>
      </c>
      <c r="G175" t="str">
        <f t="shared" si="2"/>
        <v>105001:20</v>
      </c>
    </row>
    <row r="176" spans="5:7">
      <c r="E176">
        <v>105001</v>
      </c>
      <c r="F176">
        <v>40</v>
      </c>
      <c r="G176" t="str">
        <f t="shared" si="2"/>
        <v>105001:40</v>
      </c>
    </row>
    <row r="177" spans="5:7">
      <c r="E177">
        <v>105001</v>
      </c>
      <c r="F177">
        <v>40</v>
      </c>
      <c r="G177" t="str">
        <f t="shared" si="2"/>
        <v>105001:40</v>
      </c>
    </row>
    <row r="178" spans="5:7">
      <c r="E178">
        <v>105001</v>
      </c>
      <c r="F178">
        <v>40</v>
      </c>
      <c r="G178" t="str">
        <f t="shared" si="2"/>
        <v>105001:40</v>
      </c>
    </row>
    <row r="179" spans="5:7">
      <c r="E179">
        <v>105001</v>
      </c>
      <c r="F179">
        <v>40</v>
      </c>
      <c r="G179" t="str">
        <f t="shared" si="2"/>
        <v>105001:40</v>
      </c>
    </row>
    <row r="180" spans="5:7">
      <c r="E180">
        <v>105001</v>
      </c>
      <c r="F180">
        <v>40</v>
      </c>
      <c r="G180" t="str">
        <f t="shared" si="2"/>
        <v>105001:40</v>
      </c>
    </row>
    <row r="181" spans="5:7">
      <c r="E181">
        <v>105001</v>
      </c>
      <c r="F181">
        <v>40</v>
      </c>
      <c r="G181" t="str">
        <f t="shared" si="2"/>
        <v>105001:40</v>
      </c>
    </row>
    <row r="182" spans="5:7">
      <c r="E182">
        <v>105001</v>
      </c>
      <c r="F182">
        <v>40</v>
      </c>
      <c r="G182" t="str">
        <f t="shared" si="2"/>
        <v>105001:40</v>
      </c>
    </row>
    <row r="183" spans="5:7">
      <c r="E183">
        <v>105001</v>
      </c>
      <c r="F183">
        <v>90</v>
      </c>
      <c r="G183" t="str">
        <f t="shared" si="2"/>
        <v>105001:90</v>
      </c>
    </row>
    <row r="184" spans="5:7">
      <c r="E184">
        <v>105001</v>
      </c>
      <c r="F184">
        <v>90</v>
      </c>
      <c r="G184" t="str">
        <f t="shared" si="2"/>
        <v>105001:90</v>
      </c>
    </row>
    <row r="185" spans="5:7">
      <c r="E185">
        <v>105001</v>
      </c>
      <c r="F185">
        <v>90</v>
      </c>
      <c r="G185" t="str">
        <f t="shared" si="2"/>
        <v>105001:90</v>
      </c>
    </row>
    <row r="186" spans="5:7">
      <c r="E186">
        <v>105001</v>
      </c>
      <c r="F186">
        <v>90</v>
      </c>
      <c r="G186" t="str">
        <f t="shared" si="2"/>
        <v>105001:90</v>
      </c>
    </row>
    <row r="187" spans="5:7">
      <c r="E187">
        <v>105001</v>
      </c>
      <c r="F187">
        <v>90</v>
      </c>
      <c r="G187" t="str">
        <f t="shared" si="2"/>
        <v>105001:90</v>
      </c>
    </row>
    <row r="188" spans="5:7">
      <c r="E188">
        <v>105001</v>
      </c>
      <c r="F188">
        <v>90</v>
      </c>
      <c r="G188" t="str">
        <f t="shared" si="2"/>
        <v>105001:90</v>
      </c>
    </row>
    <row r="189" spans="5:7">
      <c r="E189">
        <v>105001</v>
      </c>
      <c r="F189">
        <v>90</v>
      </c>
      <c r="G189" t="str">
        <f t="shared" si="2"/>
        <v>105001:90</v>
      </c>
    </row>
    <row r="190" spans="5:7">
      <c r="E190">
        <v>105001</v>
      </c>
      <c r="F190">
        <v>150</v>
      </c>
      <c r="G190" t="str">
        <f t="shared" si="2"/>
        <v>105001:150</v>
      </c>
    </row>
    <row r="191" spans="5:7">
      <c r="E191">
        <v>105001</v>
      </c>
      <c r="F191">
        <v>150</v>
      </c>
      <c r="G191" t="str">
        <f t="shared" si="2"/>
        <v>105001:150</v>
      </c>
    </row>
    <row r="192" spans="5:7">
      <c r="E192">
        <v>105001</v>
      </c>
      <c r="F192">
        <v>150</v>
      </c>
      <c r="G192" t="str">
        <f t="shared" si="2"/>
        <v>105001:150</v>
      </c>
    </row>
    <row r="193" spans="5:7">
      <c r="E193">
        <v>105001</v>
      </c>
      <c r="F193">
        <v>150</v>
      </c>
      <c r="G193" t="str">
        <f t="shared" si="2"/>
        <v>105001:150</v>
      </c>
    </row>
    <row r="194" spans="5:7">
      <c r="E194">
        <v>105001</v>
      </c>
      <c r="F194">
        <v>150</v>
      </c>
      <c r="G194" t="str">
        <f t="shared" ref="G194:G257" si="3">IF(E194=0,0,E194&amp;":"&amp;F194)</f>
        <v>105001:150</v>
      </c>
    </row>
    <row r="195" spans="5:7">
      <c r="E195">
        <v>105001</v>
      </c>
      <c r="F195">
        <v>150</v>
      </c>
      <c r="G195" t="str">
        <f t="shared" si="3"/>
        <v>105001:150</v>
      </c>
    </row>
    <row r="196" spans="5:7">
      <c r="E196">
        <v>105001</v>
      </c>
      <c r="F196">
        <v>150</v>
      </c>
      <c r="G196" t="str">
        <f t="shared" si="3"/>
        <v>105001:150</v>
      </c>
    </row>
    <row r="197" spans="5:7">
      <c r="E197">
        <v>105001</v>
      </c>
      <c r="F197">
        <v>180</v>
      </c>
      <c r="G197" t="str">
        <f t="shared" si="3"/>
        <v>105001:180</v>
      </c>
    </row>
    <row r="198" spans="5:7">
      <c r="E198">
        <v>105001</v>
      </c>
      <c r="F198">
        <v>180</v>
      </c>
      <c r="G198" t="str">
        <f t="shared" si="3"/>
        <v>105001:180</v>
      </c>
    </row>
    <row r="199" spans="5:7">
      <c r="E199">
        <v>105001</v>
      </c>
      <c r="F199">
        <v>180</v>
      </c>
      <c r="G199" t="str">
        <f t="shared" si="3"/>
        <v>105001:180</v>
      </c>
    </row>
    <row r="200" spans="5:7">
      <c r="E200">
        <v>105001</v>
      </c>
      <c r="F200">
        <v>180</v>
      </c>
      <c r="G200" t="str">
        <f t="shared" si="3"/>
        <v>105001:180</v>
      </c>
    </row>
    <row r="201" spans="5:7">
      <c r="E201">
        <v>105001</v>
      </c>
      <c r="F201">
        <v>180</v>
      </c>
      <c r="G201" t="str">
        <f t="shared" si="3"/>
        <v>105001:180</v>
      </c>
    </row>
    <row r="202" spans="5:7">
      <c r="E202">
        <v>105001</v>
      </c>
      <c r="F202">
        <v>180</v>
      </c>
      <c r="G202" t="str">
        <f t="shared" si="3"/>
        <v>105001:180</v>
      </c>
    </row>
    <row r="203" spans="5:7">
      <c r="E203">
        <v>105001</v>
      </c>
      <c r="F203">
        <v>180</v>
      </c>
      <c r="G203" t="str">
        <f t="shared" si="3"/>
        <v>105001:180</v>
      </c>
    </row>
    <row r="204" spans="5:7">
      <c r="E204">
        <v>105001</v>
      </c>
      <c r="F204">
        <v>180</v>
      </c>
      <c r="G204" t="str">
        <f t="shared" si="3"/>
        <v>105001:180</v>
      </c>
    </row>
    <row r="205" spans="5:7">
      <c r="E205">
        <v>105001</v>
      </c>
      <c r="F205">
        <v>180</v>
      </c>
      <c r="G205" t="str">
        <f t="shared" si="3"/>
        <v>105001:180</v>
      </c>
    </row>
    <row r="206" spans="5:7">
      <c r="E206">
        <v>105001</v>
      </c>
      <c r="F206">
        <v>180</v>
      </c>
      <c r="G206" t="str">
        <f t="shared" si="3"/>
        <v>105001:180</v>
      </c>
    </row>
    <row r="207" spans="5:7">
      <c r="E207">
        <v>105001</v>
      </c>
      <c r="F207">
        <v>180</v>
      </c>
      <c r="G207" t="str">
        <f t="shared" si="3"/>
        <v>105001:180</v>
      </c>
    </row>
    <row r="208" spans="5:7">
      <c r="E208">
        <v>105001</v>
      </c>
      <c r="F208">
        <v>180</v>
      </c>
      <c r="G208" t="str">
        <f t="shared" si="3"/>
        <v>105001:180</v>
      </c>
    </row>
    <row r="209" spans="5:7">
      <c r="E209">
        <v>105001</v>
      </c>
      <c r="F209">
        <v>180</v>
      </c>
      <c r="G209" t="str">
        <f t="shared" si="3"/>
        <v>105001:180</v>
      </c>
    </row>
    <row r="210" spans="5:7">
      <c r="E210">
        <v>0</v>
      </c>
      <c r="G210">
        <f t="shared" si="3"/>
        <v>0</v>
      </c>
    </row>
    <row r="211" spans="5:7">
      <c r="E211">
        <v>106001</v>
      </c>
      <c r="F211">
        <v>20</v>
      </c>
      <c r="G211" t="str">
        <f t="shared" si="3"/>
        <v>106001:20</v>
      </c>
    </row>
    <row r="212" spans="5:7">
      <c r="E212">
        <v>106001</v>
      </c>
      <c r="F212">
        <v>20</v>
      </c>
      <c r="G212" t="str">
        <f t="shared" si="3"/>
        <v>106001:20</v>
      </c>
    </row>
    <row r="213" spans="5:7">
      <c r="E213">
        <v>106001</v>
      </c>
      <c r="F213">
        <v>20</v>
      </c>
      <c r="G213" t="str">
        <f t="shared" si="3"/>
        <v>106001:20</v>
      </c>
    </row>
    <row r="214" spans="5:7">
      <c r="E214">
        <v>106001</v>
      </c>
      <c r="F214">
        <v>20</v>
      </c>
      <c r="G214" t="str">
        <f t="shared" si="3"/>
        <v>106001:20</v>
      </c>
    </row>
    <row r="215" spans="5:7">
      <c r="E215">
        <v>106001</v>
      </c>
      <c r="F215">
        <v>20</v>
      </c>
      <c r="G215" t="str">
        <f t="shared" si="3"/>
        <v>106001:20</v>
      </c>
    </row>
    <row r="216" spans="5:7">
      <c r="E216">
        <v>106001</v>
      </c>
      <c r="F216">
        <v>20</v>
      </c>
      <c r="G216" t="str">
        <f t="shared" si="3"/>
        <v>106001:20</v>
      </c>
    </row>
    <row r="217" spans="5:7">
      <c r="E217">
        <v>106001</v>
      </c>
      <c r="F217">
        <v>20</v>
      </c>
      <c r="G217" t="str">
        <f t="shared" si="3"/>
        <v>106001:20</v>
      </c>
    </row>
    <row r="218" spans="5:7">
      <c r="E218">
        <v>106001</v>
      </c>
      <c r="F218">
        <v>40</v>
      </c>
      <c r="G218" t="str">
        <f t="shared" si="3"/>
        <v>106001:40</v>
      </c>
    </row>
    <row r="219" spans="5:7">
      <c r="E219">
        <v>106001</v>
      </c>
      <c r="F219">
        <v>40</v>
      </c>
      <c r="G219" t="str">
        <f t="shared" si="3"/>
        <v>106001:40</v>
      </c>
    </row>
    <row r="220" spans="5:7">
      <c r="E220">
        <v>106001</v>
      </c>
      <c r="F220">
        <v>40</v>
      </c>
      <c r="G220" t="str">
        <f t="shared" si="3"/>
        <v>106001:40</v>
      </c>
    </row>
    <row r="221" spans="5:7">
      <c r="E221">
        <v>106001</v>
      </c>
      <c r="F221">
        <v>40</v>
      </c>
      <c r="G221" t="str">
        <f t="shared" si="3"/>
        <v>106001:40</v>
      </c>
    </row>
    <row r="222" spans="5:7">
      <c r="E222">
        <v>106001</v>
      </c>
      <c r="F222">
        <v>40</v>
      </c>
      <c r="G222" t="str">
        <f t="shared" si="3"/>
        <v>106001:40</v>
      </c>
    </row>
    <row r="223" spans="5:7">
      <c r="E223">
        <v>106001</v>
      </c>
      <c r="F223">
        <v>40</v>
      </c>
      <c r="G223" t="str">
        <f t="shared" si="3"/>
        <v>106001:40</v>
      </c>
    </row>
    <row r="224" spans="5:7">
      <c r="E224">
        <v>106001</v>
      </c>
      <c r="F224">
        <v>40</v>
      </c>
      <c r="G224" t="str">
        <f t="shared" si="3"/>
        <v>106001:40</v>
      </c>
    </row>
    <row r="225" spans="5:7">
      <c r="E225">
        <v>106001</v>
      </c>
      <c r="F225">
        <v>90</v>
      </c>
      <c r="G225" t="str">
        <f t="shared" si="3"/>
        <v>106001:90</v>
      </c>
    </row>
    <row r="226" spans="5:7">
      <c r="E226">
        <v>106001</v>
      </c>
      <c r="F226">
        <v>90</v>
      </c>
      <c r="G226" t="str">
        <f t="shared" si="3"/>
        <v>106001:90</v>
      </c>
    </row>
    <row r="227" spans="5:7">
      <c r="E227">
        <v>106001</v>
      </c>
      <c r="F227">
        <v>90</v>
      </c>
      <c r="G227" t="str">
        <f t="shared" si="3"/>
        <v>106001:90</v>
      </c>
    </row>
    <row r="228" spans="5:7">
      <c r="E228">
        <v>106001</v>
      </c>
      <c r="F228">
        <v>90</v>
      </c>
      <c r="G228" t="str">
        <f t="shared" si="3"/>
        <v>106001:90</v>
      </c>
    </row>
    <row r="229" spans="5:7">
      <c r="E229">
        <v>106001</v>
      </c>
      <c r="F229">
        <v>90</v>
      </c>
      <c r="G229" t="str">
        <f t="shared" si="3"/>
        <v>106001:90</v>
      </c>
    </row>
    <row r="230" spans="5:7">
      <c r="E230">
        <v>106001</v>
      </c>
      <c r="F230">
        <v>90</v>
      </c>
      <c r="G230" t="str">
        <f t="shared" si="3"/>
        <v>106001:90</v>
      </c>
    </row>
    <row r="231" spans="5:7">
      <c r="E231">
        <v>106001</v>
      </c>
      <c r="F231">
        <v>90</v>
      </c>
      <c r="G231" t="str">
        <f t="shared" si="3"/>
        <v>106001:90</v>
      </c>
    </row>
    <row r="232" spans="5:7">
      <c r="E232">
        <v>106001</v>
      </c>
      <c r="F232">
        <v>150</v>
      </c>
      <c r="G232" t="str">
        <f t="shared" si="3"/>
        <v>106001:150</v>
      </c>
    </row>
    <row r="233" spans="5:7">
      <c r="E233">
        <v>106001</v>
      </c>
      <c r="F233">
        <v>150</v>
      </c>
      <c r="G233" t="str">
        <f t="shared" si="3"/>
        <v>106001:150</v>
      </c>
    </row>
    <row r="234" spans="5:7">
      <c r="E234">
        <v>106001</v>
      </c>
      <c r="F234">
        <v>150</v>
      </c>
      <c r="G234" t="str">
        <f t="shared" si="3"/>
        <v>106001:150</v>
      </c>
    </row>
    <row r="235" spans="5:7">
      <c r="E235">
        <v>106001</v>
      </c>
      <c r="F235">
        <v>150</v>
      </c>
      <c r="G235" t="str">
        <f t="shared" si="3"/>
        <v>106001:150</v>
      </c>
    </row>
    <row r="236" spans="5:7">
      <c r="E236">
        <v>106001</v>
      </c>
      <c r="F236">
        <v>150</v>
      </c>
      <c r="G236" t="str">
        <f t="shared" si="3"/>
        <v>106001:150</v>
      </c>
    </row>
    <row r="237" spans="5:7">
      <c r="E237">
        <v>106001</v>
      </c>
      <c r="F237">
        <v>150</v>
      </c>
      <c r="G237" t="str">
        <f t="shared" si="3"/>
        <v>106001:150</v>
      </c>
    </row>
    <row r="238" spans="5:7">
      <c r="E238">
        <v>106001</v>
      </c>
      <c r="F238">
        <v>150</v>
      </c>
      <c r="G238" t="str">
        <f t="shared" si="3"/>
        <v>106001:150</v>
      </c>
    </row>
    <row r="239" spans="5:7">
      <c r="E239">
        <v>106001</v>
      </c>
      <c r="F239">
        <v>180</v>
      </c>
      <c r="G239" t="str">
        <f t="shared" si="3"/>
        <v>106001:180</v>
      </c>
    </row>
    <row r="240" spans="5:7">
      <c r="E240">
        <v>106001</v>
      </c>
      <c r="F240">
        <v>180</v>
      </c>
      <c r="G240" t="str">
        <f t="shared" si="3"/>
        <v>106001:180</v>
      </c>
    </row>
    <row r="241" spans="5:7">
      <c r="E241">
        <v>106001</v>
      </c>
      <c r="F241">
        <v>180</v>
      </c>
      <c r="G241" t="str">
        <f t="shared" si="3"/>
        <v>106001:180</v>
      </c>
    </row>
    <row r="242" spans="5:7">
      <c r="E242">
        <v>106001</v>
      </c>
      <c r="F242">
        <v>180</v>
      </c>
      <c r="G242" t="str">
        <f t="shared" si="3"/>
        <v>106001:180</v>
      </c>
    </row>
    <row r="243" spans="5:7">
      <c r="E243">
        <v>106001</v>
      </c>
      <c r="F243">
        <v>180</v>
      </c>
      <c r="G243" t="str">
        <f t="shared" si="3"/>
        <v>106001:180</v>
      </c>
    </row>
    <row r="244" spans="5:7">
      <c r="E244">
        <v>106001</v>
      </c>
      <c r="F244">
        <v>180</v>
      </c>
      <c r="G244" t="str">
        <f t="shared" si="3"/>
        <v>106001:180</v>
      </c>
    </row>
    <row r="245" spans="5:7">
      <c r="E245">
        <v>106001</v>
      </c>
      <c r="F245">
        <v>180</v>
      </c>
      <c r="G245" t="str">
        <f t="shared" si="3"/>
        <v>106001:180</v>
      </c>
    </row>
    <row r="246" spans="5:7">
      <c r="E246">
        <v>106001</v>
      </c>
      <c r="F246">
        <v>180</v>
      </c>
      <c r="G246" t="str">
        <f t="shared" si="3"/>
        <v>106001:180</v>
      </c>
    </row>
    <row r="247" spans="5:7">
      <c r="E247">
        <v>106001</v>
      </c>
      <c r="F247">
        <v>180</v>
      </c>
      <c r="G247" t="str">
        <f t="shared" si="3"/>
        <v>106001:180</v>
      </c>
    </row>
    <row r="248" spans="5:7">
      <c r="E248">
        <v>106001</v>
      </c>
      <c r="F248">
        <v>180</v>
      </c>
      <c r="G248" t="str">
        <f t="shared" si="3"/>
        <v>106001:180</v>
      </c>
    </row>
    <row r="249" spans="5:7">
      <c r="E249">
        <v>106001</v>
      </c>
      <c r="F249">
        <v>180</v>
      </c>
      <c r="G249" t="str">
        <f t="shared" si="3"/>
        <v>106001:180</v>
      </c>
    </row>
    <row r="250" spans="5:7">
      <c r="E250">
        <v>106001</v>
      </c>
      <c r="F250">
        <v>180</v>
      </c>
      <c r="G250" t="str">
        <f t="shared" si="3"/>
        <v>106001:180</v>
      </c>
    </row>
    <row r="251" spans="5:7">
      <c r="E251">
        <v>106001</v>
      </c>
      <c r="F251">
        <v>180</v>
      </c>
      <c r="G251" t="str">
        <f t="shared" si="3"/>
        <v>106001:180</v>
      </c>
    </row>
    <row r="252" spans="5:7">
      <c r="E252">
        <v>0</v>
      </c>
      <c r="G252">
        <f t="shared" si="3"/>
        <v>0</v>
      </c>
    </row>
    <row r="253" spans="5:7">
      <c r="E253">
        <v>201001</v>
      </c>
      <c r="F253">
        <v>20</v>
      </c>
      <c r="G253" t="str">
        <f t="shared" si="3"/>
        <v>201001:20</v>
      </c>
    </row>
    <row r="254" spans="5:7">
      <c r="E254">
        <v>201001</v>
      </c>
      <c r="F254">
        <v>20</v>
      </c>
      <c r="G254" t="str">
        <f t="shared" si="3"/>
        <v>201001:20</v>
      </c>
    </row>
    <row r="255" spans="5:7">
      <c r="E255">
        <v>201001</v>
      </c>
      <c r="F255">
        <v>20</v>
      </c>
      <c r="G255" t="str">
        <f t="shared" si="3"/>
        <v>201001:20</v>
      </c>
    </row>
    <row r="256" spans="5:7">
      <c r="E256">
        <v>201001</v>
      </c>
      <c r="F256">
        <v>20</v>
      </c>
      <c r="G256" t="str">
        <f t="shared" si="3"/>
        <v>201001:20</v>
      </c>
    </row>
    <row r="257" spans="5:7">
      <c r="E257">
        <v>201001</v>
      </c>
      <c r="F257">
        <v>20</v>
      </c>
      <c r="G257" t="str">
        <f t="shared" si="3"/>
        <v>201001:20</v>
      </c>
    </row>
    <row r="258" spans="5:7">
      <c r="E258">
        <v>201001</v>
      </c>
      <c r="F258">
        <v>20</v>
      </c>
      <c r="G258" t="str">
        <f t="shared" ref="G258:G321" si="4">IF(E258=0,0,E258&amp;":"&amp;F258)</f>
        <v>201001:20</v>
      </c>
    </row>
    <row r="259" spans="5:7">
      <c r="E259">
        <v>201001</v>
      </c>
      <c r="F259">
        <v>20</v>
      </c>
      <c r="G259" t="str">
        <f t="shared" si="4"/>
        <v>201001:20</v>
      </c>
    </row>
    <row r="260" spans="5:7">
      <c r="E260">
        <v>201001</v>
      </c>
      <c r="F260">
        <v>40</v>
      </c>
      <c r="G260" t="str">
        <f t="shared" si="4"/>
        <v>201001:40</v>
      </c>
    </row>
    <row r="261" spans="5:7">
      <c r="E261">
        <v>201001</v>
      </c>
      <c r="F261">
        <v>40</v>
      </c>
      <c r="G261" t="str">
        <f t="shared" si="4"/>
        <v>201001:40</v>
      </c>
    </row>
    <row r="262" spans="5:7">
      <c r="E262">
        <v>201001</v>
      </c>
      <c r="F262">
        <v>40</v>
      </c>
      <c r="G262" t="str">
        <f t="shared" si="4"/>
        <v>201001:40</v>
      </c>
    </row>
    <row r="263" spans="5:7">
      <c r="E263">
        <v>201001</v>
      </c>
      <c r="F263">
        <v>40</v>
      </c>
      <c r="G263" t="str">
        <f t="shared" si="4"/>
        <v>201001:40</v>
      </c>
    </row>
    <row r="264" spans="5:7">
      <c r="E264">
        <v>201001</v>
      </c>
      <c r="F264">
        <v>40</v>
      </c>
      <c r="G264" t="str">
        <f t="shared" si="4"/>
        <v>201001:40</v>
      </c>
    </row>
    <row r="265" spans="5:7">
      <c r="E265">
        <v>201001</v>
      </c>
      <c r="F265">
        <v>40</v>
      </c>
      <c r="G265" t="str">
        <f t="shared" si="4"/>
        <v>201001:40</v>
      </c>
    </row>
    <row r="266" spans="5:7">
      <c r="E266">
        <v>201001</v>
      </c>
      <c r="F266">
        <v>40</v>
      </c>
      <c r="G266" t="str">
        <f t="shared" si="4"/>
        <v>201001:40</v>
      </c>
    </row>
    <row r="267" spans="5:7">
      <c r="E267">
        <v>201001</v>
      </c>
      <c r="F267">
        <v>90</v>
      </c>
      <c r="G267" t="str">
        <f t="shared" si="4"/>
        <v>201001:90</v>
      </c>
    </row>
    <row r="268" spans="5:7">
      <c r="E268">
        <v>201001</v>
      </c>
      <c r="F268">
        <v>90</v>
      </c>
      <c r="G268" t="str">
        <f t="shared" si="4"/>
        <v>201001:90</v>
      </c>
    </row>
    <row r="269" spans="5:7">
      <c r="E269">
        <v>201001</v>
      </c>
      <c r="F269">
        <v>90</v>
      </c>
      <c r="G269" t="str">
        <f t="shared" si="4"/>
        <v>201001:90</v>
      </c>
    </row>
    <row r="270" spans="5:7">
      <c r="E270">
        <v>201001</v>
      </c>
      <c r="F270">
        <v>90</v>
      </c>
      <c r="G270" t="str">
        <f t="shared" si="4"/>
        <v>201001:90</v>
      </c>
    </row>
    <row r="271" spans="5:7">
      <c r="E271">
        <v>201001</v>
      </c>
      <c r="F271">
        <v>90</v>
      </c>
      <c r="G271" t="str">
        <f t="shared" si="4"/>
        <v>201001:90</v>
      </c>
    </row>
    <row r="272" spans="5:7">
      <c r="E272">
        <v>201001</v>
      </c>
      <c r="F272">
        <v>90</v>
      </c>
      <c r="G272" t="str">
        <f t="shared" si="4"/>
        <v>201001:90</v>
      </c>
    </row>
    <row r="273" spans="5:7">
      <c r="E273">
        <v>201001</v>
      </c>
      <c r="F273">
        <v>90</v>
      </c>
      <c r="G273" t="str">
        <f t="shared" si="4"/>
        <v>201001:90</v>
      </c>
    </row>
    <row r="274" spans="5:7">
      <c r="E274">
        <v>201001</v>
      </c>
      <c r="F274">
        <v>150</v>
      </c>
      <c r="G274" t="str">
        <f t="shared" si="4"/>
        <v>201001:150</v>
      </c>
    </row>
    <row r="275" spans="5:7">
      <c r="E275">
        <v>201001</v>
      </c>
      <c r="F275">
        <v>150</v>
      </c>
      <c r="G275" t="str">
        <f t="shared" si="4"/>
        <v>201001:150</v>
      </c>
    </row>
    <row r="276" spans="5:7">
      <c r="E276">
        <v>201001</v>
      </c>
      <c r="F276">
        <v>150</v>
      </c>
      <c r="G276" t="str">
        <f t="shared" si="4"/>
        <v>201001:150</v>
      </c>
    </row>
    <row r="277" spans="5:7">
      <c r="E277">
        <v>201001</v>
      </c>
      <c r="F277">
        <v>150</v>
      </c>
      <c r="G277" t="str">
        <f t="shared" si="4"/>
        <v>201001:150</v>
      </c>
    </row>
    <row r="278" spans="5:7">
      <c r="E278">
        <v>201001</v>
      </c>
      <c r="F278">
        <v>150</v>
      </c>
      <c r="G278" t="str">
        <f t="shared" si="4"/>
        <v>201001:150</v>
      </c>
    </row>
    <row r="279" spans="5:7">
      <c r="E279">
        <v>201001</v>
      </c>
      <c r="F279">
        <v>150</v>
      </c>
      <c r="G279" t="str">
        <f t="shared" si="4"/>
        <v>201001:150</v>
      </c>
    </row>
    <row r="280" spans="5:7">
      <c r="E280">
        <v>201001</v>
      </c>
      <c r="F280">
        <v>150</v>
      </c>
      <c r="G280" t="str">
        <f t="shared" si="4"/>
        <v>201001:150</v>
      </c>
    </row>
    <row r="281" spans="5:7">
      <c r="E281">
        <v>201001</v>
      </c>
      <c r="F281">
        <v>180</v>
      </c>
      <c r="G281" t="str">
        <f t="shared" si="4"/>
        <v>201001:180</v>
      </c>
    </row>
    <row r="282" spans="5:7">
      <c r="E282">
        <v>201001</v>
      </c>
      <c r="F282">
        <v>180</v>
      </c>
      <c r="G282" t="str">
        <f t="shared" si="4"/>
        <v>201001:180</v>
      </c>
    </row>
    <row r="283" spans="5:7">
      <c r="E283">
        <v>201001</v>
      </c>
      <c r="F283">
        <v>180</v>
      </c>
      <c r="G283" t="str">
        <f t="shared" si="4"/>
        <v>201001:180</v>
      </c>
    </row>
    <row r="284" spans="5:7">
      <c r="E284">
        <v>201001</v>
      </c>
      <c r="F284">
        <v>180</v>
      </c>
      <c r="G284" t="str">
        <f t="shared" si="4"/>
        <v>201001:180</v>
      </c>
    </row>
    <row r="285" spans="5:7">
      <c r="E285">
        <v>201001</v>
      </c>
      <c r="F285">
        <v>180</v>
      </c>
      <c r="G285" t="str">
        <f t="shared" si="4"/>
        <v>201001:180</v>
      </c>
    </row>
    <row r="286" spans="5:7">
      <c r="E286">
        <v>201001</v>
      </c>
      <c r="F286">
        <v>180</v>
      </c>
      <c r="G286" t="str">
        <f t="shared" si="4"/>
        <v>201001:180</v>
      </c>
    </row>
    <row r="287" spans="5:7">
      <c r="E287">
        <v>201001</v>
      </c>
      <c r="F287">
        <v>180</v>
      </c>
      <c r="G287" t="str">
        <f t="shared" si="4"/>
        <v>201001:180</v>
      </c>
    </row>
    <row r="288" spans="5:7">
      <c r="E288">
        <v>201001</v>
      </c>
      <c r="F288">
        <v>180</v>
      </c>
      <c r="G288" t="str">
        <f t="shared" si="4"/>
        <v>201001:180</v>
      </c>
    </row>
    <row r="289" spans="5:7">
      <c r="E289">
        <v>201001</v>
      </c>
      <c r="F289">
        <v>180</v>
      </c>
      <c r="G289" t="str">
        <f t="shared" si="4"/>
        <v>201001:180</v>
      </c>
    </row>
    <row r="290" spans="5:7">
      <c r="E290">
        <v>201001</v>
      </c>
      <c r="F290">
        <v>180</v>
      </c>
      <c r="G290" t="str">
        <f t="shared" si="4"/>
        <v>201001:180</v>
      </c>
    </row>
    <row r="291" spans="5:7">
      <c r="E291">
        <v>201001</v>
      </c>
      <c r="F291">
        <v>180</v>
      </c>
      <c r="G291" t="str">
        <f t="shared" si="4"/>
        <v>201001:180</v>
      </c>
    </row>
    <row r="292" spans="5:7">
      <c r="E292">
        <v>201001</v>
      </c>
      <c r="F292">
        <v>180</v>
      </c>
      <c r="G292" t="str">
        <f t="shared" si="4"/>
        <v>201001:180</v>
      </c>
    </row>
    <row r="293" spans="5:7">
      <c r="E293">
        <v>201001</v>
      </c>
      <c r="F293">
        <v>180</v>
      </c>
      <c r="G293" t="str">
        <f t="shared" si="4"/>
        <v>201001:180</v>
      </c>
    </row>
    <row r="294" spans="5:7">
      <c r="E294">
        <v>0</v>
      </c>
      <c r="G294">
        <f t="shared" si="4"/>
        <v>0</v>
      </c>
    </row>
    <row r="295" spans="5:7">
      <c r="E295">
        <v>202001</v>
      </c>
      <c r="F295">
        <v>20</v>
      </c>
      <c r="G295" t="str">
        <f t="shared" si="4"/>
        <v>202001:20</v>
      </c>
    </row>
    <row r="296" spans="5:7">
      <c r="E296">
        <v>202001</v>
      </c>
      <c r="F296">
        <v>20</v>
      </c>
      <c r="G296" t="str">
        <f t="shared" si="4"/>
        <v>202001:20</v>
      </c>
    </row>
    <row r="297" spans="5:7">
      <c r="E297">
        <v>202001</v>
      </c>
      <c r="F297">
        <v>20</v>
      </c>
      <c r="G297" t="str">
        <f t="shared" si="4"/>
        <v>202001:20</v>
      </c>
    </row>
    <row r="298" spans="5:7">
      <c r="E298">
        <v>202001</v>
      </c>
      <c r="F298">
        <v>20</v>
      </c>
      <c r="G298" t="str">
        <f t="shared" si="4"/>
        <v>202001:20</v>
      </c>
    </row>
    <row r="299" spans="5:7">
      <c r="E299">
        <v>202001</v>
      </c>
      <c r="F299">
        <v>20</v>
      </c>
      <c r="G299" t="str">
        <f t="shared" si="4"/>
        <v>202001:20</v>
      </c>
    </row>
    <row r="300" spans="5:7">
      <c r="E300">
        <v>202001</v>
      </c>
      <c r="F300">
        <v>20</v>
      </c>
      <c r="G300" t="str">
        <f t="shared" si="4"/>
        <v>202001:20</v>
      </c>
    </row>
    <row r="301" spans="5:7">
      <c r="E301">
        <v>202001</v>
      </c>
      <c r="F301">
        <v>20</v>
      </c>
      <c r="G301" t="str">
        <f t="shared" si="4"/>
        <v>202001:20</v>
      </c>
    </row>
    <row r="302" spans="5:7">
      <c r="E302">
        <v>202001</v>
      </c>
      <c r="F302">
        <v>40</v>
      </c>
      <c r="G302" t="str">
        <f t="shared" si="4"/>
        <v>202001:40</v>
      </c>
    </row>
    <row r="303" spans="5:7">
      <c r="E303">
        <v>202001</v>
      </c>
      <c r="F303">
        <v>40</v>
      </c>
      <c r="G303" t="str">
        <f t="shared" si="4"/>
        <v>202001:40</v>
      </c>
    </row>
    <row r="304" spans="5:7">
      <c r="E304">
        <v>202001</v>
      </c>
      <c r="F304">
        <v>40</v>
      </c>
      <c r="G304" t="str">
        <f t="shared" si="4"/>
        <v>202001:40</v>
      </c>
    </row>
    <row r="305" spans="5:7">
      <c r="E305">
        <v>202001</v>
      </c>
      <c r="F305">
        <v>40</v>
      </c>
      <c r="G305" t="str">
        <f t="shared" si="4"/>
        <v>202001:40</v>
      </c>
    </row>
    <row r="306" spans="5:7">
      <c r="E306">
        <v>202001</v>
      </c>
      <c r="F306">
        <v>40</v>
      </c>
      <c r="G306" t="str">
        <f t="shared" si="4"/>
        <v>202001:40</v>
      </c>
    </row>
    <row r="307" spans="5:7">
      <c r="E307">
        <v>202001</v>
      </c>
      <c r="F307">
        <v>40</v>
      </c>
      <c r="G307" t="str">
        <f t="shared" si="4"/>
        <v>202001:40</v>
      </c>
    </row>
    <row r="308" spans="5:7">
      <c r="E308">
        <v>202001</v>
      </c>
      <c r="F308">
        <v>40</v>
      </c>
      <c r="G308" t="str">
        <f t="shared" si="4"/>
        <v>202001:40</v>
      </c>
    </row>
    <row r="309" spans="5:7">
      <c r="E309">
        <v>202001</v>
      </c>
      <c r="F309">
        <v>90</v>
      </c>
      <c r="G309" t="str">
        <f t="shared" si="4"/>
        <v>202001:90</v>
      </c>
    </row>
    <row r="310" spans="5:7">
      <c r="E310">
        <v>202001</v>
      </c>
      <c r="F310">
        <v>90</v>
      </c>
      <c r="G310" t="str">
        <f t="shared" si="4"/>
        <v>202001:90</v>
      </c>
    </row>
    <row r="311" spans="5:7">
      <c r="E311">
        <v>202001</v>
      </c>
      <c r="F311">
        <v>90</v>
      </c>
      <c r="G311" t="str">
        <f t="shared" si="4"/>
        <v>202001:90</v>
      </c>
    </row>
    <row r="312" spans="5:7">
      <c r="E312">
        <v>202001</v>
      </c>
      <c r="F312">
        <v>90</v>
      </c>
      <c r="G312" t="str">
        <f t="shared" si="4"/>
        <v>202001:90</v>
      </c>
    </row>
    <row r="313" spans="5:7">
      <c r="E313">
        <v>202001</v>
      </c>
      <c r="F313">
        <v>90</v>
      </c>
      <c r="G313" t="str">
        <f t="shared" si="4"/>
        <v>202001:90</v>
      </c>
    </row>
    <row r="314" spans="5:7">
      <c r="E314">
        <v>202001</v>
      </c>
      <c r="F314">
        <v>90</v>
      </c>
      <c r="G314" t="str">
        <f t="shared" si="4"/>
        <v>202001:90</v>
      </c>
    </row>
    <row r="315" spans="5:7">
      <c r="E315">
        <v>202001</v>
      </c>
      <c r="F315">
        <v>90</v>
      </c>
      <c r="G315" t="str">
        <f t="shared" si="4"/>
        <v>202001:90</v>
      </c>
    </row>
    <row r="316" spans="5:7">
      <c r="E316">
        <v>202001</v>
      </c>
      <c r="F316">
        <v>150</v>
      </c>
      <c r="G316" t="str">
        <f t="shared" si="4"/>
        <v>202001:150</v>
      </c>
    </row>
    <row r="317" spans="5:7">
      <c r="E317">
        <v>202001</v>
      </c>
      <c r="F317">
        <v>150</v>
      </c>
      <c r="G317" t="str">
        <f t="shared" si="4"/>
        <v>202001:150</v>
      </c>
    </row>
    <row r="318" spans="5:7">
      <c r="E318">
        <v>202001</v>
      </c>
      <c r="F318">
        <v>150</v>
      </c>
      <c r="G318" t="str">
        <f t="shared" si="4"/>
        <v>202001:150</v>
      </c>
    </row>
    <row r="319" spans="5:7">
      <c r="E319">
        <v>202001</v>
      </c>
      <c r="F319">
        <v>150</v>
      </c>
      <c r="G319" t="str">
        <f t="shared" si="4"/>
        <v>202001:150</v>
      </c>
    </row>
    <row r="320" spans="5:7">
      <c r="E320">
        <v>202001</v>
      </c>
      <c r="F320">
        <v>150</v>
      </c>
      <c r="G320" t="str">
        <f t="shared" si="4"/>
        <v>202001:150</v>
      </c>
    </row>
    <row r="321" spans="5:7">
      <c r="E321">
        <v>202001</v>
      </c>
      <c r="F321">
        <v>150</v>
      </c>
      <c r="G321" t="str">
        <f t="shared" si="4"/>
        <v>202001:150</v>
      </c>
    </row>
    <row r="322" spans="5:7">
      <c r="E322">
        <v>202001</v>
      </c>
      <c r="F322">
        <v>150</v>
      </c>
      <c r="G322" t="str">
        <f t="shared" ref="G322:G385" si="5">IF(E322=0,0,E322&amp;":"&amp;F322)</f>
        <v>202001:150</v>
      </c>
    </row>
    <row r="323" spans="5:7">
      <c r="E323">
        <v>202001</v>
      </c>
      <c r="F323">
        <v>180</v>
      </c>
      <c r="G323" t="str">
        <f t="shared" si="5"/>
        <v>202001:180</v>
      </c>
    </row>
    <row r="324" spans="5:7">
      <c r="E324">
        <v>202001</v>
      </c>
      <c r="F324">
        <v>180</v>
      </c>
      <c r="G324" t="str">
        <f t="shared" si="5"/>
        <v>202001:180</v>
      </c>
    </row>
    <row r="325" spans="5:7">
      <c r="E325">
        <v>202001</v>
      </c>
      <c r="F325">
        <v>180</v>
      </c>
      <c r="G325" t="str">
        <f t="shared" si="5"/>
        <v>202001:180</v>
      </c>
    </row>
    <row r="326" spans="5:7">
      <c r="E326">
        <v>202001</v>
      </c>
      <c r="F326">
        <v>180</v>
      </c>
      <c r="G326" t="str">
        <f t="shared" si="5"/>
        <v>202001:180</v>
      </c>
    </row>
    <row r="327" spans="5:7">
      <c r="E327">
        <v>202001</v>
      </c>
      <c r="F327">
        <v>180</v>
      </c>
      <c r="G327" t="str">
        <f t="shared" si="5"/>
        <v>202001:180</v>
      </c>
    </row>
    <row r="328" spans="5:7">
      <c r="E328">
        <v>202001</v>
      </c>
      <c r="F328">
        <v>180</v>
      </c>
      <c r="G328" t="str">
        <f t="shared" si="5"/>
        <v>202001:180</v>
      </c>
    </row>
    <row r="329" spans="5:7">
      <c r="E329">
        <v>202001</v>
      </c>
      <c r="F329">
        <v>180</v>
      </c>
      <c r="G329" t="str">
        <f t="shared" si="5"/>
        <v>202001:180</v>
      </c>
    </row>
    <row r="330" spans="5:7">
      <c r="E330">
        <v>202001</v>
      </c>
      <c r="F330">
        <v>180</v>
      </c>
      <c r="G330" t="str">
        <f t="shared" si="5"/>
        <v>202001:180</v>
      </c>
    </row>
    <row r="331" spans="5:7">
      <c r="E331">
        <v>202001</v>
      </c>
      <c r="F331">
        <v>180</v>
      </c>
      <c r="G331" t="str">
        <f t="shared" si="5"/>
        <v>202001:180</v>
      </c>
    </row>
    <row r="332" spans="5:7">
      <c r="E332">
        <v>202001</v>
      </c>
      <c r="F332">
        <v>180</v>
      </c>
      <c r="G332" t="str">
        <f t="shared" si="5"/>
        <v>202001:180</v>
      </c>
    </row>
    <row r="333" spans="5:7">
      <c r="E333">
        <v>202001</v>
      </c>
      <c r="F333">
        <v>180</v>
      </c>
      <c r="G333" t="str">
        <f t="shared" si="5"/>
        <v>202001:180</v>
      </c>
    </row>
    <row r="334" spans="5:7">
      <c r="E334">
        <v>202001</v>
      </c>
      <c r="F334">
        <v>180</v>
      </c>
      <c r="G334" t="str">
        <f t="shared" si="5"/>
        <v>202001:180</v>
      </c>
    </row>
    <row r="335" spans="5:7">
      <c r="E335">
        <v>202001</v>
      </c>
      <c r="F335">
        <v>180</v>
      </c>
      <c r="G335" t="str">
        <f t="shared" si="5"/>
        <v>202001:180</v>
      </c>
    </row>
    <row r="336" spans="5:7">
      <c r="E336">
        <v>0</v>
      </c>
      <c r="G336">
        <f t="shared" si="5"/>
        <v>0</v>
      </c>
    </row>
    <row r="337" spans="5:7">
      <c r="E337">
        <v>203001</v>
      </c>
      <c r="F337">
        <v>20</v>
      </c>
      <c r="G337" t="str">
        <f t="shared" si="5"/>
        <v>203001:20</v>
      </c>
    </row>
    <row r="338" spans="5:7">
      <c r="E338">
        <v>203001</v>
      </c>
      <c r="F338">
        <v>20</v>
      </c>
      <c r="G338" t="str">
        <f t="shared" si="5"/>
        <v>203001:20</v>
      </c>
    </row>
    <row r="339" spans="5:7">
      <c r="E339">
        <v>203001</v>
      </c>
      <c r="F339">
        <v>20</v>
      </c>
      <c r="G339" t="str">
        <f t="shared" si="5"/>
        <v>203001:20</v>
      </c>
    </row>
    <row r="340" spans="5:7">
      <c r="E340">
        <v>203001</v>
      </c>
      <c r="F340">
        <v>20</v>
      </c>
      <c r="G340" t="str">
        <f t="shared" si="5"/>
        <v>203001:20</v>
      </c>
    </row>
    <row r="341" spans="5:7">
      <c r="E341">
        <v>203001</v>
      </c>
      <c r="F341">
        <v>20</v>
      </c>
      <c r="G341" t="str">
        <f t="shared" si="5"/>
        <v>203001:20</v>
      </c>
    </row>
    <row r="342" spans="5:7">
      <c r="E342">
        <v>203001</v>
      </c>
      <c r="F342">
        <v>20</v>
      </c>
      <c r="G342" t="str">
        <f t="shared" si="5"/>
        <v>203001:20</v>
      </c>
    </row>
    <row r="343" spans="5:7">
      <c r="E343">
        <v>203001</v>
      </c>
      <c r="F343">
        <v>20</v>
      </c>
      <c r="G343" t="str">
        <f t="shared" si="5"/>
        <v>203001:20</v>
      </c>
    </row>
    <row r="344" spans="5:7">
      <c r="E344">
        <v>203001</v>
      </c>
      <c r="F344">
        <v>40</v>
      </c>
      <c r="G344" t="str">
        <f t="shared" si="5"/>
        <v>203001:40</v>
      </c>
    </row>
    <row r="345" spans="5:7">
      <c r="E345">
        <v>203001</v>
      </c>
      <c r="F345">
        <v>40</v>
      </c>
      <c r="G345" t="str">
        <f t="shared" si="5"/>
        <v>203001:40</v>
      </c>
    </row>
    <row r="346" spans="5:7">
      <c r="E346">
        <v>203001</v>
      </c>
      <c r="F346">
        <v>40</v>
      </c>
      <c r="G346" t="str">
        <f t="shared" si="5"/>
        <v>203001:40</v>
      </c>
    </row>
    <row r="347" spans="5:7">
      <c r="E347">
        <v>203001</v>
      </c>
      <c r="F347">
        <v>40</v>
      </c>
      <c r="G347" t="str">
        <f t="shared" si="5"/>
        <v>203001:40</v>
      </c>
    </row>
    <row r="348" spans="5:7">
      <c r="E348">
        <v>203001</v>
      </c>
      <c r="F348">
        <v>40</v>
      </c>
      <c r="G348" t="str">
        <f t="shared" si="5"/>
        <v>203001:40</v>
      </c>
    </row>
    <row r="349" spans="5:7">
      <c r="E349">
        <v>203001</v>
      </c>
      <c r="F349">
        <v>40</v>
      </c>
      <c r="G349" t="str">
        <f t="shared" si="5"/>
        <v>203001:40</v>
      </c>
    </row>
    <row r="350" spans="5:7">
      <c r="E350">
        <v>203001</v>
      </c>
      <c r="F350">
        <v>40</v>
      </c>
      <c r="G350" t="str">
        <f t="shared" si="5"/>
        <v>203001:40</v>
      </c>
    </row>
    <row r="351" spans="5:7">
      <c r="E351">
        <v>203001</v>
      </c>
      <c r="F351">
        <v>90</v>
      </c>
      <c r="G351" t="str">
        <f t="shared" si="5"/>
        <v>203001:90</v>
      </c>
    </row>
    <row r="352" spans="5:7">
      <c r="E352">
        <v>203001</v>
      </c>
      <c r="F352">
        <v>90</v>
      </c>
      <c r="G352" t="str">
        <f t="shared" si="5"/>
        <v>203001:90</v>
      </c>
    </row>
    <row r="353" spans="5:7">
      <c r="E353">
        <v>203001</v>
      </c>
      <c r="F353">
        <v>90</v>
      </c>
      <c r="G353" t="str">
        <f t="shared" si="5"/>
        <v>203001:90</v>
      </c>
    </row>
    <row r="354" spans="5:7">
      <c r="E354">
        <v>203001</v>
      </c>
      <c r="F354">
        <v>90</v>
      </c>
      <c r="G354" t="str">
        <f t="shared" si="5"/>
        <v>203001:90</v>
      </c>
    </row>
    <row r="355" spans="5:7">
      <c r="E355">
        <v>203001</v>
      </c>
      <c r="F355">
        <v>90</v>
      </c>
      <c r="G355" t="str">
        <f t="shared" si="5"/>
        <v>203001:90</v>
      </c>
    </row>
    <row r="356" spans="5:7">
      <c r="E356">
        <v>203001</v>
      </c>
      <c r="F356">
        <v>90</v>
      </c>
      <c r="G356" t="str">
        <f t="shared" si="5"/>
        <v>203001:90</v>
      </c>
    </row>
    <row r="357" spans="5:7">
      <c r="E357">
        <v>203001</v>
      </c>
      <c r="F357">
        <v>90</v>
      </c>
      <c r="G357" t="str">
        <f t="shared" si="5"/>
        <v>203001:90</v>
      </c>
    </row>
    <row r="358" spans="5:7">
      <c r="E358">
        <v>203001</v>
      </c>
      <c r="F358">
        <v>150</v>
      </c>
      <c r="G358" t="str">
        <f t="shared" si="5"/>
        <v>203001:150</v>
      </c>
    </row>
    <row r="359" spans="5:7">
      <c r="E359">
        <v>203001</v>
      </c>
      <c r="F359">
        <v>150</v>
      </c>
      <c r="G359" t="str">
        <f t="shared" si="5"/>
        <v>203001:150</v>
      </c>
    </row>
    <row r="360" spans="5:7">
      <c r="E360">
        <v>203001</v>
      </c>
      <c r="F360">
        <v>150</v>
      </c>
      <c r="G360" t="str">
        <f t="shared" si="5"/>
        <v>203001:150</v>
      </c>
    </row>
    <row r="361" spans="5:7">
      <c r="E361">
        <v>203001</v>
      </c>
      <c r="F361">
        <v>150</v>
      </c>
      <c r="G361" t="str">
        <f t="shared" si="5"/>
        <v>203001:150</v>
      </c>
    </row>
    <row r="362" spans="5:7">
      <c r="E362">
        <v>203001</v>
      </c>
      <c r="F362">
        <v>150</v>
      </c>
      <c r="G362" t="str">
        <f t="shared" si="5"/>
        <v>203001:150</v>
      </c>
    </row>
    <row r="363" spans="5:7">
      <c r="E363">
        <v>203001</v>
      </c>
      <c r="F363">
        <v>150</v>
      </c>
      <c r="G363" t="str">
        <f t="shared" si="5"/>
        <v>203001:150</v>
      </c>
    </row>
    <row r="364" spans="5:7">
      <c r="E364">
        <v>203001</v>
      </c>
      <c r="F364">
        <v>150</v>
      </c>
      <c r="G364" t="str">
        <f t="shared" si="5"/>
        <v>203001:150</v>
      </c>
    </row>
    <row r="365" spans="5:7">
      <c r="E365">
        <v>203001</v>
      </c>
      <c r="F365">
        <v>180</v>
      </c>
      <c r="G365" t="str">
        <f t="shared" si="5"/>
        <v>203001:180</v>
      </c>
    </row>
    <row r="366" spans="5:7">
      <c r="E366">
        <v>203001</v>
      </c>
      <c r="F366">
        <v>180</v>
      </c>
      <c r="G366" t="str">
        <f t="shared" si="5"/>
        <v>203001:180</v>
      </c>
    </row>
    <row r="367" spans="5:7">
      <c r="E367">
        <v>203001</v>
      </c>
      <c r="F367">
        <v>180</v>
      </c>
      <c r="G367" t="str">
        <f t="shared" si="5"/>
        <v>203001:180</v>
      </c>
    </row>
    <row r="368" spans="5:7">
      <c r="E368">
        <v>203001</v>
      </c>
      <c r="F368">
        <v>180</v>
      </c>
      <c r="G368" t="str">
        <f t="shared" si="5"/>
        <v>203001:180</v>
      </c>
    </row>
    <row r="369" spans="5:7">
      <c r="E369">
        <v>203001</v>
      </c>
      <c r="F369">
        <v>180</v>
      </c>
      <c r="G369" t="str">
        <f t="shared" si="5"/>
        <v>203001:180</v>
      </c>
    </row>
    <row r="370" spans="5:7">
      <c r="E370">
        <v>203001</v>
      </c>
      <c r="F370">
        <v>180</v>
      </c>
      <c r="G370" t="str">
        <f t="shared" si="5"/>
        <v>203001:180</v>
      </c>
    </row>
    <row r="371" spans="5:7">
      <c r="E371">
        <v>203001</v>
      </c>
      <c r="F371">
        <v>180</v>
      </c>
      <c r="G371" t="str">
        <f t="shared" si="5"/>
        <v>203001:180</v>
      </c>
    </row>
    <row r="372" spans="5:7">
      <c r="E372">
        <v>203001</v>
      </c>
      <c r="F372">
        <v>180</v>
      </c>
      <c r="G372" t="str">
        <f t="shared" si="5"/>
        <v>203001:180</v>
      </c>
    </row>
    <row r="373" spans="5:7">
      <c r="E373">
        <v>203001</v>
      </c>
      <c r="F373">
        <v>180</v>
      </c>
      <c r="G373" t="str">
        <f t="shared" si="5"/>
        <v>203001:180</v>
      </c>
    </row>
    <row r="374" spans="5:7">
      <c r="E374">
        <v>203001</v>
      </c>
      <c r="F374">
        <v>180</v>
      </c>
      <c r="G374" t="str">
        <f t="shared" si="5"/>
        <v>203001:180</v>
      </c>
    </row>
    <row r="375" spans="5:7">
      <c r="E375">
        <v>203001</v>
      </c>
      <c r="F375">
        <v>180</v>
      </c>
      <c r="G375" t="str">
        <f t="shared" si="5"/>
        <v>203001:180</v>
      </c>
    </row>
    <row r="376" spans="5:7">
      <c r="E376">
        <v>203001</v>
      </c>
      <c r="F376">
        <v>180</v>
      </c>
      <c r="G376" t="str">
        <f t="shared" si="5"/>
        <v>203001:180</v>
      </c>
    </row>
    <row r="377" spans="5:7">
      <c r="E377">
        <v>203001</v>
      </c>
      <c r="F377">
        <v>180</v>
      </c>
      <c r="G377" t="str">
        <f t="shared" si="5"/>
        <v>203001:180</v>
      </c>
    </row>
    <row r="378" spans="5:7">
      <c r="E378">
        <v>0</v>
      </c>
      <c r="G378">
        <f t="shared" si="5"/>
        <v>0</v>
      </c>
    </row>
    <row r="379" spans="5:7">
      <c r="E379">
        <v>204001</v>
      </c>
      <c r="F379">
        <v>20</v>
      </c>
      <c r="G379" t="str">
        <f t="shared" si="5"/>
        <v>204001:20</v>
      </c>
    </row>
    <row r="380" spans="5:7">
      <c r="E380">
        <v>204001</v>
      </c>
      <c r="F380">
        <v>20</v>
      </c>
      <c r="G380" t="str">
        <f t="shared" si="5"/>
        <v>204001:20</v>
      </c>
    </row>
    <row r="381" spans="5:7">
      <c r="E381">
        <v>204001</v>
      </c>
      <c r="F381">
        <v>20</v>
      </c>
      <c r="G381" t="str">
        <f t="shared" si="5"/>
        <v>204001:20</v>
      </c>
    </row>
    <row r="382" spans="5:7">
      <c r="E382">
        <v>204001</v>
      </c>
      <c r="F382">
        <v>20</v>
      </c>
      <c r="G382" t="str">
        <f t="shared" si="5"/>
        <v>204001:20</v>
      </c>
    </row>
    <row r="383" spans="5:7">
      <c r="E383">
        <v>204001</v>
      </c>
      <c r="F383">
        <v>20</v>
      </c>
      <c r="G383" t="str">
        <f t="shared" si="5"/>
        <v>204001:20</v>
      </c>
    </row>
    <row r="384" spans="5:7">
      <c r="E384">
        <v>204001</v>
      </c>
      <c r="F384">
        <v>20</v>
      </c>
      <c r="G384" t="str">
        <f t="shared" si="5"/>
        <v>204001:20</v>
      </c>
    </row>
    <row r="385" spans="5:7">
      <c r="E385">
        <v>204001</v>
      </c>
      <c r="F385">
        <v>20</v>
      </c>
      <c r="G385" t="str">
        <f t="shared" si="5"/>
        <v>204001:20</v>
      </c>
    </row>
    <row r="386" spans="5:7">
      <c r="E386">
        <v>204001</v>
      </c>
      <c r="F386">
        <v>40</v>
      </c>
      <c r="G386" t="str">
        <f t="shared" ref="G386:G449" si="6">IF(E386=0,0,E386&amp;":"&amp;F386)</f>
        <v>204001:40</v>
      </c>
    </row>
    <row r="387" spans="5:7">
      <c r="E387">
        <v>204001</v>
      </c>
      <c r="F387">
        <v>40</v>
      </c>
      <c r="G387" t="str">
        <f t="shared" si="6"/>
        <v>204001:40</v>
      </c>
    </row>
    <row r="388" spans="5:7">
      <c r="E388">
        <v>204001</v>
      </c>
      <c r="F388">
        <v>40</v>
      </c>
      <c r="G388" t="str">
        <f t="shared" si="6"/>
        <v>204001:40</v>
      </c>
    </row>
    <row r="389" spans="5:7">
      <c r="E389">
        <v>204001</v>
      </c>
      <c r="F389">
        <v>40</v>
      </c>
      <c r="G389" t="str">
        <f t="shared" si="6"/>
        <v>204001:40</v>
      </c>
    </row>
    <row r="390" spans="5:7">
      <c r="E390">
        <v>204001</v>
      </c>
      <c r="F390">
        <v>40</v>
      </c>
      <c r="G390" t="str">
        <f t="shared" si="6"/>
        <v>204001:40</v>
      </c>
    </row>
    <row r="391" spans="5:7">
      <c r="E391">
        <v>204001</v>
      </c>
      <c r="F391">
        <v>40</v>
      </c>
      <c r="G391" t="str">
        <f t="shared" si="6"/>
        <v>204001:40</v>
      </c>
    </row>
    <row r="392" spans="5:7">
      <c r="E392">
        <v>204001</v>
      </c>
      <c r="F392">
        <v>40</v>
      </c>
      <c r="G392" t="str">
        <f t="shared" si="6"/>
        <v>204001:40</v>
      </c>
    </row>
    <row r="393" spans="5:7">
      <c r="E393">
        <v>204001</v>
      </c>
      <c r="F393">
        <v>90</v>
      </c>
      <c r="G393" t="str">
        <f t="shared" si="6"/>
        <v>204001:90</v>
      </c>
    </row>
    <row r="394" spans="5:7">
      <c r="E394">
        <v>204001</v>
      </c>
      <c r="F394">
        <v>90</v>
      </c>
      <c r="G394" t="str">
        <f t="shared" si="6"/>
        <v>204001:90</v>
      </c>
    </row>
    <row r="395" spans="5:7">
      <c r="E395">
        <v>204001</v>
      </c>
      <c r="F395">
        <v>90</v>
      </c>
      <c r="G395" t="str">
        <f t="shared" si="6"/>
        <v>204001:90</v>
      </c>
    </row>
    <row r="396" spans="5:7">
      <c r="E396">
        <v>204001</v>
      </c>
      <c r="F396">
        <v>90</v>
      </c>
      <c r="G396" t="str">
        <f t="shared" si="6"/>
        <v>204001:90</v>
      </c>
    </row>
    <row r="397" spans="5:7">
      <c r="E397">
        <v>204001</v>
      </c>
      <c r="F397">
        <v>90</v>
      </c>
      <c r="G397" t="str">
        <f t="shared" si="6"/>
        <v>204001:90</v>
      </c>
    </row>
    <row r="398" spans="5:7">
      <c r="E398">
        <v>204001</v>
      </c>
      <c r="F398">
        <v>90</v>
      </c>
      <c r="G398" t="str">
        <f t="shared" si="6"/>
        <v>204001:90</v>
      </c>
    </row>
    <row r="399" spans="5:7">
      <c r="E399">
        <v>204001</v>
      </c>
      <c r="F399">
        <v>90</v>
      </c>
      <c r="G399" t="str">
        <f t="shared" si="6"/>
        <v>204001:90</v>
      </c>
    </row>
    <row r="400" spans="5:7">
      <c r="E400">
        <v>204001</v>
      </c>
      <c r="F400">
        <v>150</v>
      </c>
      <c r="G400" t="str">
        <f t="shared" si="6"/>
        <v>204001:150</v>
      </c>
    </row>
    <row r="401" spans="5:7">
      <c r="E401">
        <v>204001</v>
      </c>
      <c r="F401">
        <v>150</v>
      </c>
      <c r="G401" t="str">
        <f t="shared" si="6"/>
        <v>204001:150</v>
      </c>
    </row>
    <row r="402" spans="5:7">
      <c r="E402">
        <v>204001</v>
      </c>
      <c r="F402">
        <v>150</v>
      </c>
      <c r="G402" t="str">
        <f t="shared" si="6"/>
        <v>204001:150</v>
      </c>
    </row>
    <row r="403" spans="5:7">
      <c r="E403">
        <v>204001</v>
      </c>
      <c r="F403">
        <v>150</v>
      </c>
      <c r="G403" t="str">
        <f t="shared" si="6"/>
        <v>204001:150</v>
      </c>
    </row>
    <row r="404" spans="5:7">
      <c r="E404">
        <v>204001</v>
      </c>
      <c r="F404">
        <v>150</v>
      </c>
      <c r="G404" t="str">
        <f t="shared" si="6"/>
        <v>204001:150</v>
      </c>
    </row>
    <row r="405" spans="5:7">
      <c r="E405">
        <v>204001</v>
      </c>
      <c r="F405">
        <v>150</v>
      </c>
      <c r="G405" t="str">
        <f t="shared" si="6"/>
        <v>204001:150</v>
      </c>
    </row>
    <row r="406" spans="5:7">
      <c r="E406">
        <v>204001</v>
      </c>
      <c r="F406">
        <v>150</v>
      </c>
      <c r="G406" t="str">
        <f t="shared" si="6"/>
        <v>204001:150</v>
      </c>
    </row>
    <row r="407" spans="5:7">
      <c r="E407">
        <v>204001</v>
      </c>
      <c r="F407">
        <v>180</v>
      </c>
      <c r="G407" t="str">
        <f t="shared" si="6"/>
        <v>204001:180</v>
      </c>
    </row>
    <row r="408" spans="5:7">
      <c r="E408">
        <v>204001</v>
      </c>
      <c r="F408">
        <v>180</v>
      </c>
      <c r="G408" t="str">
        <f t="shared" si="6"/>
        <v>204001:180</v>
      </c>
    </row>
    <row r="409" spans="5:7">
      <c r="E409">
        <v>204001</v>
      </c>
      <c r="F409">
        <v>180</v>
      </c>
      <c r="G409" t="str">
        <f t="shared" si="6"/>
        <v>204001:180</v>
      </c>
    </row>
    <row r="410" spans="5:7">
      <c r="E410">
        <v>204001</v>
      </c>
      <c r="F410">
        <v>180</v>
      </c>
      <c r="G410" t="str">
        <f t="shared" si="6"/>
        <v>204001:180</v>
      </c>
    </row>
    <row r="411" spans="5:7">
      <c r="E411">
        <v>204001</v>
      </c>
      <c r="F411">
        <v>180</v>
      </c>
      <c r="G411" t="str">
        <f t="shared" si="6"/>
        <v>204001:180</v>
      </c>
    </row>
    <row r="412" spans="5:7">
      <c r="E412">
        <v>204001</v>
      </c>
      <c r="F412">
        <v>180</v>
      </c>
      <c r="G412" t="str">
        <f t="shared" si="6"/>
        <v>204001:180</v>
      </c>
    </row>
    <row r="413" spans="5:7">
      <c r="E413">
        <v>204001</v>
      </c>
      <c r="F413">
        <v>180</v>
      </c>
      <c r="G413" t="str">
        <f t="shared" si="6"/>
        <v>204001:180</v>
      </c>
    </row>
    <row r="414" spans="5:7">
      <c r="E414">
        <v>204001</v>
      </c>
      <c r="F414">
        <v>180</v>
      </c>
      <c r="G414" t="str">
        <f t="shared" si="6"/>
        <v>204001:180</v>
      </c>
    </row>
    <row r="415" spans="5:7">
      <c r="E415">
        <v>204001</v>
      </c>
      <c r="F415">
        <v>180</v>
      </c>
      <c r="G415" t="str">
        <f t="shared" si="6"/>
        <v>204001:180</v>
      </c>
    </row>
    <row r="416" spans="5:7">
      <c r="E416">
        <v>204001</v>
      </c>
      <c r="F416">
        <v>180</v>
      </c>
      <c r="G416" t="str">
        <f t="shared" si="6"/>
        <v>204001:180</v>
      </c>
    </row>
    <row r="417" spans="5:7">
      <c r="E417">
        <v>204001</v>
      </c>
      <c r="F417">
        <v>180</v>
      </c>
      <c r="G417" t="str">
        <f t="shared" si="6"/>
        <v>204001:180</v>
      </c>
    </row>
    <row r="418" spans="5:7">
      <c r="E418">
        <v>204001</v>
      </c>
      <c r="F418">
        <v>180</v>
      </c>
      <c r="G418" t="str">
        <f t="shared" si="6"/>
        <v>204001:180</v>
      </c>
    </row>
    <row r="419" spans="5:7">
      <c r="E419">
        <v>204001</v>
      </c>
      <c r="F419">
        <v>180</v>
      </c>
      <c r="G419" t="str">
        <f t="shared" si="6"/>
        <v>204001:180</v>
      </c>
    </row>
    <row r="420" spans="5:7">
      <c r="E420">
        <v>0</v>
      </c>
      <c r="G420">
        <f t="shared" si="6"/>
        <v>0</v>
      </c>
    </row>
    <row r="421" spans="5:7">
      <c r="E421">
        <v>205001</v>
      </c>
      <c r="F421">
        <v>20</v>
      </c>
      <c r="G421" t="str">
        <f t="shared" si="6"/>
        <v>205001:20</v>
      </c>
    </row>
    <row r="422" spans="5:7">
      <c r="E422">
        <v>205001</v>
      </c>
      <c r="F422">
        <v>20</v>
      </c>
      <c r="G422" t="str">
        <f t="shared" si="6"/>
        <v>205001:20</v>
      </c>
    </row>
    <row r="423" spans="5:7">
      <c r="E423">
        <v>205001</v>
      </c>
      <c r="F423">
        <v>20</v>
      </c>
      <c r="G423" t="str">
        <f t="shared" si="6"/>
        <v>205001:20</v>
      </c>
    </row>
    <row r="424" spans="5:7">
      <c r="E424">
        <v>205001</v>
      </c>
      <c r="F424">
        <v>20</v>
      </c>
      <c r="G424" t="str">
        <f t="shared" si="6"/>
        <v>205001:20</v>
      </c>
    </row>
    <row r="425" spans="5:7">
      <c r="E425">
        <v>205001</v>
      </c>
      <c r="F425">
        <v>20</v>
      </c>
      <c r="G425" t="str">
        <f t="shared" si="6"/>
        <v>205001:20</v>
      </c>
    </row>
    <row r="426" spans="5:7">
      <c r="E426">
        <v>205001</v>
      </c>
      <c r="F426">
        <v>20</v>
      </c>
      <c r="G426" t="str">
        <f t="shared" si="6"/>
        <v>205001:20</v>
      </c>
    </row>
    <row r="427" spans="5:7">
      <c r="E427">
        <v>205001</v>
      </c>
      <c r="F427">
        <v>20</v>
      </c>
      <c r="G427" t="str">
        <f t="shared" si="6"/>
        <v>205001:20</v>
      </c>
    </row>
    <row r="428" spans="5:7">
      <c r="E428">
        <v>205001</v>
      </c>
      <c r="F428">
        <v>40</v>
      </c>
      <c r="G428" t="str">
        <f t="shared" si="6"/>
        <v>205001:40</v>
      </c>
    </row>
    <row r="429" spans="5:7">
      <c r="E429">
        <v>205001</v>
      </c>
      <c r="F429">
        <v>40</v>
      </c>
      <c r="G429" t="str">
        <f t="shared" si="6"/>
        <v>205001:40</v>
      </c>
    </row>
    <row r="430" spans="5:7">
      <c r="E430">
        <v>205001</v>
      </c>
      <c r="F430">
        <v>40</v>
      </c>
      <c r="G430" t="str">
        <f t="shared" si="6"/>
        <v>205001:40</v>
      </c>
    </row>
    <row r="431" spans="5:7">
      <c r="E431">
        <v>205001</v>
      </c>
      <c r="F431">
        <v>40</v>
      </c>
      <c r="G431" t="str">
        <f t="shared" si="6"/>
        <v>205001:40</v>
      </c>
    </row>
    <row r="432" spans="5:7">
      <c r="E432">
        <v>205001</v>
      </c>
      <c r="F432">
        <v>40</v>
      </c>
      <c r="G432" t="str">
        <f t="shared" si="6"/>
        <v>205001:40</v>
      </c>
    </row>
    <row r="433" spans="5:7">
      <c r="E433">
        <v>205001</v>
      </c>
      <c r="F433">
        <v>40</v>
      </c>
      <c r="G433" t="str">
        <f t="shared" si="6"/>
        <v>205001:40</v>
      </c>
    </row>
    <row r="434" spans="5:7">
      <c r="E434">
        <v>205001</v>
      </c>
      <c r="F434">
        <v>40</v>
      </c>
      <c r="G434" t="str">
        <f t="shared" si="6"/>
        <v>205001:40</v>
      </c>
    </row>
    <row r="435" spans="5:7">
      <c r="E435">
        <v>205001</v>
      </c>
      <c r="F435">
        <v>90</v>
      </c>
      <c r="G435" t="str">
        <f t="shared" si="6"/>
        <v>205001:90</v>
      </c>
    </row>
    <row r="436" spans="5:7">
      <c r="E436">
        <v>205001</v>
      </c>
      <c r="F436">
        <v>90</v>
      </c>
      <c r="G436" t="str">
        <f t="shared" si="6"/>
        <v>205001:90</v>
      </c>
    </row>
    <row r="437" spans="5:7">
      <c r="E437">
        <v>205001</v>
      </c>
      <c r="F437">
        <v>90</v>
      </c>
      <c r="G437" t="str">
        <f t="shared" si="6"/>
        <v>205001:90</v>
      </c>
    </row>
    <row r="438" spans="5:7">
      <c r="E438">
        <v>205001</v>
      </c>
      <c r="F438">
        <v>90</v>
      </c>
      <c r="G438" t="str">
        <f t="shared" si="6"/>
        <v>205001:90</v>
      </c>
    </row>
    <row r="439" spans="5:7">
      <c r="E439">
        <v>205001</v>
      </c>
      <c r="F439">
        <v>90</v>
      </c>
      <c r="G439" t="str">
        <f t="shared" si="6"/>
        <v>205001:90</v>
      </c>
    </row>
    <row r="440" spans="5:7">
      <c r="E440">
        <v>205001</v>
      </c>
      <c r="F440">
        <v>90</v>
      </c>
      <c r="G440" t="str">
        <f t="shared" si="6"/>
        <v>205001:90</v>
      </c>
    </row>
    <row r="441" spans="5:7">
      <c r="E441">
        <v>205001</v>
      </c>
      <c r="F441">
        <v>90</v>
      </c>
      <c r="G441" t="str">
        <f t="shared" si="6"/>
        <v>205001:90</v>
      </c>
    </row>
    <row r="442" spans="5:7">
      <c r="E442">
        <v>205001</v>
      </c>
      <c r="F442">
        <v>150</v>
      </c>
      <c r="G442" t="str">
        <f t="shared" si="6"/>
        <v>205001:150</v>
      </c>
    </row>
    <row r="443" spans="5:7">
      <c r="E443">
        <v>205001</v>
      </c>
      <c r="F443">
        <v>150</v>
      </c>
      <c r="G443" t="str">
        <f t="shared" si="6"/>
        <v>205001:150</v>
      </c>
    </row>
    <row r="444" spans="5:7">
      <c r="E444">
        <v>205001</v>
      </c>
      <c r="F444">
        <v>150</v>
      </c>
      <c r="G444" t="str">
        <f t="shared" si="6"/>
        <v>205001:150</v>
      </c>
    </row>
    <row r="445" spans="5:7">
      <c r="E445">
        <v>205001</v>
      </c>
      <c r="F445">
        <v>150</v>
      </c>
      <c r="G445" t="str">
        <f t="shared" si="6"/>
        <v>205001:150</v>
      </c>
    </row>
    <row r="446" spans="5:7">
      <c r="E446">
        <v>205001</v>
      </c>
      <c r="F446">
        <v>150</v>
      </c>
      <c r="G446" t="str">
        <f t="shared" si="6"/>
        <v>205001:150</v>
      </c>
    </row>
    <row r="447" spans="5:7">
      <c r="E447">
        <v>205001</v>
      </c>
      <c r="F447">
        <v>150</v>
      </c>
      <c r="G447" t="str">
        <f t="shared" si="6"/>
        <v>205001:150</v>
      </c>
    </row>
    <row r="448" spans="5:7">
      <c r="E448">
        <v>205001</v>
      </c>
      <c r="F448">
        <v>150</v>
      </c>
      <c r="G448" t="str">
        <f t="shared" si="6"/>
        <v>205001:150</v>
      </c>
    </row>
    <row r="449" spans="5:7">
      <c r="E449">
        <v>205001</v>
      </c>
      <c r="F449">
        <v>180</v>
      </c>
      <c r="G449" t="str">
        <f t="shared" si="6"/>
        <v>205001:180</v>
      </c>
    </row>
    <row r="450" spans="5:7">
      <c r="E450">
        <v>205001</v>
      </c>
      <c r="F450">
        <v>180</v>
      </c>
      <c r="G450" t="str">
        <f t="shared" ref="G450:G513" si="7">IF(E450=0,0,E450&amp;":"&amp;F450)</f>
        <v>205001:180</v>
      </c>
    </row>
    <row r="451" spans="5:7">
      <c r="E451">
        <v>205001</v>
      </c>
      <c r="F451">
        <v>180</v>
      </c>
      <c r="G451" t="str">
        <f t="shared" si="7"/>
        <v>205001:180</v>
      </c>
    </row>
    <row r="452" spans="5:7">
      <c r="E452">
        <v>205001</v>
      </c>
      <c r="F452">
        <v>180</v>
      </c>
      <c r="G452" t="str">
        <f t="shared" si="7"/>
        <v>205001:180</v>
      </c>
    </row>
    <row r="453" spans="5:7">
      <c r="E453">
        <v>205001</v>
      </c>
      <c r="F453">
        <v>180</v>
      </c>
      <c r="G453" t="str">
        <f t="shared" si="7"/>
        <v>205001:180</v>
      </c>
    </row>
    <row r="454" spans="5:7">
      <c r="E454">
        <v>205001</v>
      </c>
      <c r="F454">
        <v>180</v>
      </c>
      <c r="G454" t="str">
        <f t="shared" si="7"/>
        <v>205001:180</v>
      </c>
    </row>
    <row r="455" spans="5:7">
      <c r="E455">
        <v>205001</v>
      </c>
      <c r="F455">
        <v>180</v>
      </c>
      <c r="G455" t="str">
        <f t="shared" si="7"/>
        <v>205001:180</v>
      </c>
    </row>
    <row r="456" spans="5:7">
      <c r="E456">
        <v>205001</v>
      </c>
      <c r="F456">
        <v>180</v>
      </c>
      <c r="G456" t="str">
        <f t="shared" si="7"/>
        <v>205001:180</v>
      </c>
    </row>
    <row r="457" spans="5:7">
      <c r="E457">
        <v>205001</v>
      </c>
      <c r="F457">
        <v>180</v>
      </c>
      <c r="G457" t="str">
        <f t="shared" si="7"/>
        <v>205001:180</v>
      </c>
    </row>
    <row r="458" spans="5:7">
      <c r="E458">
        <v>205001</v>
      </c>
      <c r="F458">
        <v>180</v>
      </c>
      <c r="G458" t="str">
        <f t="shared" si="7"/>
        <v>205001:180</v>
      </c>
    </row>
    <row r="459" spans="5:7">
      <c r="E459">
        <v>205001</v>
      </c>
      <c r="F459">
        <v>180</v>
      </c>
      <c r="G459" t="str">
        <f t="shared" si="7"/>
        <v>205001:180</v>
      </c>
    </row>
    <row r="460" spans="5:7">
      <c r="E460">
        <v>205001</v>
      </c>
      <c r="F460">
        <v>180</v>
      </c>
      <c r="G460" t="str">
        <f t="shared" si="7"/>
        <v>205001:180</v>
      </c>
    </row>
    <row r="461" spans="5:7">
      <c r="E461">
        <v>205001</v>
      </c>
      <c r="F461">
        <v>180</v>
      </c>
      <c r="G461" t="str">
        <f t="shared" si="7"/>
        <v>205001:180</v>
      </c>
    </row>
    <row r="462" spans="5:7">
      <c r="E462">
        <v>0</v>
      </c>
      <c r="G462">
        <f t="shared" si="7"/>
        <v>0</v>
      </c>
    </row>
    <row r="463" spans="5:7">
      <c r="E463">
        <v>206001</v>
      </c>
      <c r="F463">
        <v>20</v>
      </c>
      <c r="G463" t="str">
        <f t="shared" si="7"/>
        <v>206001:20</v>
      </c>
    </row>
    <row r="464" spans="5:7">
      <c r="E464">
        <v>206001</v>
      </c>
      <c r="F464">
        <v>20</v>
      </c>
      <c r="G464" t="str">
        <f t="shared" si="7"/>
        <v>206001:20</v>
      </c>
    </row>
    <row r="465" spans="5:7">
      <c r="E465">
        <v>206001</v>
      </c>
      <c r="F465">
        <v>20</v>
      </c>
      <c r="G465" t="str">
        <f t="shared" si="7"/>
        <v>206001:20</v>
      </c>
    </row>
    <row r="466" spans="5:7">
      <c r="E466">
        <v>206001</v>
      </c>
      <c r="F466">
        <v>20</v>
      </c>
      <c r="G466" t="str">
        <f t="shared" si="7"/>
        <v>206001:20</v>
      </c>
    </row>
    <row r="467" spans="5:7">
      <c r="E467">
        <v>206001</v>
      </c>
      <c r="F467">
        <v>20</v>
      </c>
      <c r="G467" t="str">
        <f t="shared" si="7"/>
        <v>206001:20</v>
      </c>
    </row>
    <row r="468" spans="5:7">
      <c r="E468">
        <v>206001</v>
      </c>
      <c r="F468">
        <v>20</v>
      </c>
      <c r="G468" t="str">
        <f t="shared" si="7"/>
        <v>206001:20</v>
      </c>
    </row>
    <row r="469" spans="5:7">
      <c r="E469">
        <v>206001</v>
      </c>
      <c r="F469">
        <v>20</v>
      </c>
      <c r="G469" t="str">
        <f t="shared" si="7"/>
        <v>206001:20</v>
      </c>
    </row>
    <row r="470" spans="5:7">
      <c r="E470">
        <v>206001</v>
      </c>
      <c r="F470">
        <v>40</v>
      </c>
      <c r="G470" t="str">
        <f t="shared" si="7"/>
        <v>206001:40</v>
      </c>
    </row>
    <row r="471" spans="5:7">
      <c r="E471">
        <v>206001</v>
      </c>
      <c r="F471">
        <v>40</v>
      </c>
      <c r="G471" t="str">
        <f t="shared" si="7"/>
        <v>206001:40</v>
      </c>
    </row>
    <row r="472" spans="5:7">
      <c r="E472">
        <v>206001</v>
      </c>
      <c r="F472">
        <v>40</v>
      </c>
      <c r="G472" t="str">
        <f t="shared" si="7"/>
        <v>206001:40</v>
      </c>
    </row>
    <row r="473" spans="5:7">
      <c r="E473">
        <v>206001</v>
      </c>
      <c r="F473">
        <v>40</v>
      </c>
      <c r="G473" t="str">
        <f t="shared" si="7"/>
        <v>206001:40</v>
      </c>
    </row>
    <row r="474" spans="5:7">
      <c r="E474">
        <v>206001</v>
      </c>
      <c r="F474">
        <v>40</v>
      </c>
      <c r="G474" t="str">
        <f t="shared" si="7"/>
        <v>206001:40</v>
      </c>
    </row>
    <row r="475" spans="5:7">
      <c r="E475">
        <v>206001</v>
      </c>
      <c r="F475">
        <v>40</v>
      </c>
      <c r="G475" t="str">
        <f t="shared" si="7"/>
        <v>206001:40</v>
      </c>
    </row>
    <row r="476" spans="5:7">
      <c r="E476">
        <v>206001</v>
      </c>
      <c r="F476">
        <v>40</v>
      </c>
      <c r="G476" t="str">
        <f t="shared" si="7"/>
        <v>206001:40</v>
      </c>
    </row>
    <row r="477" spans="5:7">
      <c r="E477">
        <v>206001</v>
      </c>
      <c r="F477">
        <v>90</v>
      </c>
      <c r="G477" t="str">
        <f t="shared" si="7"/>
        <v>206001:90</v>
      </c>
    </row>
    <row r="478" spans="5:7">
      <c r="E478">
        <v>206001</v>
      </c>
      <c r="F478">
        <v>90</v>
      </c>
      <c r="G478" t="str">
        <f t="shared" si="7"/>
        <v>206001:90</v>
      </c>
    </row>
    <row r="479" spans="5:7">
      <c r="E479">
        <v>206001</v>
      </c>
      <c r="F479">
        <v>90</v>
      </c>
      <c r="G479" t="str">
        <f t="shared" si="7"/>
        <v>206001:90</v>
      </c>
    </row>
    <row r="480" spans="5:7">
      <c r="E480">
        <v>206001</v>
      </c>
      <c r="F480">
        <v>90</v>
      </c>
      <c r="G480" t="str">
        <f t="shared" si="7"/>
        <v>206001:90</v>
      </c>
    </row>
    <row r="481" spans="5:7">
      <c r="E481">
        <v>206001</v>
      </c>
      <c r="F481">
        <v>90</v>
      </c>
      <c r="G481" t="str">
        <f t="shared" si="7"/>
        <v>206001:90</v>
      </c>
    </row>
    <row r="482" spans="5:7">
      <c r="E482">
        <v>206001</v>
      </c>
      <c r="F482">
        <v>90</v>
      </c>
      <c r="G482" t="str">
        <f t="shared" si="7"/>
        <v>206001:90</v>
      </c>
    </row>
    <row r="483" spans="5:7">
      <c r="E483">
        <v>206001</v>
      </c>
      <c r="F483">
        <v>90</v>
      </c>
      <c r="G483" t="str">
        <f t="shared" si="7"/>
        <v>206001:90</v>
      </c>
    </row>
    <row r="484" spans="5:7">
      <c r="E484">
        <v>206001</v>
      </c>
      <c r="F484">
        <v>150</v>
      </c>
      <c r="G484" t="str">
        <f t="shared" si="7"/>
        <v>206001:150</v>
      </c>
    </row>
    <row r="485" spans="5:7">
      <c r="E485">
        <v>206001</v>
      </c>
      <c r="F485">
        <v>150</v>
      </c>
      <c r="G485" t="str">
        <f t="shared" si="7"/>
        <v>206001:150</v>
      </c>
    </row>
    <row r="486" spans="5:7">
      <c r="E486">
        <v>206001</v>
      </c>
      <c r="F486">
        <v>150</v>
      </c>
      <c r="G486" t="str">
        <f t="shared" si="7"/>
        <v>206001:150</v>
      </c>
    </row>
    <row r="487" spans="5:7">
      <c r="E487">
        <v>206001</v>
      </c>
      <c r="F487">
        <v>150</v>
      </c>
      <c r="G487" t="str">
        <f t="shared" si="7"/>
        <v>206001:150</v>
      </c>
    </row>
    <row r="488" spans="5:7">
      <c r="E488">
        <v>206001</v>
      </c>
      <c r="F488">
        <v>150</v>
      </c>
      <c r="G488" t="str">
        <f t="shared" si="7"/>
        <v>206001:150</v>
      </c>
    </row>
    <row r="489" spans="5:7">
      <c r="E489">
        <v>206001</v>
      </c>
      <c r="F489">
        <v>150</v>
      </c>
      <c r="G489" t="str">
        <f t="shared" si="7"/>
        <v>206001:150</v>
      </c>
    </row>
    <row r="490" spans="5:7">
      <c r="E490">
        <v>206001</v>
      </c>
      <c r="F490">
        <v>150</v>
      </c>
      <c r="G490" t="str">
        <f t="shared" si="7"/>
        <v>206001:150</v>
      </c>
    </row>
    <row r="491" spans="5:7">
      <c r="E491">
        <v>206001</v>
      </c>
      <c r="F491">
        <v>180</v>
      </c>
      <c r="G491" t="str">
        <f t="shared" si="7"/>
        <v>206001:180</v>
      </c>
    </row>
    <row r="492" spans="5:7">
      <c r="E492">
        <v>206001</v>
      </c>
      <c r="F492">
        <v>180</v>
      </c>
      <c r="G492" t="str">
        <f t="shared" si="7"/>
        <v>206001:180</v>
      </c>
    </row>
    <row r="493" spans="5:7">
      <c r="E493">
        <v>206001</v>
      </c>
      <c r="F493">
        <v>180</v>
      </c>
      <c r="G493" t="str">
        <f t="shared" si="7"/>
        <v>206001:180</v>
      </c>
    </row>
    <row r="494" spans="5:7">
      <c r="E494">
        <v>206001</v>
      </c>
      <c r="F494">
        <v>180</v>
      </c>
      <c r="G494" t="str">
        <f t="shared" si="7"/>
        <v>206001:180</v>
      </c>
    </row>
    <row r="495" spans="5:7">
      <c r="E495">
        <v>206001</v>
      </c>
      <c r="F495">
        <v>180</v>
      </c>
      <c r="G495" t="str">
        <f t="shared" si="7"/>
        <v>206001:180</v>
      </c>
    </row>
    <row r="496" spans="5:7">
      <c r="E496">
        <v>206001</v>
      </c>
      <c r="F496">
        <v>180</v>
      </c>
      <c r="G496" t="str">
        <f t="shared" si="7"/>
        <v>206001:180</v>
      </c>
    </row>
    <row r="497" spans="5:7">
      <c r="E497">
        <v>206001</v>
      </c>
      <c r="F497">
        <v>180</v>
      </c>
      <c r="G497" t="str">
        <f t="shared" si="7"/>
        <v>206001:180</v>
      </c>
    </row>
    <row r="498" spans="5:7">
      <c r="E498">
        <v>206001</v>
      </c>
      <c r="F498">
        <v>180</v>
      </c>
      <c r="G498" t="str">
        <f t="shared" si="7"/>
        <v>206001:180</v>
      </c>
    </row>
    <row r="499" spans="5:7">
      <c r="E499">
        <v>206001</v>
      </c>
      <c r="F499">
        <v>180</v>
      </c>
      <c r="G499" t="str">
        <f t="shared" si="7"/>
        <v>206001:180</v>
      </c>
    </row>
    <row r="500" spans="5:7">
      <c r="E500">
        <v>206001</v>
      </c>
      <c r="F500">
        <v>180</v>
      </c>
      <c r="G500" t="str">
        <f t="shared" si="7"/>
        <v>206001:180</v>
      </c>
    </row>
    <row r="501" spans="5:7">
      <c r="E501">
        <v>206001</v>
      </c>
      <c r="F501">
        <v>180</v>
      </c>
      <c r="G501" t="str">
        <f t="shared" si="7"/>
        <v>206001:180</v>
      </c>
    </row>
    <row r="502" spans="5:7">
      <c r="E502">
        <v>206001</v>
      </c>
      <c r="F502">
        <v>180</v>
      </c>
      <c r="G502" t="str">
        <f t="shared" si="7"/>
        <v>206001:180</v>
      </c>
    </row>
    <row r="503" spans="5:7">
      <c r="E503">
        <v>206001</v>
      </c>
      <c r="F503">
        <v>180</v>
      </c>
      <c r="G503" t="str">
        <f t="shared" si="7"/>
        <v>206001:180</v>
      </c>
    </row>
    <row r="504" spans="5:7">
      <c r="E504">
        <v>0</v>
      </c>
      <c r="G504">
        <f t="shared" si="7"/>
        <v>0</v>
      </c>
    </row>
    <row r="505" spans="5:7">
      <c r="E505">
        <v>208001</v>
      </c>
      <c r="F505">
        <v>20</v>
      </c>
      <c r="G505" t="str">
        <f t="shared" si="7"/>
        <v>208001:20</v>
      </c>
    </row>
    <row r="506" spans="5:7">
      <c r="E506">
        <v>208001</v>
      </c>
      <c r="F506">
        <v>20</v>
      </c>
      <c r="G506" t="str">
        <f t="shared" si="7"/>
        <v>208001:20</v>
      </c>
    </row>
    <row r="507" spans="5:7">
      <c r="E507">
        <v>208001</v>
      </c>
      <c r="F507">
        <v>20</v>
      </c>
      <c r="G507" t="str">
        <f t="shared" si="7"/>
        <v>208001:20</v>
      </c>
    </row>
    <row r="508" spans="5:7">
      <c r="E508">
        <v>208001</v>
      </c>
      <c r="F508">
        <v>20</v>
      </c>
      <c r="G508" t="str">
        <f t="shared" si="7"/>
        <v>208001:20</v>
      </c>
    </row>
    <row r="509" spans="5:7">
      <c r="E509">
        <v>208001</v>
      </c>
      <c r="F509">
        <v>20</v>
      </c>
      <c r="G509" t="str">
        <f t="shared" si="7"/>
        <v>208001:20</v>
      </c>
    </row>
    <row r="510" spans="5:7">
      <c r="E510">
        <v>208001</v>
      </c>
      <c r="F510">
        <v>20</v>
      </c>
      <c r="G510" t="str">
        <f t="shared" si="7"/>
        <v>208001:20</v>
      </c>
    </row>
    <row r="511" spans="5:7">
      <c r="E511">
        <v>208001</v>
      </c>
      <c r="F511">
        <v>20</v>
      </c>
      <c r="G511" t="str">
        <f t="shared" si="7"/>
        <v>208001:20</v>
      </c>
    </row>
    <row r="512" spans="5:7">
      <c r="E512">
        <v>208001</v>
      </c>
      <c r="F512">
        <v>40</v>
      </c>
      <c r="G512" t="str">
        <f t="shared" si="7"/>
        <v>208001:40</v>
      </c>
    </row>
    <row r="513" spans="5:7">
      <c r="E513">
        <v>208001</v>
      </c>
      <c r="F513">
        <v>40</v>
      </c>
      <c r="G513" t="str">
        <f t="shared" si="7"/>
        <v>208001:40</v>
      </c>
    </row>
    <row r="514" spans="5:7">
      <c r="E514">
        <v>208001</v>
      </c>
      <c r="F514">
        <v>40</v>
      </c>
      <c r="G514" t="str">
        <f t="shared" ref="G514:G577" si="8">IF(E514=0,0,E514&amp;":"&amp;F514)</f>
        <v>208001:40</v>
      </c>
    </row>
    <row r="515" spans="5:7">
      <c r="E515">
        <v>208001</v>
      </c>
      <c r="F515">
        <v>40</v>
      </c>
      <c r="G515" t="str">
        <f t="shared" si="8"/>
        <v>208001:40</v>
      </c>
    </row>
    <row r="516" spans="5:7">
      <c r="E516">
        <v>208001</v>
      </c>
      <c r="F516">
        <v>40</v>
      </c>
      <c r="G516" t="str">
        <f t="shared" si="8"/>
        <v>208001:40</v>
      </c>
    </row>
    <row r="517" spans="5:7">
      <c r="E517">
        <v>208001</v>
      </c>
      <c r="F517">
        <v>40</v>
      </c>
      <c r="G517" t="str">
        <f t="shared" si="8"/>
        <v>208001:40</v>
      </c>
    </row>
    <row r="518" spans="5:7">
      <c r="E518">
        <v>208001</v>
      </c>
      <c r="F518">
        <v>40</v>
      </c>
      <c r="G518" t="str">
        <f t="shared" si="8"/>
        <v>208001:40</v>
      </c>
    </row>
    <row r="519" spans="5:7">
      <c r="E519">
        <v>208001</v>
      </c>
      <c r="F519">
        <v>90</v>
      </c>
      <c r="G519" t="str">
        <f t="shared" si="8"/>
        <v>208001:90</v>
      </c>
    </row>
    <row r="520" spans="5:7">
      <c r="E520">
        <v>208001</v>
      </c>
      <c r="F520">
        <v>90</v>
      </c>
      <c r="G520" t="str">
        <f t="shared" si="8"/>
        <v>208001:90</v>
      </c>
    </row>
    <row r="521" spans="5:7">
      <c r="E521">
        <v>208001</v>
      </c>
      <c r="F521">
        <v>90</v>
      </c>
      <c r="G521" t="str">
        <f t="shared" si="8"/>
        <v>208001:90</v>
      </c>
    </row>
    <row r="522" spans="5:7">
      <c r="E522">
        <v>208001</v>
      </c>
      <c r="F522">
        <v>90</v>
      </c>
      <c r="G522" t="str">
        <f t="shared" si="8"/>
        <v>208001:90</v>
      </c>
    </row>
    <row r="523" spans="5:7">
      <c r="E523">
        <v>208001</v>
      </c>
      <c r="F523">
        <v>90</v>
      </c>
      <c r="G523" t="str">
        <f t="shared" si="8"/>
        <v>208001:90</v>
      </c>
    </row>
    <row r="524" spans="5:7">
      <c r="E524">
        <v>208001</v>
      </c>
      <c r="F524">
        <v>90</v>
      </c>
      <c r="G524" t="str">
        <f t="shared" si="8"/>
        <v>208001:90</v>
      </c>
    </row>
    <row r="525" spans="5:7">
      <c r="E525">
        <v>208001</v>
      </c>
      <c r="F525">
        <v>90</v>
      </c>
      <c r="G525" t="str">
        <f t="shared" si="8"/>
        <v>208001:90</v>
      </c>
    </row>
    <row r="526" spans="5:7">
      <c r="E526">
        <v>208001</v>
      </c>
      <c r="F526">
        <v>150</v>
      </c>
      <c r="G526" t="str">
        <f t="shared" si="8"/>
        <v>208001:150</v>
      </c>
    </row>
    <row r="527" spans="5:7">
      <c r="E527">
        <v>208001</v>
      </c>
      <c r="F527">
        <v>150</v>
      </c>
      <c r="G527" t="str">
        <f t="shared" si="8"/>
        <v>208001:150</v>
      </c>
    </row>
    <row r="528" spans="5:7">
      <c r="E528">
        <v>208001</v>
      </c>
      <c r="F528">
        <v>150</v>
      </c>
      <c r="G528" t="str">
        <f t="shared" si="8"/>
        <v>208001:150</v>
      </c>
    </row>
    <row r="529" spans="5:7">
      <c r="E529">
        <v>208001</v>
      </c>
      <c r="F529">
        <v>150</v>
      </c>
      <c r="G529" t="str">
        <f t="shared" si="8"/>
        <v>208001:150</v>
      </c>
    </row>
    <row r="530" spans="5:7">
      <c r="E530">
        <v>208001</v>
      </c>
      <c r="F530">
        <v>150</v>
      </c>
      <c r="G530" t="str">
        <f t="shared" si="8"/>
        <v>208001:150</v>
      </c>
    </row>
    <row r="531" spans="5:7">
      <c r="E531">
        <v>208001</v>
      </c>
      <c r="F531">
        <v>150</v>
      </c>
      <c r="G531" t="str">
        <f t="shared" si="8"/>
        <v>208001:150</v>
      </c>
    </row>
    <row r="532" spans="5:7">
      <c r="E532">
        <v>208001</v>
      </c>
      <c r="F532">
        <v>150</v>
      </c>
      <c r="G532" t="str">
        <f t="shared" si="8"/>
        <v>208001:150</v>
      </c>
    </row>
    <row r="533" spans="5:7">
      <c r="E533">
        <v>208001</v>
      </c>
      <c r="F533">
        <v>180</v>
      </c>
      <c r="G533" t="str">
        <f t="shared" si="8"/>
        <v>208001:180</v>
      </c>
    </row>
    <row r="534" spans="5:7">
      <c r="E534">
        <v>208001</v>
      </c>
      <c r="F534">
        <v>180</v>
      </c>
      <c r="G534" t="str">
        <f t="shared" si="8"/>
        <v>208001:180</v>
      </c>
    </row>
    <row r="535" spans="5:7">
      <c r="E535">
        <v>208001</v>
      </c>
      <c r="F535">
        <v>180</v>
      </c>
      <c r="G535" t="str">
        <f t="shared" si="8"/>
        <v>208001:180</v>
      </c>
    </row>
    <row r="536" spans="5:7">
      <c r="E536">
        <v>208001</v>
      </c>
      <c r="F536">
        <v>180</v>
      </c>
      <c r="G536" t="str">
        <f t="shared" si="8"/>
        <v>208001:180</v>
      </c>
    </row>
    <row r="537" spans="5:7">
      <c r="E537">
        <v>208001</v>
      </c>
      <c r="F537">
        <v>180</v>
      </c>
      <c r="G537" t="str">
        <f t="shared" si="8"/>
        <v>208001:180</v>
      </c>
    </row>
    <row r="538" spans="5:7">
      <c r="E538">
        <v>208001</v>
      </c>
      <c r="F538">
        <v>180</v>
      </c>
      <c r="G538" t="str">
        <f t="shared" si="8"/>
        <v>208001:180</v>
      </c>
    </row>
    <row r="539" spans="5:7">
      <c r="E539">
        <v>208001</v>
      </c>
      <c r="F539">
        <v>180</v>
      </c>
      <c r="G539" t="str">
        <f t="shared" si="8"/>
        <v>208001:180</v>
      </c>
    </row>
    <row r="540" spans="5:7">
      <c r="E540">
        <v>208001</v>
      </c>
      <c r="F540">
        <v>180</v>
      </c>
      <c r="G540" t="str">
        <f t="shared" si="8"/>
        <v>208001:180</v>
      </c>
    </row>
    <row r="541" spans="5:7">
      <c r="E541">
        <v>208001</v>
      </c>
      <c r="F541">
        <v>180</v>
      </c>
      <c r="G541" t="str">
        <f t="shared" si="8"/>
        <v>208001:180</v>
      </c>
    </row>
    <row r="542" spans="5:7">
      <c r="E542">
        <v>208001</v>
      </c>
      <c r="F542">
        <v>180</v>
      </c>
      <c r="G542" t="str">
        <f t="shared" si="8"/>
        <v>208001:180</v>
      </c>
    </row>
    <row r="543" spans="5:7">
      <c r="E543">
        <v>208001</v>
      </c>
      <c r="F543">
        <v>180</v>
      </c>
      <c r="G543" t="str">
        <f t="shared" si="8"/>
        <v>208001:180</v>
      </c>
    </row>
    <row r="544" spans="5:7">
      <c r="E544">
        <v>208001</v>
      </c>
      <c r="F544">
        <v>180</v>
      </c>
      <c r="G544" t="str">
        <f t="shared" si="8"/>
        <v>208001:180</v>
      </c>
    </row>
    <row r="545" spans="5:7">
      <c r="E545">
        <v>208001</v>
      </c>
      <c r="F545">
        <v>180</v>
      </c>
      <c r="G545" t="str">
        <f t="shared" si="8"/>
        <v>208001:180</v>
      </c>
    </row>
    <row r="546" spans="5:7">
      <c r="E546">
        <v>0</v>
      </c>
      <c r="G546">
        <f t="shared" si="8"/>
        <v>0</v>
      </c>
    </row>
    <row r="547" spans="5:7">
      <c r="E547">
        <v>301001</v>
      </c>
      <c r="F547">
        <v>20</v>
      </c>
      <c r="G547" t="str">
        <f t="shared" si="8"/>
        <v>301001:20</v>
      </c>
    </row>
    <row r="548" spans="5:7">
      <c r="E548">
        <v>301001</v>
      </c>
      <c r="F548">
        <v>20</v>
      </c>
      <c r="G548" t="str">
        <f t="shared" si="8"/>
        <v>301001:20</v>
      </c>
    </row>
    <row r="549" spans="5:7">
      <c r="E549">
        <v>301001</v>
      </c>
      <c r="F549">
        <v>20</v>
      </c>
      <c r="G549" t="str">
        <f t="shared" si="8"/>
        <v>301001:20</v>
      </c>
    </row>
    <row r="550" spans="5:7">
      <c r="E550">
        <v>301001</v>
      </c>
      <c r="F550">
        <v>20</v>
      </c>
      <c r="G550" t="str">
        <f t="shared" si="8"/>
        <v>301001:20</v>
      </c>
    </row>
    <row r="551" spans="5:7">
      <c r="E551">
        <v>301001</v>
      </c>
      <c r="F551">
        <v>20</v>
      </c>
      <c r="G551" t="str">
        <f t="shared" si="8"/>
        <v>301001:20</v>
      </c>
    </row>
    <row r="552" spans="5:7">
      <c r="E552">
        <v>301001</v>
      </c>
      <c r="F552">
        <v>20</v>
      </c>
      <c r="G552" t="str">
        <f t="shared" si="8"/>
        <v>301001:20</v>
      </c>
    </row>
    <row r="553" spans="5:7">
      <c r="E553">
        <v>301001</v>
      </c>
      <c r="F553">
        <v>20</v>
      </c>
      <c r="G553" t="str">
        <f t="shared" si="8"/>
        <v>301001:20</v>
      </c>
    </row>
    <row r="554" spans="5:7">
      <c r="E554">
        <v>301001</v>
      </c>
      <c r="F554">
        <v>40</v>
      </c>
      <c r="G554" t="str">
        <f t="shared" si="8"/>
        <v>301001:40</v>
      </c>
    </row>
    <row r="555" spans="5:7">
      <c r="E555">
        <v>301001</v>
      </c>
      <c r="F555">
        <v>40</v>
      </c>
      <c r="G555" t="str">
        <f t="shared" si="8"/>
        <v>301001:40</v>
      </c>
    </row>
    <row r="556" spans="5:7">
      <c r="E556">
        <v>301001</v>
      </c>
      <c r="F556">
        <v>40</v>
      </c>
      <c r="G556" t="str">
        <f t="shared" si="8"/>
        <v>301001:40</v>
      </c>
    </row>
    <row r="557" spans="5:7">
      <c r="E557">
        <v>301001</v>
      </c>
      <c r="F557">
        <v>40</v>
      </c>
      <c r="G557" t="str">
        <f t="shared" si="8"/>
        <v>301001:40</v>
      </c>
    </row>
    <row r="558" spans="5:7">
      <c r="E558">
        <v>301001</v>
      </c>
      <c r="F558">
        <v>40</v>
      </c>
      <c r="G558" t="str">
        <f t="shared" si="8"/>
        <v>301001:40</v>
      </c>
    </row>
    <row r="559" spans="5:7">
      <c r="E559">
        <v>301001</v>
      </c>
      <c r="F559">
        <v>40</v>
      </c>
      <c r="G559" t="str">
        <f t="shared" si="8"/>
        <v>301001:40</v>
      </c>
    </row>
    <row r="560" spans="5:7">
      <c r="E560">
        <v>301001</v>
      </c>
      <c r="F560">
        <v>40</v>
      </c>
      <c r="G560" t="str">
        <f t="shared" si="8"/>
        <v>301001:40</v>
      </c>
    </row>
    <row r="561" spans="5:7">
      <c r="E561">
        <v>301001</v>
      </c>
      <c r="F561">
        <v>90</v>
      </c>
      <c r="G561" t="str">
        <f t="shared" si="8"/>
        <v>301001:90</v>
      </c>
    </row>
    <row r="562" spans="5:7">
      <c r="E562">
        <v>301001</v>
      </c>
      <c r="F562">
        <v>90</v>
      </c>
      <c r="G562" t="str">
        <f t="shared" si="8"/>
        <v>301001:90</v>
      </c>
    </row>
    <row r="563" spans="5:7">
      <c r="E563">
        <v>301001</v>
      </c>
      <c r="F563">
        <v>90</v>
      </c>
      <c r="G563" t="str">
        <f t="shared" si="8"/>
        <v>301001:90</v>
      </c>
    </row>
    <row r="564" spans="5:7">
      <c r="E564">
        <v>301001</v>
      </c>
      <c r="F564">
        <v>90</v>
      </c>
      <c r="G564" t="str">
        <f t="shared" si="8"/>
        <v>301001:90</v>
      </c>
    </row>
    <row r="565" spans="5:7">
      <c r="E565">
        <v>301001</v>
      </c>
      <c r="F565">
        <v>90</v>
      </c>
      <c r="G565" t="str">
        <f t="shared" si="8"/>
        <v>301001:90</v>
      </c>
    </row>
    <row r="566" spans="5:7">
      <c r="E566">
        <v>301001</v>
      </c>
      <c r="F566">
        <v>90</v>
      </c>
      <c r="G566" t="str">
        <f t="shared" si="8"/>
        <v>301001:90</v>
      </c>
    </row>
    <row r="567" spans="5:7">
      <c r="E567">
        <v>301001</v>
      </c>
      <c r="F567">
        <v>90</v>
      </c>
      <c r="G567" t="str">
        <f t="shared" si="8"/>
        <v>301001:90</v>
      </c>
    </row>
    <row r="568" spans="5:7">
      <c r="E568">
        <v>301001</v>
      </c>
      <c r="F568">
        <v>150</v>
      </c>
      <c r="G568" t="str">
        <f t="shared" si="8"/>
        <v>301001:150</v>
      </c>
    </row>
    <row r="569" spans="5:7">
      <c r="E569">
        <v>301001</v>
      </c>
      <c r="F569">
        <v>150</v>
      </c>
      <c r="G569" t="str">
        <f t="shared" si="8"/>
        <v>301001:150</v>
      </c>
    </row>
    <row r="570" spans="5:7">
      <c r="E570">
        <v>301001</v>
      </c>
      <c r="F570">
        <v>150</v>
      </c>
      <c r="G570" t="str">
        <f t="shared" si="8"/>
        <v>301001:150</v>
      </c>
    </row>
    <row r="571" spans="5:7">
      <c r="E571">
        <v>301001</v>
      </c>
      <c r="F571">
        <v>150</v>
      </c>
      <c r="G571" t="str">
        <f t="shared" si="8"/>
        <v>301001:150</v>
      </c>
    </row>
    <row r="572" spans="5:7">
      <c r="E572">
        <v>301001</v>
      </c>
      <c r="F572">
        <v>150</v>
      </c>
      <c r="G572" t="str">
        <f t="shared" si="8"/>
        <v>301001:150</v>
      </c>
    </row>
    <row r="573" spans="5:7">
      <c r="E573">
        <v>301001</v>
      </c>
      <c r="F573">
        <v>150</v>
      </c>
      <c r="G573" t="str">
        <f t="shared" si="8"/>
        <v>301001:150</v>
      </c>
    </row>
    <row r="574" spans="5:7">
      <c r="E574">
        <v>301001</v>
      </c>
      <c r="F574">
        <v>150</v>
      </c>
      <c r="G574" t="str">
        <f t="shared" si="8"/>
        <v>301001:150</v>
      </c>
    </row>
    <row r="575" spans="5:7">
      <c r="E575">
        <v>301001</v>
      </c>
      <c r="F575">
        <v>180</v>
      </c>
      <c r="G575" t="str">
        <f t="shared" si="8"/>
        <v>301001:180</v>
      </c>
    </row>
    <row r="576" spans="5:7">
      <c r="E576">
        <v>301001</v>
      </c>
      <c r="F576">
        <v>180</v>
      </c>
      <c r="G576" t="str">
        <f t="shared" si="8"/>
        <v>301001:180</v>
      </c>
    </row>
    <row r="577" spans="5:7">
      <c r="E577">
        <v>301001</v>
      </c>
      <c r="F577">
        <v>180</v>
      </c>
      <c r="G577" t="str">
        <f t="shared" si="8"/>
        <v>301001:180</v>
      </c>
    </row>
    <row r="578" spans="5:7">
      <c r="E578">
        <v>301001</v>
      </c>
      <c r="F578">
        <v>180</v>
      </c>
      <c r="G578" t="str">
        <f t="shared" ref="G578:G641" si="9">IF(E578=0,0,E578&amp;":"&amp;F578)</f>
        <v>301001:180</v>
      </c>
    </row>
    <row r="579" spans="5:7">
      <c r="E579">
        <v>301001</v>
      </c>
      <c r="F579">
        <v>180</v>
      </c>
      <c r="G579" t="str">
        <f t="shared" si="9"/>
        <v>301001:180</v>
      </c>
    </row>
    <row r="580" spans="5:7">
      <c r="E580">
        <v>301001</v>
      </c>
      <c r="F580">
        <v>180</v>
      </c>
      <c r="G580" t="str">
        <f t="shared" si="9"/>
        <v>301001:180</v>
      </c>
    </row>
    <row r="581" spans="5:7">
      <c r="E581">
        <v>301001</v>
      </c>
      <c r="F581">
        <v>180</v>
      </c>
      <c r="G581" t="str">
        <f t="shared" si="9"/>
        <v>301001:180</v>
      </c>
    </row>
    <row r="582" spans="5:7">
      <c r="E582">
        <v>301001</v>
      </c>
      <c r="F582">
        <v>180</v>
      </c>
      <c r="G582" t="str">
        <f t="shared" si="9"/>
        <v>301001:180</v>
      </c>
    </row>
    <row r="583" spans="5:7">
      <c r="E583">
        <v>301001</v>
      </c>
      <c r="F583">
        <v>180</v>
      </c>
      <c r="G583" t="str">
        <f t="shared" si="9"/>
        <v>301001:180</v>
      </c>
    </row>
    <row r="584" spans="5:7">
      <c r="E584">
        <v>301001</v>
      </c>
      <c r="F584">
        <v>180</v>
      </c>
      <c r="G584" t="str">
        <f t="shared" si="9"/>
        <v>301001:180</v>
      </c>
    </row>
    <row r="585" spans="5:7">
      <c r="E585">
        <v>301001</v>
      </c>
      <c r="F585">
        <v>180</v>
      </c>
      <c r="G585" t="str">
        <f t="shared" si="9"/>
        <v>301001:180</v>
      </c>
    </row>
    <row r="586" spans="5:7">
      <c r="E586">
        <v>301001</v>
      </c>
      <c r="F586">
        <v>180</v>
      </c>
      <c r="G586" t="str">
        <f t="shared" si="9"/>
        <v>301001:180</v>
      </c>
    </row>
    <row r="587" spans="5:7">
      <c r="E587">
        <v>301001</v>
      </c>
      <c r="F587">
        <v>180</v>
      </c>
      <c r="G587" t="str">
        <f t="shared" si="9"/>
        <v>301001:180</v>
      </c>
    </row>
    <row r="588" spans="5:7">
      <c r="E588">
        <v>0</v>
      </c>
      <c r="G588">
        <f t="shared" si="9"/>
        <v>0</v>
      </c>
    </row>
    <row r="589" spans="5:7">
      <c r="E589">
        <v>301002</v>
      </c>
      <c r="F589">
        <v>20</v>
      </c>
      <c r="G589" t="str">
        <f t="shared" si="9"/>
        <v>301002:20</v>
      </c>
    </row>
    <row r="590" spans="5:7">
      <c r="E590">
        <v>301002</v>
      </c>
      <c r="F590">
        <v>20</v>
      </c>
      <c r="G590" t="str">
        <f t="shared" si="9"/>
        <v>301002:20</v>
      </c>
    </row>
    <row r="591" spans="5:7">
      <c r="E591">
        <v>301002</v>
      </c>
      <c r="F591">
        <v>20</v>
      </c>
      <c r="G591" t="str">
        <f t="shared" si="9"/>
        <v>301002:20</v>
      </c>
    </row>
    <row r="592" spans="5:7">
      <c r="E592">
        <v>301002</v>
      </c>
      <c r="F592">
        <v>20</v>
      </c>
      <c r="G592" t="str">
        <f t="shared" si="9"/>
        <v>301002:20</v>
      </c>
    </row>
    <row r="593" spans="5:7">
      <c r="E593">
        <v>301002</v>
      </c>
      <c r="F593">
        <v>20</v>
      </c>
      <c r="G593" t="str">
        <f t="shared" si="9"/>
        <v>301002:20</v>
      </c>
    </row>
    <row r="594" spans="5:7">
      <c r="E594">
        <v>301002</v>
      </c>
      <c r="F594">
        <v>20</v>
      </c>
      <c r="G594" t="str">
        <f t="shared" si="9"/>
        <v>301002:20</v>
      </c>
    </row>
    <row r="595" spans="5:7">
      <c r="E595">
        <v>301002</v>
      </c>
      <c r="F595">
        <v>20</v>
      </c>
      <c r="G595" t="str">
        <f t="shared" si="9"/>
        <v>301002:20</v>
      </c>
    </row>
    <row r="596" spans="5:7">
      <c r="E596">
        <v>301002</v>
      </c>
      <c r="F596">
        <v>40</v>
      </c>
      <c r="G596" t="str">
        <f t="shared" si="9"/>
        <v>301002:40</v>
      </c>
    </row>
    <row r="597" spans="5:7">
      <c r="E597">
        <v>301002</v>
      </c>
      <c r="F597">
        <v>40</v>
      </c>
      <c r="G597" t="str">
        <f t="shared" si="9"/>
        <v>301002:40</v>
      </c>
    </row>
    <row r="598" spans="5:7">
      <c r="E598">
        <v>301002</v>
      </c>
      <c r="F598">
        <v>40</v>
      </c>
      <c r="G598" t="str">
        <f t="shared" si="9"/>
        <v>301002:40</v>
      </c>
    </row>
    <row r="599" spans="5:7">
      <c r="E599">
        <v>301002</v>
      </c>
      <c r="F599">
        <v>40</v>
      </c>
      <c r="G599" t="str">
        <f t="shared" si="9"/>
        <v>301002:40</v>
      </c>
    </row>
    <row r="600" spans="5:7">
      <c r="E600">
        <v>301002</v>
      </c>
      <c r="F600">
        <v>40</v>
      </c>
      <c r="G600" t="str">
        <f t="shared" si="9"/>
        <v>301002:40</v>
      </c>
    </row>
    <row r="601" spans="5:7">
      <c r="E601">
        <v>301002</v>
      </c>
      <c r="F601">
        <v>40</v>
      </c>
      <c r="G601" t="str">
        <f t="shared" si="9"/>
        <v>301002:40</v>
      </c>
    </row>
    <row r="602" spans="5:7">
      <c r="E602">
        <v>301002</v>
      </c>
      <c r="F602">
        <v>40</v>
      </c>
      <c r="G602" t="str">
        <f t="shared" si="9"/>
        <v>301002:40</v>
      </c>
    </row>
    <row r="603" spans="5:7">
      <c r="E603">
        <v>301002</v>
      </c>
      <c r="F603">
        <v>90</v>
      </c>
      <c r="G603" t="str">
        <f t="shared" si="9"/>
        <v>301002:90</v>
      </c>
    </row>
    <row r="604" spans="5:7">
      <c r="E604">
        <v>301002</v>
      </c>
      <c r="F604">
        <v>90</v>
      </c>
      <c r="G604" t="str">
        <f t="shared" si="9"/>
        <v>301002:90</v>
      </c>
    </row>
    <row r="605" spans="5:7">
      <c r="E605">
        <v>301002</v>
      </c>
      <c r="F605">
        <v>90</v>
      </c>
      <c r="G605" t="str">
        <f t="shared" si="9"/>
        <v>301002:90</v>
      </c>
    </row>
    <row r="606" spans="5:7">
      <c r="E606">
        <v>301002</v>
      </c>
      <c r="F606">
        <v>90</v>
      </c>
      <c r="G606" t="str">
        <f t="shared" si="9"/>
        <v>301002:90</v>
      </c>
    </row>
    <row r="607" spans="5:7">
      <c r="E607">
        <v>301002</v>
      </c>
      <c r="F607">
        <v>90</v>
      </c>
      <c r="G607" t="str">
        <f t="shared" si="9"/>
        <v>301002:90</v>
      </c>
    </row>
    <row r="608" spans="5:7">
      <c r="E608">
        <v>301002</v>
      </c>
      <c r="F608">
        <v>90</v>
      </c>
      <c r="G608" t="str">
        <f t="shared" si="9"/>
        <v>301002:90</v>
      </c>
    </row>
    <row r="609" spans="5:7">
      <c r="E609">
        <v>301002</v>
      </c>
      <c r="F609">
        <v>90</v>
      </c>
      <c r="G609" t="str">
        <f t="shared" si="9"/>
        <v>301002:90</v>
      </c>
    </row>
    <row r="610" spans="5:7">
      <c r="E610">
        <v>301002</v>
      </c>
      <c r="F610">
        <v>150</v>
      </c>
      <c r="G610" t="str">
        <f t="shared" si="9"/>
        <v>301002:150</v>
      </c>
    </row>
    <row r="611" spans="5:7">
      <c r="E611">
        <v>301002</v>
      </c>
      <c r="F611">
        <v>150</v>
      </c>
      <c r="G611" t="str">
        <f t="shared" si="9"/>
        <v>301002:150</v>
      </c>
    </row>
    <row r="612" spans="5:7">
      <c r="E612">
        <v>301002</v>
      </c>
      <c r="F612">
        <v>150</v>
      </c>
      <c r="G612" t="str">
        <f t="shared" si="9"/>
        <v>301002:150</v>
      </c>
    </row>
    <row r="613" spans="5:7">
      <c r="E613">
        <v>301002</v>
      </c>
      <c r="F613">
        <v>150</v>
      </c>
      <c r="G613" t="str">
        <f t="shared" si="9"/>
        <v>301002:150</v>
      </c>
    </row>
    <row r="614" spans="5:7">
      <c r="E614">
        <v>301002</v>
      </c>
      <c r="F614">
        <v>150</v>
      </c>
      <c r="G614" t="str">
        <f t="shared" si="9"/>
        <v>301002:150</v>
      </c>
    </row>
    <row r="615" spans="5:7">
      <c r="E615">
        <v>301002</v>
      </c>
      <c r="F615">
        <v>150</v>
      </c>
      <c r="G615" t="str">
        <f t="shared" si="9"/>
        <v>301002:150</v>
      </c>
    </row>
    <row r="616" spans="5:7">
      <c r="E616">
        <v>301002</v>
      </c>
      <c r="F616">
        <v>150</v>
      </c>
      <c r="G616" t="str">
        <f t="shared" si="9"/>
        <v>301002:150</v>
      </c>
    </row>
    <row r="617" spans="5:7">
      <c r="E617">
        <v>301002</v>
      </c>
      <c r="F617">
        <v>180</v>
      </c>
      <c r="G617" t="str">
        <f t="shared" si="9"/>
        <v>301002:180</v>
      </c>
    </row>
    <row r="618" spans="5:7">
      <c r="E618">
        <v>301002</v>
      </c>
      <c r="F618">
        <v>180</v>
      </c>
      <c r="G618" t="str">
        <f t="shared" si="9"/>
        <v>301002:180</v>
      </c>
    </row>
    <row r="619" spans="5:7">
      <c r="E619">
        <v>301002</v>
      </c>
      <c r="F619">
        <v>180</v>
      </c>
      <c r="G619" t="str">
        <f t="shared" si="9"/>
        <v>301002:180</v>
      </c>
    </row>
    <row r="620" spans="5:7">
      <c r="E620">
        <v>301002</v>
      </c>
      <c r="F620">
        <v>180</v>
      </c>
      <c r="G620" t="str">
        <f t="shared" si="9"/>
        <v>301002:180</v>
      </c>
    </row>
    <row r="621" spans="5:7">
      <c r="E621">
        <v>301002</v>
      </c>
      <c r="F621">
        <v>180</v>
      </c>
      <c r="G621" t="str">
        <f t="shared" si="9"/>
        <v>301002:180</v>
      </c>
    </row>
    <row r="622" spans="5:7">
      <c r="E622">
        <v>301002</v>
      </c>
      <c r="F622">
        <v>180</v>
      </c>
      <c r="G622" t="str">
        <f t="shared" si="9"/>
        <v>301002:180</v>
      </c>
    </row>
    <row r="623" spans="5:7">
      <c r="E623">
        <v>301002</v>
      </c>
      <c r="F623">
        <v>180</v>
      </c>
      <c r="G623" t="str">
        <f t="shared" si="9"/>
        <v>301002:180</v>
      </c>
    </row>
    <row r="624" spans="5:7">
      <c r="E624">
        <v>301002</v>
      </c>
      <c r="F624">
        <v>180</v>
      </c>
      <c r="G624" t="str">
        <f t="shared" si="9"/>
        <v>301002:180</v>
      </c>
    </row>
    <row r="625" spans="5:7">
      <c r="E625">
        <v>301002</v>
      </c>
      <c r="F625">
        <v>180</v>
      </c>
      <c r="G625" t="str">
        <f t="shared" si="9"/>
        <v>301002:180</v>
      </c>
    </row>
    <row r="626" spans="5:7">
      <c r="E626">
        <v>301002</v>
      </c>
      <c r="F626">
        <v>180</v>
      </c>
      <c r="G626" t="str">
        <f t="shared" si="9"/>
        <v>301002:180</v>
      </c>
    </row>
    <row r="627" spans="5:7">
      <c r="E627">
        <v>301002</v>
      </c>
      <c r="F627">
        <v>180</v>
      </c>
      <c r="G627" t="str">
        <f t="shared" si="9"/>
        <v>301002:180</v>
      </c>
    </row>
    <row r="628" spans="5:7">
      <c r="E628">
        <v>301002</v>
      </c>
      <c r="F628">
        <v>180</v>
      </c>
      <c r="G628" t="str">
        <f t="shared" si="9"/>
        <v>301002:180</v>
      </c>
    </row>
    <row r="629" spans="5:7">
      <c r="E629">
        <v>301002</v>
      </c>
      <c r="F629">
        <v>180</v>
      </c>
      <c r="G629" t="str">
        <f t="shared" si="9"/>
        <v>301002:180</v>
      </c>
    </row>
    <row r="630" spans="5:7">
      <c r="E630">
        <v>0</v>
      </c>
      <c r="G630">
        <f t="shared" si="9"/>
        <v>0</v>
      </c>
    </row>
    <row r="631" spans="5:7">
      <c r="E631">
        <v>302001</v>
      </c>
      <c r="F631">
        <v>20</v>
      </c>
      <c r="G631" t="str">
        <f t="shared" si="9"/>
        <v>302001:20</v>
      </c>
    </row>
    <row r="632" spans="5:7">
      <c r="E632">
        <v>302001</v>
      </c>
      <c r="F632">
        <v>20</v>
      </c>
      <c r="G632" t="str">
        <f t="shared" si="9"/>
        <v>302001:20</v>
      </c>
    </row>
    <row r="633" spans="5:7">
      <c r="E633">
        <v>302001</v>
      </c>
      <c r="F633">
        <v>20</v>
      </c>
      <c r="G633" t="str">
        <f t="shared" si="9"/>
        <v>302001:20</v>
      </c>
    </row>
    <row r="634" spans="5:7">
      <c r="E634">
        <v>302001</v>
      </c>
      <c r="F634">
        <v>20</v>
      </c>
      <c r="G634" t="str">
        <f t="shared" si="9"/>
        <v>302001:20</v>
      </c>
    </row>
    <row r="635" spans="5:7">
      <c r="E635">
        <v>302001</v>
      </c>
      <c r="F635">
        <v>20</v>
      </c>
      <c r="G635" t="str">
        <f t="shared" si="9"/>
        <v>302001:20</v>
      </c>
    </row>
    <row r="636" spans="5:7">
      <c r="E636">
        <v>302001</v>
      </c>
      <c r="F636">
        <v>20</v>
      </c>
      <c r="G636" t="str">
        <f t="shared" si="9"/>
        <v>302001:20</v>
      </c>
    </row>
    <row r="637" spans="5:7">
      <c r="E637">
        <v>302001</v>
      </c>
      <c r="F637">
        <v>20</v>
      </c>
      <c r="G637" t="str">
        <f t="shared" si="9"/>
        <v>302001:20</v>
      </c>
    </row>
    <row r="638" spans="5:7">
      <c r="E638">
        <v>302001</v>
      </c>
      <c r="F638">
        <v>40</v>
      </c>
      <c r="G638" t="str">
        <f t="shared" si="9"/>
        <v>302001:40</v>
      </c>
    </row>
    <row r="639" spans="5:7">
      <c r="E639">
        <v>302001</v>
      </c>
      <c r="F639">
        <v>40</v>
      </c>
      <c r="G639" t="str">
        <f t="shared" si="9"/>
        <v>302001:40</v>
      </c>
    </row>
    <row r="640" spans="5:7">
      <c r="E640">
        <v>302001</v>
      </c>
      <c r="F640">
        <v>40</v>
      </c>
      <c r="G640" t="str">
        <f t="shared" si="9"/>
        <v>302001:40</v>
      </c>
    </row>
    <row r="641" spans="5:7">
      <c r="E641">
        <v>302001</v>
      </c>
      <c r="F641">
        <v>40</v>
      </c>
      <c r="G641" t="str">
        <f t="shared" si="9"/>
        <v>302001:40</v>
      </c>
    </row>
    <row r="642" spans="5:7">
      <c r="E642">
        <v>302001</v>
      </c>
      <c r="F642">
        <v>40</v>
      </c>
      <c r="G642" t="str">
        <f t="shared" ref="G642:G705" si="10">IF(E642=0,0,E642&amp;":"&amp;F642)</f>
        <v>302001:40</v>
      </c>
    </row>
    <row r="643" spans="5:7">
      <c r="E643">
        <v>302001</v>
      </c>
      <c r="F643">
        <v>40</v>
      </c>
      <c r="G643" t="str">
        <f t="shared" si="10"/>
        <v>302001:40</v>
      </c>
    </row>
    <row r="644" spans="5:7">
      <c r="E644">
        <v>302001</v>
      </c>
      <c r="F644">
        <v>40</v>
      </c>
      <c r="G644" t="str">
        <f t="shared" si="10"/>
        <v>302001:40</v>
      </c>
    </row>
    <row r="645" spans="5:7">
      <c r="E645">
        <v>302001</v>
      </c>
      <c r="F645">
        <v>90</v>
      </c>
      <c r="G645" t="str">
        <f t="shared" si="10"/>
        <v>302001:90</v>
      </c>
    </row>
    <row r="646" spans="5:7">
      <c r="E646">
        <v>302001</v>
      </c>
      <c r="F646">
        <v>90</v>
      </c>
      <c r="G646" t="str">
        <f t="shared" si="10"/>
        <v>302001:90</v>
      </c>
    </row>
    <row r="647" spans="5:7">
      <c r="E647">
        <v>302001</v>
      </c>
      <c r="F647">
        <v>90</v>
      </c>
      <c r="G647" t="str">
        <f t="shared" si="10"/>
        <v>302001:90</v>
      </c>
    </row>
    <row r="648" spans="5:7">
      <c r="E648">
        <v>302001</v>
      </c>
      <c r="F648">
        <v>90</v>
      </c>
      <c r="G648" t="str">
        <f t="shared" si="10"/>
        <v>302001:90</v>
      </c>
    </row>
    <row r="649" spans="5:7">
      <c r="E649">
        <v>302001</v>
      </c>
      <c r="F649">
        <v>90</v>
      </c>
      <c r="G649" t="str">
        <f t="shared" si="10"/>
        <v>302001:90</v>
      </c>
    </row>
    <row r="650" spans="5:7">
      <c r="E650">
        <v>302001</v>
      </c>
      <c r="F650">
        <v>90</v>
      </c>
      <c r="G650" t="str">
        <f t="shared" si="10"/>
        <v>302001:90</v>
      </c>
    </row>
    <row r="651" spans="5:7">
      <c r="E651">
        <v>302001</v>
      </c>
      <c r="F651">
        <v>90</v>
      </c>
      <c r="G651" t="str">
        <f t="shared" si="10"/>
        <v>302001:90</v>
      </c>
    </row>
    <row r="652" spans="5:7">
      <c r="E652">
        <v>302001</v>
      </c>
      <c r="F652">
        <v>150</v>
      </c>
      <c r="G652" t="str">
        <f t="shared" si="10"/>
        <v>302001:150</v>
      </c>
    </row>
    <row r="653" spans="5:7">
      <c r="E653">
        <v>302001</v>
      </c>
      <c r="F653">
        <v>150</v>
      </c>
      <c r="G653" t="str">
        <f t="shared" si="10"/>
        <v>302001:150</v>
      </c>
    </row>
    <row r="654" spans="5:7">
      <c r="E654">
        <v>302001</v>
      </c>
      <c r="F654">
        <v>150</v>
      </c>
      <c r="G654" t="str">
        <f t="shared" si="10"/>
        <v>302001:150</v>
      </c>
    </row>
    <row r="655" spans="5:7">
      <c r="E655">
        <v>302001</v>
      </c>
      <c r="F655">
        <v>150</v>
      </c>
      <c r="G655" t="str">
        <f t="shared" si="10"/>
        <v>302001:150</v>
      </c>
    </row>
    <row r="656" spans="5:7">
      <c r="E656">
        <v>302001</v>
      </c>
      <c r="F656">
        <v>150</v>
      </c>
      <c r="G656" t="str">
        <f t="shared" si="10"/>
        <v>302001:150</v>
      </c>
    </row>
    <row r="657" spans="5:7">
      <c r="E657">
        <v>302001</v>
      </c>
      <c r="F657">
        <v>150</v>
      </c>
      <c r="G657" t="str">
        <f t="shared" si="10"/>
        <v>302001:150</v>
      </c>
    </row>
    <row r="658" spans="5:7">
      <c r="E658">
        <v>302001</v>
      </c>
      <c r="F658">
        <v>150</v>
      </c>
      <c r="G658" t="str">
        <f t="shared" si="10"/>
        <v>302001:150</v>
      </c>
    </row>
    <row r="659" spans="5:7">
      <c r="E659">
        <v>302001</v>
      </c>
      <c r="F659">
        <v>180</v>
      </c>
      <c r="G659" t="str">
        <f t="shared" si="10"/>
        <v>302001:180</v>
      </c>
    </row>
    <row r="660" spans="5:7">
      <c r="E660">
        <v>302001</v>
      </c>
      <c r="F660">
        <v>180</v>
      </c>
      <c r="G660" t="str">
        <f t="shared" si="10"/>
        <v>302001:180</v>
      </c>
    </row>
    <row r="661" spans="5:7">
      <c r="E661">
        <v>302001</v>
      </c>
      <c r="F661">
        <v>180</v>
      </c>
      <c r="G661" t="str">
        <f t="shared" si="10"/>
        <v>302001:180</v>
      </c>
    </row>
    <row r="662" spans="5:7">
      <c r="E662">
        <v>302001</v>
      </c>
      <c r="F662">
        <v>180</v>
      </c>
      <c r="G662" t="str">
        <f t="shared" si="10"/>
        <v>302001:180</v>
      </c>
    </row>
    <row r="663" spans="5:7">
      <c r="E663">
        <v>302001</v>
      </c>
      <c r="F663">
        <v>180</v>
      </c>
      <c r="G663" t="str">
        <f t="shared" si="10"/>
        <v>302001:180</v>
      </c>
    </row>
    <row r="664" spans="5:7">
      <c r="E664">
        <v>302001</v>
      </c>
      <c r="F664">
        <v>180</v>
      </c>
      <c r="G664" t="str">
        <f t="shared" si="10"/>
        <v>302001:180</v>
      </c>
    </row>
    <row r="665" spans="5:7">
      <c r="E665">
        <v>302001</v>
      </c>
      <c r="F665">
        <v>180</v>
      </c>
      <c r="G665" t="str">
        <f t="shared" si="10"/>
        <v>302001:180</v>
      </c>
    </row>
    <row r="666" spans="5:7">
      <c r="E666">
        <v>302001</v>
      </c>
      <c r="F666">
        <v>180</v>
      </c>
      <c r="G666" t="str">
        <f t="shared" si="10"/>
        <v>302001:180</v>
      </c>
    </row>
    <row r="667" spans="5:7">
      <c r="E667">
        <v>302001</v>
      </c>
      <c r="F667">
        <v>180</v>
      </c>
      <c r="G667" t="str">
        <f t="shared" si="10"/>
        <v>302001:180</v>
      </c>
    </row>
    <row r="668" spans="5:7">
      <c r="E668">
        <v>302001</v>
      </c>
      <c r="F668">
        <v>180</v>
      </c>
      <c r="G668" t="str">
        <f t="shared" si="10"/>
        <v>302001:180</v>
      </c>
    </row>
    <row r="669" spans="5:7">
      <c r="E669">
        <v>302001</v>
      </c>
      <c r="F669">
        <v>180</v>
      </c>
      <c r="G669" t="str">
        <f t="shared" si="10"/>
        <v>302001:180</v>
      </c>
    </row>
    <row r="670" spans="5:7">
      <c r="E670">
        <v>302001</v>
      </c>
      <c r="F670">
        <v>180</v>
      </c>
      <c r="G670" t="str">
        <f t="shared" si="10"/>
        <v>302001:180</v>
      </c>
    </row>
    <row r="671" spans="5:7">
      <c r="E671">
        <v>302001</v>
      </c>
      <c r="F671">
        <v>180</v>
      </c>
      <c r="G671" t="str">
        <f t="shared" si="10"/>
        <v>302001:180</v>
      </c>
    </row>
    <row r="672" spans="5:7">
      <c r="E672">
        <v>0</v>
      </c>
      <c r="G672">
        <f t="shared" si="10"/>
        <v>0</v>
      </c>
    </row>
    <row r="673" spans="5:7">
      <c r="E673">
        <v>303001</v>
      </c>
      <c r="F673">
        <v>20</v>
      </c>
      <c r="G673" t="str">
        <f t="shared" si="10"/>
        <v>303001:20</v>
      </c>
    </row>
    <row r="674" spans="5:7">
      <c r="E674">
        <v>303001</v>
      </c>
      <c r="F674">
        <v>20</v>
      </c>
      <c r="G674" t="str">
        <f t="shared" si="10"/>
        <v>303001:20</v>
      </c>
    </row>
    <row r="675" spans="5:7">
      <c r="E675">
        <v>303001</v>
      </c>
      <c r="F675">
        <v>20</v>
      </c>
      <c r="G675" t="str">
        <f t="shared" si="10"/>
        <v>303001:20</v>
      </c>
    </row>
    <row r="676" spans="5:7">
      <c r="E676">
        <v>303001</v>
      </c>
      <c r="F676">
        <v>20</v>
      </c>
      <c r="G676" t="str">
        <f t="shared" si="10"/>
        <v>303001:20</v>
      </c>
    </row>
    <row r="677" spans="5:7">
      <c r="E677">
        <v>303001</v>
      </c>
      <c r="F677">
        <v>20</v>
      </c>
      <c r="G677" t="str">
        <f t="shared" si="10"/>
        <v>303001:20</v>
      </c>
    </row>
    <row r="678" spans="5:7">
      <c r="E678">
        <v>303001</v>
      </c>
      <c r="F678">
        <v>20</v>
      </c>
      <c r="G678" t="str">
        <f t="shared" si="10"/>
        <v>303001:20</v>
      </c>
    </row>
    <row r="679" spans="5:7">
      <c r="E679">
        <v>303001</v>
      </c>
      <c r="F679">
        <v>20</v>
      </c>
      <c r="G679" t="str">
        <f t="shared" si="10"/>
        <v>303001:20</v>
      </c>
    </row>
    <row r="680" spans="5:7">
      <c r="E680">
        <v>303001</v>
      </c>
      <c r="F680">
        <v>40</v>
      </c>
      <c r="G680" t="str">
        <f t="shared" si="10"/>
        <v>303001:40</v>
      </c>
    </row>
    <row r="681" spans="5:7">
      <c r="E681">
        <v>303001</v>
      </c>
      <c r="F681">
        <v>40</v>
      </c>
      <c r="G681" t="str">
        <f t="shared" si="10"/>
        <v>303001:40</v>
      </c>
    </row>
    <row r="682" spans="5:7">
      <c r="E682">
        <v>303001</v>
      </c>
      <c r="F682">
        <v>40</v>
      </c>
      <c r="G682" t="str">
        <f t="shared" si="10"/>
        <v>303001:40</v>
      </c>
    </row>
    <row r="683" spans="5:7">
      <c r="E683">
        <v>303001</v>
      </c>
      <c r="F683">
        <v>40</v>
      </c>
      <c r="G683" t="str">
        <f t="shared" si="10"/>
        <v>303001:40</v>
      </c>
    </row>
    <row r="684" spans="5:7">
      <c r="E684">
        <v>303001</v>
      </c>
      <c r="F684">
        <v>40</v>
      </c>
      <c r="G684" t="str">
        <f t="shared" si="10"/>
        <v>303001:40</v>
      </c>
    </row>
    <row r="685" spans="5:7">
      <c r="E685">
        <v>303001</v>
      </c>
      <c r="F685">
        <v>40</v>
      </c>
      <c r="G685" t="str">
        <f t="shared" si="10"/>
        <v>303001:40</v>
      </c>
    </row>
    <row r="686" spans="5:7">
      <c r="E686">
        <v>303001</v>
      </c>
      <c r="F686">
        <v>40</v>
      </c>
      <c r="G686" t="str">
        <f t="shared" si="10"/>
        <v>303001:40</v>
      </c>
    </row>
    <row r="687" spans="5:7">
      <c r="E687">
        <v>303001</v>
      </c>
      <c r="F687">
        <v>90</v>
      </c>
      <c r="G687" t="str">
        <f t="shared" si="10"/>
        <v>303001:90</v>
      </c>
    </row>
    <row r="688" spans="5:7">
      <c r="E688">
        <v>303001</v>
      </c>
      <c r="F688">
        <v>90</v>
      </c>
      <c r="G688" t="str">
        <f t="shared" si="10"/>
        <v>303001:90</v>
      </c>
    </row>
    <row r="689" spans="5:7">
      <c r="E689">
        <v>303001</v>
      </c>
      <c r="F689">
        <v>90</v>
      </c>
      <c r="G689" t="str">
        <f t="shared" si="10"/>
        <v>303001:90</v>
      </c>
    </row>
    <row r="690" spans="5:7">
      <c r="E690">
        <v>303001</v>
      </c>
      <c r="F690">
        <v>90</v>
      </c>
      <c r="G690" t="str">
        <f t="shared" si="10"/>
        <v>303001:90</v>
      </c>
    </row>
    <row r="691" spans="5:7">
      <c r="E691">
        <v>303001</v>
      </c>
      <c r="F691">
        <v>90</v>
      </c>
      <c r="G691" t="str">
        <f t="shared" si="10"/>
        <v>303001:90</v>
      </c>
    </row>
    <row r="692" spans="5:7">
      <c r="E692">
        <v>303001</v>
      </c>
      <c r="F692">
        <v>90</v>
      </c>
      <c r="G692" t="str">
        <f t="shared" si="10"/>
        <v>303001:90</v>
      </c>
    </row>
    <row r="693" spans="5:7">
      <c r="E693">
        <v>303001</v>
      </c>
      <c r="F693">
        <v>90</v>
      </c>
      <c r="G693" t="str">
        <f t="shared" si="10"/>
        <v>303001:90</v>
      </c>
    </row>
    <row r="694" spans="5:7">
      <c r="E694">
        <v>303001</v>
      </c>
      <c r="F694">
        <v>150</v>
      </c>
      <c r="G694" t="str">
        <f t="shared" si="10"/>
        <v>303001:150</v>
      </c>
    </row>
    <row r="695" spans="5:7">
      <c r="E695">
        <v>303001</v>
      </c>
      <c r="F695">
        <v>150</v>
      </c>
      <c r="G695" t="str">
        <f t="shared" si="10"/>
        <v>303001:150</v>
      </c>
    </row>
    <row r="696" spans="5:7">
      <c r="E696">
        <v>303001</v>
      </c>
      <c r="F696">
        <v>150</v>
      </c>
      <c r="G696" t="str">
        <f t="shared" si="10"/>
        <v>303001:150</v>
      </c>
    </row>
    <row r="697" spans="5:7">
      <c r="E697">
        <v>303001</v>
      </c>
      <c r="F697">
        <v>150</v>
      </c>
      <c r="G697" t="str">
        <f t="shared" si="10"/>
        <v>303001:150</v>
      </c>
    </row>
    <row r="698" spans="5:7">
      <c r="E698">
        <v>303001</v>
      </c>
      <c r="F698">
        <v>150</v>
      </c>
      <c r="G698" t="str">
        <f t="shared" si="10"/>
        <v>303001:150</v>
      </c>
    </row>
    <row r="699" spans="5:7">
      <c r="E699">
        <v>303001</v>
      </c>
      <c r="F699">
        <v>150</v>
      </c>
      <c r="G699" t="str">
        <f t="shared" si="10"/>
        <v>303001:150</v>
      </c>
    </row>
    <row r="700" spans="5:7">
      <c r="E700">
        <v>303001</v>
      </c>
      <c r="F700">
        <v>150</v>
      </c>
      <c r="G700" t="str">
        <f t="shared" si="10"/>
        <v>303001:150</v>
      </c>
    </row>
    <row r="701" spans="5:7">
      <c r="E701">
        <v>303001</v>
      </c>
      <c r="F701">
        <v>180</v>
      </c>
      <c r="G701" t="str">
        <f t="shared" si="10"/>
        <v>303001:180</v>
      </c>
    </row>
    <row r="702" spans="5:7">
      <c r="E702">
        <v>303001</v>
      </c>
      <c r="F702">
        <v>180</v>
      </c>
      <c r="G702" t="str">
        <f t="shared" si="10"/>
        <v>303001:180</v>
      </c>
    </row>
    <row r="703" spans="5:7">
      <c r="E703">
        <v>303001</v>
      </c>
      <c r="F703">
        <v>180</v>
      </c>
      <c r="G703" t="str">
        <f t="shared" si="10"/>
        <v>303001:180</v>
      </c>
    </row>
    <row r="704" spans="5:7">
      <c r="E704">
        <v>303001</v>
      </c>
      <c r="F704">
        <v>180</v>
      </c>
      <c r="G704" t="str">
        <f t="shared" si="10"/>
        <v>303001:180</v>
      </c>
    </row>
    <row r="705" spans="5:7">
      <c r="E705">
        <v>303001</v>
      </c>
      <c r="F705">
        <v>180</v>
      </c>
      <c r="G705" t="str">
        <f t="shared" si="10"/>
        <v>303001:180</v>
      </c>
    </row>
    <row r="706" spans="5:7">
      <c r="E706">
        <v>303001</v>
      </c>
      <c r="F706">
        <v>180</v>
      </c>
      <c r="G706" t="str">
        <f t="shared" ref="G706:G769" si="11">IF(E706=0,0,E706&amp;":"&amp;F706)</f>
        <v>303001:180</v>
      </c>
    </row>
    <row r="707" spans="5:7">
      <c r="E707">
        <v>303001</v>
      </c>
      <c r="F707">
        <v>180</v>
      </c>
      <c r="G707" t="str">
        <f t="shared" si="11"/>
        <v>303001:180</v>
      </c>
    </row>
    <row r="708" spans="5:7">
      <c r="E708">
        <v>303001</v>
      </c>
      <c r="F708">
        <v>180</v>
      </c>
      <c r="G708" t="str">
        <f t="shared" si="11"/>
        <v>303001:180</v>
      </c>
    </row>
    <row r="709" spans="5:7">
      <c r="E709">
        <v>303001</v>
      </c>
      <c r="F709">
        <v>180</v>
      </c>
      <c r="G709" t="str">
        <f t="shared" si="11"/>
        <v>303001:180</v>
      </c>
    </row>
    <row r="710" spans="5:7">
      <c r="E710">
        <v>303001</v>
      </c>
      <c r="F710">
        <v>180</v>
      </c>
      <c r="G710" t="str">
        <f t="shared" si="11"/>
        <v>303001:180</v>
      </c>
    </row>
    <row r="711" spans="5:7">
      <c r="E711">
        <v>303001</v>
      </c>
      <c r="F711">
        <v>180</v>
      </c>
      <c r="G711" t="str">
        <f t="shared" si="11"/>
        <v>303001:180</v>
      </c>
    </row>
    <row r="712" spans="5:7">
      <c r="E712">
        <v>303001</v>
      </c>
      <c r="F712">
        <v>180</v>
      </c>
      <c r="G712" t="str">
        <f t="shared" si="11"/>
        <v>303001:180</v>
      </c>
    </row>
    <row r="713" spans="5:7">
      <c r="E713">
        <v>303001</v>
      </c>
      <c r="F713">
        <v>180</v>
      </c>
      <c r="G713" t="str">
        <f t="shared" si="11"/>
        <v>303001:180</v>
      </c>
    </row>
    <row r="714" spans="5:7">
      <c r="E714">
        <v>0</v>
      </c>
      <c r="G714">
        <f t="shared" si="11"/>
        <v>0</v>
      </c>
    </row>
    <row r="715" spans="5:7">
      <c r="E715">
        <v>304001</v>
      </c>
      <c r="F715">
        <v>20</v>
      </c>
      <c r="G715" t="str">
        <f t="shared" si="11"/>
        <v>304001:20</v>
      </c>
    </row>
    <row r="716" spans="5:7">
      <c r="E716">
        <v>304001</v>
      </c>
      <c r="F716">
        <v>20</v>
      </c>
      <c r="G716" t="str">
        <f t="shared" si="11"/>
        <v>304001:20</v>
      </c>
    </row>
    <row r="717" spans="5:7">
      <c r="E717">
        <v>304001</v>
      </c>
      <c r="F717">
        <v>20</v>
      </c>
      <c r="G717" t="str">
        <f t="shared" si="11"/>
        <v>304001:20</v>
      </c>
    </row>
    <row r="718" spans="5:7">
      <c r="E718">
        <v>304001</v>
      </c>
      <c r="F718">
        <v>20</v>
      </c>
      <c r="G718" t="str">
        <f t="shared" si="11"/>
        <v>304001:20</v>
      </c>
    </row>
    <row r="719" spans="5:7">
      <c r="E719">
        <v>304001</v>
      </c>
      <c r="F719">
        <v>20</v>
      </c>
      <c r="G719" t="str">
        <f t="shared" si="11"/>
        <v>304001:20</v>
      </c>
    </row>
    <row r="720" spans="5:7">
      <c r="E720">
        <v>304001</v>
      </c>
      <c r="F720">
        <v>20</v>
      </c>
      <c r="G720" t="str">
        <f t="shared" si="11"/>
        <v>304001:20</v>
      </c>
    </row>
    <row r="721" spans="5:7">
      <c r="E721">
        <v>304001</v>
      </c>
      <c r="F721">
        <v>20</v>
      </c>
      <c r="G721" t="str">
        <f t="shared" si="11"/>
        <v>304001:20</v>
      </c>
    </row>
    <row r="722" spans="5:7">
      <c r="E722">
        <v>304001</v>
      </c>
      <c r="F722">
        <v>40</v>
      </c>
      <c r="G722" t="str">
        <f t="shared" si="11"/>
        <v>304001:40</v>
      </c>
    </row>
    <row r="723" spans="5:7">
      <c r="E723">
        <v>304001</v>
      </c>
      <c r="F723">
        <v>40</v>
      </c>
      <c r="G723" t="str">
        <f t="shared" si="11"/>
        <v>304001:40</v>
      </c>
    </row>
    <row r="724" spans="5:7">
      <c r="E724">
        <v>304001</v>
      </c>
      <c r="F724">
        <v>40</v>
      </c>
      <c r="G724" t="str">
        <f t="shared" si="11"/>
        <v>304001:40</v>
      </c>
    </row>
    <row r="725" spans="5:7">
      <c r="E725">
        <v>304001</v>
      </c>
      <c r="F725">
        <v>40</v>
      </c>
      <c r="G725" t="str">
        <f t="shared" si="11"/>
        <v>304001:40</v>
      </c>
    </row>
    <row r="726" spans="5:7">
      <c r="E726">
        <v>304001</v>
      </c>
      <c r="F726">
        <v>40</v>
      </c>
      <c r="G726" t="str">
        <f t="shared" si="11"/>
        <v>304001:40</v>
      </c>
    </row>
    <row r="727" spans="5:7">
      <c r="E727">
        <v>304001</v>
      </c>
      <c r="F727">
        <v>40</v>
      </c>
      <c r="G727" t="str">
        <f t="shared" si="11"/>
        <v>304001:40</v>
      </c>
    </row>
    <row r="728" spans="5:7">
      <c r="E728">
        <v>304001</v>
      </c>
      <c r="F728">
        <v>40</v>
      </c>
      <c r="G728" t="str">
        <f t="shared" si="11"/>
        <v>304001:40</v>
      </c>
    </row>
    <row r="729" spans="5:7">
      <c r="E729">
        <v>304001</v>
      </c>
      <c r="F729">
        <v>90</v>
      </c>
      <c r="G729" t="str">
        <f t="shared" si="11"/>
        <v>304001:90</v>
      </c>
    </row>
    <row r="730" spans="5:7">
      <c r="E730">
        <v>304001</v>
      </c>
      <c r="F730">
        <v>90</v>
      </c>
      <c r="G730" t="str">
        <f t="shared" si="11"/>
        <v>304001:90</v>
      </c>
    </row>
    <row r="731" spans="5:7">
      <c r="E731">
        <v>304001</v>
      </c>
      <c r="F731">
        <v>90</v>
      </c>
      <c r="G731" t="str">
        <f t="shared" si="11"/>
        <v>304001:90</v>
      </c>
    </row>
    <row r="732" spans="5:7">
      <c r="E732">
        <v>304001</v>
      </c>
      <c r="F732">
        <v>90</v>
      </c>
      <c r="G732" t="str">
        <f t="shared" si="11"/>
        <v>304001:90</v>
      </c>
    </row>
    <row r="733" spans="5:7">
      <c r="E733">
        <v>304001</v>
      </c>
      <c r="F733">
        <v>90</v>
      </c>
      <c r="G733" t="str">
        <f t="shared" si="11"/>
        <v>304001:90</v>
      </c>
    </row>
    <row r="734" spans="5:7">
      <c r="E734">
        <v>304001</v>
      </c>
      <c r="F734">
        <v>90</v>
      </c>
      <c r="G734" t="str">
        <f t="shared" si="11"/>
        <v>304001:90</v>
      </c>
    </row>
    <row r="735" spans="5:7">
      <c r="E735">
        <v>304001</v>
      </c>
      <c r="F735">
        <v>90</v>
      </c>
      <c r="G735" t="str">
        <f t="shared" si="11"/>
        <v>304001:90</v>
      </c>
    </row>
    <row r="736" spans="5:7">
      <c r="E736">
        <v>304001</v>
      </c>
      <c r="F736">
        <v>150</v>
      </c>
      <c r="G736" t="str">
        <f t="shared" si="11"/>
        <v>304001:150</v>
      </c>
    </row>
    <row r="737" spans="5:7">
      <c r="E737">
        <v>304001</v>
      </c>
      <c r="F737">
        <v>150</v>
      </c>
      <c r="G737" t="str">
        <f t="shared" si="11"/>
        <v>304001:150</v>
      </c>
    </row>
    <row r="738" spans="5:7">
      <c r="E738">
        <v>304001</v>
      </c>
      <c r="F738">
        <v>150</v>
      </c>
      <c r="G738" t="str">
        <f t="shared" si="11"/>
        <v>304001:150</v>
      </c>
    </row>
    <row r="739" spans="5:7">
      <c r="E739">
        <v>304001</v>
      </c>
      <c r="F739">
        <v>150</v>
      </c>
      <c r="G739" t="str">
        <f t="shared" si="11"/>
        <v>304001:150</v>
      </c>
    </row>
    <row r="740" spans="5:7">
      <c r="E740">
        <v>304001</v>
      </c>
      <c r="F740">
        <v>150</v>
      </c>
      <c r="G740" t="str">
        <f t="shared" si="11"/>
        <v>304001:150</v>
      </c>
    </row>
    <row r="741" spans="5:7">
      <c r="E741">
        <v>304001</v>
      </c>
      <c r="F741">
        <v>150</v>
      </c>
      <c r="G741" t="str">
        <f t="shared" si="11"/>
        <v>304001:150</v>
      </c>
    </row>
    <row r="742" spans="5:7">
      <c r="E742">
        <v>304001</v>
      </c>
      <c r="F742">
        <v>150</v>
      </c>
      <c r="G742" t="str">
        <f t="shared" si="11"/>
        <v>304001:150</v>
      </c>
    </row>
    <row r="743" spans="5:7">
      <c r="E743">
        <v>304001</v>
      </c>
      <c r="F743">
        <v>180</v>
      </c>
      <c r="G743" t="str">
        <f t="shared" si="11"/>
        <v>304001:180</v>
      </c>
    </row>
    <row r="744" spans="5:7">
      <c r="E744">
        <v>304001</v>
      </c>
      <c r="F744">
        <v>180</v>
      </c>
      <c r="G744" t="str">
        <f t="shared" si="11"/>
        <v>304001:180</v>
      </c>
    </row>
    <row r="745" spans="5:7">
      <c r="E745">
        <v>304001</v>
      </c>
      <c r="F745">
        <v>180</v>
      </c>
      <c r="G745" t="str">
        <f t="shared" si="11"/>
        <v>304001:180</v>
      </c>
    </row>
    <row r="746" spans="5:7">
      <c r="E746">
        <v>304001</v>
      </c>
      <c r="F746">
        <v>180</v>
      </c>
      <c r="G746" t="str">
        <f t="shared" si="11"/>
        <v>304001:180</v>
      </c>
    </row>
    <row r="747" spans="5:7">
      <c r="E747">
        <v>304001</v>
      </c>
      <c r="F747">
        <v>180</v>
      </c>
      <c r="G747" t="str">
        <f t="shared" si="11"/>
        <v>304001:180</v>
      </c>
    </row>
    <row r="748" spans="5:7">
      <c r="E748">
        <v>304001</v>
      </c>
      <c r="F748">
        <v>180</v>
      </c>
      <c r="G748" t="str">
        <f t="shared" si="11"/>
        <v>304001:180</v>
      </c>
    </row>
    <row r="749" spans="5:7">
      <c r="E749">
        <v>304001</v>
      </c>
      <c r="F749">
        <v>180</v>
      </c>
      <c r="G749" t="str">
        <f t="shared" si="11"/>
        <v>304001:180</v>
      </c>
    </row>
    <row r="750" spans="5:7">
      <c r="E750">
        <v>304001</v>
      </c>
      <c r="F750">
        <v>180</v>
      </c>
      <c r="G750" t="str">
        <f t="shared" si="11"/>
        <v>304001:180</v>
      </c>
    </row>
    <row r="751" spans="5:7">
      <c r="E751">
        <v>304001</v>
      </c>
      <c r="F751">
        <v>180</v>
      </c>
      <c r="G751" t="str">
        <f t="shared" si="11"/>
        <v>304001:180</v>
      </c>
    </row>
    <row r="752" spans="5:7">
      <c r="E752">
        <v>304001</v>
      </c>
      <c r="F752">
        <v>180</v>
      </c>
      <c r="G752" t="str">
        <f t="shared" si="11"/>
        <v>304001:180</v>
      </c>
    </row>
    <row r="753" spans="5:7">
      <c r="E753">
        <v>304001</v>
      </c>
      <c r="F753">
        <v>180</v>
      </c>
      <c r="G753" t="str">
        <f t="shared" si="11"/>
        <v>304001:180</v>
      </c>
    </row>
    <row r="754" spans="5:7">
      <c r="E754">
        <v>304001</v>
      </c>
      <c r="F754">
        <v>180</v>
      </c>
      <c r="G754" t="str">
        <f t="shared" si="11"/>
        <v>304001:180</v>
      </c>
    </row>
    <row r="755" spans="5:7">
      <c r="E755">
        <v>304001</v>
      </c>
      <c r="F755">
        <v>180</v>
      </c>
      <c r="G755" t="str">
        <f t="shared" si="11"/>
        <v>304001:180</v>
      </c>
    </row>
    <row r="756" spans="5:7">
      <c r="E756">
        <v>0</v>
      </c>
      <c r="G756">
        <f t="shared" si="11"/>
        <v>0</v>
      </c>
    </row>
    <row r="757" spans="5:7">
      <c r="E757">
        <v>305001</v>
      </c>
      <c r="F757">
        <v>20</v>
      </c>
      <c r="G757" t="str">
        <f t="shared" si="11"/>
        <v>305001:20</v>
      </c>
    </row>
    <row r="758" spans="5:7">
      <c r="E758">
        <v>305001</v>
      </c>
      <c r="F758">
        <v>20</v>
      </c>
      <c r="G758" t="str">
        <f t="shared" si="11"/>
        <v>305001:20</v>
      </c>
    </row>
    <row r="759" spans="5:7">
      <c r="E759">
        <v>305001</v>
      </c>
      <c r="F759">
        <v>20</v>
      </c>
      <c r="G759" t="str">
        <f t="shared" si="11"/>
        <v>305001:20</v>
      </c>
    </row>
    <row r="760" spans="5:7">
      <c r="E760">
        <v>305001</v>
      </c>
      <c r="F760">
        <v>20</v>
      </c>
      <c r="G760" t="str">
        <f t="shared" si="11"/>
        <v>305001:20</v>
      </c>
    </row>
    <row r="761" spans="5:7">
      <c r="E761">
        <v>305001</v>
      </c>
      <c r="F761">
        <v>20</v>
      </c>
      <c r="G761" t="str">
        <f t="shared" si="11"/>
        <v>305001:20</v>
      </c>
    </row>
    <row r="762" spans="5:7">
      <c r="E762">
        <v>305001</v>
      </c>
      <c r="F762">
        <v>20</v>
      </c>
      <c r="G762" t="str">
        <f t="shared" si="11"/>
        <v>305001:20</v>
      </c>
    </row>
    <row r="763" spans="5:7">
      <c r="E763">
        <v>305001</v>
      </c>
      <c r="F763">
        <v>20</v>
      </c>
      <c r="G763" t="str">
        <f t="shared" si="11"/>
        <v>305001:20</v>
      </c>
    </row>
    <row r="764" spans="5:7">
      <c r="E764">
        <v>305001</v>
      </c>
      <c r="F764">
        <v>40</v>
      </c>
      <c r="G764" t="str">
        <f t="shared" si="11"/>
        <v>305001:40</v>
      </c>
    </row>
    <row r="765" spans="5:7">
      <c r="E765">
        <v>305001</v>
      </c>
      <c r="F765">
        <v>40</v>
      </c>
      <c r="G765" t="str">
        <f t="shared" si="11"/>
        <v>305001:40</v>
      </c>
    </row>
    <row r="766" spans="5:7">
      <c r="E766">
        <v>305001</v>
      </c>
      <c r="F766">
        <v>40</v>
      </c>
      <c r="G766" t="str">
        <f t="shared" si="11"/>
        <v>305001:40</v>
      </c>
    </row>
    <row r="767" spans="5:7">
      <c r="E767">
        <v>305001</v>
      </c>
      <c r="F767">
        <v>40</v>
      </c>
      <c r="G767" t="str">
        <f t="shared" si="11"/>
        <v>305001:40</v>
      </c>
    </row>
    <row r="768" spans="5:7">
      <c r="E768">
        <v>305001</v>
      </c>
      <c r="F768">
        <v>40</v>
      </c>
      <c r="G768" t="str">
        <f t="shared" si="11"/>
        <v>305001:40</v>
      </c>
    </row>
    <row r="769" spans="5:7">
      <c r="E769">
        <v>305001</v>
      </c>
      <c r="F769">
        <v>40</v>
      </c>
      <c r="G769" t="str">
        <f t="shared" si="11"/>
        <v>305001:40</v>
      </c>
    </row>
    <row r="770" spans="5:7">
      <c r="E770">
        <v>305001</v>
      </c>
      <c r="F770">
        <v>40</v>
      </c>
      <c r="G770" t="str">
        <f t="shared" ref="G770:G833" si="12">IF(E770=0,0,E770&amp;":"&amp;F770)</f>
        <v>305001:40</v>
      </c>
    </row>
    <row r="771" spans="5:7">
      <c r="E771">
        <v>305001</v>
      </c>
      <c r="F771">
        <v>90</v>
      </c>
      <c r="G771" t="str">
        <f t="shared" si="12"/>
        <v>305001:90</v>
      </c>
    </row>
    <row r="772" spans="5:7">
      <c r="E772">
        <v>305001</v>
      </c>
      <c r="F772">
        <v>90</v>
      </c>
      <c r="G772" t="str">
        <f t="shared" si="12"/>
        <v>305001:90</v>
      </c>
    </row>
    <row r="773" spans="5:7">
      <c r="E773">
        <v>305001</v>
      </c>
      <c r="F773">
        <v>90</v>
      </c>
      <c r="G773" t="str">
        <f t="shared" si="12"/>
        <v>305001:90</v>
      </c>
    </row>
    <row r="774" spans="5:7">
      <c r="E774">
        <v>305001</v>
      </c>
      <c r="F774">
        <v>90</v>
      </c>
      <c r="G774" t="str">
        <f t="shared" si="12"/>
        <v>305001:90</v>
      </c>
    </row>
    <row r="775" spans="5:7">
      <c r="E775">
        <v>305001</v>
      </c>
      <c r="F775">
        <v>90</v>
      </c>
      <c r="G775" t="str">
        <f t="shared" si="12"/>
        <v>305001:90</v>
      </c>
    </row>
    <row r="776" spans="5:7">
      <c r="E776">
        <v>305001</v>
      </c>
      <c r="F776">
        <v>90</v>
      </c>
      <c r="G776" t="str">
        <f t="shared" si="12"/>
        <v>305001:90</v>
      </c>
    </row>
    <row r="777" spans="5:7">
      <c r="E777">
        <v>305001</v>
      </c>
      <c r="F777">
        <v>90</v>
      </c>
      <c r="G777" t="str">
        <f t="shared" si="12"/>
        <v>305001:90</v>
      </c>
    </row>
    <row r="778" spans="5:7">
      <c r="E778">
        <v>305001</v>
      </c>
      <c r="F778">
        <v>150</v>
      </c>
      <c r="G778" t="str">
        <f t="shared" si="12"/>
        <v>305001:150</v>
      </c>
    </row>
    <row r="779" spans="5:7">
      <c r="E779">
        <v>305001</v>
      </c>
      <c r="F779">
        <v>150</v>
      </c>
      <c r="G779" t="str">
        <f t="shared" si="12"/>
        <v>305001:150</v>
      </c>
    </row>
    <row r="780" spans="5:7">
      <c r="E780">
        <v>305001</v>
      </c>
      <c r="F780">
        <v>150</v>
      </c>
      <c r="G780" t="str">
        <f t="shared" si="12"/>
        <v>305001:150</v>
      </c>
    </row>
    <row r="781" spans="5:7">
      <c r="E781">
        <v>305001</v>
      </c>
      <c r="F781">
        <v>150</v>
      </c>
      <c r="G781" t="str">
        <f t="shared" si="12"/>
        <v>305001:150</v>
      </c>
    </row>
    <row r="782" spans="5:7">
      <c r="E782">
        <v>305001</v>
      </c>
      <c r="F782">
        <v>150</v>
      </c>
      <c r="G782" t="str">
        <f t="shared" si="12"/>
        <v>305001:150</v>
      </c>
    </row>
    <row r="783" spans="5:7">
      <c r="E783">
        <v>305001</v>
      </c>
      <c r="F783">
        <v>150</v>
      </c>
      <c r="G783" t="str">
        <f t="shared" si="12"/>
        <v>305001:150</v>
      </c>
    </row>
    <row r="784" spans="5:7">
      <c r="E784">
        <v>305001</v>
      </c>
      <c r="F784">
        <v>150</v>
      </c>
      <c r="G784" t="str">
        <f t="shared" si="12"/>
        <v>305001:150</v>
      </c>
    </row>
    <row r="785" spans="5:7">
      <c r="E785">
        <v>305001</v>
      </c>
      <c r="F785">
        <v>180</v>
      </c>
      <c r="G785" t="str">
        <f t="shared" si="12"/>
        <v>305001:180</v>
      </c>
    </row>
    <row r="786" spans="5:7">
      <c r="E786">
        <v>305001</v>
      </c>
      <c r="F786">
        <v>180</v>
      </c>
      <c r="G786" t="str">
        <f t="shared" si="12"/>
        <v>305001:180</v>
      </c>
    </row>
    <row r="787" spans="5:7">
      <c r="E787">
        <v>305001</v>
      </c>
      <c r="F787">
        <v>180</v>
      </c>
      <c r="G787" t="str">
        <f t="shared" si="12"/>
        <v>305001:180</v>
      </c>
    </row>
    <row r="788" spans="5:7">
      <c r="E788">
        <v>305001</v>
      </c>
      <c r="F788">
        <v>180</v>
      </c>
      <c r="G788" t="str">
        <f t="shared" si="12"/>
        <v>305001:180</v>
      </c>
    </row>
    <row r="789" spans="5:7">
      <c r="E789">
        <v>305001</v>
      </c>
      <c r="F789">
        <v>180</v>
      </c>
      <c r="G789" t="str">
        <f t="shared" si="12"/>
        <v>305001:180</v>
      </c>
    </row>
    <row r="790" spans="5:7">
      <c r="E790">
        <v>305001</v>
      </c>
      <c r="F790">
        <v>180</v>
      </c>
      <c r="G790" t="str">
        <f t="shared" si="12"/>
        <v>305001:180</v>
      </c>
    </row>
    <row r="791" spans="5:7">
      <c r="E791">
        <v>305001</v>
      </c>
      <c r="F791">
        <v>180</v>
      </c>
      <c r="G791" t="str">
        <f t="shared" si="12"/>
        <v>305001:180</v>
      </c>
    </row>
    <row r="792" spans="5:7">
      <c r="E792">
        <v>305001</v>
      </c>
      <c r="F792">
        <v>180</v>
      </c>
      <c r="G792" t="str">
        <f t="shared" si="12"/>
        <v>305001:180</v>
      </c>
    </row>
    <row r="793" spans="5:7">
      <c r="E793">
        <v>305001</v>
      </c>
      <c r="F793">
        <v>180</v>
      </c>
      <c r="G793" t="str">
        <f t="shared" si="12"/>
        <v>305001:180</v>
      </c>
    </row>
    <row r="794" spans="5:7">
      <c r="E794">
        <v>305001</v>
      </c>
      <c r="F794">
        <v>180</v>
      </c>
      <c r="G794" t="str">
        <f t="shared" si="12"/>
        <v>305001:180</v>
      </c>
    </row>
    <row r="795" spans="5:7">
      <c r="E795">
        <v>305001</v>
      </c>
      <c r="F795">
        <v>180</v>
      </c>
      <c r="G795" t="str">
        <f t="shared" si="12"/>
        <v>305001:180</v>
      </c>
    </row>
    <row r="796" spans="5:7">
      <c r="E796">
        <v>305001</v>
      </c>
      <c r="F796">
        <v>180</v>
      </c>
      <c r="G796" t="str">
        <f t="shared" si="12"/>
        <v>305001:180</v>
      </c>
    </row>
    <row r="797" spans="5:7">
      <c r="E797">
        <v>305001</v>
      </c>
      <c r="F797">
        <v>180</v>
      </c>
      <c r="G797" t="str">
        <f t="shared" si="12"/>
        <v>305001:180</v>
      </c>
    </row>
    <row r="798" spans="5:7">
      <c r="E798">
        <v>0</v>
      </c>
      <c r="G798">
        <f t="shared" si="12"/>
        <v>0</v>
      </c>
    </row>
    <row r="799" spans="5:7">
      <c r="E799">
        <v>306001</v>
      </c>
      <c r="F799">
        <v>20</v>
      </c>
      <c r="G799" t="str">
        <f t="shared" si="12"/>
        <v>306001:20</v>
      </c>
    </row>
    <row r="800" spans="5:7">
      <c r="E800">
        <v>306001</v>
      </c>
      <c r="F800">
        <v>20</v>
      </c>
      <c r="G800" t="str">
        <f t="shared" si="12"/>
        <v>306001:20</v>
      </c>
    </row>
    <row r="801" spans="5:7">
      <c r="E801">
        <v>306001</v>
      </c>
      <c r="F801">
        <v>20</v>
      </c>
      <c r="G801" t="str">
        <f t="shared" si="12"/>
        <v>306001:20</v>
      </c>
    </row>
    <row r="802" spans="5:7">
      <c r="E802">
        <v>306001</v>
      </c>
      <c r="F802">
        <v>20</v>
      </c>
      <c r="G802" t="str">
        <f t="shared" si="12"/>
        <v>306001:20</v>
      </c>
    </row>
    <row r="803" spans="5:7">
      <c r="E803">
        <v>306001</v>
      </c>
      <c r="F803">
        <v>20</v>
      </c>
      <c r="G803" t="str">
        <f t="shared" si="12"/>
        <v>306001:20</v>
      </c>
    </row>
    <row r="804" spans="5:7">
      <c r="E804">
        <v>306001</v>
      </c>
      <c r="F804">
        <v>20</v>
      </c>
      <c r="G804" t="str">
        <f t="shared" si="12"/>
        <v>306001:20</v>
      </c>
    </row>
    <row r="805" spans="5:7">
      <c r="E805">
        <v>306001</v>
      </c>
      <c r="F805">
        <v>20</v>
      </c>
      <c r="G805" t="str">
        <f t="shared" si="12"/>
        <v>306001:20</v>
      </c>
    </row>
    <row r="806" spans="5:7">
      <c r="E806">
        <v>306001</v>
      </c>
      <c r="F806">
        <v>40</v>
      </c>
      <c r="G806" t="str">
        <f t="shared" si="12"/>
        <v>306001:40</v>
      </c>
    </row>
    <row r="807" spans="5:7">
      <c r="E807">
        <v>306001</v>
      </c>
      <c r="F807">
        <v>40</v>
      </c>
      <c r="G807" t="str">
        <f t="shared" si="12"/>
        <v>306001:40</v>
      </c>
    </row>
    <row r="808" spans="5:7">
      <c r="E808">
        <v>306001</v>
      </c>
      <c r="F808">
        <v>40</v>
      </c>
      <c r="G808" t="str">
        <f t="shared" si="12"/>
        <v>306001:40</v>
      </c>
    </row>
    <row r="809" spans="5:7">
      <c r="E809">
        <v>306001</v>
      </c>
      <c r="F809">
        <v>40</v>
      </c>
      <c r="G809" t="str">
        <f t="shared" si="12"/>
        <v>306001:40</v>
      </c>
    </row>
    <row r="810" spans="5:7">
      <c r="E810">
        <v>306001</v>
      </c>
      <c r="F810">
        <v>40</v>
      </c>
      <c r="G810" t="str">
        <f t="shared" si="12"/>
        <v>306001:40</v>
      </c>
    </row>
    <row r="811" spans="5:7">
      <c r="E811">
        <v>306001</v>
      </c>
      <c r="F811">
        <v>40</v>
      </c>
      <c r="G811" t="str">
        <f t="shared" si="12"/>
        <v>306001:40</v>
      </c>
    </row>
    <row r="812" spans="5:7">
      <c r="E812">
        <v>306001</v>
      </c>
      <c r="F812">
        <v>40</v>
      </c>
      <c r="G812" t="str">
        <f t="shared" si="12"/>
        <v>306001:40</v>
      </c>
    </row>
    <row r="813" spans="5:7">
      <c r="E813">
        <v>306001</v>
      </c>
      <c r="F813">
        <v>90</v>
      </c>
      <c r="G813" t="str">
        <f t="shared" si="12"/>
        <v>306001:90</v>
      </c>
    </row>
    <row r="814" spans="5:7">
      <c r="E814">
        <v>306001</v>
      </c>
      <c r="F814">
        <v>90</v>
      </c>
      <c r="G814" t="str">
        <f t="shared" si="12"/>
        <v>306001:90</v>
      </c>
    </row>
    <row r="815" spans="5:7">
      <c r="E815">
        <v>306001</v>
      </c>
      <c r="F815">
        <v>90</v>
      </c>
      <c r="G815" t="str">
        <f t="shared" si="12"/>
        <v>306001:90</v>
      </c>
    </row>
    <row r="816" spans="5:7">
      <c r="E816">
        <v>306001</v>
      </c>
      <c r="F816">
        <v>90</v>
      </c>
      <c r="G816" t="str">
        <f t="shared" si="12"/>
        <v>306001:90</v>
      </c>
    </row>
    <row r="817" spans="5:7">
      <c r="E817">
        <v>306001</v>
      </c>
      <c r="F817">
        <v>90</v>
      </c>
      <c r="G817" t="str">
        <f t="shared" si="12"/>
        <v>306001:90</v>
      </c>
    </row>
    <row r="818" spans="5:7">
      <c r="E818">
        <v>306001</v>
      </c>
      <c r="F818">
        <v>90</v>
      </c>
      <c r="G818" t="str">
        <f t="shared" si="12"/>
        <v>306001:90</v>
      </c>
    </row>
    <row r="819" spans="5:7">
      <c r="E819">
        <v>306001</v>
      </c>
      <c r="F819">
        <v>90</v>
      </c>
      <c r="G819" t="str">
        <f t="shared" si="12"/>
        <v>306001:90</v>
      </c>
    </row>
    <row r="820" spans="5:7">
      <c r="E820">
        <v>306001</v>
      </c>
      <c r="F820">
        <v>150</v>
      </c>
      <c r="G820" t="str">
        <f t="shared" si="12"/>
        <v>306001:150</v>
      </c>
    </row>
    <row r="821" spans="5:7">
      <c r="E821">
        <v>306001</v>
      </c>
      <c r="F821">
        <v>150</v>
      </c>
      <c r="G821" t="str">
        <f t="shared" si="12"/>
        <v>306001:150</v>
      </c>
    </row>
    <row r="822" spans="5:7">
      <c r="E822">
        <v>306001</v>
      </c>
      <c r="F822">
        <v>150</v>
      </c>
      <c r="G822" t="str">
        <f t="shared" si="12"/>
        <v>306001:150</v>
      </c>
    </row>
    <row r="823" spans="5:7">
      <c r="E823">
        <v>306001</v>
      </c>
      <c r="F823">
        <v>150</v>
      </c>
      <c r="G823" t="str">
        <f t="shared" si="12"/>
        <v>306001:150</v>
      </c>
    </row>
    <row r="824" spans="5:7">
      <c r="E824">
        <v>306001</v>
      </c>
      <c r="F824">
        <v>150</v>
      </c>
      <c r="G824" t="str">
        <f t="shared" si="12"/>
        <v>306001:150</v>
      </c>
    </row>
    <row r="825" spans="5:7">
      <c r="E825">
        <v>306001</v>
      </c>
      <c r="F825">
        <v>150</v>
      </c>
      <c r="G825" t="str">
        <f t="shared" si="12"/>
        <v>306001:150</v>
      </c>
    </row>
    <row r="826" spans="5:7">
      <c r="E826">
        <v>306001</v>
      </c>
      <c r="F826">
        <v>150</v>
      </c>
      <c r="G826" t="str">
        <f t="shared" si="12"/>
        <v>306001:150</v>
      </c>
    </row>
    <row r="827" spans="5:7">
      <c r="E827">
        <v>306001</v>
      </c>
      <c r="F827">
        <v>180</v>
      </c>
      <c r="G827" t="str">
        <f t="shared" si="12"/>
        <v>306001:180</v>
      </c>
    </row>
    <row r="828" spans="5:7">
      <c r="E828">
        <v>306001</v>
      </c>
      <c r="F828">
        <v>180</v>
      </c>
      <c r="G828" t="str">
        <f t="shared" si="12"/>
        <v>306001:180</v>
      </c>
    </row>
    <row r="829" spans="5:7">
      <c r="E829">
        <v>306001</v>
      </c>
      <c r="F829">
        <v>180</v>
      </c>
      <c r="G829" t="str">
        <f t="shared" si="12"/>
        <v>306001:180</v>
      </c>
    </row>
    <row r="830" spans="5:7">
      <c r="E830">
        <v>306001</v>
      </c>
      <c r="F830">
        <v>180</v>
      </c>
      <c r="G830" t="str">
        <f t="shared" si="12"/>
        <v>306001:180</v>
      </c>
    </row>
    <row r="831" spans="5:7">
      <c r="E831">
        <v>306001</v>
      </c>
      <c r="F831">
        <v>180</v>
      </c>
      <c r="G831" t="str">
        <f t="shared" si="12"/>
        <v>306001:180</v>
      </c>
    </row>
    <row r="832" spans="5:7">
      <c r="E832">
        <v>306001</v>
      </c>
      <c r="F832">
        <v>180</v>
      </c>
      <c r="G832" t="str">
        <f t="shared" si="12"/>
        <v>306001:180</v>
      </c>
    </row>
    <row r="833" spans="5:7">
      <c r="E833">
        <v>306001</v>
      </c>
      <c r="F833">
        <v>180</v>
      </c>
      <c r="G833" t="str">
        <f t="shared" si="12"/>
        <v>306001:180</v>
      </c>
    </row>
    <row r="834" spans="5:7">
      <c r="E834">
        <v>306001</v>
      </c>
      <c r="F834">
        <v>180</v>
      </c>
      <c r="G834" t="str">
        <f t="shared" ref="G834:G897" si="13">IF(E834=0,0,E834&amp;":"&amp;F834)</f>
        <v>306001:180</v>
      </c>
    </row>
    <row r="835" spans="5:7">
      <c r="E835">
        <v>306001</v>
      </c>
      <c r="F835">
        <v>180</v>
      </c>
      <c r="G835" t="str">
        <f t="shared" si="13"/>
        <v>306001:180</v>
      </c>
    </row>
    <row r="836" spans="5:7">
      <c r="E836">
        <v>306001</v>
      </c>
      <c r="F836">
        <v>180</v>
      </c>
      <c r="G836" t="str">
        <f t="shared" si="13"/>
        <v>306001:180</v>
      </c>
    </row>
    <row r="837" spans="5:7">
      <c r="E837">
        <v>306001</v>
      </c>
      <c r="F837">
        <v>180</v>
      </c>
      <c r="G837" t="str">
        <f t="shared" si="13"/>
        <v>306001:180</v>
      </c>
    </row>
    <row r="838" spans="5:7">
      <c r="E838">
        <v>306001</v>
      </c>
      <c r="F838">
        <v>180</v>
      </c>
      <c r="G838" t="str">
        <f t="shared" si="13"/>
        <v>306001:180</v>
      </c>
    </row>
    <row r="839" spans="5:7">
      <c r="E839">
        <v>306001</v>
      </c>
      <c r="F839">
        <v>180</v>
      </c>
      <c r="G839" t="str">
        <f t="shared" si="13"/>
        <v>306001:180</v>
      </c>
    </row>
    <row r="840" spans="5:7">
      <c r="E840">
        <v>0</v>
      </c>
      <c r="G840">
        <f t="shared" si="13"/>
        <v>0</v>
      </c>
    </row>
    <row r="841" spans="5:7">
      <c r="E841">
        <v>307001</v>
      </c>
      <c r="F841">
        <v>20</v>
      </c>
      <c r="G841" t="str">
        <f t="shared" si="13"/>
        <v>307001:20</v>
      </c>
    </row>
    <row r="842" spans="5:7">
      <c r="E842">
        <v>307001</v>
      </c>
      <c r="F842">
        <v>20</v>
      </c>
      <c r="G842" t="str">
        <f t="shared" si="13"/>
        <v>307001:20</v>
      </c>
    </row>
    <row r="843" spans="5:7">
      <c r="E843">
        <v>307001</v>
      </c>
      <c r="F843">
        <v>20</v>
      </c>
      <c r="G843" t="str">
        <f t="shared" si="13"/>
        <v>307001:20</v>
      </c>
    </row>
    <row r="844" spans="5:7">
      <c r="E844">
        <v>307001</v>
      </c>
      <c r="F844">
        <v>20</v>
      </c>
      <c r="G844" t="str">
        <f t="shared" si="13"/>
        <v>307001:20</v>
      </c>
    </row>
    <row r="845" spans="5:7">
      <c r="E845">
        <v>307001</v>
      </c>
      <c r="F845">
        <v>20</v>
      </c>
      <c r="G845" t="str">
        <f t="shared" si="13"/>
        <v>307001:20</v>
      </c>
    </row>
    <row r="846" spans="5:7">
      <c r="E846">
        <v>307001</v>
      </c>
      <c r="F846">
        <v>20</v>
      </c>
      <c r="G846" t="str">
        <f t="shared" si="13"/>
        <v>307001:20</v>
      </c>
    </row>
    <row r="847" spans="5:7">
      <c r="E847">
        <v>307001</v>
      </c>
      <c r="F847">
        <v>20</v>
      </c>
      <c r="G847" t="str">
        <f t="shared" si="13"/>
        <v>307001:20</v>
      </c>
    </row>
    <row r="848" spans="5:7">
      <c r="E848">
        <v>307001</v>
      </c>
      <c r="F848">
        <v>40</v>
      </c>
      <c r="G848" t="str">
        <f t="shared" si="13"/>
        <v>307001:40</v>
      </c>
    </row>
    <row r="849" spans="5:7">
      <c r="E849">
        <v>307001</v>
      </c>
      <c r="F849">
        <v>40</v>
      </c>
      <c r="G849" t="str">
        <f t="shared" si="13"/>
        <v>307001:40</v>
      </c>
    </row>
    <row r="850" spans="5:7">
      <c r="E850">
        <v>307001</v>
      </c>
      <c r="F850">
        <v>40</v>
      </c>
      <c r="G850" t="str">
        <f t="shared" si="13"/>
        <v>307001:40</v>
      </c>
    </row>
    <row r="851" spans="5:7">
      <c r="E851">
        <v>307001</v>
      </c>
      <c r="F851">
        <v>40</v>
      </c>
      <c r="G851" t="str">
        <f t="shared" si="13"/>
        <v>307001:40</v>
      </c>
    </row>
    <row r="852" spans="5:7">
      <c r="E852">
        <v>307001</v>
      </c>
      <c r="F852">
        <v>40</v>
      </c>
      <c r="G852" t="str">
        <f t="shared" si="13"/>
        <v>307001:40</v>
      </c>
    </row>
    <row r="853" spans="5:7">
      <c r="E853">
        <v>307001</v>
      </c>
      <c r="F853">
        <v>40</v>
      </c>
      <c r="G853" t="str">
        <f t="shared" si="13"/>
        <v>307001:40</v>
      </c>
    </row>
    <row r="854" spans="5:7">
      <c r="E854">
        <v>307001</v>
      </c>
      <c r="F854">
        <v>40</v>
      </c>
      <c r="G854" t="str">
        <f t="shared" si="13"/>
        <v>307001:40</v>
      </c>
    </row>
    <row r="855" spans="5:7">
      <c r="E855">
        <v>307001</v>
      </c>
      <c r="F855">
        <v>90</v>
      </c>
      <c r="G855" t="str">
        <f t="shared" si="13"/>
        <v>307001:90</v>
      </c>
    </row>
    <row r="856" spans="5:7">
      <c r="E856">
        <v>307001</v>
      </c>
      <c r="F856">
        <v>90</v>
      </c>
      <c r="G856" t="str">
        <f t="shared" si="13"/>
        <v>307001:90</v>
      </c>
    </row>
    <row r="857" spans="5:7">
      <c r="E857">
        <v>307001</v>
      </c>
      <c r="F857">
        <v>90</v>
      </c>
      <c r="G857" t="str">
        <f t="shared" si="13"/>
        <v>307001:90</v>
      </c>
    </row>
    <row r="858" spans="5:7">
      <c r="E858">
        <v>307001</v>
      </c>
      <c r="F858">
        <v>90</v>
      </c>
      <c r="G858" t="str">
        <f t="shared" si="13"/>
        <v>307001:90</v>
      </c>
    </row>
    <row r="859" spans="5:7">
      <c r="E859">
        <v>307001</v>
      </c>
      <c r="F859">
        <v>90</v>
      </c>
      <c r="G859" t="str">
        <f t="shared" si="13"/>
        <v>307001:90</v>
      </c>
    </row>
    <row r="860" spans="5:7">
      <c r="E860">
        <v>307001</v>
      </c>
      <c r="F860">
        <v>90</v>
      </c>
      <c r="G860" t="str">
        <f t="shared" si="13"/>
        <v>307001:90</v>
      </c>
    </row>
    <row r="861" spans="5:7">
      <c r="E861">
        <v>307001</v>
      </c>
      <c r="F861">
        <v>90</v>
      </c>
      <c r="G861" t="str">
        <f t="shared" si="13"/>
        <v>307001:90</v>
      </c>
    </row>
    <row r="862" spans="5:7">
      <c r="E862">
        <v>307001</v>
      </c>
      <c r="F862">
        <v>150</v>
      </c>
      <c r="G862" t="str">
        <f t="shared" si="13"/>
        <v>307001:150</v>
      </c>
    </row>
    <row r="863" spans="5:7">
      <c r="E863">
        <v>307001</v>
      </c>
      <c r="F863">
        <v>150</v>
      </c>
      <c r="G863" t="str">
        <f t="shared" si="13"/>
        <v>307001:150</v>
      </c>
    </row>
    <row r="864" spans="5:7">
      <c r="E864">
        <v>307001</v>
      </c>
      <c r="F864">
        <v>150</v>
      </c>
      <c r="G864" t="str">
        <f t="shared" si="13"/>
        <v>307001:150</v>
      </c>
    </row>
    <row r="865" spans="5:7">
      <c r="E865">
        <v>307001</v>
      </c>
      <c r="F865">
        <v>150</v>
      </c>
      <c r="G865" t="str">
        <f t="shared" si="13"/>
        <v>307001:150</v>
      </c>
    </row>
    <row r="866" spans="5:7">
      <c r="E866">
        <v>307001</v>
      </c>
      <c r="F866">
        <v>150</v>
      </c>
      <c r="G866" t="str">
        <f t="shared" si="13"/>
        <v>307001:150</v>
      </c>
    </row>
    <row r="867" spans="5:7">
      <c r="E867">
        <v>307001</v>
      </c>
      <c r="F867">
        <v>150</v>
      </c>
      <c r="G867" t="str">
        <f t="shared" si="13"/>
        <v>307001:150</v>
      </c>
    </row>
    <row r="868" spans="5:7">
      <c r="E868">
        <v>307001</v>
      </c>
      <c r="F868">
        <v>150</v>
      </c>
      <c r="G868" t="str">
        <f t="shared" si="13"/>
        <v>307001:150</v>
      </c>
    </row>
    <row r="869" spans="5:7">
      <c r="E869">
        <v>307001</v>
      </c>
      <c r="F869">
        <v>180</v>
      </c>
      <c r="G869" t="str">
        <f t="shared" si="13"/>
        <v>307001:180</v>
      </c>
    </row>
    <row r="870" spans="5:7">
      <c r="E870">
        <v>307001</v>
      </c>
      <c r="F870">
        <v>180</v>
      </c>
      <c r="G870" t="str">
        <f t="shared" si="13"/>
        <v>307001:180</v>
      </c>
    </row>
    <row r="871" spans="5:7">
      <c r="E871">
        <v>307001</v>
      </c>
      <c r="F871">
        <v>180</v>
      </c>
      <c r="G871" t="str">
        <f t="shared" si="13"/>
        <v>307001:180</v>
      </c>
    </row>
    <row r="872" spans="5:7">
      <c r="E872">
        <v>307001</v>
      </c>
      <c r="F872">
        <v>180</v>
      </c>
      <c r="G872" t="str">
        <f t="shared" si="13"/>
        <v>307001:180</v>
      </c>
    </row>
    <row r="873" spans="5:7">
      <c r="E873">
        <v>307001</v>
      </c>
      <c r="F873">
        <v>180</v>
      </c>
      <c r="G873" t="str">
        <f t="shared" si="13"/>
        <v>307001:180</v>
      </c>
    </row>
    <row r="874" spans="5:7">
      <c r="E874">
        <v>307001</v>
      </c>
      <c r="F874">
        <v>180</v>
      </c>
      <c r="G874" t="str">
        <f t="shared" si="13"/>
        <v>307001:180</v>
      </c>
    </row>
    <row r="875" spans="5:7">
      <c r="E875">
        <v>307001</v>
      </c>
      <c r="F875">
        <v>180</v>
      </c>
      <c r="G875" t="str">
        <f t="shared" si="13"/>
        <v>307001:180</v>
      </c>
    </row>
    <row r="876" spans="5:7">
      <c r="E876">
        <v>307001</v>
      </c>
      <c r="F876">
        <v>180</v>
      </c>
      <c r="G876" t="str">
        <f t="shared" si="13"/>
        <v>307001:180</v>
      </c>
    </row>
    <row r="877" spans="5:7">
      <c r="E877">
        <v>307001</v>
      </c>
      <c r="F877">
        <v>180</v>
      </c>
      <c r="G877" t="str">
        <f t="shared" si="13"/>
        <v>307001:180</v>
      </c>
    </row>
    <row r="878" spans="5:7">
      <c r="E878">
        <v>307001</v>
      </c>
      <c r="F878">
        <v>180</v>
      </c>
      <c r="G878" t="str">
        <f t="shared" si="13"/>
        <v>307001:180</v>
      </c>
    </row>
    <row r="879" spans="5:7">
      <c r="E879">
        <v>307001</v>
      </c>
      <c r="F879">
        <v>180</v>
      </c>
      <c r="G879" t="str">
        <f t="shared" si="13"/>
        <v>307001:180</v>
      </c>
    </row>
    <row r="880" spans="5:7">
      <c r="E880">
        <v>307001</v>
      </c>
      <c r="F880">
        <v>180</v>
      </c>
      <c r="G880" t="str">
        <f t="shared" si="13"/>
        <v>307001:180</v>
      </c>
    </row>
    <row r="881" spans="5:7">
      <c r="E881">
        <v>307001</v>
      </c>
      <c r="F881">
        <v>180</v>
      </c>
      <c r="G881" t="str">
        <f t="shared" si="13"/>
        <v>307001:180</v>
      </c>
    </row>
    <row r="882" spans="5:7">
      <c r="E882">
        <v>0</v>
      </c>
      <c r="G882">
        <f t="shared" si="13"/>
        <v>0</v>
      </c>
    </row>
    <row r="883" spans="5:7">
      <c r="E883">
        <v>307002</v>
      </c>
      <c r="F883">
        <v>20</v>
      </c>
      <c r="G883" t="str">
        <f t="shared" si="13"/>
        <v>307002:20</v>
      </c>
    </row>
    <row r="884" spans="5:7">
      <c r="E884">
        <v>307002</v>
      </c>
      <c r="F884">
        <v>20</v>
      </c>
      <c r="G884" t="str">
        <f t="shared" si="13"/>
        <v>307002:20</v>
      </c>
    </row>
    <row r="885" spans="5:7">
      <c r="E885">
        <v>307002</v>
      </c>
      <c r="F885">
        <v>20</v>
      </c>
      <c r="G885" t="str">
        <f t="shared" si="13"/>
        <v>307002:20</v>
      </c>
    </row>
    <row r="886" spans="5:7">
      <c r="E886">
        <v>307002</v>
      </c>
      <c r="F886">
        <v>20</v>
      </c>
      <c r="G886" t="str">
        <f t="shared" si="13"/>
        <v>307002:20</v>
      </c>
    </row>
    <row r="887" spans="5:7">
      <c r="E887">
        <v>307002</v>
      </c>
      <c r="F887">
        <v>20</v>
      </c>
      <c r="G887" t="str">
        <f t="shared" si="13"/>
        <v>307002:20</v>
      </c>
    </row>
    <row r="888" spans="5:7">
      <c r="E888">
        <v>307002</v>
      </c>
      <c r="F888">
        <v>20</v>
      </c>
      <c r="G888" t="str">
        <f t="shared" si="13"/>
        <v>307002:20</v>
      </c>
    </row>
    <row r="889" spans="5:7">
      <c r="E889">
        <v>307002</v>
      </c>
      <c r="F889">
        <v>20</v>
      </c>
      <c r="G889" t="str">
        <f t="shared" si="13"/>
        <v>307002:20</v>
      </c>
    </row>
    <row r="890" spans="5:7">
      <c r="E890">
        <v>307002</v>
      </c>
      <c r="F890">
        <v>40</v>
      </c>
      <c r="G890" t="str">
        <f t="shared" si="13"/>
        <v>307002:40</v>
      </c>
    </row>
    <row r="891" spans="5:7">
      <c r="E891">
        <v>307002</v>
      </c>
      <c r="F891">
        <v>40</v>
      </c>
      <c r="G891" t="str">
        <f t="shared" si="13"/>
        <v>307002:40</v>
      </c>
    </row>
    <row r="892" spans="5:7">
      <c r="E892">
        <v>307002</v>
      </c>
      <c r="F892">
        <v>40</v>
      </c>
      <c r="G892" t="str">
        <f t="shared" si="13"/>
        <v>307002:40</v>
      </c>
    </row>
    <row r="893" spans="5:7">
      <c r="E893">
        <v>307002</v>
      </c>
      <c r="F893">
        <v>40</v>
      </c>
      <c r="G893" t="str">
        <f t="shared" si="13"/>
        <v>307002:40</v>
      </c>
    </row>
    <row r="894" spans="5:7">
      <c r="E894">
        <v>307002</v>
      </c>
      <c r="F894">
        <v>40</v>
      </c>
      <c r="G894" t="str">
        <f t="shared" si="13"/>
        <v>307002:40</v>
      </c>
    </row>
    <row r="895" spans="5:7">
      <c r="E895">
        <v>307002</v>
      </c>
      <c r="F895">
        <v>40</v>
      </c>
      <c r="G895" t="str">
        <f t="shared" si="13"/>
        <v>307002:40</v>
      </c>
    </row>
    <row r="896" spans="5:7">
      <c r="E896">
        <v>307002</v>
      </c>
      <c r="F896">
        <v>40</v>
      </c>
      <c r="G896" t="str">
        <f t="shared" si="13"/>
        <v>307002:40</v>
      </c>
    </row>
    <row r="897" spans="5:7">
      <c r="E897">
        <v>307002</v>
      </c>
      <c r="F897">
        <v>90</v>
      </c>
      <c r="G897" t="str">
        <f t="shared" si="13"/>
        <v>307002:90</v>
      </c>
    </row>
    <row r="898" spans="5:7">
      <c r="E898">
        <v>307002</v>
      </c>
      <c r="F898">
        <v>90</v>
      </c>
      <c r="G898" t="str">
        <f t="shared" ref="G898:G961" si="14">IF(E898=0,0,E898&amp;":"&amp;F898)</f>
        <v>307002:90</v>
      </c>
    </row>
    <row r="899" spans="5:7">
      <c r="E899">
        <v>307002</v>
      </c>
      <c r="F899">
        <v>90</v>
      </c>
      <c r="G899" t="str">
        <f t="shared" si="14"/>
        <v>307002:90</v>
      </c>
    </row>
    <row r="900" spans="5:7">
      <c r="E900">
        <v>307002</v>
      </c>
      <c r="F900">
        <v>90</v>
      </c>
      <c r="G900" t="str">
        <f t="shared" si="14"/>
        <v>307002:90</v>
      </c>
    </row>
    <row r="901" spans="5:7">
      <c r="E901">
        <v>307002</v>
      </c>
      <c r="F901">
        <v>90</v>
      </c>
      <c r="G901" t="str">
        <f t="shared" si="14"/>
        <v>307002:90</v>
      </c>
    </row>
    <row r="902" spans="5:7">
      <c r="E902">
        <v>307002</v>
      </c>
      <c r="F902">
        <v>90</v>
      </c>
      <c r="G902" t="str">
        <f t="shared" si="14"/>
        <v>307002:90</v>
      </c>
    </row>
    <row r="903" spans="5:7">
      <c r="E903">
        <v>307002</v>
      </c>
      <c r="F903">
        <v>90</v>
      </c>
      <c r="G903" t="str">
        <f t="shared" si="14"/>
        <v>307002:90</v>
      </c>
    </row>
    <row r="904" spans="5:7">
      <c r="E904">
        <v>307002</v>
      </c>
      <c r="F904">
        <v>150</v>
      </c>
      <c r="G904" t="str">
        <f t="shared" si="14"/>
        <v>307002:150</v>
      </c>
    </row>
    <row r="905" spans="5:7">
      <c r="E905">
        <v>307002</v>
      </c>
      <c r="F905">
        <v>150</v>
      </c>
      <c r="G905" t="str">
        <f t="shared" si="14"/>
        <v>307002:150</v>
      </c>
    </row>
    <row r="906" spans="5:7">
      <c r="E906">
        <v>307002</v>
      </c>
      <c r="F906">
        <v>150</v>
      </c>
      <c r="G906" t="str">
        <f t="shared" si="14"/>
        <v>307002:150</v>
      </c>
    </row>
    <row r="907" spans="5:7">
      <c r="E907">
        <v>307002</v>
      </c>
      <c r="F907">
        <v>150</v>
      </c>
      <c r="G907" t="str">
        <f t="shared" si="14"/>
        <v>307002:150</v>
      </c>
    </row>
    <row r="908" spans="5:7">
      <c r="E908">
        <v>307002</v>
      </c>
      <c r="F908">
        <v>150</v>
      </c>
      <c r="G908" t="str">
        <f t="shared" si="14"/>
        <v>307002:150</v>
      </c>
    </row>
    <row r="909" spans="5:7">
      <c r="E909">
        <v>307002</v>
      </c>
      <c r="F909">
        <v>150</v>
      </c>
      <c r="G909" t="str">
        <f t="shared" si="14"/>
        <v>307002:150</v>
      </c>
    </row>
    <row r="910" spans="5:7">
      <c r="E910">
        <v>307002</v>
      </c>
      <c r="F910">
        <v>150</v>
      </c>
      <c r="G910" t="str">
        <f t="shared" si="14"/>
        <v>307002:150</v>
      </c>
    </row>
    <row r="911" spans="5:7">
      <c r="E911">
        <v>307002</v>
      </c>
      <c r="F911">
        <v>180</v>
      </c>
      <c r="G911" t="str">
        <f t="shared" si="14"/>
        <v>307002:180</v>
      </c>
    </row>
    <row r="912" spans="5:7">
      <c r="E912">
        <v>307002</v>
      </c>
      <c r="F912">
        <v>180</v>
      </c>
      <c r="G912" t="str">
        <f t="shared" si="14"/>
        <v>307002:180</v>
      </c>
    </row>
    <row r="913" spans="5:7">
      <c r="E913">
        <v>307002</v>
      </c>
      <c r="F913">
        <v>180</v>
      </c>
      <c r="G913" t="str">
        <f t="shared" si="14"/>
        <v>307002:180</v>
      </c>
    </row>
    <row r="914" spans="5:7">
      <c r="E914">
        <v>307002</v>
      </c>
      <c r="F914">
        <v>180</v>
      </c>
      <c r="G914" t="str">
        <f t="shared" si="14"/>
        <v>307002:180</v>
      </c>
    </row>
    <row r="915" spans="5:7">
      <c r="E915">
        <v>307002</v>
      </c>
      <c r="F915">
        <v>180</v>
      </c>
      <c r="G915" t="str">
        <f t="shared" si="14"/>
        <v>307002:180</v>
      </c>
    </row>
    <row r="916" spans="5:7">
      <c r="E916">
        <v>307002</v>
      </c>
      <c r="F916">
        <v>180</v>
      </c>
      <c r="G916" t="str">
        <f t="shared" si="14"/>
        <v>307002:180</v>
      </c>
    </row>
    <row r="917" spans="5:7">
      <c r="E917">
        <v>307002</v>
      </c>
      <c r="F917">
        <v>180</v>
      </c>
      <c r="G917" t="str">
        <f t="shared" si="14"/>
        <v>307002:180</v>
      </c>
    </row>
    <row r="918" spans="5:7">
      <c r="E918">
        <v>307002</v>
      </c>
      <c r="F918">
        <v>180</v>
      </c>
      <c r="G918" t="str">
        <f t="shared" si="14"/>
        <v>307002:180</v>
      </c>
    </row>
    <row r="919" spans="5:7">
      <c r="E919">
        <v>307002</v>
      </c>
      <c r="F919">
        <v>180</v>
      </c>
      <c r="G919" t="str">
        <f t="shared" si="14"/>
        <v>307002:180</v>
      </c>
    </row>
    <row r="920" spans="5:7">
      <c r="E920">
        <v>307002</v>
      </c>
      <c r="F920">
        <v>180</v>
      </c>
      <c r="G920" t="str">
        <f t="shared" si="14"/>
        <v>307002:180</v>
      </c>
    </row>
    <row r="921" spans="5:7">
      <c r="E921">
        <v>307002</v>
      </c>
      <c r="F921">
        <v>180</v>
      </c>
      <c r="G921" t="str">
        <f t="shared" si="14"/>
        <v>307002:180</v>
      </c>
    </row>
    <row r="922" spans="5:7">
      <c r="E922">
        <v>307002</v>
      </c>
      <c r="F922">
        <v>180</v>
      </c>
      <c r="G922" t="str">
        <f t="shared" si="14"/>
        <v>307002:180</v>
      </c>
    </row>
    <row r="923" spans="5:7">
      <c r="E923">
        <v>307002</v>
      </c>
      <c r="F923">
        <v>180</v>
      </c>
      <c r="G923" t="str">
        <f t="shared" si="14"/>
        <v>307002:180</v>
      </c>
    </row>
    <row r="924" spans="5:7">
      <c r="E924">
        <v>0</v>
      </c>
      <c r="G924">
        <f t="shared" si="14"/>
        <v>0</v>
      </c>
    </row>
    <row r="925" spans="5:7">
      <c r="E925">
        <v>308001</v>
      </c>
      <c r="F925">
        <v>20</v>
      </c>
      <c r="G925" t="str">
        <f t="shared" si="14"/>
        <v>308001:20</v>
      </c>
    </row>
    <row r="926" spans="5:7">
      <c r="E926">
        <v>308001</v>
      </c>
      <c r="F926">
        <v>20</v>
      </c>
      <c r="G926" t="str">
        <f t="shared" si="14"/>
        <v>308001:20</v>
      </c>
    </row>
    <row r="927" spans="5:7">
      <c r="E927">
        <v>308001</v>
      </c>
      <c r="F927">
        <v>20</v>
      </c>
      <c r="G927" t="str">
        <f t="shared" si="14"/>
        <v>308001:20</v>
      </c>
    </row>
    <row r="928" spans="5:7">
      <c r="E928">
        <v>308001</v>
      </c>
      <c r="F928">
        <v>20</v>
      </c>
      <c r="G928" t="str">
        <f t="shared" si="14"/>
        <v>308001:20</v>
      </c>
    </row>
    <row r="929" spans="5:7">
      <c r="E929">
        <v>308001</v>
      </c>
      <c r="F929">
        <v>20</v>
      </c>
      <c r="G929" t="str">
        <f t="shared" si="14"/>
        <v>308001:20</v>
      </c>
    </row>
    <row r="930" spans="5:7">
      <c r="E930">
        <v>308001</v>
      </c>
      <c r="F930">
        <v>20</v>
      </c>
      <c r="G930" t="str">
        <f t="shared" si="14"/>
        <v>308001:20</v>
      </c>
    </row>
    <row r="931" spans="5:7">
      <c r="E931">
        <v>308001</v>
      </c>
      <c r="F931">
        <v>20</v>
      </c>
      <c r="G931" t="str">
        <f t="shared" si="14"/>
        <v>308001:20</v>
      </c>
    </row>
    <row r="932" spans="5:7">
      <c r="E932">
        <v>308001</v>
      </c>
      <c r="F932">
        <v>40</v>
      </c>
      <c r="G932" t="str">
        <f t="shared" si="14"/>
        <v>308001:40</v>
      </c>
    </row>
    <row r="933" spans="5:7">
      <c r="E933">
        <v>308001</v>
      </c>
      <c r="F933">
        <v>40</v>
      </c>
      <c r="G933" t="str">
        <f t="shared" si="14"/>
        <v>308001:40</v>
      </c>
    </row>
    <row r="934" spans="5:7">
      <c r="E934">
        <v>308001</v>
      </c>
      <c r="F934">
        <v>40</v>
      </c>
      <c r="G934" t="str">
        <f t="shared" si="14"/>
        <v>308001:40</v>
      </c>
    </row>
    <row r="935" spans="5:7">
      <c r="E935">
        <v>308001</v>
      </c>
      <c r="F935">
        <v>40</v>
      </c>
      <c r="G935" t="str">
        <f t="shared" si="14"/>
        <v>308001:40</v>
      </c>
    </row>
    <row r="936" spans="5:7">
      <c r="E936">
        <v>308001</v>
      </c>
      <c r="F936">
        <v>40</v>
      </c>
      <c r="G936" t="str">
        <f t="shared" si="14"/>
        <v>308001:40</v>
      </c>
    </row>
    <row r="937" spans="5:7">
      <c r="E937">
        <v>308001</v>
      </c>
      <c r="F937">
        <v>40</v>
      </c>
      <c r="G937" t="str">
        <f t="shared" si="14"/>
        <v>308001:40</v>
      </c>
    </row>
    <row r="938" spans="5:7">
      <c r="E938">
        <v>308001</v>
      </c>
      <c r="F938">
        <v>40</v>
      </c>
      <c r="G938" t="str">
        <f t="shared" si="14"/>
        <v>308001:40</v>
      </c>
    </row>
    <row r="939" spans="5:7">
      <c r="E939">
        <v>308001</v>
      </c>
      <c r="F939">
        <v>90</v>
      </c>
      <c r="G939" t="str">
        <f t="shared" si="14"/>
        <v>308001:90</v>
      </c>
    </row>
    <row r="940" spans="5:7">
      <c r="E940">
        <v>308001</v>
      </c>
      <c r="F940">
        <v>90</v>
      </c>
      <c r="G940" t="str">
        <f t="shared" si="14"/>
        <v>308001:90</v>
      </c>
    </row>
    <row r="941" spans="5:7">
      <c r="E941">
        <v>308001</v>
      </c>
      <c r="F941">
        <v>90</v>
      </c>
      <c r="G941" t="str">
        <f t="shared" si="14"/>
        <v>308001:90</v>
      </c>
    </row>
    <row r="942" spans="5:7">
      <c r="E942">
        <v>308001</v>
      </c>
      <c r="F942">
        <v>90</v>
      </c>
      <c r="G942" t="str">
        <f t="shared" si="14"/>
        <v>308001:90</v>
      </c>
    </row>
    <row r="943" spans="5:7">
      <c r="E943">
        <v>308001</v>
      </c>
      <c r="F943">
        <v>90</v>
      </c>
      <c r="G943" t="str">
        <f t="shared" si="14"/>
        <v>308001:90</v>
      </c>
    </row>
    <row r="944" spans="5:7">
      <c r="E944">
        <v>308001</v>
      </c>
      <c r="F944">
        <v>90</v>
      </c>
      <c r="G944" t="str">
        <f t="shared" si="14"/>
        <v>308001:90</v>
      </c>
    </row>
    <row r="945" spans="5:7">
      <c r="E945">
        <v>308001</v>
      </c>
      <c r="F945">
        <v>90</v>
      </c>
      <c r="G945" t="str">
        <f t="shared" si="14"/>
        <v>308001:90</v>
      </c>
    </row>
    <row r="946" spans="5:7">
      <c r="E946">
        <v>308001</v>
      </c>
      <c r="F946">
        <v>150</v>
      </c>
      <c r="G946" t="str">
        <f t="shared" si="14"/>
        <v>308001:150</v>
      </c>
    </row>
    <row r="947" spans="5:7">
      <c r="E947">
        <v>308001</v>
      </c>
      <c r="F947">
        <v>150</v>
      </c>
      <c r="G947" t="str">
        <f t="shared" si="14"/>
        <v>308001:150</v>
      </c>
    </row>
    <row r="948" spans="5:7">
      <c r="E948">
        <v>308001</v>
      </c>
      <c r="F948">
        <v>150</v>
      </c>
      <c r="G948" t="str">
        <f t="shared" si="14"/>
        <v>308001:150</v>
      </c>
    </row>
    <row r="949" spans="5:7">
      <c r="E949">
        <v>308001</v>
      </c>
      <c r="F949">
        <v>150</v>
      </c>
      <c r="G949" t="str">
        <f t="shared" si="14"/>
        <v>308001:150</v>
      </c>
    </row>
    <row r="950" spans="5:7">
      <c r="E950">
        <v>308001</v>
      </c>
      <c r="F950">
        <v>150</v>
      </c>
      <c r="G950" t="str">
        <f t="shared" si="14"/>
        <v>308001:150</v>
      </c>
    </row>
    <row r="951" spans="5:7">
      <c r="E951">
        <v>308001</v>
      </c>
      <c r="F951">
        <v>150</v>
      </c>
      <c r="G951" t="str">
        <f t="shared" si="14"/>
        <v>308001:150</v>
      </c>
    </row>
    <row r="952" spans="5:7">
      <c r="E952">
        <v>308001</v>
      </c>
      <c r="F952">
        <v>150</v>
      </c>
      <c r="G952" t="str">
        <f t="shared" si="14"/>
        <v>308001:150</v>
      </c>
    </row>
    <row r="953" spans="5:7">
      <c r="E953">
        <v>308001</v>
      </c>
      <c r="F953">
        <v>180</v>
      </c>
      <c r="G953" t="str">
        <f t="shared" si="14"/>
        <v>308001:180</v>
      </c>
    </row>
    <row r="954" spans="5:7">
      <c r="E954">
        <v>308001</v>
      </c>
      <c r="F954">
        <v>180</v>
      </c>
      <c r="G954" t="str">
        <f t="shared" si="14"/>
        <v>308001:180</v>
      </c>
    </row>
    <row r="955" spans="5:7">
      <c r="E955">
        <v>308001</v>
      </c>
      <c r="F955">
        <v>180</v>
      </c>
      <c r="G955" t="str">
        <f t="shared" si="14"/>
        <v>308001:180</v>
      </c>
    </row>
    <row r="956" spans="5:7">
      <c r="E956">
        <v>308001</v>
      </c>
      <c r="F956">
        <v>180</v>
      </c>
      <c r="G956" t="str">
        <f t="shared" si="14"/>
        <v>308001:180</v>
      </c>
    </row>
    <row r="957" spans="5:7">
      <c r="E957">
        <v>308001</v>
      </c>
      <c r="F957">
        <v>180</v>
      </c>
      <c r="G957" t="str">
        <f t="shared" si="14"/>
        <v>308001:180</v>
      </c>
    </row>
    <row r="958" spans="5:7">
      <c r="E958">
        <v>308001</v>
      </c>
      <c r="F958">
        <v>180</v>
      </c>
      <c r="G958" t="str">
        <f t="shared" si="14"/>
        <v>308001:180</v>
      </c>
    </row>
    <row r="959" spans="5:7">
      <c r="E959">
        <v>308001</v>
      </c>
      <c r="F959">
        <v>180</v>
      </c>
      <c r="G959" t="str">
        <f t="shared" si="14"/>
        <v>308001:180</v>
      </c>
    </row>
    <row r="960" spans="5:7">
      <c r="E960">
        <v>308001</v>
      </c>
      <c r="F960">
        <v>180</v>
      </c>
      <c r="G960" t="str">
        <f t="shared" si="14"/>
        <v>308001:180</v>
      </c>
    </row>
    <row r="961" spans="5:7">
      <c r="E961">
        <v>308001</v>
      </c>
      <c r="F961">
        <v>180</v>
      </c>
      <c r="G961" t="str">
        <f t="shared" si="14"/>
        <v>308001:180</v>
      </c>
    </row>
    <row r="962" spans="5:7">
      <c r="E962">
        <v>308001</v>
      </c>
      <c r="F962">
        <v>180</v>
      </c>
      <c r="G962" t="str">
        <f t="shared" ref="G962:G1008" si="15">IF(E962=0,0,E962&amp;":"&amp;F962)</f>
        <v>308001:180</v>
      </c>
    </row>
    <row r="963" spans="5:7">
      <c r="E963">
        <v>308001</v>
      </c>
      <c r="F963">
        <v>180</v>
      </c>
      <c r="G963" t="str">
        <f t="shared" si="15"/>
        <v>308001:180</v>
      </c>
    </row>
    <row r="964" spans="5:7">
      <c r="E964">
        <v>308001</v>
      </c>
      <c r="F964">
        <v>180</v>
      </c>
      <c r="G964" t="str">
        <f t="shared" si="15"/>
        <v>308001:180</v>
      </c>
    </row>
    <row r="965" spans="5:7">
      <c r="E965">
        <v>308001</v>
      </c>
      <c r="F965">
        <v>180</v>
      </c>
      <c r="G965" t="str">
        <f t="shared" si="15"/>
        <v>308001:180</v>
      </c>
    </row>
    <row r="966" spans="5:7">
      <c r="E966">
        <v>0</v>
      </c>
      <c r="G966">
        <f t="shared" si="15"/>
        <v>0</v>
      </c>
    </row>
    <row r="967" spans="5:7">
      <c r="E967">
        <v>308002</v>
      </c>
      <c r="F967">
        <v>20</v>
      </c>
      <c r="G967" t="str">
        <f t="shared" si="15"/>
        <v>308002:20</v>
      </c>
    </row>
    <row r="968" spans="5:7">
      <c r="E968">
        <v>308002</v>
      </c>
      <c r="F968">
        <v>20</v>
      </c>
      <c r="G968" t="str">
        <f t="shared" si="15"/>
        <v>308002:20</v>
      </c>
    </row>
    <row r="969" spans="5:7">
      <c r="E969">
        <v>308002</v>
      </c>
      <c r="F969">
        <v>20</v>
      </c>
      <c r="G969" t="str">
        <f t="shared" si="15"/>
        <v>308002:20</v>
      </c>
    </row>
    <row r="970" spans="5:7">
      <c r="E970">
        <v>308002</v>
      </c>
      <c r="F970">
        <v>20</v>
      </c>
      <c r="G970" t="str">
        <f t="shared" si="15"/>
        <v>308002:20</v>
      </c>
    </row>
    <row r="971" spans="5:7">
      <c r="E971">
        <v>308002</v>
      </c>
      <c r="F971">
        <v>20</v>
      </c>
      <c r="G971" t="str">
        <f t="shared" si="15"/>
        <v>308002:20</v>
      </c>
    </row>
    <row r="972" spans="5:7">
      <c r="E972">
        <v>308002</v>
      </c>
      <c r="F972">
        <v>20</v>
      </c>
      <c r="G972" t="str">
        <f t="shared" si="15"/>
        <v>308002:20</v>
      </c>
    </row>
    <row r="973" spans="5:7">
      <c r="E973">
        <v>308002</v>
      </c>
      <c r="F973">
        <v>20</v>
      </c>
      <c r="G973" t="str">
        <f t="shared" si="15"/>
        <v>308002:20</v>
      </c>
    </row>
    <row r="974" spans="5:7">
      <c r="E974">
        <v>308002</v>
      </c>
      <c r="F974">
        <v>40</v>
      </c>
      <c r="G974" t="str">
        <f t="shared" si="15"/>
        <v>308002:40</v>
      </c>
    </row>
    <row r="975" spans="5:7">
      <c r="E975">
        <v>308002</v>
      </c>
      <c r="F975">
        <v>40</v>
      </c>
      <c r="G975" t="str">
        <f t="shared" si="15"/>
        <v>308002:40</v>
      </c>
    </row>
    <row r="976" spans="5:7">
      <c r="E976">
        <v>308002</v>
      </c>
      <c r="F976">
        <v>40</v>
      </c>
      <c r="G976" t="str">
        <f t="shared" si="15"/>
        <v>308002:40</v>
      </c>
    </row>
    <row r="977" spans="5:7">
      <c r="E977">
        <v>308002</v>
      </c>
      <c r="F977">
        <v>40</v>
      </c>
      <c r="G977" t="str">
        <f t="shared" si="15"/>
        <v>308002:40</v>
      </c>
    </row>
    <row r="978" spans="5:7">
      <c r="E978">
        <v>308002</v>
      </c>
      <c r="F978">
        <v>40</v>
      </c>
      <c r="G978" t="str">
        <f t="shared" si="15"/>
        <v>308002:40</v>
      </c>
    </row>
    <row r="979" spans="5:7">
      <c r="E979">
        <v>308002</v>
      </c>
      <c r="F979">
        <v>40</v>
      </c>
      <c r="G979" t="str">
        <f t="shared" si="15"/>
        <v>308002:40</v>
      </c>
    </row>
    <row r="980" spans="5:7">
      <c r="E980">
        <v>308002</v>
      </c>
      <c r="F980">
        <v>40</v>
      </c>
      <c r="G980" t="str">
        <f t="shared" si="15"/>
        <v>308002:40</v>
      </c>
    </row>
    <row r="981" spans="5:7">
      <c r="E981">
        <v>308002</v>
      </c>
      <c r="F981">
        <v>90</v>
      </c>
      <c r="G981" t="str">
        <f t="shared" si="15"/>
        <v>308002:90</v>
      </c>
    </row>
    <row r="982" spans="5:7">
      <c r="E982">
        <v>308002</v>
      </c>
      <c r="F982">
        <v>90</v>
      </c>
      <c r="G982" t="str">
        <f t="shared" si="15"/>
        <v>308002:90</v>
      </c>
    </row>
    <row r="983" spans="5:7">
      <c r="E983">
        <v>308002</v>
      </c>
      <c r="F983">
        <v>90</v>
      </c>
      <c r="G983" t="str">
        <f t="shared" si="15"/>
        <v>308002:90</v>
      </c>
    </row>
    <row r="984" spans="5:7">
      <c r="E984">
        <v>308002</v>
      </c>
      <c r="F984">
        <v>90</v>
      </c>
      <c r="G984" t="str">
        <f t="shared" si="15"/>
        <v>308002:90</v>
      </c>
    </row>
    <row r="985" spans="5:7">
      <c r="E985">
        <v>308002</v>
      </c>
      <c r="F985">
        <v>90</v>
      </c>
      <c r="G985" t="str">
        <f t="shared" si="15"/>
        <v>308002:90</v>
      </c>
    </row>
    <row r="986" spans="5:7">
      <c r="E986">
        <v>308002</v>
      </c>
      <c r="F986">
        <v>90</v>
      </c>
      <c r="G986" t="str">
        <f t="shared" si="15"/>
        <v>308002:90</v>
      </c>
    </row>
    <row r="987" spans="5:7">
      <c r="E987">
        <v>308002</v>
      </c>
      <c r="F987">
        <v>90</v>
      </c>
      <c r="G987" t="str">
        <f t="shared" si="15"/>
        <v>308002:90</v>
      </c>
    </row>
    <row r="988" spans="5:7">
      <c r="E988">
        <v>308002</v>
      </c>
      <c r="F988">
        <v>150</v>
      </c>
      <c r="G988" t="str">
        <f t="shared" si="15"/>
        <v>308002:150</v>
      </c>
    </row>
    <row r="989" spans="5:7">
      <c r="E989">
        <v>308002</v>
      </c>
      <c r="F989">
        <v>150</v>
      </c>
      <c r="G989" t="str">
        <f t="shared" si="15"/>
        <v>308002:150</v>
      </c>
    </row>
    <row r="990" spans="5:7">
      <c r="E990">
        <v>308002</v>
      </c>
      <c r="F990">
        <v>150</v>
      </c>
      <c r="G990" t="str">
        <f t="shared" si="15"/>
        <v>308002:150</v>
      </c>
    </row>
    <row r="991" spans="5:7">
      <c r="E991">
        <v>308002</v>
      </c>
      <c r="F991">
        <v>150</v>
      </c>
      <c r="G991" t="str">
        <f t="shared" si="15"/>
        <v>308002:150</v>
      </c>
    </row>
    <row r="992" spans="5:7">
      <c r="E992">
        <v>308002</v>
      </c>
      <c r="F992">
        <v>150</v>
      </c>
      <c r="G992" t="str">
        <f t="shared" si="15"/>
        <v>308002:150</v>
      </c>
    </row>
    <row r="993" spans="5:7">
      <c r="E993">
        <v>308002</v>
      </c>
      <c r="F993">
        <v>150</v>
      </c>
      <c r="G993" t="str">
        <f t="shared" si="15"/>
        <v>308002:150</v>
      </c>
    </row>
    <row r="994" spans="5:7">
      <c r="E994">
        <v>308002</v>
      </c>
      <c r="F994">
        <v>150</v>
      </c>
      <c r="G994" t="str">
        <f t="shared" si="15"/>
        <v>308002:150</v>
      </c>
    </row>
    <row r="995" spans="5:7">
      <c r="E995">
        <v>308002</v>
      </c>
      <c r="F995">
        <v>180</v>
      </c>
      <c r="G995" t="str">
        <f t="shared" si="15"/>
        <v>308002:180</v>
      </c>
    </row>
    <row r="996" spans="5:7">
      <c r="E996">
        <v>308002</v>
      </c>
      <c r="F996">
        <v>180</v>
      </c>
      <c r="G996" t="str">
        <f t="shared" si="15"/>
        <v>308002:180</v>
      </c>
    </row>
    <row r="997" spans="5:7">
      <c r="E997">
        <v>308002</v>
      </c>
      <c r="F997">
        <v>180</v>
      </c>
      <c r="G997" t="str">
        <f t="shared" si="15"/>
        <v>308002:180</v>
      </c>
    </row>
    <row r="998" spans="5:7">
      <c r="E998">
        <v>308002</v>
      </c>
      <c r="F998">
        <v>180</v>
      </c>
      <c r="G998" t="str">
        <f t="shared" si="15"/>
        <v>308002:180</v>
      </c>
    </row>
    <row r="999" spans="5:7">
      <c r="E999">
        <v>308002</v>
      </c>
      <c r="F999">
        <v>180</v>
      </c>
      <c r="G999" t="str">
        <f t="shared" si="15"/>
        <v>308002:180</v>
      </c>
    </row>
    <row r="1000" spans="5:7">
      <c r="E1000">
        <v>308002</v>
      </c>
      <c r="F1000">
        <v>180</v>
      </c>
      <c r="G1000" t="str">
        <f t="shared" si="15"/>
        <v>308002:180</v>
      </c>
    </row>
    <row r="1001" spans="5:7">
      <c r="E1001">
        <v>308002</v>
      </c>
      <c r="F1001">
        <v>180</v>
      </c>
      <c r="G1001" t="str">
        <f t="shared" si="15"/>
        <v>308002:180</v>
      </c>
    </row>
    <row r="1002" spans="5:7">
      <c r="E1002">
        <v>308002</v>
      </c>
      <c r="F1002">
        <v>180</v>
      </c>
      <c r="G1002" t="str">
        <f t="shared" si="15"/>
        <v>308002:180</v>
      </c>
    </row>
    <row r="1003" spans="5:7">
      <c r="E1003">
        <v>308002</v>
      </c>
      <c r="F1003">
        <v>180</v>
      </c>
      <c r="G1003" t="str">
        <f t="shared" si="15"/>
        <v>308002:180</v>
      </c>
    </row>
    <row r="1004" spans="5:7">
      <c r="E1004">
        <v>308002</v>
      </c>
      <c r="F1004">
        <v>180</v>
      </c>
      <c r="G1004" t="str">
        <f t="shared" si="15"/>
        <v>308002:180</v>
      </c>
    </row>
    <row r="1005" spans="5:7">
      <c r="E1005">
        <v>308002</v>
      </c>
      <c r="F1005">
        <v>180</v>
      </c>
      <c r="G1005" t="str">
        <f t="shared" si="15"/>
        <v>308002:180</v>
      </c>
    </row>
    <row r="1006" spans="5:7">
      <c r="E1006">
        <v>308002</v>
      </c>
      <c r="F1006">
        <v>180</v>
      </c>
      <c r="G1006" t="str">
        <f t="shared" si="15"/>
        <v>308002:180</v>
      </c>
    </row>
    <row r="1007" spans="5:7">
      <c r="E1007">
        <v>308002</v>
      </c>
      <c r="F1007">
        <v>180</v>
      </c>
      <c r="G1007" t="str">
        <f t="shared" si="15"/>
        <v>308002:180</v>
      </c>
    </row>
    <row r="1008" spans="5:7">
      <c r="E1008">
        <v>0</v>
      </c>
      <c r="G1008">
        <f t="shared" si="15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HeroStar</vt:lpstr>
      <vt:lpstr>Sheet2</vt:lpstr>
      <vt:lpstr>cost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2025-01-24T08:05:48Z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  <property fmtid="{D5CDD505-2E9C-101B-9397-08002B2CF9AE}" pid="4" name="KSOReadingLayout">
    <vt:bool>true</vt:bool>
  </property>
</Properties>
</file>