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Zhanli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1.付费礼包，需要用人民币
2.钻石礼包，需要用钻石
3.免费礼包，直接领取</t>
        </r>
      </text>
    </comment>
    <comment ref="F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任务奖励
礼包奖励</t>
        </r>
      </text>
    </comment>
    <comment ref="G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0.代表不是
1.代表是珍惜奖励</t>
        </r>
      </text>
    </comment>
  </commentList>
</comments>
</file>

<file path=xl/sharedStrings.xml><?xml version="1.0" encoding="utf-8"?>
<sst xmlns="http://schemas.openxmlformats.org/spreadsheetml/2006/main" count="372" uniqueCount="114">
  <si>
    <t>Id</t>
  </si>
  <si>
    <t>Zlid</t>
  </si>
  <si>
    <t>Nextzlid</t>
  </si>
  <si>
    <t>Exp</t>
  </si>
  <si>
    <t>Ptreward</t>
  </si>
  <si>
    <t>Gjreward</t>
  </si>
  <si>
    <t>Zxreward</t>
  </si>
  <si>
    <t>int</t>
  </si>
  <si>
    <t>string</t>
  </si>
  <si>
    <t>唯一id</t>
  </si>
  <si>
    <t>战令id</t>
  </si>
  <si>
    <t>下一期战令id</t>
  </si>
  <si>
    <t>所需经验</t>
  </si>
  <si>
    <t>普通奖励</t>
  </si>
  <si>
    <t>高级奖励</t>
  </si>
  <si>
    <t>珍惜奖励展示</t>
  </si>
  <si>
    <t>1:30012:1</t>
  </si>
  <si>
    <t>1:30014:2</t>
  </si>
  <si>
    <t>1:10201:5</t>
  </si>
  <si>
    <t>1:10201:50</t>
  </si>
  <si>
    <t>1:11:50</t>
  </si>
  <si>
    <t>1:11:500</t>
  </si>
  <si>
    <t>1:12:50000</t>
  </si>
  <si>
    <t>1:12:150000</t>
  </si>
  <si>
    <t>1:11004:5</t>
  </si>
  <si>
    <t>23:11</t>
  </si>
  <si>
    <t>300</t>
  </si>
  <si>
    <t>10</t>
  </si>
  <si>
    <t>100</t>
  </si>
  <si>
    <t>1:1001,1:1002,1:1003,1:1004,1:1005,1:1006,2:2001,2:2002,2:2003,2:2004,2:2005,2:2006,2:2007,3:3001,3:3002,3:3003,3:3004,3:3005,3:3006,3:3007,3:3008,3:3009,3:3010,3:3011</t>
  </si>
  <si>
    <t>2:2001,2:2002,2:2003,2:2004,2:2005,2:2006,2:2007,3:3001,3:3002,3:3003,3:3004,3:3005,3:3006,3:3007,3:3008,3:3009,3:3010,3:3011</t>
  </si>
  <si>
    <t>3:3001,3:3002,3:3003,3:3004,3:3005,3:3006,3:3007,3:3008,3:3009,3:3010,3:3011</t>
  </si>
  <si>
    <t>zhaohuanbeijing3</t>
  </si>
  <si>
    <t>duihuaqipao3</t>
  </si>
  <si>
    <t>每日经验</t>
  </si>
  <si>
    <t>战令持续</t>
  </si>
  <si>
    <t>30天</t>
  </si>
  <si>
    <t>月战令</t>
  </si>
  <si>
    <t>周战令</t>
  </si>
  <si>
    <t>每日任务</t>
  </si>
  <si>
    <t>数值</t>
  </si>
  <si>
    <t>金币奖励</t>
  </si>
  <si>
    <t>经验奖励</t>
  </si>
  <si>
    <t>战令等级</t>
  </si>
  <si>
    <t>经验</t>
  </si>
  <si>
    <t>免费</t>
  </si>
  <si>
    <t>付费</t>
  </si>
  <si>
    <t>完成天数</t>
  </si>
  <si>
    <t>在商场购买一次物品</t>
  </si>
  <si>
    <t>随机装备箱</t>
  </si>
  <si>
    <t>随机金装*1</t>
  </si>
  <si>
    <t>30012:1</t>
  </si>
  <si>
    <t>稀有装备箱</t>
  </si>
  <si>
    <t>进行召唤</t>
  </si>
  <si>
    <t>装备强化道具*10</t>
  </si>
  <si>
    <t>召唤卡*1</t>
  </si>
  <si>
    <t>10201:10</t>
  </si>
  <si>
    <t>22:2</t>
  </si>
  <si>
    <t>装备强化道具*5</t>
  </si>
  <si>
    <t>强化1次装备</t>
  </si>
  <si>
    <t>金币*100000</t>
  </si>
  <si>
    <t>12:100000</t>
  </si>
  <si>
    <t>钻石*50</t>
  </si>
  <si>
    <t>钻石*200</t>
  </si>
  <si>
    <t>挑战/扫荡关卡</t>
  </si>
  <si>
    <t>11:50</t>
  </si>
  <si>
    <t>金币*50000</t>
  </si>
  <si>
    <t>金币*150000</t>
  </si>
  <si>
    <t>升级1次英雄</t>
  </si>
  <si>
    <t>召唤卡*2</t>
  </si>
  <si>
    <t>22:4</t>
  </si>
  <si>
    <t>体力*2</t>
  </si>
  <si>
    <t>参与竞技场</t>
  </si>
  <si>
    <t>附魔道具*20</t>
  </si>
  <si>
    <t>10203:20</t>
  </si>
  <si>
    <t>参与1次金币副本</t>
  </si>
  <si>
    <t>参与1次装备副本</t>
  </si>
  <si>
    <t>参与1次兵种科技副本</t>
  </si>
  <si>
    <t>钻石*100</t>
  </si>
  <si>
    <t>11:100</t>
  </si>
  <si>
    <t>璀璨装备箱*1</t>
  </si>
  <si>
    <t>30015:1</t>
  </si>
  <si>
    <t>璀璨装备箱</t>
  </si>
  <si>
    <t>装备强化*200</t>
  </si>
  <si>
    <t>10201:200</t>
  </si>
  <si>
    <t>随机装备箱：</t>
  </si>
  <si>
    <t>80%白装，20%蓝装；固定20000金币</t>
  </si>
  <si>
    <t>极品装备箱：</t>
  </si>
  <si>
    <t>50%白装，40%蓝装,10%紫装；固定100钻</t>
  </si>
  <si>
    <t>装备升星道具*1</t>
  </si>
  <si>
    <t>10016:20</t>
  </si>
  <si>
    <t>稀有装备箱：</t>
  </si>
  <si>
    <t>98%紫装，2%金装；固定200钻</t>
  </si>
  <si>
    <t>璀璨装备箱：</t>
  </si>
  <si>
    <t>50%蓝装，38%紫装，20%升星道具，2%金装；固定500钻</t>
  </si>
  <si>
    <t>月战令价值</t>
  </si>
  <si>
    <t>周战令价值</t>
  </si>
  <si>
    <t>30014:2</t>
  </si>
  <si>
    <t>2510*3</t>
  </si>
  <si>
    <t>小月卡价值</t>
  </si>
  <si>
    <t>10201:5</t>
  </si>
  <si>
    <t>10201:50</t>
  </si>
  <si>
    <t>大月卡价值</t>
  </si>
  <si>
    <t>11:500</t>
  </si>
  <si>
    <t>极品装备箱</t>
  </si>
  <si>
    <t>璀璨装备箱*2</t>
  </si>
  <si>
    <t>核心奖励</t>
  </si>
  <si>
    <t>30013:1</t>
  </si>
  <si>
    <t>30015:2</t>
  </si>
  <si>
    <t>12:50000</t>
  </si>
  <si>
    <t>12:150000</t>
  </si>
  <si>
    <t>金币*20000</t>
  </si>
  <si>
    <t>12:20000</t>
  </si>
  <si>
    <t>11004:5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</si>
</sst>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E25" sqref="E25"/>
    </sheetView>
  </sheetViews>
  <sheetFormatPr defaultColWidth="9" defaultRowHeight="13.5" outlineLevelCol="6"/>
  <cols>
    <col min="1" max="2" width="11.875" customWidth="1"/>
    <col min="3" max="3" width="13" customWidth="1"/>
    <col min="4" max="4" width="11.875" customWidth="1"/>
    <col min="5" max="5" width="18.375" customWidth="1"/>
    <col min="6" max="6" width="38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7</v>
      </c>
      <c r="D2" t="s">
        <v>7</v>
      </c>
      <c r="E2" t="s">
        <v>8</v>
      </c>
      <c r="F2" t="s">
        <v>8</v>
      </c>
      <c r="G2" t="s">
        <v>7</v>
      </c>
    </row>
    <row r="3" spans="1:7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>
        <v>1001</v>
      </c>
      <c r="B4">
        <v>101</v>
      </c>
      <c r="C4">
        <v>102</v>
      </c>
      <c r="D4" s="14">
        <v>0</v>
      </c>
      <c r="E4" s="13" t="s">
        <v>16</v>
      </c>
      <c r="F4" s="13" t="s">
        <v>17</v>
      </c>
      <c r="G4">
        <v>0</v>
      </c>
    </row>
    <row r="5" spans="1:7">
      <c r="A5">
        <v>1002</v>
      </c>
      <c r="B5">
        <v>101</v>
      </c>
      <c r="C5">
        <v>102</v>
      </c>
      <c r="D5" s="1">
        <v>50</v>
      </c>
      <c r="E5" s="13" t="s">
        <v>18</v>
      </c>
      <c r="F5" s="13" t="s">
        <v>19</v>
      </c>
      <c r="G5">
        <v>0</v>
      </c>
    </row>
    <row r="6" spans="1:7">
      <c r="A6">
        <v>1003</v>
      </c>
      <c r="B6">
        <v>101</v>
      </c>
      <c r="C6">
        <v>102</v>
      </c>
      <c r="D6" s="1">
        <v>100</v>
      </c>
      <c r="E6" s="13" t="s">
        <v>20</v>
      </c>
      <c r="F6" s="13" t="s">
        <v>21</v>
      </c>
      <c r="G6">
        <v>0</v>
      </c>
    </row>
    <row r="7" spans="1:7">
      <c r="A7">
        <v>1004</v>
      </c>
      <c r="B7">
        <v>101</v>
      </c>
      <c r="C7">
        <v>102</v>
      </c>
      <c r="D7" s="1">
        <v>150</v>
      </c>
      <c r="E7" s="13" t="s">
        <v>22</v>
      </c>
      <c r="F7" s="13" t="s">
        <v>23</v>
      </c>
      <c r="G7">
        <v>0</v>
      </c>
    </row>
    <row r="8" spans="1:7">
      <c r="A8">
        <v>1005</v>
      </c>
      <c r="B8">
        <v>101</v>
      </c>
      <c r="C8">
        <v>102</v>
      </c>
      <c r="D8" s="1">
        <v>200</v>
      </c>
      <c r="E8" s="13" t="s">
        <v>22</v>
      </c>
      <c r="F8" s="13" t="s">
        <v>24</v>
      </c>
      <c r="G8">
        <v>0</v>
      </c>
    </row>
    <row r="9" spans="1:7">
      <c r="A9">
        <v>1006</v>
      </c>
      <c r="B9">
        <v>101</v>
      </c>
      <c r="C9">
        <v>102</v>
      </c>
      <c r="D9" s="1">
        <v>250</v>
      </c>
      <c r="E9" s="13" t="s">
        <v>16</v>
      </c>
      <c r="F9" s="13" t="s">
        <v>17</v>
      </c>
      <c r="G9">
        <v>1</v>
      </c>
    </row>
    <row r="10" spans="1:7">
      <c r="A10">
        <v>1007</v>
      </c>
      <c r="B10">
        <v>101</v>
      </c>
      <c r="C10">
        <v>102</v>
      </c>
      <c r="D10" s="1">
        <v>300</v>
      </c>
      <c r="E10" s="13" t="s">
        <v>18</v>
      </c>
      <c r="F10" s="13" t="s">
        <v>19</v>
      </c>
      <c r="G10">
        <v>0</v>
      </c>
    </row>
    <row r="11" spans="1:7">
      <c r="A11">
        <v>1008</v>
      </c>
      <c r="B11">
        <v>101</v>
      </c>
      <c r="C11">
        <v>102</v>
      </c>
      <c r="D11" s="1">
        <v>350</v>
      </c>
      <c r="E11" s="13" t="s">
        <v>20</v>
      </c>
      <c r="F11" s="13" t="s">
        <v>21</v>
      </c>
      <c r="G11">
        <v>0</v>
      </c>
    </row>
    <row r="12" spans="1:7">
      <c r="A12">
        <v>1009</v>
      </c>
      <c r="B12">
        <v>101</v>
      </c>
      <c r="C12">
        <v>102</v>
      </c>
      <c r="D12" s="1">
        <v>400</v>
      </c>
      <c r="E12" s="13" t="s">
        <v>22</v>
      </c>
      <c r="F12" s="13" t="s">
        <v>23</v>
      </c>
      <c r="G12">
        <v>0</v>
      </c>
    </row>
    <row r="13" spans="1:7">
      <c r="A13">
        <v>1010</v>
      </c>
      <c r="B13">
        <v>101</v>
      </c>
      <c r="C13">
        <v>102</v>
      </c>
      <c r="D13" s="1">
        <v>450</v>
      </c>
      <c r="E13" s="13" t="s">
        <v>22</v>
      </c>
      <c r="F13" s="13" t="s">
        <v>24</v>
      </c>
      <c r="G13">
        <v>0</v>
      </c>
    </row>
    <row r="14" spans="1:7">
      <c r="A14">
        <v>1011</v>
      </c>
      <c r="B14">
        <v>101</v>
      </c>
      <c r="C14">
        <v>102</v>
      </c>
      <c r="D14" s="1">
        <v>500</v>
      </c>
      <c r="E14" s="13" t="s">
        <v>16</v>
      </c>
      <c r="F14" s="13" t="s">
        <v>17</v>
      </c>
      <c r="G14">
        <v>1</v>
      </c>
    </row>
    <row r="15" spans="1:7">
      <c r="A15">
        <v>1012</v>
      </c>
      <c r="B15">
        <v>101</v>
      </c>
      <c r="C15">
        <v>102</v>
      </c>
      <c r="D15" s="1">
        <v>550</v>
      </c>
      <c r="E15" s="13" t="s">
        <v>18</v>
      </c>
      <c r="F15" s="13" t="s">
        <v>19</v>
      </c>
      <c r="G15">
        <v>0</v>
      </c>
    </row>
    <row r="16" spans="1:7">
      <c r="A16">
        <v>1013</v>
      </c>
      <c r="B16">
        <v>101</v>
      </c>
      <c r="C16">
        <v>102</v>
      </c>
      <c r="D16" s="1">
        <v>600</v>
      </c>
      <c r="E16" s="13" t="s">
        <v>20</v>
      </c>
      <c r="F16" s="13" t="s">
        <v>21</v>
      </c>
      <c r="G16">
        <v>0</v>
      </c>
    </row>
    <row r="17" spans="1:7">
      <c r="A17">
        <v>1014</v>
      </c>
      <c r="B17">
        <v>101</v>
      </c>
      <c r="C17">
        <v>102</v>
      </c>
      <c r="D17" s="1">
        <v>650</v>
      </c>
      <c r="E17" s="13" t="s">
        <v>22</v>
      </c>
      <c r="F17" s="13" t="s">
        <v>23</v>
      </c>
      <c r="G17">
        <v>0</v>
      </c>
    </row>
    <row r="18" spans="1:7">
      <c r="A18">
        <v>1015</v>
      </c>
      <c r="B18">
        <v>101</v>
      </c>
      <c r="C18">
        <v>102</v>
      </c>
      <c r="D18" s="1">
        <v>700</v>
      </c>
      <c r="E18" s="13" t="s">
        <v>22</v>
      </c>
      <c r="F18" s="13" t="s">
        <v>24</v>
      </c>
      <c r="G18">
        <v>0</v>
      </c>
    </row>
    <row r="19" spans="1:7">
      <c r="A19">
        <v>1016</v>
      </c>
      <c r="B19">
        <v>102</v>
      </c>
      <c r="C19">
        <v>101</v>
      </c>
      <c r="D19" s="14">
        <v>0</v>
      </c>
      <c r="E19" s="13" t="s">
        <v>16</v>
      </c>
      <c r="F19" s="13" t="s">
        <v>17</v>
      </c>
      <c r="G19">
        <v>0</v>
      </c>
    </row>
    <row r="20" spans="1:7">
      <c r="A20">
        <v>1017</v>
      </c>
      <c r="B20">
        <v>102</v>
      </c>
      <c r="C20">
        <v>101</v>
      </c>
      <c r="D20" s="1">
        <v>50</v>
      </c>
      <c r="E20" s="13" t="s">
        <v>18</v>
      </c>
      <c r="F20" s="13" t="s">
        <v>19</v>
      </c>
      <c r="G20">
        <v>0</v>
      </c>
    </row>
    <row r="21" spans="1:7">
      <c r="A21">
        <v>1018</v>
      </c>
      <c r="B21">
        <v>102</v>
      </c>
      <c r="C21">
        <v>101</v>
      </c>
      <c r="D21" s="1">
        <v>100</v>
      </c>
      <c r="E21" s="13" t="s">
        <v>20</v>
      </c>
      <c r="F21" s="13" t="s">
        <v>21</v>
      </c>
      <c r="G21">
        <v>0</v>
      </c>
    </row>
    <row r="22" spans="1:7">
      <c r="A22">
        <v>1019</v>
      </c>
      <c r="B22">
        <v>102</v>
      </c>
      <c r="C22">
        <v>101</v>
      </c>
      <c r="D22" s="1">
        <v>150</v>
      </c>
      <c r="E22" s="13" t="s">
        <v>22</v>
      </c>
      <c r="F22" s="13" t="s">
        <v>23</v>
      </c>
      <c r="G22">
        <v>0</v>
      </c>
    </row>
    <row r="23" spans="1:7">
      <c r="A23">
        <v>1020</v>
      </c>
      <c r="B23">
        <v>102</v>
      </c>
      <c r="C23">
        <v>101</v>
      </c>
      <c r="D23" s="1">
        <v>200</v>
      </c>
      <c r="E23" s="13" t="s">
        <v>22</v>
      </c>
      <c r="F23" s="13" t="s">
        <v>24</v>
      </c>
      <c r="G23">
        <v>0</v>
      </c>
    </row>
    <row r="24" spans="1:7">
      <c r="A24">
        <v>1021</v>
      </c>
      <c r="B24">
        <v>102</v>
      </c>
      <c r="C24">
        <v>101</v>
      </c>
      <c r="D24" s="1">
        <v>250</v>
      </c>
      <c r="E24" s="13" t="s">
        <v>16</v>
      </c>
      <c r="F24" s="13" t="s">
        <v>17</v>
      </c>
      <c r="G24">
        <v>1</v>
      </c>
    </row>
    <row r="25" spans="1:7">
      <c r="A25">
        <v>1022</v>
      </c>
      <c r="B25">
        <v>102</v>
      </c>
      <c r="C25">
        <v>101</v>
      </c>
      <c r="D25" s="1">
        <v>300</v>
      </c>
      <c r="E25" s="13" t="s">
        <v>18</v>
      </c>
      <c r="F25" s="13" t="s">
        <v>19</v>
      </c>
      <c r="G25">
        <v>0</v>
      </c>
    </row>
    <row r="26" spans="1:7">
      <c r="A26">
        <v>1023</v>
      </c>
      <c r="B26">
        <v>102</v>
      </c>
      <c r="C26">
        <v>101</v>
      </c>
      <c r="D26" s="1">
        <v>350</v>
      </c>
      <c r="E26" s="13" t="s">
        <v>20</v>
      </c>
      <c r="F26" s="13" t="s">
        <v>21</v>
      </c>
      <c r="G26">
        <v>0</v>
      </c>
    </row>
    <row r="27" spans="1:7">
      <c r="A27">
        <v>1024</v>
      </c>
      <c r="B27">
        <v>102</v>
      </c>
      <c r="C27">
        <v>101</v>
      </c>
      <c r="D27" s="1">
        <v>400</v>
      </c>
      <c r="E27" s="13" t="s">
        <v>22</v>
      </c>
      <c r="F27" s="13" t="s">
        <v>23</v>
      </c>
      <c r="G27">
        <v>0</v>
      </c>
    </row>
    <row r="28" spans="1:7">
      <c r="A28">
        <v>1025</v>
      </c>
      <c r="B28">
        <v>102</v>
      </c>
      <c r="C28">
        <v>101</v>
      </c>
      <c r="D28" s="1">
        <v>450</v>
      </c>
      <c r="E28" s="13" t="s">
        <v>22</v>
      </c>
      <c r="F28" s="13" t="s">
        <v>24</v>
      </c>
      <c r="G28">
        <v>0</v>
      </c>
    </row>
    <row r="29" spans="1:7">
      <c r="A29">
        <v>1026</v>
      </c>
      <c r="B29">
        <v>102</v>
      </c>
      <c r="C29">
        <v>101</v>
      </c>
      <c r="D29" s="1">
        <v>500</v>
      </c>
      <c r="E29" s="13" t="s">
        <v>16</v>
      </c>
      <c r="F29" s="13" t="s">
        <v>17</v>
      </c>
      <c r="G29">
        <v>1</v>
      </c>
    </row>
    <row r="30" spans="1:7">
      <c r="A30">
        <v>1027</v>
      </c>
      <c r="B30">
        <v>102</v>
      </c>
      <c r="C30">
        <v>101</v>
      </c>
      <c r="D30" s="1">
        <v>550</v>
      </c>
      <c r="E30" s="13" t="s">
        <v>18</v>
      </c>
      <c r="F30" s="13" t="s">
        <v>19</v>
      </c>
      <c r="G30">
        <v>0</v>
      </c>
    </row>
    <row r="31" spans="1:7">
      <c r="A31">
        <v>1028</v>
      </c>
      <c r="B31">
        <v>102</v>
      </c>
      <c r="C31">
        <v>101</v>
      </c>
      <c r="D31" s="1">
        <v>600</v>
      </c>
      <c r="E31" s="13" t="s">
        <v>20</v>
      </c>
      <c r="F31" s="13" t="s">
        <v>21</v>
      </c>
      <c r="G31">
        <v>0</v>
      </c>
    </row>
    <row r="32" spans="1:7">
      <c r="A32">
        <v>1029</v>
      </c>
      <c r="B32">
        <v>102</v>
      </c>
      <c r="C32">
        <v>101</v>
      </c>
      <c r="D32" s="1">
        <v>650</v>
      </c>
      <c r="E32" s="13" t="s">
        <v>22</v>
      </c>
      <c r="F32" s="13" t="s">
        <v>23</v>
      </c>
      <c r="G32">
        <v>0</v>
      </c>
    </row>
    <row r="33" spans="1:7">
      <c r="A33">
        <v>1030</v>
      </c>
      <c r="B33">
        <v>102</v>
      </c>
      <c r="C33">
        <v>101</v>
      </c>
      <c r="D33" s="1">
        <v>700</v>
      </c>
      <c r="E33" s="13" t="s">
        <v>22</v>
      </c>
      <c r="F33" s="13" t="s">
        <v>24</v>
      </c>
      <c r="G33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L10"/>
  <sheetViews>
    <sheetView workbookViewId="0">
      <selection activeCell="A10" sqref="A10:N12"/>
    </sheetView>
  </sheetViews>
  <sheetFormatPr defaultColWidth="9" defaultRowHeight="13.5"/>
  <cols>
    <col min="2" max="2" width="14.5" customWidth="1"/>
    <col min="7" max="7" width="15.625" customWidth="1"/>
  </cols>
  <sheetData>
    <row r="10" spans="1:12">
      <c r="A10">
        <v>1003</v>
      </c>
      <c r="B10">
        <v>3</v>
      </c>
      <c r="C10" s="13" t="s">
        <v>25</v>
      </c>
      <c r="D10" s="13" t="s">
        <v>26</v>
      </c>
      <c r="E10" s="13" t="s">
        <v>27</v>
      </c>
      <c r="F10" s="13" t="s">
        <v>28</v>
      </c>
      <c r="G10" s="13" t="s">
        <v>29</v>
      </c>
      <c r="H10" s="13" t="s">
        <v>29</v>
      </c>
      <c r="I10" s="13" t="s">
        <v>30</v>
      </c>
      <c r="J10" s="13" t="s">
        <v>31</v>
      </c>
      <c r="K10" s="13" t="s">
        <v>32</v>
      </c>
      <c r="L10" s="13" t="s">
        <v>33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8"/>
  <sheetViews>
    <sheetView workbookViewId="0">
      <selection activeCell="G47" sqref="G47"/>
    </sheetView>
  </sheetViews>
  <sheetFormatPr defaultColWidth="9" defaultRowHeight="12"/>
  <cols>
    <col min="1" max="1" width="9" style="1"/>
    <col min="2" max="2" width="25.375" style="1" customWidth="1"/>
    <col min="3" max="3" width="13.5" style="1" customWidth="1"/>
    <col min="4" max="4" width="13.75" style="2" customWidth="1"/>
    <col min="5" max="5" width="14.5" style="2" customWidth="1"/>
    <col min="6" max="6" width="9" style="2"/>
    <col min="7" max="8" width="11.125" style="2"/>
    <col min="9" max="11" width="9" style="2"/>
    <col min="12" max="12" width="14.625" style="2" customWidth="1"/>
    <col min="13" max="13" width="15.125" style="2" customWidth="1"/>
    <col min="14" max="14" width="11.125" style="2"/>
    <col min="15" max="15" width="9" style="2"/>
    <col min="16" max="16" width="16.875" style="1" customWidth="1"/>
    <col min="17" max="17" width="9" style="1"/>
    <col min="18" max="18" width="16.125" style="1" customWidth="1"/>
    <col min="19" max="19" width="9" style="1"/>
    <col min="20" max="16384" width="9" style="2"/>
  </cols>
  <sheetData>
    <row r="1" spans="1:5">
      <c r="A1" s="1" t="s">
        <v>34</v>
      </c>
      <c r="B1" s="1">
        <v>150</v>
      </c>
      <c r="D1" s="1" t="s">
        <v>35</v>
      </c>
      <c r="E1" s="1" t="s">
        <v>36</v>
      </c>
    </row>
    <row r="2" spans="1:19">
      <c r="A2" s="1" t="s">
        <v>37</v>
      </c>
      <c r="B2" s="3">
        <v>128</v>
      </c>
      <c r="J2" s="1" t="s">
        <v>38</v>
      </c>
      <c r="K2" s="3">
        <v>68</v>
      </c>
      <c r="P2" s="1" t="s">
        <v>39</v>
      </c>
      <c r="Q2" s="1" t="s">
        <v>40</v>
      </c>
      <c r="R2" s="1" t="s">
        <v>41</v>
      </c>
      <c r="S2" s="1" t="s">
        <v>42</v>
      </c>
    </row>
    <row r="3" spans="1:19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J3" s="1" t="s">
        <v>43</v>
      </c>
      <c r="K3" s="1" t="s">
        <v>44</v>
      </c>
      <c r="L3" s="1" t="s">
        <v>45</v>
      </c>
      <c r="M3" s="1" t="s">
        <v>46</v>
      </c>
      <c r="N3" s="2" t="s">
        <v>47</v>
      </c>
      <c r="P3" s="1" t="s">
        <v>48</v>
      </c>
      <c r="Q3" s="1">
        <v>1</v>
      </c>
      <c r="R3" s="1">
        <v>2000</v>
      </c>
      <c r="S3" s="1">
        <v>20</v>
      </c>
    </row>
    <row r="4" spans="1:19">
      <c r="A4" s="1">
        <v>1</v>
      </c>
      <c r="B4" s="1">
        <v>100</v>
      </c>
      <c r="C4" s="1" t="s">
        <v>49</v>
      </c>
      <c r="D4" s="1" t="s">
        <v>50</v>
      </c>
      <c r="E4" s="4">
        <f>B4/$B$1</f>
        <v>0.666666666666667</v>
      </c>
      <c r="G4" s="5" t="s">
        <v>51</v>
      </c>
      <c r="H4" s="5">
        <v>30002</v>
      </c>
      <c r="J4" s="1">
        <v>1</v>
      </c>
      <c r="K4" s="1">
        <v>50</v>
      </c>
      <c r="L4" s="1" t="s">
        <v>49</v>
      </c>
      <c r="M4" s="1" t="s">
        <v>52</v>
      </c>
      <c r="N4" s="4">
        <f>K4/$B$1</f>
        <v>0.333333333333333</v>
      </c>
      <c r="P4" s="1" t="s">
        <v>53</v>
      </c>
      <c r="Q4" s="1">
        <v>1</v>
      </c>
      <c r="R4" s="1">
        <v>2000</v>
      </c>
      <c r="S4" s="1">
        <v>20</v>
      </c>
    </row>
    <row r="5" spans="1:19">
      <c r="A5" s="1">
        <v>2</v>
      </c>
      <c r="B5" s="1">
        <f>$B$4*A5</f>
        <v>200</v>
      </c>
      <c r="C5" s="1" t="s">
        <v>54</v>
      </c>
      <c r="D5" s="1" t="s">
        <v>55</v>
      </c>
      <c r="E5" s="4">
        <f t="shared" ref="E5:E36" si="0">B5/$B$1</f>
        <v>1.33333333333333</v>
      </c>
      <c r="G5" s="6" t="s">
        <v>56</v>
      </c>
      <c r="H5" s="5" t="s">
        <v>57</v>
      </c>
      <c r="J5" s="1">
        <v>2</v>
      </c>
      <c r="K5" s="1">
        <f>$K$4*J5</f>
        <v>100</v>
      </c>
      <c r="L5" s="1" t="s">
        <v>58</v>
      </c>
      <c r="M5" s="1" t="s">
        <v>54</v>
      </c>
      <c r="N5" s="4">
        <f>K5/$B$1</f>
        <v>0.666666666666667</v>
      </c>
      <c r="P5" s="1" t="s">
        <v>59</v>
      </c>
      <c r="Q5" s="1">
        <v>1</v>
      </c>
      <c r="R5" s="1">
        <v>2000</v>
      </c>
      <c r="S5" s="1">
        <v>20</v>
      </c>
    </row>
    <row r="6" spans="1:19">
      <c r="A6" s="1">
        <v>3</v>
      </c>
      <c r="B6" s="1">
        <f t="shared" ref="B6:B37" si="1">$B$4*A6</f>
        <v>300</v>
      </c>
      <c r="C6" s="1" t="s">
        <v>60</v>
      </c>
      <c r="D6" s="1" t="s">
        <v>55</v>
      </c>
      <c r="E6" s="4">
        <f t="shared" si="0"/>
        <v>2</v>
      </c>
      <c r="G6" s="5" t="s">
        <v>61</v>
      </c>
      <c r="H6" s="5" t="s">
        <v>57</v>
      </c>
      <c r="J6" s="1">
        <v>3</v>
      </c>
      <c r="K6" s="1">
        <f t="shared" ref="K6:K32" si="2">$K$4*J6</f>
        <v>150</v>
      </c>
      <c r="L6" s="1" t="s">
        <v>62</v>
      </c>
      <c r="M6" s="1" t="s">
        <v>63</v>
      </c>
      <c r="N6" s="4">
        <f>K6/$B$1</f>
        <v>1</v>
      </c>
      <c r="P6" s="1" t="s">
        <v>64</v>
      </c>
      <c r="Q6" s="1">
        <v>5</v>
      </c>
      <c r="R6" s="1">
        <v>2000</v>
      </c>
      <c r="S6" s="1">
        <v>20</v>
      </c>
    </row>
    <row r="7" spans="1:19">
      <c r="A7" s="1">
        <v>4</v>
      </c>
      <c r="B7" s="1">
        <f t="shared" si="1"/>
        <v>400</v>
      </c>
      <c r="C7" s="1" t="s">
        <v>62</v>
      </c>
      <c r="D7" s="1" t="s">
        <v>55</v>
      </c>
      <c r="E7" s="4">
        <f t="shared" si="0"/>
        <v>2.66666666666667</v>
      </c>
      <c r="G7" s="5" t="s">
        <v>65</v>
      </c>
      <c r="H7" s="5" t="s">
        <v>57</v>
      </c>
      <c r="J7" s="1">
        <v>4</v>
      </c>
      <c r="K7" s="1">
        <f t="shared" si="2"/>
        <v>200</v>
      </c>
      <c r="L7" s="1" t="s">
        <v>66</v>
      </c>
      <c r="M7" s="1" t="s">
        <v>67</v>
      </c>
      <c r="N7" s="4">
        <f>K7/$B$1</f>
        <v>1.33333333333333</v>
      </c>
      <c r="P7" s="1" t="s">
        <v>68</v>
      </c>
      <c r="Q7" s="1">
        <v>1</v>
      </c>
      <c r="R7" s="1">
        <v>2000</v>
      </c>
      <c r="S7" s="1">
        <v>20</v>
      </c>
    </row>
    <row r="8" spans="1:19">
      <c r="A8" s="1">
        <v>5</v>
      </c>
      <c r="B8" s="1">
        <f t="shared" si="1"/>
        <v>500</v>
      </c>
      <c r="C8" s="1" t="s">
        <v>60</v>
      </c>
      <c r="D8" s="1" t="s">
        <v>69</v>
      </c>
      <c r="E8" s="4">
        <f t="shared" si="0"/>
        <v>3.33333333333333</v>
      </c>
      <c r="G8" s="5" t="s">
        <v>61</v>
      </c>
      <c r="H8" s="5" t="s">
        <v>70</v>
      </c>
      <c r="J8" s="1">
        <v>5</v>
      </c>
      <c r="K8" s="1">
        <f t="shared" si="2"/>
        <v>250</v>
      </c>
      <c r="L8" s="1" t="s">
        <v>66</v>
      </c>
      <c r="M8" s="1" t="s">
        <v>71</v>
      </c>
      <c r="N8" s="4">
        <f>K8/$B$1</f>
        <v>1.66666666666667</v>
      </c>
      <c r="P8" s="1" t="s">
        <v>72</v>
      </c>
      <c r="Q8" s="1">
        <v>1</v>
      </c>
      <c r="R8" s="1">
        <v>2000</v>
      </c>
      <c r="S8" s="1">
        <v>10</v>
      </c>
    </row>
    <row r="9" spans="1:19">
      <c r="A9" s="1">
        <v>6</v>
      </c>
      <c r="B9" s="1">
        <f t="shared" si="1"/>
        <v>600</v>
      </c>
      <c r="C9" s="1" t="s">
        <v>49</v>
      </c>
      <c r="D9" s="1" t="s">
        <v>73</v>
      </c>
      <c r="E9" s="4">
        <f t="shared" si="0"/>
        <v>4</v>
      </c>
      <c r="G9" s="5" t="s">
        <v>51</v>
      </c>
      <c r="H9" s="5" t="s">
        <v>74</v>
      </c>
      <c r="J9" s="1">
        <v>6</v>
      </c>
      <c r="K9" s="1">
        <f t="shared" si="2"/>
        <v>300</v>
      </c>
      <c r="L9" s="1" t="s">
        <v>49</v>
      </c>
      <c r="M9" s="1" t="s">
        <v>52</v>
      </c>
      <c r="N9" s="4">
        <f>K9/$B$1</f>
        <v>2</v>
      </c>
      <c r="P9" s="1" t="s">
        <v>75</v>
      </c>
      <c r="Q9" s="1">
        <v>1</v>
      </c>
      <c r="R9" s="1">
        <v>2000</v>
      </c>
      <c r="S9" s="1">
        <v>20</v>
      </c>
    </row>
    <row r="10" spans="1:19">
      <c r="A10" s="1">
        <v>7</v>
      </c>
      <c r="B10" s="1">
        <f t="shared" si="1"/>
        <v>700</v>
      </c>
      <c r="C10" s="1" t="s">
        <v>54</v>
      </c>
      <c r="D10" s="1" t="s">
        <v>55</v>
      </c>
      <c r="E10" s="4">
        <f t="shared" si="0"/>
        <v>4.66666666666667</v>
      </c>
      <c r="G10" s="6" t="s">
        <v>56</v>
      </c>
      <c r="H10" s="5" t="s">
        <v>57</v>
      </c>
      <c r="J10" s="1">
        <v>7</v>
      </c>
      <c r="K10" s="1">
        <f t="shared" si="2"/>
        <v>350</v>
      </c>
      <c r="L10" s="1" t="s">
        <v>58</v>
      </c>
      <c r="M10" s="1" t="s">
        <v>54</v>
      </c>
      <c r="N10" s="4">
        <f>K10/$B$1</f>
        <v>2.33333333333333</v>
      </c>
      <c r="P10" s="1" t="s">
        <v>76</v>
      </c>
      <c r="Q10" s="1">
        <v>1</v>
      </c>
      <c r="R10" s="1">
        <v>2000</v>
      </c>
      <c r="S10" s="1">
        <v>10</v>
      </c>
    </row>
    <row r="11" spans="1:19">
      <c r="A11" s="1">
        <v>8</v>
      </c>
      <c r="B11" s="1">
        <f t="shared" si="1"/>
        <v>800</v>
      </c>
      <c r="C11" s="1" t="s">
        <v>60</v>
      </c>
      <c r="D11" s="1" t="s">
        <v>55</v>
      </c>
      <c r="E11" s="4">
        <f t="shared" si="0"/>
        <v>5.33333333333333</v>
      </c>
      <c r="G11" s="5" t="s">
        <v>61</v>
      </c>
      <c r="H11" s="5" t="s">
        <v>57</v>
      </c>
      <c r="J11" s="1">
        <v>8</v>
      </c>
      <c r="K11" s="1">
        <f t="shared" si="2"/>
        <v>400</v>
      </c>
      <c r="L11" s="1" t="s">
        <v>62</v>
      </c>
      <c r="M11" s="1" t="s">
        <v>63</v>
      </c>
      <c r="N11" s="4">
        <f>K11/$B$1</f>
        <v>2.66666666666667</v>
      </c>
      <c r="P11" s="1" t="s">
        <v>77</v>
      </c>
      <c r="Q11" s="1">
        <v>1</v>
      </c>
      <c r="R11" s="1">
        <v>2000</v>
      </c>
      <c r="S11" s="1">
        <v>10</v>
      </c>
    </row>
    <row r="12" spans="1:19">
      <c r="A12" s="1">
        <v>9</v>
      </c>
      <c r="B12" s="1">
        <f t="shared" si="1"/>
        <v>900</v>
      </c>
      <c r="C12" s="1" t="s">
        <v>78</v>
      </c>
      <c r="D12" s="1" t="s">
        <v>55</v>
      </c>
      <c r="E12" s="4">
        <f t="shared" si="0"/>
        <v>6</v>
      </c>
      <c r="G12" s="5" t="s">
        <v>79</v>
      </c>
      <c r="H12" s="5" t="s">
        <v>57</v>
      </c>
      <c r="J12" s="1">
        <v>9</v>
      </c>
      <c r="K12" s="1">
        <f t="shared" si="2"/>
        <v>450</v>
      </c>
      <c r="L12" s="1" t="s">
        <v>66</v>
      </c>
      <c r="M12" s="1" t="s">
        <v>67</v>
      </c>
      <c r="N12" s="4">
        <f>K12/$B$1</f>
        <v>3</v>
      </c>
      <c r="R12" s="1">
        <f ca="1">SUM(R3:R12)</f>
        <v>20000</v>
      </c>
      <c r="S12" s="1">
        <f>SUM(S3:S11)</f>
        <v>150</v>
      </c>
    </row>
    <row r="13" spans="1:14">
      <c r="A13" s="1">
        <v>10</v>
      </c>
      <c r="B13" s="1">
        <f t="shared" si="1"/>
        <v>1000</v>
      </c>
      <c r="C13" s="1" t="s">
        <v>60</v>
      </c>
      <c r="D13" s="1" t="s">
        <v>69</v>
      </c>
      <c r="E13" s="4">
        <f t="shared" si="0"/>
        <v>6.66666666666667</v>
      </c>
      <c r="G13" s="5" t="s">
        <v>61</v>
      </c>
      <c r="H13" s="5" t="s">
        <v>70</v>
      </c>
      <c r="J13" s="1">
        <v>10</v>
      </c>
      <c r="K13" s="1">
        <f t="shared" si="2"/>
        <v>500</v>
      </c>
      <c r="L13" s="1" t="s">
        <v>66</v>
      </c>
      <c r="M13" s="1" t="s">
        <v>71</v>
      </c>
      <c r="N13" s="4">
        <f>K13/$B$1</f>
        <v>3.33333333333333</v>
      </c>
    </row>
    <row r="14" spans="1:14">
      <c r="A14" s="1">
        <v>11</v>
      </c>
      <c r="B14" s="1">
        <f t="shared" si="1"/>
        <v>1100</v>
      </c>
      <c r="C14" s="1" t="s">
        <v>49</v>
      </c>
      <c r="D14" s="1" t="s">
        <v>80</v>
      </c>
      <c r="E14" s="4">
        <f t="shared" si="0"/>
        <v>7.33333333333333</v>
      </c>
      <c r="G14" s="5" t="s">
        <v>51</v>
      </c>
      <c r="H14" s="5" t="s">
        <v>81</v>
      </c>
      <c r="J14" s="1">
        <v>11</v>
      </c>
      <c r="K14" s="1">
        <f t="shared" si="2"/>
        <v>550</v>
      </c>
      <c r="L14" s="1" t="s">
        <v>49</v>
      </c>
      <c r="M14" s="1" t="s">
        <v>52</v>
      </c>
      <c r="N14" s="4">
        <f>K14/$B$1</f>
        <v>3.66666666666667</v>
      </c>
    </row>
    <row r="15" spans="1:14">
      <c r="A15" s="1">
        <v>12</v>
      </c>
      <c r="B15" s="1">
        <f t="shared" si="1"/>
        <v>1200</v>
      </c>
      <c r="C15" s="1" t="s">
        <v>54</v>
      </c>
      <c r="D15" s="1" t="s">
        <v>55</v>
      </c>
      <c r="E15" s="4">
        <f t="shared" si="0"/>
        <v>8</v>
      </c>
      <c r="G15" s="6" t="s">
        <v>56</v>
      </c>
      <c r="H15" s="5" t="s">
        <v>57</v>
      </c>
      <c r="J15" s="1">
        <v>12</v>
      </c>
      <c r="K15" s="1">
        <f t="shared" si="2"/>
        <v>600</v>
      </c>
      <c r="L15" s="1" t="s">
        <v>58</v>
      </c>
      <c r="M15" s="1" t="s">
        <v>54</v>
      </c>
      <c r="N15" s="4">
        <f>K15/$B$1</f>
        <v>4</v>
      </c>
    </row>
    <row r="16" spans="1:14">
      <c r="A16" s="1">
        <v>13</v>
      </c>
      <c r="B16" s="1">
        <f t="shared" si="1"/>
        <v>1300</v>
      </c>
      <c r="C16" s="1" t="s">
        <v>60</v>
      </c>
      <c r="D16" s="1" t="s">
        <v>55</v>
      </c>
      <c r="E16" s="4">
        <f t="shared" si="0"/>
        <v>8.66666666666667</v>
      </c>
      <c r="G16" s="5" t="s">
        <v>61</v>
      </c>
      <c r="H16" s="5" t="s">
        <v>57</v>
      </c>
      <c r="J16" s="1">
        <v>13</v>
      </c>
      <c r="K16" s="1">
        <f t="shared" si="2"/>
        <v>650</v>
      </c>
      <c r="L16" s="1" t="s">
        <v>62</v>
      </c>
      <c r="M16" s="1" t="s">
        <v>63</v>
      </c>
      <c r="N16" s="4">
        <f>K16/$B$1</f>
        <v>4.33333333333333</v>
      </c>
    </row>
    <row r="17" spans="1:14">
      <c r="A17" s="1">
        <v>14</v>
      </c>
      <c r="B17" s="1">
        <f t="shared" si="1"/>
        <v>1400</v>
      </c>
      <c r="C17" s="1" t="s">
        <v>78</v>
      </c>
      <c r="D17" s="1" t="s">
        <v>55</v>
      </c>
      <c r="E17" s="4">
        <f t="shared" si="0"/>
        <v>9.33333333333333</v>
      </c>
      <c r="G17" s="5" t="s">
        <v>79</v>
      </c>
      <c r="H17" s="5" t="s">
        <v>57</v>
      </c>
      <c r="J17" s="1">
        <v>14</v>
      </c>
      <c r="K17" s="1">
        <f t="shared" si="2"/>
        <v>700</v>
      </c>
      <c r="L17" s="1" t="s">
        <v>66</v>
      </c>
      <c r="M17" s="1" t="s">
        <v>67</v>
      </c>
      <c r="N17" s="4">
        <f>K17/$B$1</f>
        <v>4.66666666666667</v>
      </c>
    </row>
    <row r="18" spans="1:14">
      <c r="A18" s="1">
        <v>15</v>
      </c>
      <c r="B18" s="1">
        <f t="shared" si="1"/>
        <v>1500</v>
      </c>
      <c r="C18" s="1" t="s">
        <v>60</v>
      </c>
      <c r="D18" s="1" t="s">
        <v>69</v>
      </c>
      <c r="E18" s="4">
        <f t="shared" si="0"/>
        <v>10</v>
      </c>
      <c r="G18" s="5" t="s">
        <v>61</v>
      </c>
      <c r="H18" s="5" t="s">
        <v>70</v>
      </c>
      <c r="J18" s="1">
        <v>15</v>
      </c>
      <c r="K18" s="1">
        <f t="shared" si="2"/>
        <v>750</v>
      </c>
      <c r="L18" s="1" t="s">
        <v>66</v>
      </c>
      <c r="M18" s="1" t="s">
        <v>82</v>
      </c>
      <c r="N18" s="4">
        <f>K18/$B$1</f>
        <v>5</v>
      </c>
    </row>
    <row r="19" spans="1:14">
      <c r="A19" s="1">
        <v>16</v>
      </c>
      <c r="B19" s="1">
        <f t="shared" si="1"/>
        <v>1600</v>
      </c>
      <c r="C19" s="1" t="s">
        <v>49</v>
      </c>
      <c r="D19" s="1" t="s">
        <v>83</v>
      </c>
      <c r="E19" s="4">
        <f t="shared" si="0"/>
        <v>10.6666666666667</v>
      </c>
      <c r="G19" s="5" t="s">
        <v>51</v>
      </c>
      <c r="H19" s="6" t="s">
        <v>84</v>
      </c>
      <c r="J19" s="1"/>
      <c r="K19" s="1"/>
      <c r="L19" s="1"/>
      <c r="N19" s="4"/>
    </row>
    <row r="20" spans="1:14">
      <c r="A20" s="1">
        <v>17</v>
      </c>
      <c r="B20" s="1">
        <f t="shared" si="1"/>
        <v>1700</v>
      </c>
      <c r="C20" s="1" t="s">
        <v>54</v>
      </c>
      <c r="D20" s="1" t="s">
        <v>55</v>
      </c>
      <c r="E20" s="4">
        <f t="shared" si="0"/>
        <v>11.3333333333333</v>
      </c>
      <c r="G20" s="6" t="s">
        <v>56</v>
      </c>
      <c r="H20" s="5" t="s">
        <v>57</v>
      </c>
      <c r="J20" s="1"/>
      <c r="K20" s="1"/>
      <c r="L20" s="1"/>
      <c r="N20" s="4"/>
    </row>
    <row r="21" spans="1:14">
      <c r="A21" s="1">
        <v>18</v>
      </c>
      <c r="B21" s="1">
        <f t="shared" si="1"/>
        <v>1800</v>
      </c>
      <c r="C21" s="1" t="s">
        <v>60</v>
      </c>
      <c r="D21" s="1" t="s">
        <v>55</v>
      </c>
      <c r="E21" s="4">
        <f t="shared" si="0"/>
        <v>12</v>
      </c>
      <c r="G21" s="5" t="s">
        <v>61</v>
      </c>
      <c r="H21" s="5" t="s">
        <v>57</v>
      </c>
      <c r="J21" s="1"/>
      <c r="K21" s="1"/>
      <c r="L21" s="1"/>
      <c r="N21" s="4"/>
    </row>
    <row r="22" spans="1:14">
      <c r="A22" s="1">
        <v>19</v>
      </c>
      <c r="B22" s="1">
        <f t="shared" si="1"/>
        <v>1900</v>
      </c>
      <c r="C22" s="1" t="s">
        <v>78</v>
      </c>
      <c r="D22" s="1" t="s">
        <v>55</v>
      </c>
      <c r="E22" s="4">
        <f t="shared" si="0"/>
        <v>12.6666666666667</v>
      </c>
      <c r="G22" s="5" t="s">
        <v>79</v>
      </c>
      <c r="H22" s="5" t="s">
        <v>57</v>
      </c>
      <c r="J22" s="1"/>
      <c r="K22" s="1">
        <v>30012</v>
      </c>
      <c r="L22" s="2" t="s">
        <v>85</v>
      </c>
      <c r="M22" s="11" t="s">
        <v>86</v>
      </c>
      <c r="N22" s="4"/>
    </row>
    <row r="23" spans="1:14">
      <c r="A23" s="1">
        <v>20</v>
      </c>
      <c r="B23" s="1">
        <f t="shared" si="1"/>
        <v>2000</v>
      </c>
      <c r="C23" s="1" t="s">
        <v>60</v>
      </c>
      <c r="D23" s="1" t="s">
        <v>69</v>
      </c>
      <c r="E23" s="4">
        <f t="shared" si="0"/>
        <v>13.3333333333333</v>
      </c>
      <c r="G23" s="5" t="s">
        <v>61</v>
      </c>
      <c r="H23" s="5" t="s">
        <v>70</v>
      </c>
      <c r="K23" s="1">
        <v>30013</v>
      </c>
      <c r="L23" s="2" t="s">
        <v>87</v>
      </c>
      <c r="M23" s="11" t="s">
        <v>88</v>
      </c>
      <c r="N23" s="4"/>
    </row>
    <row r="24" spans="1:14">
      <c r="A24" s="1">
        <v>21</v>
      </c>
      <c r="B24" s="1">
        <f t="shared" si="1"/>
        <v>2100</v>
      </c>
      <c r="C24" s="1" t="s">
        <v>49</v>
      </c>
      <c r="D24" s="1" t="s">
        <v>89</v>
      </c>
      <c r="E24" s="4">
        <f t="shared" si="0"/>
        <v>14</v>
      </c>
      <c r="G24" s="5" t="s">
        <v>51</v>
      </c>
      <c r="H24" s="5" t="s">
        <v>90</v>
      </c>
      <c r="K24" s="1">
        <v>30014</v>
      </c>
      <c r="L24" s="2" t="s">
        <v>91</v>
      </c>
      <c r="M24" s="11" t="s">
        <v>92</v>
      </c>
      <c r="N24" s="4"/>
    </row>
    <row r="25" spans="1:14">
      <c r="A25" s="1">
        <v>22</v>
      </c>
      <c r="B25" s="1">
        <f t="shared" si="1"/>
        <v>2200</v>
      </c>
      <c r="C25" s="1" t="s">
        <v>54</v>
      </c>
      <c r="D25" s="1" t="s">
        <v>55</v>
      </c>
      <c r="E25" s="4">
        <f t="shared" si="0"/>
        <v>14.6666666666667</v>
      </c>
      <c r="G25" s="6" t="s">
        <v>56</v>
      </c>
      <c r="H25" s="5" t="s">
        <v>57</v>
      </c>
      <c r="K25" s="1">
        <v>30015</v>
      </c>
      <c r="L25" s="2" t="s">
        <v>93</v>
      </c>
      <c r="M25" s="11" t="s">
        <v>94</v>
      </c>
      <c r="N25" s="4"/>
    </row>
    <row r="26" spans="1:17">
      <c r="A26" s="1">
        <v>23</v>
      </c>
      <c r="B26" s="1">
        <f t="shared" si="1"/>
        <v>2300</v>
      </c>
      <c r="C26" s="1" t="s">
        <v>60</v>
      </c>
      <c r="D26" s="1" t="s">
        <v>55</v>
      </c>
      <c r="E26" s="4">
        <f t="shared" si="0"/>
        <v>15.3333333333333</v>
      </c>
      <c r="G26" s="5" t="s">
        <v>61</v>
      </c>
      <c r="H26" s="5" t="s">
        <v>57</v>
      </c>
      <c r="L26" s="2">
        <v>50</v>
      </c>
      <c r="M26" s="2">
        <v>342</v>
      </c>
      <c r="N26" s="4">
        <v>80</v>
      </c>
      <c r="O26" s="2">
        <v>160</v>
      </c>
      <c r="P26" s="1">
        <v>60</v>
      </c>
      <c r="Q26" s="1">
        <v>500</v>
      </c>
    </row>
    <row r="27" spans="1:14">
      <c r="A27" s="1">
        <v>24</v>
      </c>
      <c r="B27" s="1">
        <f t="shared" si="1"/>
        <v>2400</v>
      </c>
      <c r="C27" s="1" t="s">
        <v>78</v>
      </c>
      <c r="D27" s="1" t="s">
        <v>55</v>
      </c>
      <c r="E27" s="4">
        <f t="shared" si="0"/>
        <v>16</v>
      </c>
      <c r="G27" s="5" t="s">
        <v>79</v>
      </c>
      <c r="H27" s="5" t="s">
        <v>57</v>
      </c>
      <c r="K27" s="12"/>
      <c r="L27" s="12"/>
      <c r="M27" s="12"/>
      <c r="N27" s="4"/>
    </row>
    <row r="28" spans="1:14">
      <c r="A28" s="1">
        <v>25</v>
      </c>
      <c r="B28" s="1">
        <f t="shared" si="1"/>
        <v>2500</v>
      </c>
      <c r="C28" s="1" t="s">
        <v>60</v>
      </c>
      <c r="D28" s="1" t="s">
        <v>69</v>
      </c>
      <c r="E28" s="4">
        <f t="shared" si="0"/>
        <v>16.6666666666667</v>
      </c>
      <c r="G28" s="5" t="s">
        <v>61</v>
      </c>
      <c r="H28" s="5" t="s">
        <v>70</v>
      </c>
      <c r="K28" s="12"/>
      <c r="L28" s="12"/>
      <c r="M28" s="12"/>
      <c r="N28" s="4"/>
    </row>
    <row r="29" spans="1:14">
      <c r="A29" s="1">
        <v>26</v>
      </c>
      <c r="B29" s="1">
        <f t="shared" si="1"/>
        <v>2600</v>
      </c>
      <c r="C29" s="1" t="s">
        <v>49</v>
      </c>
      <c r="D29" s="1" t="s">
        <v>80</v>
      </c>
      <c r="E29" s="4">
        <f t="shared" si="0"/>
        <v>17.3333333333333</v>
      </c>
      <c r="G29" s="5" t="s">
        <v>51</v>
      </c>
      <c r="H29" s="5" t="s">
        <v>81</v>
      </c>
      <c r="J29" s="2" t="s">
        <v>95</v>
      </c>
      <c r="K29" s="12"/>
      <c r="L29" s="12"/>
      <c r="M29" s="12"/>
      <c r="N29" s="4"/>
    </row>
    <row r="30" spans="1:19">
      <c r="A30" s="1">
        <v>27</v>
      </c>
      <c r="B30" s="1">
        <f t="shared" si="1"/>
        <v>2700</v>
      </c>
      <c r="C30" s="1" t="s">
        <v>54</v>
      </c>
      <c r="D30" s="1" t="s">
        <v>69</v>
      </c>
      <c r="E30" s="4">
        <f t="shared" si="0"/>
        <v>18</v>
      </c>
      <c r="G30" s="6" t="s">
        <v>56</v>
      </c>
      <c r="H30" s="5" t="s">
        <v>70</v>
      </c>
      <c r="J30" s="2" t="s">
        <v>96</v>
      </c>
      <c r="K30" s="12"/>
      <c r="L30" s="12"/>
      <c r="M30" s="6" t="s">
        <v>51</v>
      </c>
      <c r="N30" s="6" t="s">
        <v>97</v>
      </c>
      <c r="O30" s="2">
        <v>1100</v>
      </c>
      <c r="P30" s="1" t="s">
        <v>98</v>
      </c>
      <c r="Q30" s="1">
        <v>882</v>
      </c>
      <c r="R30" s="1">
        <v>60</v>
      </c>
      <c r="S30" s="1">
        <v>200</v>
      </c>
    </row>
    <row r="31" spans="1:15">
      <c r="A31" s="1">
        <v>28</v>
      </c>
      <c r="B31" s="1">
        <f t="shared" si="1"/>
        <v>2800</v>
      </c>
      <c r="C31" s="1" t="s">
        <v>60</v>
      </c>
      <c r="D31" s="1" t="s">
        <v>69</v>
      </c>
      <c r="E31" s="4">
        <f t="shared" si="0"/>
        <v>18.6666666666667</v>
      </c>
      <c r="G31" s="5" t="s">
        <v>61</v>
      </c>
      <c r="H31" s="5" t="s">
        <v>70</v>
      </c>
      <c r="J31" s="2" t="s">
        <v>99</v>
      </c>
      <c r="K31" s="12"/>
      <c r="L31" s="12"/>
      <c r="M31" s="6" t="s">
        <v>100</v>
      </c>
      <c r="N31" s="6" t="s">
        <v>101</v>
      </c>
      <c r="O31" s="2">
        <v>1000</v>
      </c>
    </row>
    <row r="32" spans="1:15">
      <c r="A32" s="1">
        <v>29</v>
      </c>
      <c r="B32" s="1">
        <f t="shared" si="1"/>
        <v>2900</v>
      </c>
      <c r="C32" s="1" t="s">
        <v>78</v>
      </c>
      <c r="D32" s="1" t="s">
        <v>69</v>
      </c>
      <c r="E32" s="4">
        <f t="shared" si="0"/>
        <v>19.3333333333333</v>
      </c>
      <c r="G32" s="5" t="s">
        <v>79</v>
      </c>
      <c r="H32" s="5" t="s">
        <v>70</v>
      </c>
      <c r="J32" s="2" t="s">
        <v>102</v>
      </c>
      <c r="K32" s="12"/>
      <c r="L32" s="12"/>
      <c r="M32" s="6" t="s">
        <v>65</v>
      </c>
      <c r="N32" s="6" t="s">
        <v>103</v>
      </c>
      <c r="O32" s="2">
        <v>500</v>
      </c>
    </row>
    <row r="33" spans="1:15">
      <c r="A33" s="7">
        <v>30</v>
      </c>
      <c r="B33" s="7">
        <f t="shared" si="1"/>
        <v>3000</v>
      </c>
      <c r="C33" s="7" t="s">
        <v>104</v>
      </c>
      <c r="D33" s="7" t="s">
        <v>105</v>
      </c>
      <c r="E33" s="8">
        <f t="shared" si="0"/>
        <v>20</v>
      </c>
      <c r="F33" s="2" t="s">
        <v>106</v>
      </c>
      <c r="G33" s="5" t="s">
        <v>107</v>
      </c>
      <c r="H33" s="5" t="s">
        <v>108</v>
      </c>
      <c r="K33" s="12"/>
      <c r="L33" s="12"/>
      <c r="M33" s="6" t="s">
        <v>109</v>
      </c>
      <c r="N33" s="6" t="s">
        <v>110</v>
      </c>
      <c r="O33" s="2">
        <v>150</v>
      </c>
    </row>
    <row r="34" spans="1:15">
      <c r="A34" s="9">
        <v>31</v>
      </c>
      <c r="B34" s="9">
        <f t="shared" si="1"/>
        <v>3100</v>
      </c>
      <c r="C34" s="9" t="s">
        <v>111</v>
      </c>
      <c r="D34" s="9" t="s">
        <v>62</v>
      </c>
      <c r="E34" s="10">
        <f t="shared" si="0"/>
        <v>20.6666666666667</v>
      </c>
      <c r="G34" s="5" t="s">
        <v>112</v>
      </c>
      <c r="H34" s="5" t="s">
        <v>79</v>
      </c>
      <c r="K34" s="12"/>
      <c r="L34" s="12"/>
      <c r="M34" s="6" t="s">
        <v>109</v>
      </c>
      <c r="N34" s="5" t="s">
        <v>113</v>
      </c>
      <c r="O34" s="2">
        <v>360</v>
      </c>
    </row>
    <row r="35" spans="1:14">
      <c r="A35" s="9">
        <v>32</v>
      </c>
      <c r="B35" s="9">
        <f t="shared" si="1"/>
        <v>3200</v>
      </c>
      <c r="C35" s="9" t="s">
        <v>111</v>
      </c>
      <c r="D35" s="9" t="s">
        <v>62</v>
      </c>
      <c r="E35" s="10">
        <f t="shared" si="0"/>
        <v>21.3333333333333</v>
      </c>
      <c r="G35" s="5" t="s">
        <v>112</v>
      </c>
      <c r="H35" s="5" t="s">
        <v>79</v>
      </c>
      <c r="K35" s="12"/>
      <c r="L35" s="12"/>
      <c r="M35" s="6" t="s">
        <v>51</v>
      </c>
      <c r="N35" s="6" t="s">
        <v>97</v>
      </c>
    </row>
    <row r="36" spans="1:14">
      <c r="A36" s="9">
        <v>33</v>
      </c>
      <c r="B36" s="9">
        <f t="shared" si="1"/>
        <v>3300</v>
      </c>
      <c r="C36" s="9" t="s">
        <v>111</v>
      </c>
      <c r="D36" s="9" t="s">
        <v>62</v>
      </c>
      <c r="E36" s="10">
        <f t="shared" si="0"/>
        <v>22</v>
      </c>
      <c r="G36" s="5" t="s">
        <v>112</v>
      </c>
      <c r="H36" s="5" t="s">
        <v>79</v>
      </c>
      <c r="K36" s="12"/>
      <c r="L36" s="12"/>
      <c r="M36" s="6" t="s">
        <v>100</v>
      </c>
      <c r="N36" s="6" t="s">
        <v>101</v>
      </c>
    </row>
    <row r="37" spans="1:14">
      <c r="A37" s="9">
        <v>34</v>
      </c>
      <c r="B37" s="9">
        <f t="shared" si="1"/>
        <v>3400</v>
      </c>
      <c r="C37" s="9" t="s">
        <v>111</v>
      </c>
      <c r="D37" s="9" t="s">
        <v>62</v>
      </c>
      <c r="E37" s="10">
        <f t="shared" ref="E37:E68" si="3">B37/$B$1</f>
        <v>22.6666666666667</v>
      </c>
      <c r="G37" s="5" t="s">
        <v>112</v>
      </c>
      <c r="H37" s="5" t="s">
        <v>79</v>
      </c>
      <c r="K37" s="12"/>
      <c r="L37" s="12"/>
      <c r="M37" s="6" t="s">
        <v>65</v>
      </c>
      <c r="N37" s="6" t="s">
        <v>103</v>
      </c>
    </row>
    <row r="38" spans="1:14">
      <c r="A38" s="9">
        <v>35</v>
      </c>
      <c r="B38" s="9">
        <f t="shared" ref="B38:B69" si="4">$B$4*A38</f>
        <v>3500</v>
      </c>
      <c r="C38" s="9" t="s">
        <v>111</v>
      </c>
      <c r="D38" s="9" t="s">
        <v>62</v>
      </c>
      <c r="E38" s="10">
        <f t="shared" si="3"/>
        <v>23.3333333333333</v>
      </c>
      <c r="G38" s="5" t="s">
        <v>112</v>
      </c>
      <c r="H38" s="5" t="s">
        <v>79</v>
      </c>
      <c r="K38" s="12"/>
      <c r="L38" s="12"/>
      <c r="M38" s="6" t="s">
        <v>109</v>
      </c>
      <c r="N38" s="6" t="s">
        <v>110</v>
      </c>
    </row>
    <row r="39" spans="1:14">
      <c r="A39" s="9">
        <v>36</v>
      </c>
      <c r="B39" s="9">
        <f t="shared" si="4"/>
        <v>3600</v>
      </c>
      <c r="C39" s="9" t="s">
        <v>111</v>
      </c>
      <c r="D39" s="9" t="s">
        <v>62</v>
      </c>
      <c r="E39" s="10">
        <f t="shared" si="3"/>
        <v>24</v>
      </c>
      <c r="G39" s="5" t="s">
        <v>112</v>
      </c>
      <c r="H39" s="5" t="s">
        <v>79</v>
      </c>
      <c r="K39" s="12"/>
      <c r="L39" s="12"/>
      <c r="M39" s="6" t="s">
        <v>109</v>
      </c>
      <c r="N39" s="5" t="s">
        <v>113</v>
      </c>
    </row>
    <row r="40" spans="1:14">
      <c r="A40" s="9">
        <v>37</v>
      </c>
      <c r="B40" s="9">
        <f t="shared" si="4"/>
        <v>3700</v>
      </c>
      <c r="C40" s="9" t="s">
        <v>111</v>
      </c>
      <c r="D40" s="9" t="s">
        <v>62</v>
      </c>
      <c r="E40" s="10">
        <f t="shared" si="3"/>
        <v>24.6666666666667</v>
      </c>
      <c r="G40" s="5" t="s">
        <v>112</v>
      </c>
      <c r="H40" s="5" t="s">
        <v>79</v>
      </c>
      <c r="K40" s="12"/>
      <c r="L40" s="12"/>
      <c r="M40" s="6" t="s">
        <v>51</v>
      </c>
      <c r="N40" s="6" t="s">
        <v>97</v>
      </c>
    </row>
    <row r="41" spans="1:14">
      <c r="A41" s="9">
        <v>38</v>
      </c>
      <c r="B41" s="9">
        <f t="shared" si="4"/>
        <v>3800</v>
      </c>
      <c r="C41" s="9" t="s">
        <v>111</v>
      </c>
      <c r="D41" s="9" t="s">
        <v>62</v>
      </c>
      <c r="E41" s="10">
        <f t="shared" si="3"/>
        <v>25.3333333333333</v>
      </c>
      <c r="G41" s="5" t="s">
        <v>112</v>
      </c>
      <c r="H41" s="5" t="s">
        <v>79</v>
      </c>
      <c r="K41" s="12"/>
      <c r="L41" s="12"/>
      <c r="M41" s="6" t="s">
        <v>100</v>
      </c>
      <c r="N41" s="6" t="s">
        <v>101</v>
      </c>
    </row>
    <row r="42" spans="1:14">
      <c r="A42" s="9">
        <v>39</v>
      </c>
      <c r="B42" s="9">
        <f t="shared" si="4"/>
        <v>3900</v>
      </c>
      <c r="C42" s="9" t="s">
        <v>111</v>
      </c>
      <c r="D42" s="9" t="s">
        <v>62</v>
      </c>
      <c r="E42" s="10">
        <f t="shared" si="3"/>
        <v>26</v>
      </c>
      <c r="G42" s="5" t="s">
        <v>112</v>
      </c>
      <c r="H42" s="5" t="s">
        <v>79</v>
      </c>
      <c r="K42" s="12"/>
      <c r="L42" s="12"/>
      <c r="M42" s="6" t="s">
        <v>65</v>
      </c>
      <c r="N42" s="6" t="s">
        <v>103</v>
      </c>
    </row>
    <row r="43" spans="1:14">
      <c r="A43" s="9">
        <v>40</v>
      </c>
      <c r="B43" s="9">
        <f t="shared" si="4"/>
        <v>4000</v>
      </c>
      <c r="C43" s="9" t="s">
        <v>111</v>
      </c>
      <c r="D43" s="9" t="s">
        <v>62</v>
      </c>
      <c r="E43" s="10">
        <f t="shared" si="3"/>
        <v>26.6666666666667</v>
      </c>
      <c r="G43" s="5" t="s">
        <v>112</v>
      </c>
      <c r="H43" s="5" t="s">
        <v>79</v>
      </c>
      <c r="K43" s="12"/>
      <c r="L43" s="12"/>
      <c r="M43" s="6" t="s">
        <v>109</v>
      </c>
      <c r="N43" s="6" t="s">
        <v>110</v>
      </c>
    </row>
    <row r="44" spans="1:14">
      <c r="A44" s="9">
        <v>41</v>
      </c>
      <c r="B44" s="9">
        <f t="shared" si="4"/>
        <v>4100</v>
      </c>
      <c r="C44" s="9" t="s">
        <v>111</v>
      </c>
      <c r="D44" s="9" t="s">
        <v>62</v>
      </c>
      <c r="E44" s="10">
        <f t="shared" si="3"/>
        <v>27.3333333333333</v>
      </c>
      <c r="G44" s="5" t="s">
        <v>112</v>
      </c>
      <c r="H44" s="5" t="s">
        <v>79</v>
      </c>
      <c r="K44" s="12"/>
      <c r="L44" s="12"/>
      <c r="M44" s="6" t="s">
        <v>109</v>
      </c>
      <c r="N44" s="5" t="s">
        <v>113</v>
      </c>
    </row>
    <row r="45" spans="1:13">
      <c r="A45" s="9">
        <v>42</v>
      </c>
      <c r="B45" s="9">
        <f t="shared" si="4"/>
        <v>4200</v>
      </c>
      <c r="C45" s="9" t="s">
        <v>111</v>
      </c>
      <c r="D45" s="9" t="s">
        <v>62</v>
      </c>
      <c r="E45" s="10">
        <f t="shared" si="3"/>
        <v>28</v>
      </c>
      <c r="G45" s="5" t="s">
        <v>112</v>
      </c>
      <c r="H45" s="5" t="s">
        <v>79</v>
      </c>
      <c r="K45" s="12"/>
      <c r="L45" s="12"/>
      <c r="M45" s="12"/>
    </row>
    <row r="46" spans="1:13">
      <c r="A46" s="9">
        <v>43</v>
      </c>
      <c r="B46" s="9">
        <f t="shared" si="4"/>
        <v>4300</v>
      </c>
      <c r="C46" s="9" t="s">
        <v>111</v>
      </c>
      <c r="D46" s="9" t="s">
        <v>62</v>
      </c>
      <c r="E46" s="10">
        <f t="shared" si="3"/>
        <v>28.6666666666667</v>
      </c>
      <c r="G46" s="5" t="s">
        <v>112</v>
      </c>
      <c r="H46" s="5" t="s">
        <v>79</v>
      </c>
      <c r="K46" s="12"/>
      <c r="L46" s="12"/>
      <c r="M46" s="12"/>
    </row>
    <row r="47" spans="1:13">
      <c r="A47" s="9">
        <v>44</v>
      </c>
      <c r="B47" s="9">
        <f t="shared" si="4"/>
        <v>4400</v>
      </c>
      <c r="C47" s="9" t="s">
        <v>111</v>
      </c>
      <c r="D47" s="9" t="s">
        <v>62</v>
      </c>
      <c r="E47" s="10">
        <f t="shared" si="3"/>
        <v>29.3333333333333</v>
      </c>
      <c r="G47" s="5" t="s">
        <v>112</v>
      </c>
      <c r="H47" s="5" t="s">
        <v>79</v>
      </c>
      <c r="K47" s="12"/>
      <c r="L47" s="12"/>
      <c r="M47" s="12"/>
    </row>
    <row r="48" spans="1:8">
      <c r="A48" s="9">
        <v>45</v>
      </c>
      <c r="B48" s="9">
        <f t="shared" si="4"/>
        <v>4500</v>
      </c>
      <c r="C48" s="9" t="s">
        <v>111</v>
      </c>
      <c r="D48" s="9" t="s">
        <v>62</v>
      </c>
      <c r="E48" s="10">
        <f t="shared" si="3"/>
        <v>30</v>
      </c>
      <c r="G48" s="5" t="s">
        <v>112</v>
      </c>
      <c r="H48" s="5" t="s">
        <v>79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Zhanlin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2023-06-24T04:24:00Z</dcterms:created>
  <dcterms:modified xsi:type="dcterms:W3CDTF">2025-05-05T16:01:49Z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