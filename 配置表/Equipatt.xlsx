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805"/>
  </bookViews>
  <sheets>
    <sheet name="Equipatt" sheetId="1" r:id="rId1"/>
    <sheet name="Sheet2" sheetId="2" r:id="rId2"/>
    <sheet name="Sheet3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<sst xmlns="http://schemas.openxmlformats.org/spreadsheetml/2006/main" count="1863" uniqueCount="766">
  <si>
    <t>Id</t>
  </si>
  <si>
    <t>Equiplv</t>
  </si>
  <si>
    <t>Type</t>
  </si>
  <si>
    <t>Attributes1</t>
  </si>
  <si>
    <t>Attributes2</t>
  </si>
  <si>
    <t>Attributes3</t>
  </si>
  <si>
    <t>Attributes4</t>
  </si>
  <si>
    <t>int</t>
  </si>
  <si>
    <t>string</t>
  </si>
  <si>
    <t>唯一id</t>
  </si>
  <si>
    <t>装备等级</t>
  </si>
  <si>
    <t>属性类型</t>
  </si>
  <si>
    <t>白品属性范围</t>
  </si>
  <si>
    <t>蓝品属性范围</t>
  </si>
  <si>
    <t>紫品属性范围</t>
  </si>
  <si>
    <t>橙品属性范围</t>
  </si>
  <si>
    <t>490:980</t>
  </si>
  <si>
    <t>515:1029</t>
  </si>
  <si>
    <t>539:1078</t>
  </si>
  <si>
    <t>564:1127</t>
  </si>
  <si>
    <t>62:124</t>
  </si>
  <si>
    <t>65:130</t>
  </si>
  <si>
    <t>68:136</t>
  </si>
  <si>
    <t>71:142</t>
  </si>
  <si>
    <t>39:78</t>
  </si>
  <si>
    <t>41:82</t>
  </si>
  <si>
    <t>43:86</t>
  </si>
  <si>
    <t>45:89</t>
  </si>
  <si>
    <t>12:23</t>
  </si>
  <si>
    <t>12:24</t>
  </si>
  <si>
    <t>13:25</t>
  </si>
  <si>
    <t>13:26</t>
  </si>
  <si>
    <t>23:46</t>
  </si>
  <si>
    <t>24:48</t>
  </si>
  <si>
    <t>25:51</t>
  </si>
  <si>
    <t>26:53</t>
  </si>
  <si>
    <t>5:9</t>
  </si>
  <si>
    <t>5:10</t>
  </si>
  <si>
    <t>5:11</t>
  </si>
  <si>
    <t>686:1372</t>
  </si>
  <si>
    <t>721:1441</t>
  </si>
  <si>
    <t>755:1509</t>
  </si>
  <si>
    <t>789:1578</t>
  </si>
  <si>
    <t>87:173</t>
  </si>
  <si>
    <t>91:182</t>
  </si>
  <si>
    <t>95:190</t>
  </si>
  <si>
    <t>99:199</t>
  </si>
  <si>
    <t>55:109</t>
  </si>
  <si>
    <t>57:115</t>
  </si>
  <si>
    <t>60:120</t>
  </si>
  <si>
    <t>63:125</t>
  </si>
  <si>
    <t>17:32</t>
  </si>
  <si>
    <t>17:34</t>
  </si>
  <si>
    <t>18:35</t>
  </si>
  <si>
    <t>18:37</t>
  </si>
  <si>
    <t>32:64</t>
  </si>
  <si>
    <t>34:67</t>
  </si>
  <si>
    <t>35:71</t>
  </si>
  <si>
    <t>37:74</t>
  </si>
  <si>
    <t>6:13</t>
  </si>
  <si>
    <t>7:13</t>
  </si>
  <si>
    <t>7:14</t>
  </si>
  <si>
    <t>7:15</t>
  </si>
  <si>
    <t>931:1862</t>
  </si>
  <si>
    <t>978:1955</t>
  </si>
  <si>
    <t>1024:2048</t>
  </si>
  <si>
    <t>1071:2142</t>
  </si>
  <si>
    <t>118:235</t>
  </si>
  <si>
    <t>123:247</t>
  </si>
  <si>
    <t>129:259</t>
  </si>
  <si>
    <t>135:270</t>
  </si>
  <si>
    <t>74:148</t>
  </si>
  <si>
    <t>78:155</t>
  </si>
  <si>
    <t>81:163</t>
  </si>
  <si>
    <t>85:169</t>
  </si>
  <si>
    <t>22:44</t>
  </si>
  <si>
    <t>25:50</t>
  </si>
  <si>
    <t>44:87</t>
  </si>
  <si>
    <t>46:91</t>
  </si>
  <si>
    <t>48:97</t>
  </si>
  <si>
    <t>50:101</t>
  </si>
  <si>
    <t>9:17</t>
  </si>
  <si>
    <t>9:18</t>
  </si>
  <si>
    <t>10:19</t>
  </si>
  <si>
    <t>10:20</t>
  </si>
  <si>
    <t>1176:2352</t>
  </si>
  <si>
    <t>1235:2470</t>
  </si>
  <si>
    <t>1294:2588</t>
  </si>
  <si>
    <t>1353:2705</t>
  </si>
  <si>
    <t>149:297</t>
  </si>
  <si>
    <t>156:312</t>
  </si>
  <si>
    <t>163:327</t>
  </si>
  <si>
    <t>171:341</t>
  </si>
  <si>
    <t>93:187</t>
  </si>
  <si>
    <t>98:196</t>
  </si>
  <si>
    <t>103:206</t>
  </si>
  <si>
    <t>108:214</t>
  </si>
  <si>
    <t>28:55</t>
  </si>
  <si>
    <t>29:58</t>
  </si>
  <si>
    <t>31:60</t>
  </si>
  <si>
    <t>32:63</t>
  </si>
  <si>
    <t>55:110</t>
  </si>
  <si>
    <t>58:116</t>
  </si>
  <si>
    <t>60:122</t>
  </si>
  <si>
    <t>63:127</t>
  </si>
  <si>
    <t>11:22</t>
  </si>
  <si>
    <t>1421:2842</t>
  </si>
  <si>
    <t>1493:2985</t>
  </si>
  <si>
    <t>1563:3127</t>
  </si>
  <si>
    <t>1635:3269</t>
  </si>
  <si>
    <t>180:359</t>
  </si>
  <si>
    <t>188:377</t>
  </si>
  <si>
    <t>197:395</t>
  </si>
  <si>
    <t>206:412</t>
  </si>
  <si>
    <t>113:226</t>
  </si>
  <si>
    <t>119:237</t>
  </si>
  <si>
    <t>124:248</t>
  </si>
  <si>
    <t>130:259</t>
  </si>
  <si>
    <t>35:70</t>
  </si>
  <si>
    <t>37:73</t>
  </si>
  <si>
    <t>38:76</t>
  </si>
  <si>
    <t>67:133</t>
  </si>
  <si>
    <t>70:140</t>
  </si>
  <si>
    <t>73:147</t>
  </si>
  <si>
    <t>76:154</t>
  </si>
  <si>
    <t>13:27</t>
  </si>
  <si>
    <t>14:28</t>
  </si>
  <si>
    <t>15:29</t>
  </si>
  <si>
    <t>15:31</t>
  </si>
  <si>
    <t>1666:3333</t>
  </si>
  <si>
    <t>1750:3499</t>
  </si>
  <si>
    <t>1833:3666</t>
  </si>
  <si>
    <t>1917:3833</t>
  </si>
  <si>
    <t>210:421</t>
  </si>
  <si>
    <t>221:442</t>
  </si>
  <si>
    <t>231:463</t>
  </si>
  <si>
    <t>242:484</t>
  </si>
  <si>
    <t>132:265</t>
  </si>
  <si>
    <t>139:278</t>
  </si>
  <si>
    <t>146:291</t>
  </si>
  <si>
    <t>152:304</t>
  </si>
  <si>
    <t>40:78</t>
  </si>
  <si>
    <t>78:156</t>
  </si>
  <si>
    <t>82:164</t>
  </si>
  <si>
    <t>86:172</t>
  </si>
  <si>
    <t>89:180</t>
  </si>
  <si>
    <t>16:31</t>
  </si>
  <si>
    <t>16:33</t>
  </si>
  <si>
    <t>18:36</t>
  </si>
  <si>
    <t>1911:3823</t>
  </si>
  <si>
    <t>2007:4014</t>
  </si>
  <si>
    <t>2103:4205</t>
  </si>
  <si>
    <t>2199:4396</t>
  </si>
  <si>
    <t>241:483</t>
  </si>
  <si>
    <t>253:507</t>
  </si>
  <si>
    <t>265:531</t>
  </si>
  <si>
    <t>277:555</t>
  </si>
  <si>
    <t>152:303</t>
  </si>
  <si>
    <t>159:319</t>
  </si>
  <si>
    <t>167:334</t>
  </si>
  <si>
    <t>175:348</t>
  </si>
  <si>
    <t>45:90</t>
  </si>
  <si>
    <t>47:94</t>
  </si>
  <si>
    <t>50:98</t>
  </si>
  <si>
    <t>51:103</t>
  </si>
  <si>
    <t>90:179</t>
  </si>
  <si>
    <t>94:188</t>
  </si>
  <si>
    <t>98:198</t>
  </si>
  <si>
    <t>19:38</t>
  </si>
  <si>
    <t>20:40</t>
  </si>
  <si>
    <t>21:41</t>
  </si>
  <si>
    <t>2156:4313</t>
  </si>
  <si>
    <t>2265:4529</t>
  </si>
  <si>
    <t>2372:4744</t>
  </si>
  <si>
    <t>2480:4960</t>
  </si>
  <si>
    <t>272:545</t>
  </si>
  <si>
    <t>286:572</t>
  </si>
  <si>
    <t>299:599</t>
  </si>
  <si>
    <t>313:626</t>
  </si>
  <si>
    <t>171:342</t>
  </si>
  <si>
    <t>180:360</t>
  </si>
  <si>
    <t>197:393</t>
  </si>
  <si>
    <t>51:101</t>
  </si>
  <si>
    <t>53:106</t>
  </si>
  <si>
    <t>56:111</t>
  </si>
  <si>
    <t>101:202</t>
  </si>
  <si>
    <t>106:212</t>
  </si>
  <si>
    <t>111:223</t>
  </si>
  <si>
    <t>116:233</t>
  </si>
  <si>
    <t>21:42</t>
  </si>
  <si>
    <t>22:45</t>
  </si>
  <si>
    <t>23:47</t>
  </si>
  <si>
    <t>2402:4803</t>
  </si>
  <si>
    <t>2522:5043</t>
  </si>
  <si>
    <t>2642:5283</t>
  </si>
  <si>
    <t>2762:5523</t>
  </si>
  <si>
    <t>303:607</t>
  </si>
  <si>
    <t>318:637</t>
  </si>
  <si>
    <t>333:667</t>
  </si>
  <si>
    <t>348:697</t>
  </si>
  <si>
    <t>191:381</t>
  </si>
  <si>
    <t>200:400</t>
  </si>
  <si>
    <t>210:420</t>
  </si>
  <si>
    <t>219:438</t>
  </si>
  <si>
    <t>57:113</t>
  </si>
  <si>
    <t>59:118</t>
  </si>
  <si>
    <t>65:129</t>
  </si>
  <si>
    <t>113:225</t>
  </si>
  <si>
    <t>118:236</t>
  </si>
  <si>
    <t>23:45</t>
  </si>
  <si>
    <t>24:47</t>
  </si>
  <si>
    <t>26:52</t>
  </si>
  <si>
    <t>2647:5293</t>
  </si>
  <si>
    <t>2779:5558</t>
  </si>
  <si>
    <t>2911:5822</t>
  </si>
  <si>
    <t>3044:6087</t>
  </si>
  <si>
    <t>334:668</t>
  </si>
  <si>
    <t>351:702</t>
  </si>
  <si>
    <t>367:735</t>
  </si>
  <si>
    <t>384:768</t>
  </si>
  <si>
    <t>221:441</t>
  </si>
  <si>
    <t>231:462</t>
  </si>
  <si>
    <t>242:482</t>
  </si>
  <si>
    <t>63:124</t>
  </si>
  <si>
    <t>69:136</t>
  </si>
  <si>
    <t>130:261</t>
  </si>
  <si>
    <t>136:274</t>
  </si>
  <si>
    <t>142:286</t>
  </si>
  <si>
    <t>27:55</t>
  </si>
  <si>
    <t>28:57</t>
  </si>
  <si>
    <t>2892:5783</t>
  </si>
  <si>
    <t>3037:6072</t>
  </si>
  <si>
    <t>3181:6362</t>
  </si>
  <si>
    <t>3326:6651</t>
  </si>
  <si>
    <t>365:730</t>
  </si>
  <si>
    <t>383:767</t>
  </si>
  <si>
    <t>401:803</t>
  </si>
  <si>
    <t>420:839</t>
  </si>
  <si>
    <t>229:459</t>
  </si>
  <si>
    <t>241:482</t>
  </si>
  <si>
    <t>253:505</t>
  </si>
  <si>
    <t>264:527</t>
  </si>
  <si>
    <t>75:149</t>
  </si>
  <si>
    <t>136:271</t>
  </si>
  <si>
    <t>142:285</t>
  </si>
  <si>
    <t>149:299</t>
  </si>
  <si>
    <t>27:54</t>
  </si>
  <si>
    <t>30:60</t>
  </si>
  <si>
    <t>31:62</t>
  </si>
  <si>
    <t>3137:6273</t>
  </si>
  <si>
    <t>3294:6587</t>
  </si>
  <si>
    <t>3450:6901</t>
  </si>
  <si>
    <t>3608:7214</t>
  </si>
  <si>
    <t>396:792</t>
  </si>
  <si>
    <t>416:832</t>
  </si>
  <si>
    <t>436:871</t>
  </si>
  <si>
    <t>455:910</t>
  </si>
  <si>
    <t>249:498</t>
  </si>
  <si>
    <t>261:523</t>
  </si>
  <si>
    <t>274:548</t>
  </si>
  <si>
    <t>74:147</t>
  </si>
  <si>
    <t>77:154</t>
  </si>
  <si>
    <t>81:162</t>
  </si>
  <si>
    <t>84:169</t>
  </si>
  <si>
    <t>147:294</t>
  </si>
  <si>
    <t>154:309</t>
  </si>
  <si>
    <t>162:324</t>
  </si>
  <si>
    <t>169:339</t>
  </si>
  <si>
    <t>29:59</t>
  </si>
  <si>
    <t>32:65</t>
  </si>
  <si>
    <t>34:68</t>
  </si>
  <si>
    <t>3382:6764</t>
  </si>
  <si>
    <t>3551:7102</t>
  </si>
  <si>
    <t>3720:7440</t>
  </si>
  <si>
    <t>3890:7778</t>
  </si>
  <si>
    <t>427:854</t>
  </si>
  <si>
    <t>448:897</t>
  </si>
  <si>
    <t>470:939</t>
  </si>
  <si>
    <t>491:982</t>
  </si>
  <si>
    <t>268:537</t>
  </si>
  <si>
    <t>282:564</t>
  </si>
  <si>
    <t>295:591</t>
  </si>
  <si>
    <t>309:616</t>
  </si>
  <si>
    <t>80:159</t>
  </si>
  <si>
    <t>83:166</t>
  </si>
  <si>
    <t>88:174</t>
  </si>
  <si>
    <t>159:317</t>
  </si>
  <si>
    <t>166:333</t>
  </si>
  <si>
    <t>174:350</t>
  </si>
  <si>
    <t>182:365</t>
  </si>
  <si>
    <t>33:67</t>
  </si>
  <si>
    <t>36:73</t>
  </si>
  <si>
    <t>3627:7254</t>
  </si>
  <si>
    <t>3809:7616</t>
  </si>
  <si>
    <t>3990:7979</t>
  </si>
  <si>
    <t>4171:8342</t>
  </si>
  <si>
    <t>458:916</t>
  </si>
  <si>
    <t>481:962</t>
  </si>
  <si>
    <t>504:1007</t>
  </si>
  <si>
    <t>526:1053</t>
  </si>
  <si>
    <t>288:576</t>
  </si>
  <si>
    <t>302:604</t>
  </si>
  <si>
    <t>317:633</t>
  </si>
  <si>
    <t>331:661</t>
  </si>
  <si>
    <t>86:170</t>
  </si>
  <si>
    <t>89:179</t>
  </si>
  <si>
    <t>94:187</t>
  </si>
  <si>
    <t>98:195</t>
  </si>
  <si>
    <t>170:340</t>
  </si>
  <si>
    <t>179:357</t>
  </si>
  <si>
    <t>187:375</t>
  </si>
  <si>
    <t>195:392</t>
  </si>
  <si>
    <t>36:71</t>
  </si>
  <si>
    <t>37:75</t>
  </si>
  <si>
    <t>3872:7744</t>
  </si>
  <si>
    <t>4066:8131</t>
  </si>
  <si>
    <t>4259:8518</t>
  </si>
  <si>
    <t>4453:8905</t>
  </si>
  <si>
    <t>489:978</t>
  </si>
  <si>
    <t>513:1026</t>
  </si>
  <si>
    <t>538:1075</t>
  </si>
  <si>
    <t>562:1124</t>
  </si>
  <si>
    <t>307:614</t>
  </si>
  <si>
    <t>323:645</t>
  </si>
  <si>
    <t>338:676</t>
  </si>
  <si>
    <t>353:706</t>
  </si>
  <si>
    <t>95:191</t>
  </si>
  <si>
    <t>100:200</t>
  </si>
  <si>
    <t>104:209</t>
  </si>
  <si>
    <t>182:363</t>
  </si>
  <si>
    <t>209:418</t>
  </si>
  <si>
    <t>40:80</t>
  </si>
  <si>
    <t>42:84</t>
  </si>
  <si>
    <t>490</t>
  </si>
  <si>
    <t>980</t>
  </si>
  <si>
    <t>515</t>
  </si>
  <si>
    <t>1029</t>
  </si>
  <si>
    <t>539</t>
  </si>
  <si>
    <t>1078</t>
  </si>
  <si>
    <t>564</t>
  </si>
  <si>
    <t>1127</t>
  </si>
  <si>
    <t>62</t>
  </si>
  <si>
    <t>124</t>
  </si>
  <si>
    <t>65</t>
  </si>
  <si>
    <t>130</t>
  </si>
  <si>
    <t>68</t>
  </si>
  <si>
    <t>136</t>
  </si>
  <si>
    <t>71</t>
  </si>
  <si>
    <t>142</t>
  </si>
  <si>
    <t>39</t>
  </si>
  <si>
    <t>78</t>
  </si>
  <si>
    <t>41</t>
  </si>
  <si>
    <t>82</t>
  </si>
  <si>
    <t>43</t>
  </si>
  <si>
    <t>86</t>
  </si>
  <si>
    <t>45</t>
  </si>
  <si>
    <t>89</t>
  </si>
  <si>
    <t>12</t>
  </si>
  <si>
    <t>23</t>
  </si>
  <si>
    <t>24</t>
  </si>
  <si>
    <t>13</t>
  </si>
  <si>
    <t>25</t>
  </si>
  <si>
    <t>26</t>
  </si>
  <si>
    <t>46</t>
  </si>
  <si>
    <t>48</t>
  </si>
  <si>
    <t>51</t>
  </si>
  <si>
    <t>53</t>
  </si>
  <si>
    <t>5</t>
  </si>
  <si>
    <t>9</t>
  </si>
  <si>
    <t>10</t>
  </si>
  <si>
    <t>11</t>
  </si>
  <si>
    <t>686</t>
  </si>
  <si>
    <t>1372</t>
  </si>
  <si>
    <t>721</t>
  </si>
  <si>
    <t>1441</t>
  </si>
  <si>
    <t>755</t>
  </si>
  <si>
    <t>1509</t>
  </si>
  <si>
    <t>789</t>
  </si>
  <si>
    <t>1578</t>
  </si>
  <si>
    <t>87</t>
  </si>
  <si>
    <t>173</t>
  </si>
  <si>
    <t>91</t>
  </si>
  <si>
    <t>182</t>
  </si>
  <si>
    <t>95</t>
  </si>
  <si>
    <t>190</t>
  </si>
  <si>
    <t>99</t>
  </si>
  <si>
    <t>199</t>
  </si>
  <si>
    <t>55</t>
  </si>
  <si>
    <t>109</t>
  </si>
  <si>
    <t>57</t>
  </si>
  <si>
    <t>115</t>
  </si>
  <si>
    <t>60</t>
  </si>
  <si>
    <t>120</t>
  </si>
  <si>
    <t>63</t>
  </si>
  <si>
    <t>125</t>
  </si>
  <si>
    <t>17</t>
  </si>
  <si>
    <t>32</t>
  </si>
  <si>
    <t>34</t>
  </si>
  <si>
    <t>18</t>
  </si>
  <si>
    <t>35</t>
  </si>
  <si>
    <t>37</t>
  </si>
  <si>
    <t>64</t>
  </si>
  <si>
    <t>67</t>
  </si>
  <si>
    <t>74</t>
  </si>
  <si>
    <t>6</t>
  </si>
  <si>
    <t>7</t>
  </si>
  <si>
    <t>14</t>
  </si>
  <si>
    <t>15</t>
  </si>
  <si>
    <t>931</t>
  </si>
  <si>
    <t>1862</t>
  </si>
  <si>
    <t>978</t>
  </si>
  <si>
    <t>1955</t>
  </si>
  <si>
    <t>1024</t>
  </si>
  <si>
    <t>2048</t>
  </si>
  <si>
    <t>1071</t>
  </si>
  <si>
    <t>2142</t>
  </si>
  <si>
    <t>118</t>
  </si>
  <si>
    <t>235</t>
  </si>
  <si>
    <t>123</t>
  </si>
  <si>
    <t>247</t>
  </si>
  <si>
    <t>129</t>
  </si>
  <si>
    <t>259</t>
  </si>
  <si>
    <t>135</t>
  </si>
  <si>
    <t>270</t>
  </si>
  <si>
    <t>148</t>
  </si>
  <si>
    <t>155</t>
  </si>
  <si>
    <t>81</t>
  </si>
  <si>
    <t>163</t>
  </si>
  <si>
    <t>85</t>
  </si>
  <si>
    <t>169</t>
  </si>
  <si>
    <t>22</t>
  </si>
  <si>
    <t>44</t>
  </si>
  <si>
    <t>50</t>
  </si>
  <si>
    <t>97</t>
  </si>
  <si>
    <t>101</t>
  </si>
  <si>
    <t>19</t>
  </si>
  <si>
    <t>20</t>
  </si>
  <si>
    <t>1176</t>
  </si>
  <si>
    <t>2352</t>
  </si>
  <si>
    <t>1235</t>
  </si>
  <si>
    <t>2470</t>
  </si>
  <si>
    <t>1294</t>
  </si>
  <si>
    <t>2588</t>
  </si>
  <si>
    <t>1353</t>
  </si>
  <si>
    <t>2705</t>
  </si>
  <si>
    <t>149</t>
  </si>
  <si>
    <t>297</t>
  </si>
  <si>
    <t>156</t>
  </si>
  <si>
    <t>312</t>
  </si>
  <si>
    <t>327</t>
  </si>
  <si>
    <t>171</t>
  </si>
  <si>
    <t>341</t>
  </si>
  <si>
    <t>93</t>
  </si>
  <si>
    <t>187</t>
  </si>
  <si>
    <t>98</t>
  </si>
  <si>
    <t>196</t>
  </si>
  <si>
    <t>103</t>
  </si>
  <si>
    <t>206</t>
  </si>
  <si>
    <t>108</t>
  </si>
  <si>
    <t>214</t>
  </si>
  <si>
    <t>28</t>
  </si>
  <si>
    <t>29</t>
  </si>
  <si>
    <t>58</t>
  </si>
  <si>
    <t>31</t>
  </si>
  <si>
    <t>110</t>
  </si>
  <si>
    <t>116</t>
  </si>
  <si>
    <t>122</t>
  </si>
  <si>
    <t>127</t>
  </si>
  <si>
    <t>1421</t>
  </si>
  <si>
    <t>2842</t>
  </si>
  <si>
    <t>1493</t>
  </si>
  <si>
    <t>2985</t>
  </si>
  <si>
    <t>1563</t>
  </si>
  <si>
    <t>3127</t>
  </si>
  <si>
    <t>1635</t>
  </si>
  <si>
    <t>3269</t>
  </si>
  <si>
    <t>180</t>
  </si>
  <si>
    <t>359</t>
  </si>
  <si>
    <t>188</t>
  </si>
  <si>
    <t>377</t>
  </si>
  <si>
    <t>197</t>
  </si>
  <si>
    <t>395</t>
  </si>
  <si>
    <t>412</t>
  </si>
  <si>
    <t>113</t>
  </si>
  <si>
    <t>226</t>
  </si>
  <si>
    <t>119</t>
  </si>
  <si>
    <t>237</t>
  </si>
  <si>
    <t>248</t>
  </si>
  <si>
    <t>70</t>
  </si>
  <si>
    <t>73</t>
  </si>
  <si>
    <t>38</t>
  </si>
  <si>
    <t>76</t>
  </si>
  <si>
    <t>133</t>
  </si>
  <si>
    <t>140</t>
  </si>
  <si>
    <t>147</t>
  </si>
  <si>
    <t>154</t>
  </si>
  <si>
    <t>27</t>
  </si>
  <si>
    <t>1666</t>
  </si>
  <si>
    <t>3333</t>
  </si>
  <si>
    <t>1750</t>
  </si>
  <si>
    <t>3499</t>
  </si>
  <si>
    <t>1833</t>
  </si>
  <si>
    <t>3666</t>
  </si>
  <si>
    <t>1917</t>
  </si>
  <si>
    <t>3833</t>
  </si>
  <si>
    <t>210</t>
  </si>
  <si>
    <t>421</t>
  </si>
  <si>
    <t>221</t>
  </si>
  <si>
    <t>442</t>
  </si>
  <si>
    <t>231</t>
  </si>
  <si>
    <t>463</t>
  </si>
  <si>
    <t>242</t>
  </si>
  <si>
    <t>484</t>
  </si>
  <si>
    <t>132</t>
  </si>
  <si>
    <t>265</t>
  </si>
  <si>
    <t>139</t>
  </si>
  <si>
    <t>278</t>
  </si>
  <si>
    <t>146</t>
  </si>
  <si>
    <t>291</t>
  </si>
  <si>
    <t>152</t>
  </si>
  <si>
    <t>304</t>
  </si>
  <si>
    <t>40</t>
  </si>
  <si>
    <t>164</t>
  </si>
  <si>
    <t>172</t>
  </si>
  <si>
    <t>16</t>
  </si>
  <si>
    <t>33</t>
  </si>
  <si>
    <t>36</t>
  </si>
  <si>
    <t>1911</t>
  </si>
  <si>
    <t>3823</t>
  </si>
  <si>
    <t>2007</t>
  </si>
  <si>
    <t>4014</t>
  </si>
  <si>
    <t>2103</t>
  </si>
  <si>
    <t>4205</t>
  </si>
  <si>
    <t>2199</t>
  </si>
  <si>
    <t>4396</t>
  </si>
  <si>
    <t>241</t>
  </si>
  <si>
    <t>483</t>
  </si>
  <si>
    <t>253</t>
  </si>
  <si>
    <t>507</t>
  </si>
  <si>
    <t>531</t>
  </si>
  <si>
    <t>277</t>
  </si>
  <si>
    <t>555</t>
  </si>
  <si>
    <t>303</t>
  </si>
  <si>
    <t>159</t>
  </si>
  <si>
    <t>319</t>
  </si>
  <si>
    <t>167</t>
  </si>
  <si>
    <t>334</t>
  </si>
  <si>
    <t>175</t>
  </si>
  <si>
    <t>348</t>
  </si>
  <si>
    <t>90</t>
  </si>
  <si>
    <t>47</t>
  </si>
  <si>
    <t>94</t>
  </si>
  <si>
    <t>179</t>
  </si>
  <si>
    <t>198</t>
  </si>
  <si>
    <t>21</t>
  </si>
  <si>
    <t>2156</t>
  </si>
  <si>
    <t>4313</t>
  </si>
  <si>
    <t>2265</t>
  </si>
  <si>
    <t>4529</t>
  </si>
  <si>
    <t>2372</t>
  </si>
  <si>
    <t>4744</t>
  </si>
  <si>
    <t>2480</t>
  </si>
  <si>
    <t>4960</t>
  </si>
  <si>
    <t>272</t>
  </si>
  <si>
    <t>545</t>
  </si>
  <si>
    <t>286</t>
  </si>
  <si>
    <t>572</t>
  </si>
  <si>
    <t>299</t>
  </si>
  <si>
    <t>599</t>
  </si>
  <si>
    <t>313</t>
  </si>
  <si>
    <t>626</t>
  </si>
  <si>
    <t>342</t>
  </si>
  <si>
    <t>360</t>
  </si>
  <si>
    <t>393</t>
  </si>
  <si>
    <t>106</t>
  </si>
  <si>
    <t>56</t>
  </si>
  <si>
    <t>111</t>
  </si>
  <si>
    <t>202</t>
  </si>
  <si>
    <t>212</t>
  </si>
  <si>
    <t>223</t>
  </si>
  <si>
    <t>233</t>
  </si>
  <si>
    <t>42</t>
  </si>
  <si>
    <t>2402</t>
  </si>
  <si>
    <t>4803</t>
  </si>
  <si>
    <t>2522</t>
  </si>
  <si>
    <t>5043</t>
  </si>
  <si>
    <t>2642</t>
  </si>
  <si>
    <t>5283</t>
  </si>
  <si>
    <t>2762</t>
  </si>
  <si>
    <t>5523</t>
  </si>
  <si>
    <t>607</t>
  </si>
  <si>
    <t>318</t>
  </si>
  <si>
    <t>637</t>
  </si>
  <si>
    <t>333</t>
  </si>
  <si>
    <t>667</t>
  </si>
  <si>
    <t>697</t>
  </si>
  <si>
    <t>191</t>
  </si>
  <si>
    <t>381</t>
  </si>
  <si>
    <t>200</t>
  </si>
  <si>
    <t>400</t>
  </si>
  <si>
    <t>420</t>
  </si>
  <si>
    <t>219</t>
  </si>
  <si>
    <t>438</t>
  </si>
  <si>
    <t>59</t>
  </si>
  <si>
    <t>225</t>
  </si>
  <si>
    <t>236</t>
  </si>
  <si>
    <t>52</t>
  </si>
  <si>
    <t>2647</t>
  </si>
  <si>
    <t>5293</t>
  </si>
  <si>
    <t>2779</t>
  </si>
  <si>
    <t>5558</t>
  </si>
  <si>
    <t>2911</t>
  </si>
  <si>
    <t>5822</t>
  </si>
  <si>
    <t>3044</t>
  </si>
  <si>
    <t>6087</t>
  </si>
  <si>
    <t>668</t>
  </si>
  <si>
    <t>351</t>
  </si>
  <si>
    <t>702</t>
  </si>
  <si>
    <t>367</t>
  </si>
  <si>
    <t>735</t>
  </si>
  <si>
    <t>384</t>
  </si>
  <si>
    <t>768</t>
  </si>
  <si>
    <t>441</t>
  </si>
  <si>
    <t>462</t>
  </si>
  <si>
    <t>482</t>
  </si>
  <si>
    <t>69</t>
  </si>
  <si>
    <t>261</t>
  </si>
  <si>
    <t>274</t>
  </si>
  <si>
    <t>2892</t>
  </si>
  <si>
    <t>5783</t>
  </si>
  <si>
    <t>3037</t>
  </si>
  <si>
    <t>6072</t>
  </si>
  <si>
    <t>3181</t>
  </si>
  <si>
    <t>6362</t>
  </si>
  <si>
    <t>3326</t>
  </si>
  <si>
    <t>6651</t>
  </si>
  <si>
    <t>365</t>
  </si>
  <si>
    <t>730</t>
  </si>
  <si>
    <t>383</t>
  </si>
  <si>
    <t>767</t>
  </si>
  <si>
    <t>401</t>
  </si>
  <si>
    <t>803</t>
  </si>
  <si>
    <t>839</t>
  </si>
  <si>
    <t>229</t>
  </si>
  <si>
    <t>459</t>
  </si>
  <si>
    <t>505</t>
  </si>
  <si>
    <t>264</t>
  </si>
  <si>
    <t>527</t>
  </si>
  <si>
    <t>75</t>
  </si>
  <si>
    <t>271</t>
  </si>
  <si>
    <t>285</t>
  </si>
  <si>
    <t>54</t>
  </si>
  <si>
    <t>30</t>
  </si>
  <si>
    <t>3137</t>
  </si>
  <si>
    <t>6273</t>
  </si>
  <si>
    <t>3294</t>
  </si>
  <si>
    <t>6587</t>
  </si>
  <si>
    <t>3450</t>
  </si>
  <si>
    <t>6901</t>
  </si>
  <si>
    <t>3608</t>
  </si>
  <si>
    <t>7214</t>
  </si>
  <si>
    <t>396</t>
  </si>
  <si>
    <t>792</t>
  </si>
  <si>
    <t>416</t>
  </si>
  <si>
    <t>832</t>
  </si>
  <si>
    <t>436</t>
  </si>
  <si>
    <t>871</t>
  </si>
  <si>
    <t>455</t>
  </si>
  <si>
    <t>910</t>
  </si>
  <si>
    <t>249</t>
  </si>
  <si>
    <t>498</t>
  </si>
  <si>
    <t>523</t>
  </si>
  <si>
    <t>548</t>
  </si>
  <si>
    <t>77</t>
  </si>
  <si>
    <t>162</t>
  </si>
  <si>
    <t>84</t>
  </si>
  <si>
    <t>294</t>
  </si>
  <si>
    <t>309</t>
  </si>
  <si>
    <t>324</t>
  </si>
  <si>
    <t>339</t>
  </si>
  <si>
    <t>3382</t>
  </si>
  <si>
    <t>6764</t>
  </si>
  <si>
    <t>3551</t>
  </si>
  <si>
    <t>7102</t>
  </si>
  <si>
    <t>3720</t>
  </si>
  <si>
    <t>7440</t>
  </si>
  <si>
    <t>3890</t>
  </si>
  <si>
    <t>7778</t>
  </si>
  <si>
    <t>427</t>
  </si>
  <si>
    <t>854</t>
  </si>
  <si>
    <t>448</t>
  </si>
  <si>
    <t>897</t>
  </si>
  <si>
    <t>470</t>
  </si>
  <si>
    <t>939</t>
  </si>
  <si>
    <t>491</t>
  </si>
  <si>
    <t>982</t>
  </si>
  <si>
    <t>268</t>
  </si>
  <si>
    <t>537</t>
  </si>
  <si>
    <t>282</t>
  </si>
  <si>
    <t>295</t>
  </si>
  <si>
    <t>591</t>
  </si>
  <si>
    <t>616</t>
  </si>
  <si>
    <t>80</t>
  </si>
  <si>
    <t>83</t>
  </si>
  <si>
    <t>166</t>
  </si>
  <si>
    <t>88</t>
  </si>
  <si>
    <t>174</t>
  </si>
  <si>
    <t>317</t>
  </si>
  <si>
    <t>350</t>
  </si>
  <si>
    <t>3627</t>
  </si>
  <si>
    <t>7254</t>
  </si>
  <si>
    <t>3809</t>
  </si>
  <si>
    <t>7616</t>
  </si>
  <si>
    <t>3990</t>
  </si>
  <si>
    <t>7979</t>
  </si>
  <si>
    <t>4171</t>
  </si>
  <si>
    <t>8342</t>
  </si>
  <si>
    <t>458</t>
  </si>
  <si>
    <t>916</t>
  </si>
  <si>
    <t>481</t>
  </si>
  <si>
    <t>962</t>
  </si>
  <si>
    <t>504</t>
  </si>
  <si>
    <t>1007</t>
  </si>
  <si>
    <t>526</t>
  </si>
  <si>
    <t>1053</t>
  </si>
  <si>
    <t>288</t>
  </si>
  <si>
    <t>576</t>
  </si>
  <si>
    <t>302</t>
  </si>
  <si>
    <t>604</t>
  </si>
  <si>
    <t>633</t>
  </si>
  <si>
    <t>331</t>
  </si>
  <si>
    <t>661</t>
  </si>
  <si>
    <t>170</t>
  </si>
  <si>
    <t>195</t>
  </si>
  <si>
    <t>340</t>
  </si>
  <si>
    <t>357</t>
  </si>
  <si>
    <t>375</t>
  </si>
  <si>
    <t>392</t>
  </si>
  <si>
    <t>3872</t>
  </si>
  <si>
    <t>7744</t>
  </si>
  <si>
    <t>4066</t>
  </si>
  <si>
    <t>8131</t>
  </si>
  <si>
    <t>4259</t>
  </si>
  <si>
    <t>8518</t>
  </si>
  <si>
    <t>4453</t>
  </si>
  <si>
    <t>8905</t>
  </si>
  <si>
    <t>489</t>
  </si>
  <si>
    <t>513</t>
  </si>
  <si>
    <t>1026</t>
  </si>
  <si>
    <t>538</t>
  </si>
  <si>
    <t>1075</t>
  </si>
  <si>
    <t>562</t>
  </si>
  <si>
    <t>1124</t>
  </si>
  <si>
    <t>307</t>
  </si>
  <si>
    <t>614</t>
  </si>
  <si>
    <t>323</t>
  </si>
  <si>
    <t>645</t>
  </si>
  <si>
    <t>338</t>
  </si>
  <si>
    <t>676</t>
  </si>
  <si>
    <t>353</t>
  </si>
  <si>
    <t>706</t>
  </si>
  <si>
    <t>100</t>
  </si>
  <si>
    <t>104</t>
  </si>
  <si>
    <t>209</t>
  </si>
  <si>
    <t>363</t>
  </si>
  <si>
    <t>418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</si>
</sst>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#,##0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2"/>
      <color theme="1"/>
      <name val="Segoe U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tabSelected="1" workbookViewId="0">
      <selection activeCell="I31" sqref="I31"/>
    </sheetView>
  </sheetViews>
  <sheetFormatPr defaultColWidth="9" defaultRowHeight="13.5" outlineLevelCol="6"/>
  <cols>
    <col min="4" max="7" width="12.875" style="10" customWidth="1"/>
  </cols>
  <sheetData>
    <row r="1" spans="1:7">
      <c r="A1" t="s">
        <v>0</v>
      </c>
      <c r="B1" t="s">
        <v>1</v>
      </c>
      <c r="C1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>
      <c r="A2" t="s">
        <v>7</v>
      </c>
      <c r="B2" t="s">
        <v>7</v>
      </c>
      <c r="C2" t="s">
        <v>7</v>
      </c>
      <c r="D2" s="10" t="s">
        <v>8</v>
      </c>
      <c r="E2" s="10" t="s">
        <v>8</v>
      </c>
      <c r="F2" s="10" t="s">
        <v>8</v>
      </c>
      <c r="G2" s="10" t="s">
        <v>8</v>
      </c>
    </row>
    <row r="3" spans="1:7">
      <c r="A3" t="s">
        <v>9</v>
      </c>
      <c r="B3" t="s">
        <v>10</v>
      </c>
      <c r="C3" t="s">
        <v>11</v>
      </c>
      <c r="D3" s="10" t="s">
        <v>12</v>
      </c>
      <c r="E3" s="10" t="s">
        <v>13</v>
      </c>
      <c r="F3" s="10" t="s">
        <v>14</v>
      </c>
      <c r="G3" s="10" t="s">
        <v>15</v>
      </c>
    </row>
    <row r="4" spans="1:7">
      <c r="A4">
        <v>1001</v>
      </c>
      <c r="B4">
        <v>1</v>
      </c>
      <c r="C4">
        <v>1</v>
      </c>
      <c r="D4" s="10" t="s">
        <v>16</v>
      </c>
      <c r="E4" s="10" t="s">
        <v>17</v>
      </c>
      <c r="F4" s="10" t="s">
        <v>18</v>
      </c>
      <c r="G4" s="10" t="s">
        <v>19</v>
      </c>
    </row>
    <row r="5" spans="1:7">
      <c r="A5">
        <v>1002</v>
      </c>
      <c r="B5">
        <v>1</v>
      </c>
      <c r="C5">
        <v>2</v>
      </c>
      <c r="D5" s="10" t="s">
        <v>20</v>
      </c>
      <c r="E5" s="10" t="s">
        <v>21</v>
      </c>
      <c r="F5" s="10" t="s">
        <v>22</v>
      </c>
      <c r="G5" s="10" t="s">
        <v>23</v>
      </c>
    </row>
    <row r="6" spans="1:7">
      <c r="A6">
        <v>1003</v>
      </c>
      <c r="B6">
        <v>1</v>
      </c>
      <c r="C6">
        <v>4</v>
      </c>
      <c r="D6" s="10" t="s">
        <v>24</v>
      </c>
      <c r="E6" s="10" t="s">
        <v>25</v>
      </c>
      <c r="F6" s="10" t="s">
        <v>26</v>
      </c>
      <c r="G6" s="10" t="s">
        <v>27</v>
      </c>
    </row>
    <row r="7" spans="1:7">
      <c r="A7">
        <v>1004</v>
      </c>
      <c r="B7">
        <v>1</v>
      </c>
      <c r="C7">
        <v>3</v>
      </c>
      <c r="D7" s="10" t="s">
        <v>20</v>
      </c>
      <c r="E7" s="10" t="s">
        <v>21</v>
      </c>
      <c r="F7" s="10" t="s">
        <v>22</v>
      </c>
      <c r="G7" s="10" t="s">
        <v>23</v>
      </c>
    </row>
    <row r="8" spans="1:7">
      <c r="A8">
        <v>1005</v>
      </c>
      <c r="B8">
        <v>1</v>
      </c>
      <c r="C8">
        <v>27</v>
      </c>
      <c r="D8" s="10" t="s">
        <v>24</v>
      </c>
      <c r="E8" s="10" t="s">
        <v>25</v>
      </c>
      <c r="F8" s="10" t="s">
        <v>26</v>
      </c>
      <c r="G8" s="10" t="s">
        <v>27</v>
      </c>
    </row>
    <row r="9" spans="1:7">
      <c r="A9">
        <v>1006</v>
      </c>
      <c r="B9">
        <v>1</v>
      </c>
      <c r="C9">
        <v>28</v>
      </c>
      <c r="D9" s="10" t="s">
        <v>28</v>
      </c>
      <c r="E9" s="10" t="s">
        <v>29</v>
      </c>
      <c r="F9" s="10" t="s">
        <v>30</v>
      </c>
      <c r="G9" s="10" t="s">
        <v>31</v>
      </c>
    </row>
    <row r="10" spans="1:7">
      <c r="A10">
        <v>1007</v>
      </c>
      <c r="B10">
        <v>1</v>
      </c>
      <c r="C10">
        <v>7</v>
      </c>
      <c r="D10" s="10" t="s">
        <v>32</v>
      </c>
      <c r="E10" s="10" t="s">
        <v>33</v>
      </c>
      <c r="F10" s="10" t="s">
        <v>34</v>
      </c>
      <c r="G10" s="10" t="s">
        <v>35</v>
      </c>
    </row>
    <row r="11" spans="1:7">
      <c r="A11">
        <v>1008</v>
      </c>
      <c r="B11">
        <v>1</v>
      </c>
      <c r="C11">
        <v>5</v>
      </c>
      <c r="D11" s="10" t="s">
        <v>32</v>
      </c>
      <c r="E11" s="10" t="s">
        <v>33</v>
      </c>
      <c r="F11" s="10" t="s">
        <v>34</v>
      </c>
      <c r="G11" s="10" t="s">
        <v>35</v>
      </c>
    </row>
    <row r="12" spans="1:7">
      <c r="A12">
        <v>1009</v>
      </c>
      <c r="B12">
        <v>1</v>
      </c>
      <c r="C12">
        <v>12</v>
      </c>
      <c r="D12" s="10" t="s">
        <v>36</v>
      </c>
      <c r="E12" s="10" t="s">
        <v>37</v>
      </c>
      <c r="F12" s="10" t="s">
        <v>37</v>
      </c>
      <c r="G12" s="10" t="s">
        <v>38</v>
      </c>
    </row>
    <row r="13" spans="1:7">
      <c r="A13">
        <v>1010</v>
      </c>
      <c r="B13">
        <v>1</v>
      </c>
      <c r="C13">
        <v>13</v>
      </c>
      <c r="D13" s="10" t="s">
        <v>32</v>
      </c>
      <c r="E13" s="10" t="s">
        <v>33</v>
      </c>
      <c r="F13" s="10" t="s">
        <v>34</v>
      </c>
      <c r="G13" s="10" t="s">
        <v>35</v>
      </c>
    </row>
    <row r="14" spans="1:7">
      <c r="A14">
        <v>1011</v>
      </c>
      <c r="B14">
        <v>5</v>
      </c>
      <c r="C14">
        <v>1</v>
      </c>
      <c r="D14" s="10" t="s">
        <v>39</v>
      </c>
      <c r="E14" s="10" t="s">
        <v>40</v>
      </c>
      <c r="F14" s="10" t="s">
        <v>41</v>
      </c>
      <c r="G14" s="10" t="s">
        <v>42</v>
      </c>
    </row>
    <row r="15" spans="1:7">
      <c r="A15">
        <v>1012</v>
      </c>
      <c r="B15">
        <v>5</v>
      </c>
      <c r="C15">
        <v>2</v>
      </c>
      <c r="D15" s="10" t="s">
        <v>43</v>
      </c>
      <c r="E15" s="10" t="s">
        <v>44</v>
      </c>
      <c r="F15" s="10" t="s">
        <v>45</v>
      </c>
      <c r="G15" s="10" t="s">
        <v>46</v>
      </c>
    </row>
    <row r="16" spans="1:7">
      <c r="A16">
        <v>1013</v>
      </c>
      <c r="B16">
        <v>5</v>
      </c>
      <c r="C16">
        <v>4</v>
      </c>
      <c r="D16" s="10" t="s">
        <v>47</v>
      </c>
      <c r="E16" s="10" t="s">
        <v>48</v>
      </c>
      <c r="F16" s="10" t="s">
        <v>49</v>
      </c>
      <c r="G16" s="10" t="s">
        <v>50</v>
      </c>
    </row>
    <row r="17" spans="1:7">
      <c r="A17">
        <v>1014</v>
      </c>
      <c r="B17">
        <v>5</v>
      </c>
      <c r="C17">
        <v>3</v>
      </c>
      <c r="D17" s="10" t="s">
        <v>43</v>
      </c>
      <c r="E17" s="10" t="s">
        <v>44</v>
      </c>
      <c r="F17" s="10" t="s">
        <v>45</v>
      </c>
      <c r="G17" s="10" t="s">
        <v>46</v>
      </c>
    </row>
    <row r="18" spans="1:7">
      <c r="A18">
        <v>1015</v>
      </c>
      <c r="B18">
        <v>5</v>
      </c>
      <c r="C18">
        <v>27</v>
      </c>
      <c r="D18" s="10" t="s">
        <v>47</v>
      </c>
      <c r="E18" s="10" t="s">
        <v>48</v>
      </c>
      <c r="F18" s="10" t="s">
        <v>49</v>
      </c>
      <c r="G18" s="10" t="s">
        <v>50</v>
      </c>
    </row>
    <row r="19" spans="1:7">
      <c r="A19">
        <v>1016</v>
      </c>
      <c r="B19">
        <v>5</v>
      </c>
      <c r="C19">
        <v>28</v>
      </c>
      <c r="D19" s="10" t="s">
        <v>51</v>
      </c>
      <c r="E19" s="10" t="s">
        <v>52</v>
      </c>
      <c r="F19" s="10" t="s">
        <v>53</v>
      </c>
      <c r="G19" s="10" t="s">
        <v>54</v>
      </c>
    </row>
    <row r="20" spans="1:7">
      <c r="A20">
        <v>1017</v>
      </c>
      <c r="B20">
        <v>5</v>
      </c>
      <c r="C20">
        <v>7</v>
      </c>
      <c r="D20" s="10" t="s">
        <v>55</v>
      </c>
      <c r="E20" s="10" t="s">
        <v>56</v>
      </c>
      <c r="F20" s="10" t="s">
        <v>57</v>
      </c>
      <c r="G20" s="10" t="s">
        <v>58</v>
      </c>
    </row>
    <row r="21" spans="1:7">
      <c r="A21">
        <v>1018</v>
      </c>
      <c r="B21">
        <v>5</v>
      </c>
      <c r="C21">
        <v>5</v>
      </c>
      <c r="D21" s="10" t="s">
        <v>55</v>
      </c>
      <c r="E21" s="10" t="s">
        <v>56</v>
      </c>
      <c r="F21" s="10" t="s">
        <v>57</v>
      </c>
      <c r="G21" s="10" t="s">
        <v>58</v>
      </c>
    </row>
    <row r="22" spans="1:7">
      <c r="A22">
        <v>1019</v>
      </c>
      <c r="B22">
        <v>5</v>
      </c>
      <c r="C22">
        <v>12</v>
      </c>
      <c r="D22" s="10" t="s">
        <v>59</v>
      </c>
      <c r="E22" s="10" t="s">
        <v>60</v>
      </c>
      <c r="F22" s="10" t="s">
        <v>61</v>
      </c>
      <c r="G22" s="10" t="s">
        <v>62</v>
      </c>
    </row>
    <row r="23" spans="1:7">
      <c r="A23">
        <v>1020</v>
      </c>
      <c r="B23">
        <v>5</v>
      </c>
      <c r="C23">
        <v>13</v>
      </c>
      <c r="D23" s="10" t="s">
        <v>55</v>
      </c>
      <c r="E23" s="10" t="s">
        <v>56</v>
      </c>
      <c r="F23" s="10" t="s">
        <v>57</v>
      </c>
      <c r="G23" s="10" t="s">
        <v>58</v>
      </c>
    </row>
    <row r="24" spans="1:7">
      <c r="A24">
        <v>1021</v>
      </c>
      <c r="B24">
        <v>10</v>
      </c>
      <c r="C24">
        <v>1</v>
      </c>
      <c r="D24" s="10" t="s">
        <v>63</v>
      </c>
      <c r="E24" s="10" t="s">
        <v>64</v>
      </c>
      <c r="F24" s="10" t="s">
        <v>65</v>
      </c>
      <c r="G24" s="10" t="s">
        <v>66</v>
      </c>
    </row>
    <row r="25" spans="1:7">
      <c r="A25">
        <v>1022</v>
      </c>
      <c r="B25">
        <v>10</v>
      </c>
      <c r="C25">
        <v>2</v>
      </c>
      <c r="D25" s="10" t="s">
        <v>67</v>
      </c>
      <c r="E25" s="10" t="s">
        <v>68</v>
      </c>
      <c r="F25" s="10" t="s">
        <v>69</v>
      </c>
      <c r="G25" s="10" t="s">
        <v>70</v>
      </c>
    </row>
    <row r="26" spans="1:7">
      <c r="A26">
        <v>1023</v>
      </c>
      <c r="B26">
        <v>10</v>
      </c>
      <c r="C26">
        <v>4</v>
      </c>
      <c r="D26" s="10" t="s">
        <v>71</v>
      </c>
      <c r="E26" s="10" t="s">
        <v>72</v>
      </c>
      <c r="F26" s="10" t="s">
        <v>73</v>
      </c>
      <c r="G26" s="10" t="s">
        <v>74</v>
      </c>
    </row>
    <row r="27" spans="1:7">
      <c r="A27">
        <v>1024</v>
      </c>
      <c r="B27">
        <v>10</v>
      </c>
      <c r="C27">
        <v>3</v>
      </c>
      <c r="D27" s="10" t="s">
        <v>67</v>
      </c>
      <c r="E27" s="10" t="s">
        <v>68</v>
      </c>
      <c r="F27" s="10" t="s">
        <v>69</v>
      </c>
      <c r="G27" s="10" t="s">
        <v>70</v>
      </c>
    </row>
    <row r="28" spans="1:7">
      <c r="A28">
        <v>1025</v>
      </c>
      <c r="B28">
        <v>10</v>
      </c>
      <c r="C28">
        <v>27</v>
      </c>
      <c r="D28" s="10" t="s">
        <v>71</v>
      </c>
      <c r="E28" s="10" t="s">
        <v>72</v>
      </c>
      <c r="F28" s="10" t="s">
        <v>73</v>
      </c>
      <c r="G28" s="10" t="s">
        <v>74</v>
      </c>
    </row>
    <row r="29" spans="1:7">
      <c r="A29">
        <v>1026</v>
      </c>
      <c r="B29">
        <v>10</v>
      </c>
      <c r="C29">
        <v>28</v>
      </c>
      <c r="D29" s="10" t="s">
        <v>75</v>
      </c>
      <c r="E29" s="10" t="s">
        <v>32</v>
      </c>
      <c r="F29" s="10" t="s">
        <v>33</v>
      </c>
      <c r="G29" s="10" t="s">
        <v>76</v>
      </c>
    </row>
    <row r="30" spans="1:7">
      <c r="A30">
        <v>1027</v>
      </c>
      <c r="B30">
        <v>10</v>
      </c>
      <c r="C30">
        <v>7</v>
      </c>
      <c r="D30" s="10" t="s">
        <v>77</v>
      </c>
      <c r="E30" s="10" t="s">
        <v>78</v>
      </c>
      <c r="F30" s="10" t="s">
        <v>79</v>
      </c>
      <c r="G30" s="10" t="s">
        <v>80</v>
      </c>
    </row>
    <row r="31" spans="1:7">
      <c r="A31">
        <v>1028</v>
      </c>
      <c r="B31">
        <v>10</v>
      </c>
      <c r="C31">
        <v>5</v>
      </c>
      <c r="D31" s="10" t="s">
        <v>77</v>
      </c>
      <c r="E31" s="10" t="s">
        <v>78</v>
      </c>
      <c r="F31" s="10" t="s">
        <v>79</v>
      </c>
      <c r="G31" s="10" t="s">
        <v>80</v>
      </c>
    </row>
    <row r="32" spans="1:7">
      <c r="A32">
        <v>1029</v>
      </c>
      <c r="B32">
        <v>10</v>
      </c>
      <c r="C32">
        <v>12</v>
      </c>
      <c r="D32" s="10" t="s">
        <v>81</v>
      </c>
      <c r="E32" s="10" t="s">
        <v>82</v>
      </c>
      <c r="F32" s="10" t="s">
        <v>83</v>
      </c>
      <c r="G32" s="10" t="s">
        <v>84</v>
      </c>
    </row>
    <row r="33" spans="1:7">
      <c r="A33">
        <v>1030</v>
      </c>
      <c r="B33">
        <v>10</v>
      </c>
      <c r="C33">
        <v>13</v>
      </c>
      <c r="D33" s="10" t="s">
        <v>77</v>
      </c>
      <c r="E33" s="10" t="s">
        <v>78</v>
      </c>
      <c r="F33" s="10" t="s">
        <v>79</v>
      </c>
      <c r="G33" s="10" t="s">
        <v>80</v>
      </c>
    </row>
    <row r="34" spans="1:7">
      <c r="A34">
        <v>1031</v>
      </c>
      <c r="B34">
        <v>15</v>
      </c>
      <c r="C34">
        <v>1</v>
      </c>
      <c r="D34" s="10" t="s">
        <v>85</v>
      </c>
      <c r="E34" s="10" t="s">
        <v>86</v>
      </c>
      <c r="F34" s="10" t="s">
        <v>87</v>
      </c>
      <c r="G34" s="10" t="s">
        <v>88</v>
      </c>
    </row>
    <row r="35" spans="1:7">
      <c r="A35">
        <v>1032</v>
      </c>
      <c r="B35">
        <v>15</v>
      </c>
      <c r="C35">
        <v>2</v>
      </c>
      <c r="D35" s="10" t="s">
        <v>89</v>
      </c>
      <c r="E35" s="10" t="s">
        <v>90</v>
      </c>
      <c r="F35" s="10" t="s">
        <v>91</v>
      </c>
      <c r="G35" s="10" t="s">
        <v>92</v>
      </c>
    </row>
    <row r="36" spans="1:7">
      <c r="A36">
        <v>1033</v>
      </c>
      <c r="B36">
        <v>15</v>
      </c>
      <c r="C36">
        <v>4</v>
      </c>
      <c r="D36" s="10" t="s">
        <v>93</v>
      </c>
      <c r="E36" s="10" t="s">
        <v>94</v>
      </c>
      <c r="F36" s="10" t="s">
        <v>95</v>
      </c>
      <c r="G36" s="10" t="s">
        <v>96</v>
      </c>
    </row>
    <row r="37" spans="1:7">
      <c r="A37">
        <v>1034</v>
      </c>
      <c r="B37">
        <v>15</v>
      </c>
      <c r="C37">
        <v>3</v>
      </c>
      <c r="D37" s="10" t="s">
        <v>89</v>
      </c>
      <c r="E37" s="10" t="s">
        <v>90</v>
      </c>
      <c r="F37" s="10" t="s">
        <v>91</v>
      </c>
      <c r="G37" s="10" t="s">
        <v>92</v>
      </c>
    </row>
    <row r="38" spans="1:7">
      <c r="A38">
        <v>1035</v>
      </c>
      <c r="B38">
        <v>15</v>
      </c>
      <c r="C38">
        <v>27</v>
      </c>
      <c r="D38" s="10" t="s">
        <v>93</v>
      </c>
      <c r="E38" s="10" t="s">
        <v>94</v>
      </c>
      <c r="F38" s="10" t="s">
        <v>95</v>
      </c>
      <c r="G38" s="10" t="s">
        <v>96</v>
      </c>
    </row>
    <row r="39" spans="1:7">
      <c r="A39">
        <v>1036</v>
      </c>
      <c r="B39">
        <v>15</v>
      </c>
      <c r="C39">
        <v>28</v>
      </c>
      <c r="D39" s="10" t="s">
        <v>97</v>
      </c>
      <c r="E39" s="10" t="s">
        <v>98</v>
      </c>
      <c r="F39" s="10" t="s">
        <v>99</v>
      </c>
      <c r="G39" s="10" t="s">
        <v>100</v>
      </c>
    </row>
    <row r="40" spans="1:7">
      <c r="A40">
        <v>1037</v>
      </c>
      <c r="B40">
        <v>15</v>
      </c>
      <c r="C40">
        <v>7</v>
      </c>
      <c r="D40" s="10" t="s">
        <v>101</v>
      </c>
      <c r="E40" s="10" t="s">
        <v>102</v>
      </c>
      <c r="F40" s="10" t="s">
        <v>103</v>
      </c>
      <c r="G40" s="10" t="s">
        <v>104</v>
      </c>
    </row>
    <row r="41" spans="1:7">
      <c r="A41">
        <v>1038</v>
      </c>
      <c r="B41">
        <v>15</v>
      </c>
      <c r="C41">
        <v>5</v>
      </c>
      <c r="D41" s="10" t="s">
        <v>101</v>
      </c>
      <c r="E41" s="10" t="s">
        <v>102</v>
      </c>
      <c r="F41" s="10" t="s">
        <v>103</v>
      </c>
      <c r="G41" s="10" t="s">
        <v>104</v>
      </c>
    </row>
    <row r="42" spans="1:7">
      <c r="A42">
        <v>1039</v>
      </c>
      <c r="B42">
        <v>15</v>
      </c>
      <c r="C42">
        <v>12</v>
      </c>
      <c r="D42" s="10" t="s">
        <v>105</v>
      </c>
      <c r="E42" s="10" t="s">
        <v>28</v>
      </c>
      <c r="F42" s="10" t="s">
        <v>29</v>
      </c>
      <c r="G42" s="10" t="s">
        <v>30</v>
      </c>
    </row>
    <row r="43" spans="1:7">
      <c r="A43">
        <v>1040</v>
      </c>
      <c r="B43">
        <v>15</v>
      </c>
      <c r="C43">
        <v>13</v>
      </c>
      <c r="D43" s="10" t="s">
        <v>101</v>
      </c>
      <c r="E43" s="10" t="s">
        <v>102</v>
      </c>
      <c r="F43" s="10" t="s">
        <v>103</v>
      </c>
      <c r="G43" s="10" t="s">
        <v>104</v>
      </c>
    </row>
    <row r="44" spans="1:7">
      <c r="A44">
        <v>1041</v>
      </c>
      <c r="B44">
        <v>20</v>
      </c>
      <c r="C44">
        <v>1</v>
      </c>
      <c r="D44" s="10" t="s">
        <v>106</v>
      </c>
      <c r="E44" s="10" t="s">
        <v>107</v>
      </c>
      <c r="F44" s="10" t="s">
        <v>108</v>
      </c>
      <c r="G44" s="10" t="s">
        <v>109</v>
      </c>
    </row>
    <row r="45" spans="1:7">
      <c r="A45">
        <v>1042</v>
      </c>
      <c r="B45">
        <v>20</v>
      </c>
      <c r="C45">
        <v>2</v>
      </c>
      <c r="D45" s="10" t="s">
        <v>110</v>
      </c>
      <c r="E45" s="10" t="s">
        <v>111</v>
      </c>
      <c r="F45" s="10" t="s">
        <v>112</v>
      </c>
      <c r="G45" s="10" t="s">
        <v>113</v>
      </c>
    </row>
    <row r="46" spans="1:7">
      <c r="A46">
        <v>1043</v>
      </c>
      <c r="B46">
        <v>20</v>
      </c>
      <c r="C46">
        <v>4</v>
      </c>
      <c r="D46" s="10" t="s">
        <v>114</v>
      </c>
      <c r="E46" s="10" t="s">
        <v>115</v>
      </c>
      <c r="F46" s="10" t="s">
        <v>116</v>
      </c>
      <c r="G46" s="10" t="s">
        <v>117</v>
      </c>
    </row>
    <row r="47" spans="1:7">
      <c r="A47">
        <v>1044</v>
      </c>
      <c r="B47">
        <v>20</v>
      </c>
      <c r="C47">
        <v>3</v>
      </c>
      <c r="D47" s="10" t="s">
        <v>110</v>
      </c>
      <c r="E47" s="10" t="s">
        <v>111</v>
      </c>
      <c r="F47" s="10" t="s">
        <v>112</v>
      </c>
      <c r="G47" s="10" t="s">
        <v>113</v>
      </c>
    </row>
    <row r="48" spans="1:7">
      <c r="A48">
        <v>1045</v>
      </c>
      <c r="B48">
        <v>20</v>
      </c>
      <c r="C48">
        <v>27</v>
      </c>
      <c r="D48" s="10" t="s">
        <v>114</v>
      </c>
      <c r="E48" s="10" t="s">
        <v>115</v>
      </c>
      <c r="F48" s="10" t="s">
        <v>116</v>
      </c>
      <c r="G48" s="10" t="s">
        <v>117</v>
      </c>
    </row>
    <row r="49" spans="1:7">
      <c r="A49">
        <v>1046</v>
      </c>
      <c r="B49">
        <v>20</v>
      </c>
      <c r="C49">
        <v>28</v>
      </c>
      <c r="D49" s="10" t="s">
        <v>56</v>
      </c>
      <c r="E49" s="10" t="s">
        <v>118</v>
      </c>
      <c r="F49" s="10" t="s">
        <v>119</v>
      </c>
      <c r="G49" s="10" t="s">
        <v>120</v>
      </c>
    </row>
    <row r="50" spans="1:7">
      <c r="A50">
        <v>1047</v>
      </c>
      <c r="B50">
        <v>20</v>
      </c>
      <c r="C50">
        <v>7</v>
      </c>
      <c r="D50" s="10" t="s">
        <v>121</v>
      </c>
      <c r="E50" s="10" t="s">
        <v>122</v>
      </c>
      <c r="F50" s="10" t="s">
        <v>123</v>
      </c>
      <c r="G50" s="10" t="s">
        <v>124</v>
      </c>
    </row>
    <row r="51" spans="1:7">
      <c r="A51">
        <v>1048</v>
      </c>
      <c r="B51">
        <v>20</v>
      </c>
      <c r="C51">
        <v>5</v>
      </c>
      <c r="D51" s="10" t="s">
        <v>121</v>
      </c>
      <c r="E51" s="10" t="s">
        <v>122</v>
      </c>
      <c r="F51" s="10" t="s">
        <v>123</v>
      </c>
      <c r="G51" s="10" t="s">
        <v>124</v>
      </c>
    </row>
    <row r="52" spans="1:7">
      <c r="A52">
        <v>1049</v>
      </c>
      <c r="B52">
        <v>20</v>
      </c>
      <c r="C52">
        <v>12</v>
      </c>
      <c r="D52" s="10" t="s">
        <v>125</v>
      </c>
      <c r="E52" s="10" t="s">
        <v>126</v>
      </c>
      <c r="F52" s="10" t="s">
        <v>127</v>
      </c>
      <c r="G52" s="10" t="s">
        <v>128</v>
      </c>
    </row>
    <row r="53" spans="1:7">
      <c r="A53">
        <v>1050</v>
      </c>
      <c r="B53">
        <v>20</v>
      </c>
      <c r="C53">
        <v>13</v>
      </c>
      <c r="D53" s="10" t="s">
        <v>121</v>
      </c>
      <c r="E53" s="10" t="s">
        <v>122</v>
      </c>
      <c r="F53" s="10" t="s">
        <v>123</v>
      </c>
      <c r="G53" s="10" t="s">
        <v>124</v>
      </c>
    </row>
    <row r="54" spans="1:7">
      <c r="A54">
        <v>1051</v>
      </c>
      <c r="B54">
        <v>25</v>
      </c>
      <c r="C54">
        <v>1</v>
      </c>
      <c r="D54" s="10" t="s">
        <v>129</v>
      </c>
      <c r="E54" s="10" t="s">
        <v>130</v>
      </c>
      <c r="F54" s="10" t="s">
        <v>131</v>
      </c>
      <c r="G54" s="10" t="s">
        <v>132</v>
      </c>
    </row>
    <row r="55" spans="1:7">
      <c r="A55">
        <v>1052</v>
      </c>
      <c r="B55">
        <v>25</v>
      </c>
      <c r="C55">
        <v>2</v>
      </c>
      <c r="D55" s="10" t="s">
        <v>133</v>
      </c>
      <c r="E55" s="10" t="s">
        <v>134</v>
      </c>
      <c r="F55" s="10" t="s">
        <v>135</v>
      </c>
      <c r="G55" s="10" t="s">
        <v>136</v>
      </c>
    </row>
    <row r="56" spans="1:7">
      <c r="A56">
        <v>1053</v>
      </c>
      <c r="B56">
        <v>25</v>
      </c>
      <c r="C56">
        <v>4</v>
      </c>
      <c r="D56" s="10" t="s">
        <v>137</v>
      </c>
      <c r="E56" s="10" t="s">
        <v>138</v>
      </c>
      <c r="F56" s="10" t="s">
        <v>139</v>
      </c>
      <c r="G56" s="10" t="s">
        <v>140</v>
      </c>
    </row>
    <row r="57" spans="1:7">
      <c r="A57">
        <v>1054</v>
      </c>
      <c r="B57">
        <v>25</v>
      </c>
      <c r="C57">
        <v>3</v>
      </c>
      <c r="D57" s="10" t="s">
        <v>133</v>
      </c>
      <c r="E57" s="10" t="s">
        <v>134</v>
      </c>
      <c r="F57" s="10" t="s">
        <v>135</v>
      </c>
      <c r="G57" s="10" t="s">
        <v>136</v>
      </c>
    </row>
    <row r="58" spans="1:7">
      <c r="A58">
        <v>1055</v>
      </c>
      <c r="B58">
        <v>25</v>
      </c>
      <c r="C58">
        <v>27</v>
      </c>
      <c r="D58" s="10" t="s">
        <v>137</v>
      </c>
      <c r="E58" s="10" t="s">
        <v>138</v>
      </c>
      <c r="F58" s="10" t="s">
        <v>139</v>
      </c>
      <c r="G58" s="10" t="s">
        <v>140</v>
      </c>
    </row>
    <row r="59" spans="1:7">
      <c r="A59">
        <v>1056</v>
      </c>
      <c r="B59">
        <v>25</v>
      </c>
      <c r="C59">
        <v>28</v>
      </c>
      <c r="D59" s="10" t="s">
        <v>141</v>
      </c>
      <c r="E59" s="10" t="s">
        <v>25</v>
      </c>
      <c r="F59" s="10" t="s">
        <v>26</v>
      </c>
      <c r="G59" s="10" t="s">
        <v>27</v>
      </c>
    </row>
    <row r="60" spans="1:7">
      <c r="A60">
        <v>1057</v>
      </c>
      <c r="B60">
        <v>25</v>
      </c>
      <c r="C60">
        <v>7</v>
      </c>
      <c r="D60" s="10" t="s">
        <v>142</v>
      </c>
      <c r="E60" s="10" t="s">
        <v>143</v>
      </c>
      <c r="F60" s="10" t="s">
        <v>144</v>
      </c>
      <c r="G60" s="10" t="s">
        <v>145</v>
      </c>
    </row>
    <row r="61" spans="1:7">
      <c r="A61">
        <v>1058</v>
      </c>
      <c r="B61">
        <v>25</v>
      </c>
      <c r="C61">
        <v>5</v>
      </c>
      <c r="D61" s="10" t="s">
        <v>142</v>
      </c>
      <c r="E61" s="10" t="s">
        <v>143</v>
      </c>
      <c r="F61" s="10" t="s">
        <v>144</v>
      </c>
      <c r="G61" s="10" t="s">
        <v>145</v>
      </c>
    </row>
    <row r="62" spans="1:7">
      <c r="A62">
        <v>1059</v>
      </c>
      <c r="B62">
        <v>25</v>
      </c>
      <c r="C62">
        <v>12</v>
      </c>
      <c r="D62" s="10" t="s">
        <v>146</v>
      </c>
      <c r="E62" s="10" t="s">
        <v>147</v>
      </c>
      <c r="F62" s="10" t="s">
        <v>52</v>
      </c>
      <c r="G62" s="10" t="s">
        <v>148</v>
      </c>
    </row>
    <row r="63" spans="1:7">
      <c r="A63">
        <v>1060</v>
      </c>
      <c r="B63">
        <v>25</v>
      </c>
      <c r="C63">
        <v>13</v>
      </c>
      <c r="D63" s="10" t="s">
        <v>142</v>
      </c>
      <c r="E63" s="10" t="s">
        <v>143</v>
      </c>
      <c r="F63" s="10" t="s">
        <v>144</v>
      </c>
      <c r="G63" s="10" t="s">
        <v>145</v>
      </c>
    </row>
    <row r="64" spans="1:7">
      <c r="A64">
        <v>1061</v>
      </c>
      <c r="B64">
        <v>30</v>
      </c>
      <c r="C64">
        <v>1</v>
      </c>
      <c r="D64" s="10" t="s">
        <v>149</v>
      </c>
      <c r="E64" s="10" t="s">
        <v>150</v>
      </c>
      <c r="F64" s="10" t="s">
        <v>151</v>
      </c>
      <c r="G64" s="10" t="s">
        <v>152</v>
      </c>
    </row>
    <row r="65" spans="1:7">
      <c r="A65">
        <v>1062</v>
      </c>
      <c r="B65">
        <v>30</v>
      </c>
      <c r="C65">
        <v>2</v>
      </c>
      <c r="D65" s="10" t="s">
        <v>153</v>
      </c>
      <c r="E65" s="10" t="s">
        <v>154</v>
      </c>
      <c r="F65" s="10" t="s">
        <v>155</v>
      </c>
      <c r="G65" s="10" t="s">
        <v>156</v>
      </c>
    </row>
    <row r="66" spans="1:7">
      <c r="A66">
        <v>1063</v>
      </c>
      <c r="B66">
        <v>30</v>
      </c>
      <c r="C66">
        <v>4</v>
      </c>
      <c r="D66" s="10" t="s">
        <v>157</v>
      </c>
      <c r="E66" s="10" t="s">
        <v>158</v>
      </c>
      <c r="F66" s="10" t="s">
        <v>159</v>
      </c>
      <c r="G66" s="10" t="s">
        <v>160</v>
      </c>
    </row>
    <row r="67" spans="1:7">
      <c r="A67">
        <v>1064</v>
      </c>
      <c r="B67">
        <v>30</v>
      </c>
      <c r="C67">
        <v>3</v>
      </c>
      <c r="D67" s="10" t="s">
        <v>153</v>
      </c>
      <c r="E67" s="10" t="s">
        <v>154</v>
      </c>
      <c r="F67" s="10" t="s">
        <v>155</v>
      </c>
      <c r="G67" s="10" t="s">
        <v>156</v>
      </c>
    </row>
    <row r="68" spans="1:7">
      <c r="A68">
        <v>1065</v>
      </c>
      <c r="B68">
        <v>30</v>
      </c>
      <c r="C68">
        <v>27</v>
      </c>
      <c r="D68" s="10" t="s">
        <v>157</v>
      </c>
      <c r="E68" s="10" t="s">
        <v>158</v>
      </c>
      <c r="F68" s="10" t="s">
        <v>159</v>
      </c>
      <c r="G68" s="10" t="s">
        <v>160</v>
      </c>
    </row>
    <row r="69" spans="1:7">
      <c r="A69">
        <v>1066</v>
      </c>
      <c r="B69">
        <v>30</v>
      </c>
      <c r="C69">
        <v>28</v>
      </c>
      <c r="D69" s="10" t="s">
        <v>161</v>
      </c>
      <c r="E69" s="10" t="s">
        <v>162</v>
      </c>
      <c r="F69" s="10" t="s">
        <v>163</v>
      </c>
      <c r="G69" s="10" t="s">
        <v>164</v>
      </c>
    </row>
    <row r="70" spans="1:7">
      <c r="A70">
        <v>1067</v>
      </c>
      <c r="B70">
        <v>30</v>
      </c>
      <c r="C70">
        <v>7</v>
      </c>
      <c r="D70" s="10" t="s">
        <v>165</v>
      </c>
      <c r="E70" s="10" t="s">
        <v>166</v>
      </c>
      <c r="F70" s="10" t="s">
        <v>167</v>
      </c>
      <c r="G70" s="10" t="s">
        <v>95</v>
      </c>
    </row>
    <row r="71" spans="1:7">
      <c r="A71">
        <v>1068</v>
      </c>
      <c r="B71">
        <v>30</v>
      </c>
      <c r="C71">
        <v>5</v>
      </c>
      <c r="D71" s="10" t="s">
        <v>165</v>
      </c>
      <c r="E71" s="10" t="s">
        <v>166</v>
      </c>
      <c r="F71" s="10" t="s">
        <v>167</v>
      </c>
      <c r="G71" s="10" t="s">
        <v>95</v>
      </c>
    </row>
    <row r="72" spans="1:7">
      <c r="A72">
        <v>1069</v>
      </c>
      <c r="B72">
        <v>30</v>
      </c>
      <c r="C72">
        <v>12</v>
      </c>
      <c r="D72" s="10" t="s">
        <v>148</v>
      </c>
      <c r="E72" s="10" t="s">
        <v>168</v>
      </c>
      <c r="F72" s="10" t="s">
        <v>169</v>
      </c>
      <c r="G72" s="10" t="s">
        <v>170</v>
      </c>
    </row>
    <row r="73" spans="1:7">
      <c r="A73">
        <v>1070</v>
      </c>
      <c r="B73">
        <v>30</v>
      </c>
      <c r="C73">
        <v>13</v>
      </c>
      <c r="D73" s="10" t="s">
        <v>165</v>
      </c>
      <c r="E73" s="10" t="s">
        <v>166</v>
      </c>
      <c r="F73" s="10" t="s">
        <v>167</v>
      </c>
      <c r="G73" s="10" t="s">
        <v>95</v>
      </c>
    </row>
    <row r="74" spans="1:7">
      <c r="A74">
        <v>1071</v>
      </c>
      <c r="B74">
        <v>35</v>
      </c>
      <c r="C74">
        <v>1</v>
      </c>
      <c r="D74" s="10" t="s">
        <v>171</v>
      </c>
      <c r="E74" s="10" t="s">
        <v>172</v>
      </c>
      <c r="F74" s="10" t="s">
        <v>173</v>
      </c>
      <c r="G74" s="10" t="s">
        <v>174</v>
      </c>
    </row>
    <row r="75" spans="1:7">
      <c r="A75">
        <v>1072</v>
      </c>
      <c r="B75">
        <v>35</v>
      </c>
      <c r="C75">
        <v>2</v>
      </c>
      <c r="D75" s="10" t="s">
        <v>175</v>
      </c>
      <c r="E75" s="10" t="s">
        <v>176</v>
      </c>
      <c r="F75" s="10" t="s">
        <v>177</v>
      </c>
      <c r="G75" s="10" t="s">
        <v>178</v>
      </c>
    </row>
    <row r="76" spans="1:7">
      <c r="A76">
        <v>1073</v>
      </c>
      <c r="B76">
        <v>35</v>
      </c>
      <c r="C76">
        <v>4</v>
      </c>
      <c r="D76" s="10" t="s">
        <v>179</v>
      </c>
      <c r="E76" s="10" t="s">
        <v>180</v>
      </c>
      <c r="F76" s="10" t="s">
        <v>111</v>
      </c>
      <c r="G76" s="10" t="s">
        <v>181</v>
      </c>
    </row>
    <row r="77" spans="1:7">
      <c r="A77">
        <v>1074</v>
      </c>
      <c r="B77">
        <v>35</v>
      </c>
      <c r="C77">
        <v>3</v>
      </c>
      <c r="D77" s="10" t="s">
        <v>175</v>
      </c>
      <c r="E77" s="10" t="s">
        <v>176</v>
      </c>
      <c r="F77" s="10" t="s">
        <v>177</v>
      </c>
      <c r="G77" s="10" t="s">
        <v>178</v>
      </c>
    </row>
    <row r="78" spans="1:7">
      <c r="A78">
        <v>1075</v>
      </c>
      <c r="B78">
        <v>35</v>
      </c>
      <c r="C78">
        <v>27</v>
      </c>
      <c r="D78" s="10" t="s">
        <v>179</v>
      </c>
      <c r="E78" s="10" t="s">
        <v>180</v>
      </c>
      <c r="F78" s="10" t="s">
        <v>111</v>
      </c>
      <c r="G78" s="10" t="s">
        <v>181</v>
      </c>
    </row>
    <row r="79" spans="1:7">
      <c r="A79">
        <v>1076</v>
      </c>
      <c r="B79">
        <v>35</v>
      </c>
      <c r="C79">
        <v>28</v>
      </c>
      <c r="D79" s="10" t="s">
        <v>182</v>
      </c>
      <c r="E79" s="10" t="s">
        <v>183</v>
      </c>
      <c r="F79" s="10" t="s">
        <v>184</v>
      </c>
      <c r="G79" s="10" t="s">
        <v>102</v>
      </c>
    </row>
    <row r="80" spans="1:7">
      <c r="A80">
        <v>1077</v>
      </c>
      <c r="B80">
        <v>35</v>
      </c>
      <c r="C80">
        <v>7</v>
      </c>
      <c r="D80" s="10" t="s">
        <v>185</v>
      </c>
      <c r="E80" s="10" t="s">
        <v>186</v>
      </c>
      <c r="F80" s="10" t="s">
        <v>187</v>
      </c>
      <c r="G80" s="10" t="s">
        <v>188</v>
      </c>
    </row>
    <row r="81" spans="1:7">
      <c r="A81">
        <v>1078</v>
      </c>
      <c r="B81">
        <v>35</v>
      </c>
      <c r="C81">
        <v>5</v>
      </c>
      <c r="D81" s="10" t="s">
        <v>185</v>
      </c>
      <c r="E81" s="10" t="s">
        <v>186</v>
      </c>
      <c r="F81" s="10" t="s">
        <v>187</v>
      </c>
      <c r="G81" s="10" t="s">
        <v>188</v>
      </c>
    </row>
    <row r="82" spans="1:7">
      <c r="A82">
        <v>1079</v>
      </c>
      <c r="B82">
        <v>35</v>
      </c>
      <c r="C82">
        <v>12</v>
      </c>
      <c r="D82" s="10" t="s">
        <v>169</v>
      </c>
      <c r="E82" s="10" t="s">
        <v>189</v>
      </c>
      <c r="F82" s="10" t="s">
        <v>190</v>
      </c>
      <c r="G82" s="10" t="s">
        <v>191</v>
      </c>
    </row>
    <row r="83" spans="1:7">
      <c r="A83">
        <v>1080</v>
      </c>
      <c r="B83">
        <v>35</v>
      </c>
      <c r="C83">
        <v>13</v>
      </c>
      <c r="D83" s="10" t="s">
        <v>185</v>
      </c>
      <c r="E83" s="10" t="s">
        <v>186</v>
      </c>
      <c r="F83" s="10" t="s">
        <v>187</v>
      </c>
      <c r="G83" s="10" t="s">
        <v>188</v>
      </c>
    </row>
    <row r="84" spans="1:7">
      <c r="A84">
        <v>1081</v>
      </c>
      <c r="B84">
        <v>40</v>
      </c>
      <c r="C84">
        <v>1</v>
      </c>
      <c r="D84" s="10" t="s">
        <v>192</v>
      </c>
      <c r="E84" s="10" t="s">
        <v>193</v>
      </c>
      <c r="F84" s="10" t="s">
        <v>194</v>
      </c>
      <c r="G84" s="10" t="s">
        <v>195</v>
      </c>
    </row>
    <row r="85" spans="1:7">
      <c r="A85">
        <v>1082</v>
      </c>
      <c r="B85">
        <v>40</v>
      </c>
      <c r="C85">
        <v>2</v>
      </c>
      <c r="D85" s="10" t="s">
        <v>196</v>
      </c>
      <c r="E85" s="10" t="s">
        <v>197</v>
      </c>
      <c r="F85" s="10" t="s">
        <v>198</v>
      </c>
      <c r="G85" s="10" t="s">
        <v>199</v>
      </c>
    </row>
    <row r="86" spans="1:7">
      <c r="A86">
        <v>1083</v>
      </c>
      <c r="B86">
        <v>40</v>
      </c>
      <c r="C86">
        <v>4</v>
      </c>
      <c r="D86" s="10" t="s">
        <v>200</v>
      </c>
      <c r="E86" s="10" t="s">
        <v>201</v>
      </c>
      <c r="F86" s="10" t="s">
        <v>202</v>
      </c>
      <c r="G86" s="10" t="s">
        <v>203</v>
      </c>
    </row>
    <row r="87" spans="1:7">
      <c r="A87">
        <v>1084</v>
      </c>
      <c r="B87">
        <v>40</v>
      </c>
      <c r="C87">
        <v>3</v>
      </c>
      <c r="D87" s="10" t="s">
        <v>196</v>
      </c>
      <c r="E87" s="10" t="s">
        <v>197</v>
      </c>
      <c r="F87" s="10" t="s">
        <v>198</v>
      </c>
      <c r="G87" s="10" t="s">
        <v>199</v>
      </c>
    </row>
    <row r="88" spans="1:7">
      <c r="A88">
        <v>1085</v>
      </c>
      <c r="B88">
        <v>40</v>
      </c>
      <c r="C88">
        <v>27</v>
      </c>
      <c r="D88" s="10" t="s">
        <v>200</v>
      </c>
      <c r="E88" s="10" t="s">
        <v>201</v>
      </c>
      <c r="F88" s="10" t="s">
        <v>202</v>
      </c>
      <c r="G88" s="10" t="s">
        <v>203</v>
      </c>
    </row>
    <row r="89" spans="1:7">
      <c r="A89">
        <v>1086</v>
      </c>
      <c r="B89">
        <v>40</v>
      </c>
      <c r="C89">
        <v>28</v>
      </c>
      <c r="D89" s="10" t="s">
        <v>204</v>
      </c>
      <c r="E89" s="10" t="s">
        <v>205</v>
      </c>
      <c r="F89" s="10" t="s">
        <v>20</v>
      </c>
      <c r="G89" s="10" t="s">
        <v>206</v>
      </c>
    </row>
    <row r="90" spans="1:7">
      <c r="A90">
        <v>1087</v>
      </c>
      <c r="B90">
        <v>40</v>
      </c>
      <c r="C90">
        <v>7</v>
      </c>
      <c r="D90" s="10" t="s">
        <v>207</v>
      </c>
      <c r="E90" s="10" t="s">
        <v>208</v>
      </c>
      <c r="F90" s="10" t="s">
        <v>116</v>
      </c>
      <c r="G90" s="10" t="s">
        <v>69</v>
      </c>
    </row>
    <row r="91" spans="1:7">
      <c r="A91">
        <v>1088</v>
      </c>
      <c r="B91">
        <v>40</v>
      </c>
      <c r="C91">
        <v>5</v>
      </c>
      <c r="D91" s="10" t="s">
        <v>207</v>
      </c>
      <c r="E91" s="10" t="s">
        <v>208</v>
      </c>
      <c r="F91" s="10" t="s">
        <v>116</v>
      </c>
      <c r="G91" s="10" t="s">
        <v>69</v>
      </c>
    </row>
    <row r="92" spans="1:7">
      <c r="A92">
        <v>1089</v>
      </c>
      <c r="B92">
        <v>40</v>
      </c>
      <c r="C92">
        <v>12</v>
      </c>
      <c r="D92" s="10" t="s">
        <v>209</v>
      </c>
      <c r="E92" s="10" t="s">
        <v>210</v>
      </c>
      <c r="F92" s="10" t="s">
        <v>76</v>
      </c>
      <c r="G92" s="10" t="s">
        <v>211</v>
      </c>
    </row>
    <row r="93" spans="1:7">
      <c r="A93">
        <v>1090</v>
      </c>
      <c r="B93">
        <v>40</v>
      </c>
      <c r="C93">
        <v>13</v>
      </c>
      <c r="D93" s="10" t="s">
        <v>207</v>
      </c>
      <c r="E93" s="10" t="s">
        <v>208</v>
      </c>
      <c r="F93" s="10" t="s">
        <v>116</v>
      </c>
      <c r="G93" s="10" t="s">
        <v>69</v>
      </c>
    </row>
    <row r="94" spans="1:7">
      <c r="A94">
        <v>1091</v>
      </c>
      <c r="B94">
        <v>45</v>
      </c>
      <c r="C94">
        <v>1</v>
      </c>
      <c r="D94" s="10" t="s">
        <v>212</v>
      </c>
      <c r="E94" s="10" t="s">
        <v>213</v>
      </c>
      <c r="F94" s="10" t="s">
        <v>214</v>
      </c>
      <c r="G94" s="10" t="s">
        <v>215</v>
      </c>
    </row>
    <row r="95" spans="1:7">
      <c r="A95">
        <v>1092</v>
      </c>
      <c r="B95">
        <v>45</v>
      </c>
      <c r="C95">
        <v>2</v>
      </c>
      <c r="D95" s="10" t="s">
        <v>216</v>
      </c>
      <c r="E95" s="10" t="s">
        <v>217</v>
      </c>
      <c r="F95" s="10" t="s">
        <v>218</v>
      </c>
      <c r="G95" s="10" t="s">
        <v>219</v>
      </c>
    </row>
    <row r="96" spans="1:7">
      <c r="A96">
        <v>1093</v>
      </c>
      <c r="B96">
        <v>45</v>
      </c>
      <c r="C96">
        <v>4</v>
      </c>
      <c r="D96" s="10" t="s">
        <v>202</v>
      </c>
      <c r="E96" s="10" t="s">
        <v>220</v>
      </c>
      <c r="F96" s="10" t="s">
        <v>221</v>
      </c>
      <c r="G96" s="10" t="s">
        <v>222</v>
      </c>
    </row>
    <row r="97" spans="1:7">
      <c r="A97">
        <v>1094</v>
      </c>
      <c r="B97">
        <v>45</v>
      </c>
      <c r="C97">
        <v>3</v>
      </c>
      <c r="D97" s="10" t="s">
        <v>216</v>
      </c>
      <c r="E97" s="10" t="s">
        <v>217</v>
      </c>
      <c r="F97" s="10" t="s">
        <v>218</v>
      </c>
      <c r="G97" s="10" t="s">
        <v>219</v>
      </c>
    </row>
    <row r="98" spans="1:7">
      <c r="A98">
        <v>1095</v>
      </c>
      <c r="B98">
        <v>45</v>
      </c>
      <c r="C98">
        <v>27</v>
      </c>
      <c r="D98" s="10" t="s">
        <v>202</v>
      </c>
      <c r="E98" s="10" t="s">
        <v>220</v>
      </c>
      <c r="F98" s="10" t="s">
        <v>221</v>
      </c>
      <c r="G98" s="10" t="s">
        <v>222</v>
      </c>
    </row>
    <row r="99" spans="1:7">
      <c r="A99">
        <v>1096</v>
      </c>
      <c r="B99">
        <v>45</v>
      </c>
      <c r="C99">
        <v>28</v>
      </c>
      <c r="D99" s="10" t="s">
        <v>223</v>
      </c>
      <c r="E99" s="10" t="s">
        <v>21</v>
      </c>
      <c r="F99" s="10" t="s">
        <v>224</v>
      </c>
      <c r="G99" s="10" t="s">
        <v>23</v>
      </c>
    </row>
    <row r="100" spans="1:7">
      <c r="A100">
        <v>1097</v>
      </c>
      <c r="B100">
        <v>45</v>
      </c>
      <c r="C100">
        <v>7</v>
      </c>
      <c r="D100" s="10" t="s">
        <v>116</v>
      </c>
      <c r="E100" s="10" t="s">
        <v>225</v>
      </c>
      <c r="F100" s="10" t="s">
        <v>226</v>
      </c>
      <c r="G100" s="10" t="s">
        <v>227</v>
      </c>
    </row>
    <row r="101" spans="1:7">
      <c r="A101">
        <v>1098</v>
      </c>
      <c r="B101">
        <v>45</v>
      </c>
      <c r="C101">
        <v>5</v>
      </c>
      <c r="D101" s="10" t="s">
        <v>116</v>
      </c>
      <c r="E101" s="10" t="s">
        <v>225</v>
      </c>
      <c r="F101" s="10" t="s">
        <v>226</v>
      </c>
      <c r="G101" s="10" t="s">
        <v>227</v>
      </c>
    </row>
    <row r="102" spans="1:7">
      <c r="A102">
        <v>1099</v>
      </c>
      <c r="B102">
        <v>45</v>
      </c>
      <c r="C102">
        <v>12</v>
      </c>
      <c r="D102" s="10" t="s">
        <v>76</v>
      </c>
      <c r="E102" s="10" t="s">
        <v>211</v>
      </c>
      <c r="F102" s="10" t="s">
        <v>228</v>
      </c>
      <c r="G102" s="10" t="s">
        <v>229</v>
      </c>
    </row>
    <row r="103" spans="1:7">
      <c r="A103">
        <v>1100</v>
      </c>
      <c r="B103">
        <v>45</v>
      </c>
      <c r="C103">
        <v>13</v>
      </c>
      <c r="D103" s="10" t="s">
        <v>116</v>
      </c>
      <c r="E103" s="10" t="s">
        <v>225</v>
      </c>
      <c r="F103" s="10" t="s">
        <v>226</v>
      </c>
      <c r="G103" s="10" t="s">
        <v>227</v>
      </c>
    </row>
    <row r="104" spans="1:7">
      <c r="A104">
        <v>1101</v>
      </c>
      <c r="B104">
        <v>50</v>
      </c>
      <c r="C104">
        <v>1</v>
      </c>
      <c r="D104" s="10" t="s">
        <v>230</v>
      </c>
      <c r="E104" s="10" t="s">
        <v>231</v>
      </c>
      <c r="F104" s="10" t="s">
        <v>232</v>
      </c>
      <c r="G104" s="10" t="s">
        <v>233</v>
      </c>
    </row>
    <row r="105" spans="1:7">
      <c r="A105">
        <v>1102</v>
      </c>
      <c r="B105">
        <v>50</v>
      </c>
      <c r="C105">
        <v>2</v>
      </c>
      <c r="D105" s="10" t="s">
        <v>234</v>
      </c>
      <c r="E105" s="10" t="s">
        <v>235</v>
      </c>
      <c r="F105" s="10" t="s">
        <v>236</v>
      </c>
      <c r="G105" s="10" t="s">
        <v>237</v>
      </c>
    </row>
    <row r="106" spans="1:7">
      <c r="A106">
        <v>1103</v>
      </c>
      <c r="B106">
        <v>50</v>
      </c>
      <c r="C106">
        <v>4</v>
      </c>
      <c r="D106" s="10" t="s">
        <v>238</v>
      </c>
      <c r="E106" s="10" t="s">
        <v>239</v>
      </c>
      <c r="F106" s="10" t="s">
        <v>240</v>
      </c>
      <c r="G106" s="10" t="s">
        <v>241</v>
      </c>
    </row>
    <row r="107" spans="1:7">
      <c r="A107">
        <v>1104</v>
      </c>
      <c r="B107">
        <v>50</v>
      </c>
      <c r="C107">
        <v>3</v>
      </c>
      <c r="D107" s="10" t="s">
        <v>234</v>
      </c>
      <c r="E107" s="10" t="s">
        <v>235</v>
      </c>
      <c r="F107" s="10" t="s">
        <v>236</v>
      </c>
      <c r="G107" s="10" t="s">
        <v>237</v>
      </c>
    </row>
    <row r="108" spans="1:7">
      <c r="A108">
        <v>1105</v>
      </c>
      <c r="B108">
        <v>50</v>
      </c>
      <c r="C108">
        <v>27</v>
      </c>
      <c r="D108" s="10" t="s">
        <v>238</v>
      </c>
      <c r="E108" s="10" t="s">
        <v>239</v>
      </c>
      <c r="F108" s="10" t="s">
        <v>240</v>
      </c>
      <c r="G108" s="10" t="s">
        <v>241</v>
      </c>
    </row>
    <row r="109" spans="1:7">
      <c r="A109">
        <v>1106</v>
      </c>
      <c r="B109">
        <v>50</v>
      </c>
      <c r="C109">
        <v>28</v>
      </c>
      <c r="D109" s="10" t="s">
        <v>22</v>
      </c>
      <c r="E109" s="10" t="s">
        <v>23</v>
      </c>
      <c r="F109" s="10" t="s">
        <v>242</v>
      </c>
      <c r="G109" s="10" t="s">
        <v>142</v>
      </c>
    </row>
    <row r="110" spans="1:7">
      <c r="A110">
        <v>1107</v>
      </c>
      <c r="B110">
        <v>50</v>
      </c>
      <c r="C110">
        <v>7</v>
      </c>
      <c r="D110" s="10" t="s">
        <v>243</v>
      </c>
      <c r="E110" s="10" t="s">
        <v>244</v>
      </c>
      <c r="F110" s="10" t="s">
        <v>245</v>
      </c>
      <c r="G110" s="10" t="s">
        <v>90</v>
      </c>
    </row>
    <row r="111" spans="1:7">
      <c r="A111">
        <v>1108</v>
      </c>
      <c r="B111">
        <v>50</v>
      </c>
      <c r="C111">
        <v>5</v>
      </c>
      <c r="D111" s="10" t="s">
        <v>243</v>
      </c>
      <c r="E111" s="10" t="s">
        <v>244</v>
      </c>
      <c r="F111" s="10" t="s">
        <v>245</v>
      </c>
      <c r="G111" s="10" t="s">
        <v>90</v>
      </c>
    </row>
    <row r="112" spans="1:7">
      <c r="A112">
        <v>1109</v>
      </c>
      <c r="B112">
        <v>50</v>
      </c>
      <c r="C112">
        <v>12</v>
      </c>
      <c r="D112" s="10" t="s">
        <v>246</v>
      </c>
      <c r="E112" s="10" t="s">
        <v>229</v>
      </c>
      <c r="F112" s="10" t="s">
        <v>247</v>
      </c>
      <c r="G112" s="10" t="s">
        <v>248</v>
      </c>
    </row>
    <row r="113" spans="1:7">
      <c r="A113">
        <v>1110</v>
      </c>
      <c r="B113">
        <v>50</v>
      </c>
      <c r="C113">
        <v>13</v>
      </c>
      <c r="D113" s="10" t="s">
        <v>243</v>
      </c>
      <c r="E113" s="10" t="s">
        <v>244</v>
      </c>
      <c r="F113" s="10" t="s">
        <v>245</v>
      </c>
      <c r="G113" s="10" t="s">
        <v>90</v>
      </c>
    </row>
    <row r="114" spans="1:7">
      <c r="A114">
        <v>1111</v>
      </c>
      <c r="B114">
        <v>55</v>
      </c>
      <c r="C114">
        <v>1</v>
      </c>
      <c r="D114" s="10" t="s">
        <v>249</v>
      </c>
      <c r="E114" s="10" t="s">
        <v>250</v>
      </c>
      <c r="F114" s="10" t="s">
        <v>251</v>
      </c>
      <c r="G114" s="10" t="s">
        <v>252</v>
      </c>
    </row>
    <row r="115" spans="1:7">
      <c r="A115">
        <v>1112</v>
      </c>
      <c r="B115">
        <v>55</v>
      </c>
      <c r="C115">
        <v>2</v>
      </c>
      <c r="D115" s="10" t="s">
        <v>253</v>
      </c>
      <c r="E115" s="10" t="s">
        <v>254</v>
      </c>
      <c r="F115" s="10" t="s">
        <v>255</v>
      </c>
      <c r="G115" s="10" t="s">
        <v>256</v>
      </c>
    </row>
    <row r="116" spans="1:7">
      <c r="A116">
        <v>1113</v>
      </c>
      <c r="B116">
        <v>55</v>
      </c>
      <c r="C116">
        <v>4</v>
      </c>
      <c r="D116" s="10" t="s">
        <v>257</v>
      </c>
      <c r="E116" s="10" t="s">
        <v>258</v>
      </c>
      <c r="F116" s="10" t="s">
        <v>259</v>
      </c>
      <c r="G116" s="10" t="s">
        <v>176</v>
      </c>
    </row>
    <row r="117" spans="1:7">
      <c r="A117">
        <v>1114</v>
      </c>
      <c r="B117">
        <v>55</v>
      </c>
      <c r="C117">
        <v>3</v>
      </c>
      <c r="D117" s="10" t="s">
        <v>253</v>
      </c>
      <c r="E117" s="10" t="s">
        <v>254</v>
      </c>
      <c r="F117" s="10" t="s">
        <v>255</v>
      </c>
      <c r="G117" s="10" t="s">
        <v>256</v>
      </c>
    </row>
    <row r="118" spans="1:7">
      <c r="A118">
        <v>1115</v>
      </c>
      <c r="B118">
        <v>55</v>
      </c>
      <c r="C118">
        <v>27</v>
      </c>
      <c r="D118" s="10" t="s">
        <v>257</v>
      </c>
      <c r="E118" s="10" t="s">
        <v>258</v>
      </c>
      <c r="F118" s="10" t="s">
        <v>259</v>
      </c>
      <c r="G118" s="10" t="s">
        <v>176</v>
      </c>
    </row>
    <row r="119" spans="1:7">
      <c r="A119">
        <v>1116</v>
      </c>
      <c r="B119">
        <v>55</v>
      </c>
      <c r="C119">
        <v>28</v>
      </c>
      <c r="D119" s="10" t="s">
        <v>260</v>
      </c>
      <c r="E119" s="10" t="s">
        <v>261</v>
      </c>
      <c r="F119" s="10" t="s">
        <v>262</v>
      </c>
      <c r="G119" s="10" t="s">
        <v>263</v>
      </c>
    </row>
    <row r="120" spans="1:7">
      <c r="A120">
        <v>1117</v>
      </c>
      <c r="B120">
        <v>55</v>
      </c>
      <c r="C120">
        <v>7</v>
      </c>
      <c r="D120" s="10" t="s">
        <v>264</v>
      </c>
      <c r="E120" s="10" t="s">
        <v>265</v>
      </c>
      <c r="F120" s="10" t="s">
        <v>266</v>
      </c>
      <c r="G120" s="10" t="s">
        <v>267</v>
      </c>
    </row>
    <row r="121" spans="1:7">
      <c r="A121">
        <v>1118</v>
      </c>
      <c r="B121">
        <v>55</v>
      </c>
      <c r="C121">
        <v>5</v>
      </c>
      <c r="D121" s="10" t="s">
        <v>264</v>
      </c>
      <c r="E121" s="10" t="s">
        <v>265</v>
      </c>
      <c r="F121" s="10" t="s">
        <v>266</v>
      </c>
      <c r="G121" s="10" t="s">
        <v>267</v>
      </c>
    </row>
    <row r="122" spans="1:7">
      <c r="A122">
        <v>1119</v>
      </c>
      <c r="B122">
        <v>55</v>
      </c>
      <c r="C122">
        <v>12</v>
      </c>
      <c r="D122" s="10" t="s">
        <v>268</v>
      </c>
      <c r="E122" s="10" t="s">
        <v>248</v>
      </c>
      <c r="F122" s="10" t="s">
        <v>269</v>
      </c>
      <c r="G122" s="10" t="s">
        <v>270</v>
      </c>
    </row>
    <row r="123" spans="1:7">
      <c r="A123">
        <v>1120</v>
      </c>
      <c r="B123">
        <v>55</v>
      </c>
      <c r="C123">
        <v>13</v>
      </c>
      <c r="D123" s="10" t="s">
        <v>264</v>
      </c>
      <c r="E123" s="10" t="s">
        <v>265</v>
      </c>
      <c r="F123" s="10" t="s">
        <v>266</v>
      </c>
      <c r="G123" s="10" t="s">
        <v>267</v>
      </c>
    </row>
    <row r="124" spans="1:7">
      <c r="A124">
        <v>1121</v>
      </c>
      <c r="B124">
        <v>60</v>
      </c>
      <c r="C124">
        <v>1</v>
      </c>
      <c r="D124" s="10" t="s">
        <v>271</v>
      </c>
      <c r="E124" s="10" t="s">
        <v>272</v>
      </c>
      <c r="F124" s="10" t="s">
        <v>273</v>
      </c>
      <c r="G124" s="10" t="s">
        <v>274</v>
      </c>
    </row>
    <row r="125" spans="1:7">
      <c r="A125">
        <v>1122</v>
      </c>
      <c r="B125">
        <v>60</v>
      </c>
      <c r="C125">
        <v>2</v>
      </c>
      <c r="D125" s="10" t="s">
        <v>275</v>
      </c>
      <c r="E125" s="10" t="s">
        <v>276</v>
      </c>
      <c r="F125" s="10" t="s">
        <v>277</v>
      </c>
      <c r="G125" s="10" t="s">
        <v>278</v>
      </c>
    </row>
    <row r="126" spans="1:7">
      <c r="A126">
        <v>1123</v>
      </c>
      <c r="B126">
        <v>60</v>
      </c>
      <c r="C126">
        <v>4</v>
      </c>
      <c r="D126" s="10" t="s">
        <v>279</v>
      </c>
      <c r="E126" s="10" t="s">
        <v>280</v>
      </c>
      <c r="F126" s="10" t="s">
        <v>281</v>
      </c>
      <c r="G126" s="10" t="s">
        <v>282</v>
      </c>
    </row>
    <row r="127" spans="1:7">
      <c r="A127">
        <v>1124</v>
      </c>
      <c r="B127">
        <v>60</v>
      </c>
      <c r="C127">
        <v>3</v>
      </c>
      <c r="D127" s="10" t="s">
        <v>275</v>
      </c>
      <c r="E127" s="10" t="s">
        <v>276</v>
      </c>
      <c r="F127" s="10" t="s">
        <v>277</v>
      </c>
      <c r="G127" s="10" t="s">
        <v>278</v>
      </c>
    </row>
    <row r="128" spans="1:7">
      <c r="A128">
        <v>1125</v>
      </c>
      <c r="B128">
        <v>60</v>
      </c>
      <c r="C128">
        <v>27</v>
      </c>
      <c r="D128" s="10" t="s">
        <v>279</v>
      </c>
      <c r="E128" s="10" t="s">
        <v>280</v>
      </c>
      <c r="F128" s="10" t="s">
        <v>281</v>
      </c>
      <c r="G128" s="10" t="s">
        <v>282</v>
      </c>
    </row>
    <row r="129" spans="1:7">
      <c r="A129">
        <v>1126</v>
      </c>
      <c r="B129">
        <v>60</v>
      </c>
      <c r="C129">
        <v>28</v>
      </c>
      <c r="D129" s="10" t="s">
        <v>283</v>
      </c>
      <c r="E129" s="10" t="s">
        <v>284</v>
      </c>
      <c r="F129" s="10" t="s">
        <v>285</v>
      </c>
      <c r="G129" s="10" t="s">
        <v>44</v>
      </c>
    </row>
    <row r="130" spans="1:7">
      <c r="A130">
        <v>1127</v>
      </c>
      <c r="B130">
        <v>60</v>
      </c>
      <c r="C130">
        <v>7</v>
      </c>
      <c r="D130" s="10" t="s">
        <v>286</v>
      </c>
      <c r="E130" s="10" t="s">
        <v>287</v>
      </c>
      <c r="F130" s="10" t="s">
        <v>288</v>
      </c>
      <c r="G130" s="10" t="s">
        <v>289</v>
      </c>
    </row>
    <row r="131" spans="1:7">
      <c r="A131">
        <v>1128</v>
      </c>
      <c r="B131">
        <v>60</v>
      </c>
      <c r="C131">
        <v>5</v>
      </c>
      <c r="D131" s="10" t="s">
        <v>286</v>
      </c>
      <c r="E131" s="10" t="s">
        <v>287</v>
      </c>
      <c r="F131" s="10" t="s">
        <v>288</v>
      </c>
      <c r="G131" s="10" t="s">
        <v>289</v>
      </c>
    </row>
    <row r="132" spans="1:7">
      <c r="A132">
        <v>1129</v>
      </c>
      <c r="B132">
        <v>60</v>
      </c>
      <c r="C132">
        <v>12</v>
      </c>
      <c r="D132" s="10" t="s">
        <v>100</v>
      </c>
      <c r="E132" s="10" t="s">
        <v>290</v>
      </c>
      <c r="F132" s="10" t="s">
        <v>118</v>
      </c>
      <c r="G132" s="10" t="s">
        <v>291</v>
      </c>
    </row>
    <row r="133" spans="1:7">
      <c r="A133">
        <v>1130</v>
      </c>
      <c r="B133">
        <v>60</v>
      </c>
      <c r="C133">
        <v>13</v>
      </c>
      <c r="D133" s="10" t="s">
        <v>286</v>
      </c>
      <c r="E133" s="10" t="s">
        <v>287</v>
      </c>
      <c r="F133" s="10" t="s">
        <v>288</v>
      </c>
      <c r="G133" s="10" t="s">
        <v>289</v>
      </c>
    </row>
    <row r="134" spans="1:7">
      <c r="A134">
        <v>1131</v>
      </c>
      <c r="B134">
        <v>65</v>
      </c>
      <c r="C134">
        <v>1</v>
      </c>
      <c r="D134" s="10" t="s">
        <v>292</v>
      </c>
      <c r="E134" s="10" t="s">
        <v>293</v>
      </c>
      <c r="F134" s="10" t="s">
        <v>294</v>
      </c>
      <c r="G134" s="10" t="s">
        <v>295</v>
      </c>
    </row>
    <row r="135" spans="1:7">
      <c r="A135">
        <v>1132</v>
      </c>
      <c r="B135">
        <v>65</v>
      </c>
      <c r="C135">
        <v>2</v>
      </c>
      <c r="D135" s="10" t="s">
        <v>296</v>
      </c>
      <c r="E135" s="10" t="s">
        <v>297</v>
      </c>
      <c r="F135" s="10" t="s">
        <v>298</v>
      </c>
      <c r="G135" s="10" t="s">
        <v>299</v>
      </c>
    </row>
    <row r="136" spans="1:7">
      <c r="A136">
        <v>1133</v>
      </c>
      <c r="B136">
        <v>65</v>
      </c>
      <c r="C136">
        <v>4</v>
      </c>
      <c r="D136" s="10" t="s">
        <v>300</v>
      </c>
      <c r="E136" s="10" t="s">
        <v>301</v>
      </c>
      <c r="F136" s="10" t="s">
        <v>302</v>
      </c>
      <c r="G136" s="10" t="s">
        <v>303</v>
      </c>
    </row>
    <row r="137" spans="1:7">
      <c r="A137">
        <v>1134</v>
      </c>
      <c r="B137">
        <v>65</v>
      </c>
      <c r="C137">
        <v>3</v>
      </c>
      <c r="D137" s="10" t="s">
        <v>296</v>
      </c>
      <c r="E137" s="10" t="s">
        <v>297</v>
      </c>
      <c r="F137" s="10" t="s">
        <v>298</v>
      </c>
      <c r="G137" s="10" t="s">
        <v>299</v>
      </c>
    </row>
    <row r="138" spans="1:7">
      <c r="A138">
        <v>1135</v>
      </c>
      <c r="B138">
        <v>65</v>
      </c>
      <c r="C138">
        <v>27</v>
      </c>
      <c r="D138" s="10" t="s">
        <v>300</v>
      </c>
      <c r="E138" s="10" t="s">
        <v>301</v>
      </c>
      <c r="F138" s="10" t="s">
        <v>302</v>
      </c>
      <c r="G138" s="10" t="s">
        <v>303</v>
      </c>
    </row>
    <row r="139" spans="1:7">
      <c r="A139">
        <v>1136</v>
      </c>
      <c r="B139">
        <v>65</v>
      </c>
      <c r="C139">
        <v>28</v>
      </c>
      <c r="D139" s="10" t="s">
        <v>304</v>
      </c>
      <c r="E139" s="10" t="s">
        <v>305</v>
      </c>
      <c r="F139" s="10" t="s">
        <v>306</v>
      </c>
      <c r="G139" s="10" t="s">
        <v>307</v>
      </c>
    </row>
    <row r="140" spans="1:7">
      <c r="A140">
        <v>1137</v>
      </c>
      <c r="B140">
        <v>65</v>
      </c>
      <c r="C140">
        <v>7</v>
      </c>
      <c r="D140" s="10" t="s">
        <v>308</v>
      </c>
      <c r="E140" s="10" t="s">
        <v>309</v>
      </c>
      <c r="F140" s="10" t="s">
        <v>310</v>
      </c>
      <c r="G140" s="10" t="s">
        <v>311</v>
      </c>
    </row>
    <row r="141" spans="1:7">
      <c r="A141">
        <v>1138</v>
      </c>
      <c r="B141">
        <v>65</v>
      </c>
      <c r="C141">
        <v>5</v>
      </c>
      <c r="D141" s="10" t="s">
        <v>308</v>
      </c>
      <c r="E141" s="10" t="s">
        <v>309</v>
      </c>
      <c r="F141" s="10" t="s">
        <v>310</v>
      </c>
      <c r="G141" s="10" t="s">
        <v>311</v>
      </c>
    </row>
    <row r="142" spans="1:7">
      <c r="A142">
        <v>1139</v>
      </c>
      <c r="B142">
        <v>65</v>
      </c>
      <c r="C142">
        <v>12</v>
      </c>
      <c r="D142" s="10" t="s">
        <v>270</v>
      </c>
      <c r="E142" s="10" t="s">
        <v>312</v>
      </c>
      <c r="F142" s="10" t="s">
        <v>313</v>
      </c>
      <c r="G142" s="10" t="s">
        <v>24</v>
      </c>
    </row>
    <row r="143" spans="1:7">
      <c r="A143">
        <v>1140</v>
      </c>
      <c r="B143">
        <v>65</v>
      </c>
      <c r="C143">
        <v>13</v>
      </c>
      <c r="D143" s="10" t="s">
        <v>308</v>
      </c>
      <c r="E143" s="10" t="s">
        <v>309</v>
      </c>
      <c r="F143" s="10" t="s">
        <v>310</v>
      </c>
      <c r="G143" s="10" t="s">
        <v>311</v>
      </c>
    </row>
    <row r="144" spans="1:7">
      <c r="A144">
        <v>1141</v>
      </c>
      <c r="B144">
        <v>70</v>
      </c>
      <c r="C144">
        <v>1</v>
      </c>
      <c r="D144" s="10" t="s">
        <v>314</v>
      </c>
      <c r="E144" s="10" t="s">
        <v>315</v>
      </c>
      <c r="F144" s="10" t="s">
        <v>316</v>
      </c>
      <c r="G144" s="10" t="s">
        <v>317</v>
      </c>
    </row>
    <row r="145" spans="1:7">
      <c r="A145">
        <v>1142</v>
      </c>
      <c r="B145">
        <v>70</v>
      </c>
      <c r="C145">
        <v>2</v>
      </c>
      <c r="D145" s="10" t="s">
        <v>318</v>
      </c>
      <c r="E145" s="10" t="s">
        <v>319</v>
      </c>
      <c r="F145" s="10" t="s">
        <v>320</v>
      </c>
      <c r="G145" s="10" t="s">
        <v>321</v>
      </c>
    </row>
    <row r="146" spans="1:7">
      <c r="A146">
        <v>1143</v>
      </c>
      <c r="B146">
        <v>70</v>
      </c>
      <c r="C146">
        <v>4</v>
      </c>
      <c r="D146" s="10" t="s">
        <v>322</v>
      </c>
      <c r="E146" s="10" t="s">
        <v>323</v>
      </c>
      <c r="F146" s="10" t="s">
        <v>324</v>
      </c>
      <c r="G146" s="10" t="s">
        <v>325</v>
      </c>
    </row>
    <row r="147" spans="1:7">
      <c r="A147">
        <v>1144</v>
      </c>
      <c r="B147">
        <v>70</v>
      </c>
      <c r="C147">
        <v>3</v>
      </c>
      <c r="D147" s="10" t="s">
        <v>318</v>
      </c>
      <c r="E147" s="10" t="s">
        <v>319</v>
      </c>
      <c r="F147" s="10" t="s">
        <v>320</v>
      </c>
      <c r="G147" s="10" t="s">
        <v>321</v>
      </c>
    </row>
    <row r="148" spans="1:7">
      <c r="A148">
        <v>1145</v>
      </c>
      <c r="B148">
        <v>70</v>
      </c>
      <c r="C148">
        <v>27</v>
      </c>
      <c r="D148" s="10" t="s">
        <v>322</v>
      </c>
      <c r="E148" s="10" t="s">
        <v>323</v>
      </c>
      <c r="F148" s="10" t="s">
        <v>324</v>
      </c>
      <c r="G148" s="10" t="s">
        <v>325</v>
      </c>
    </row>
    <row r="149" spans="1:7">
      <c r="A149">
        <v>1146</v>
      </c>
      <c r="B149">
        <v>70</v>
      </c>
      <c r="C149">
        <v>28</v>
      </c>
      <c r="D149" s="10" t="s">
        <v>44</v>
      </c>
      <c r="E149" s="10" t="s">
        <v>326</v>
      </c>
      <c r="F149" s="10" t="s">
        <v>327</v>
      </c>
      <c r="G149" s="10" t="s">
        <v>328</v>
      </c>
    </row>
    <row r="150" spans="1:7">
      <c r="A150">
        <v>1147</v>
      </c>
      <c r="B150">
        <v>70</v>
      </c>
      <c r="C150">
        <v>7</v>
      </c>
      <c r="D150" s="10" t="s">
        <v>329</v>
      </c>
      <c r="E150" s="10" t="s">
        <v>200</v>
      </c>
      <c r="F150" s="10" t="s">
        <v>201</v>
      </c>
      <c r="G150" s="10" t="s">
        <v>330</v>
      </c>
    </row>
    <row r="151" spans="1:7">
      <c r="A151">
        <v>1148</v>
      </c>
      <c r="B151">
        <v>70</v>
      </c>
      <c r="C151">
        <v>5</v>
      </c>
      <c r="D151" s="10" t="s">
        <v>329</v>
      </c>
      <c r="E151" s="10" t="s">
        <v>200</v>
      </c>
      <c r="F151" s="10" t="s">
        <v>201</v>
      </c>
      <c r="G151" s="10" t="s">
        <v>330</v>
      </c>
    </row>
    <row r="152" spans="1:7">
      <c r="A152">
        <v>1149</v>
      </c>
      <c r="B152">
        <v>70</v>
      </c>
      <c r="C152">
        <v>12</v>
      </c>
      <c r="D152" s="10" t="s">
        <v>291</v>
      </c>
      <c r="E152" s="10" t="s">
        <v>120</v>
      </c>
      <c r="F152" s="10" t="s">
        <v>331</v>
      </c>
      <c r="G152" s="10" t="s">
        <v>332</v>
      </c>
    </row>
    <row r="153" spans="1:7">
      <c r="A153">
        <v>1150</v>
      </c>
      <c r="B153">
        <v>70</v>
      </c>
      <c r="C153">
        <v>13</v>
      </c>
      <c r="D153" s="10" t="s">
        <v>329</v>
      </c>
      <c r="E153" s="10" t="s">
        <v>200</v>
      </c>
      <c r="F153" s="10" t="s">
        <v>201</v>
      </c>
      <c r="G153" s="10" t="s">
        <v>330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3"/>
  <sheetViews>
    <sheetView topLeftCell="I1" workbookViewId="0">
      <selection activeCell="B74" sqref="B74"/>
    </sheetView>
  </sheetViews>
  <sheetFormatPr defaultColWidth="9" defaultRowHeight="16.5"/>
  <cols>
    <col min="1" max="2" width="9" style="2"/>
    <col min="3" max="3" width="11.875" style="3" customWidth="1"/>
    <col min="4" max="7" width="11.625" style="2" customWidth="1"/>
    <col min="8" max="8" width="11.875" style="9"/>
    <col min="9" max="9" width="12.5" style="9"/>
    <col min="10" max="10" width="11.875" style="9"/>
    <col min="11" max="11" width="12.5" style="9"/>
    <col min="12" max="12" width="11.875" style="9"/>
    <col min="13" max="13" width="12.5" style="9"/>
    <col min="14" max="14" width="11.875" style="9"/>
    <col min="15" max="15" width="12.5" style="9"/>
    <col min="16" max="18" width="9" style="2"/>
    <col min="19" max="20" width="10.25" style="2"/>
    <col min="21" max="21" width="12.625" style="2"/>
    <col min="22" max="22" width="11.5" style="2"/>
    <col min="23" max="24" width="12.625" style="2"/>
    <col min="25" max="16384" width="9" style="2"/>
  </cols>
  <sheetData>
    <row r="1" s="2" customFormat="1" ht="17.25" spans="1:15">
      <c r="A1" s="2" t="s">
        <v>0</v>
      </c>
      <c r="B1" s="4" t="s">
        <v>1</v>
      </c>
      <c r="C1" s="2" t="s">
        <v>2</v>
      </c>
      <c r="D1" s="5" t="s">
        <v>3</v>
      </c>
      <c r="E1" s="5" t="s">
        <v>3</v>
      </c>
      <c r="F1" s="5" t="s">
        <v>3</v>
      </c>
      <c r="G1" s="5" t="s">
        <v>3</v>
      </c>
      <c r="H1" s="9"/>
      <c r="I1" s="9"/>
      <c r="J1" s="9"/>
      <c r="K1" s="9"/>
      <c r="L1" s="9"/>
      <c r="M1" s="9"/>
      <c r="N1" s="9"/>
      <c r="O1" s="9"/>
    </row>
    <row r="2" s="2" customFormat="1" spans="1:15">
      <c r="A2" s="6" t="s">
        <v>7</v>
      </c>
      <c r="B2" s="6" t="s">
        <v>7</v>
      </c>
      <c r="C2" s="6" t="s">
        <v>7</v>
      </c>
      <c r="D2" s="2" t="s">
        <v>8</v>
      </c>
      <c r="E2" s="2" t="s">
        <v>8</v>
      </c>
      <c r="F2" s="2" t="s">
        <v>8</v>
      </c>
      <c r="G2" s="2" t="s">
        <v>8</v>
      </c>
      <c r="H2" s="9"/>
      <c r="I2" s="9"/>
      <c r="J2" s="9"/>
      <c r="K2" s="9"/>
      <c r="L2" s="9"/>
      <c r="M2" s="9"/>
      <c r="N2" s="9"/>
      <c r="O2" s="9"/>
    </row>
    <row r="3" s="2" customFormat="1" spans="1:1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9"/>
      <c r="I3" s="9"/>
      <c r="J3" s="9"/>
      <c r="K3" s="9"/>
      <c r="L3" s="9"/>
      <c r="M3" s="9"/>
      <c r="N3" s="9"/>
      <c r="O3" s="9"/>
    </row>
    <row r="4" s="2" customFormat="1" spans="1:28">
      <c r="A4" s="2">
        <v>1001</v>
      </c>
      <c r="B4" s="2">
        <v>1</v>
      </c>
      <c r="C4" s="3">
        <v>1</v>
      </c>
      <c r="D4" s="7" t="str">
        <f t="shared" ref="D4:D67" si="0">H4&amp;":"&amp;I4</f>
        <v>490:980</v>
      </c>
      <c r="E4" s="7" t="str">
        <f t="shared" ref="E4:E67" si="1">J4&amp;":"&amp;K4</f>
        <v>515:1029</v>
      </c>
      <c r="F4" s="7" t="str">
        <f t="shared" ref="F4:F67" si="2">L4&amp;":"&amp;M4</f>
        <v>539:1078</v>
      </c>
      <c r="G4" s="7" t="str">
        <f t="shared" ref="G4:G67" si="3">N4&amp;":"&amp;O4</f>
        <v>564:1127</v>
      </c>
      <c r="H4" s="9">
        <f>Q4*10</f>
        <v>490</v>
      </c>
      <c r="I4" s="9">
        <f t="shared" ref="I4:O4" si="4">R4*10</f>
        <v>980</v>
      </c>
      <c r="J4" s="9">
        <f t="shared" si="4"/>
        <v>515</v>
      </c>
      <c r="K4" s="9">
        <f t="shared" si="4"/>
        <v>1029</v>
      </c>
      <c r="L4" s="9">
        <f t="shared" si="4"/>
        <v>539</v>
      </c>
      <c r="M4" s="9">
        <f t="shared" si="4"/>
        <v>1078</v>
      </c>
      <c r="N4" s="9">
        <f t="shared" si="4"/>
        <v>564</v>
      </c>
      <c r="O4" s="9">
        <f t="shared" si="4"/>
        <v>1127</v>
      </c>
      <c r="Q4" s="8">
        <v>49</v>
      </c>
      <c r="R4" s="8">
        <v>98</v>
      </c>
      <c r="S4" s="8">
        <v>51.5</v>
      </c>
      <c r="T4" s="8">
        <v>102.9</v>
      </c>
      <c r="U4" s="8">
        <v>53.9</v>
      </c>
      <c r="V4" s="8">
        <v>107.8</v>
      </c>
      <c r="W4" s="8">
        <v>56.4</v>
      </c>
      <c r="X4" s="8">
        <v>112.7</v>
      </c>
      <c r="Y4" s="8">
        <v>49</v>
      </c>
      <c r="Z4" s="8">
        <v>51.5</v>
      </c>
      <c r="AA4" s="8">
        <v>53.9</v>
      </c>
      <c r="AB4" s="8">
        <v>56.4</v>
      </c>
    </row>
    <row r="5" s="2" customFormat="1" spans="1:28">
      <c r="A5" s="2">
        <v>1002</v>
      </c>
      <c r="B5" s="2">
        <v>1</v>
      </c>
      <c r="C5" s="3">
        <v>2</v>
      </c>
      <c r="D5" s="7" t="str">
        <f t="shared" si="0"/>
        <v>62:124</v>
      </c>
      <c r="E5" s="7" t="str">
        <f t="shared" si="1"/>
        <v>65:130</v>
      </c>
      <c r="F5" s="7" t="str">
        <f t="shared" si="2"/>
        <v>68:136</v>
      </c>
      <c r="G5" s="7" t="str">
        <f t="shared" si="3"/>
        <v>71:142</v>
      </c>
      <c r="H5" s="9">
        <f t="shared" ref="H5:H13" si="5">Q5*10</f>
        <v>62</v>
      </c>
      <c r="I5" s="9">
        <f t="shared" ref="I5:I36" si="6">R5*10</f>
        <v>124</v>
      </c>
      <c r="J5" s="9">
        <f t="shared" ref="J5:J36" si="7">S5*10</f>
        <v>65</v>
      </c>
      <c r="K5" s="9">
        <f t="shared" ref="K5:K36" si="8">T5*10</f>
        <v>130</v>
      </c>
      <c r="L5" s="9">
        <f t="shared" ref="L5:L36" si="9">U5*10</f>
        <v>68</v>
      </c>
      <c r="M5" s="9">
        <f t="shared" ref="M5:M36" si="10">V5*10</f>
        <v>136</v>
      </c>
      <c r="N5" s="9">
        <f t="shared" ref="N5:N36" si="11">W5*10</f>
        <v>71</v>
      </c>
      <c r="O5" s="9">
        <f t="shared" ref="O5:O36" si="12">X5*10</f>
        <v>142</v>
      </c>
      <c r="Q5" s="8">
        <v>6.2</v>
      </c>
      <c r="R5" s="8">
        <v>12.4</v>
      </c>
      <c r="S5" s="8">
        <v>6.5</v>
      </c>
      <c r="T5" s="8">
        <v>13</v>
      </c>
      <c r="U5" s="8">
        <v>6.8</v>
      </c>
      <c r="V5" s="8">
        <v>13.6</v>
      </c>
      <c r="W5" s="8">
        <v>7.1</v>
      </c>
      <c r="X5" s="8">
        <v>14.2</v>
      </c>
      <c r="Y5" s="8">
        <v>6.2</v>
      </c>
      <c r="Z5" s="8">
        <v>6.5</v>
      </c>
      <c r="AA5" s="8">
        <v>6.8</v>
      </c>
      <c r="AB5" s="8">
        <v>7.1</v>
      </c>
    </row>
    <row r="6" s="2" customFormat="1" spans="1:28">
      <c r="A6" s="2">
        <v>1003</v>
      </c>
      <c r="B6" s="2">
        <v>1</v>
      </c>
      <c r="C6" s="3">
        <v>4</v>
      </c>
      <c r="D6" s="7" t="str">
        <f t="shared" si="0"/>
        <v>39:78</v>
      </c>
      <c r="E6" s="7" t="str">
        <f t="shared" si="1"/>
        <v>41:82</v>
      </c>
      <c r="F6" s="7" t="str">
        <f t="shared" si="2"/>
        <v>43:86</v>
      </c>
      <c r="G6" s="7" t="str">
        <f t="shared" si="3"/>
        <v>45:89</v>
      </c>
      <c r="H6" s="9">
        <f t="shared" si="5"/>
        <v>39</v>
      </c>
      <c r="I6" s="9">
        <f t="shared" si="6"/>
        <v>78</v>
      </c>
      <c r="J6" s="9">
        <f t="shared" si="7"/>
        <v>41</v>
      </c>
      <c r="K6" s="9">
        <f t="shared" si="8"/>
        <v>82</v>
      </c>
      <c r="L6" s="9">
        <f t="shared" si="9"/>
        <v>43</v>
      </c>
      <c r="M6" s="9">
        <f t="shared" si="10"/>
        <v>86</v>
      </c>
      <c r="N6" s="9">
        <f t="shared" si="11"/>
        <v>45</v>
      </c>
      <c r="O6" s="9">
        <f t="shared" si="12"/>
        <v>89</v>
      </c>
      <c r="Q6" s="8">
        <v>3.9</v>
      </c>
      <c r="R6" s="8">
        <v>7.8</v>
      </c>
      <c r="S6" s="8">
        <v>4.1</v>
      </c>
      <c r="T6" s="8">
        <v>8.2</v>
      </c>
      <c r="U6" s="8">
        <v>4.3</v>
      </c>
      <c r="V6" s="8">
        <v>8.6</v>
      </c>
      <c r="W6" s="8">
        <v>4.5</v>
      </c>
      <c r="X6" s="8">
        <v>8.9</v>
      </c>
      <c r="Y6" s="8">
        <v>3.9</v>
      </c>
      <c r="Z6" s="8">
        <v>4.1</v>
      </c>
      <c r="AA6" s="8">
        <v>4.3</v>
      </c>
      <c r="AB6" s="8">
        <v>4.5</v>
      </c>
    </row>
    <row r="7" s="2" customFormat="1" spans="1:28">
      <c r="A7" s="2">
        <v>1004</v>
      </c>
      <c r="B7" s="2">
        <v>1</v>
      </c>
      <c r="C7" s="3">
        <v>3</v>
      </c>
      <c r="D7" s="7" t="str">
        <f t="shared" si="0"/>
        <v>62:124</v>
      </c>
      <c r="E7" s="7" t="str">
        <f t="shared" si="1"/>
        <v>65:130</v>
      </c>
      <c r="F7" s="7" t="str">
        <f t="shared" si="2"/>
        <v>68:136</v>
      </c>
      <c r="G7" s="7" t="str">
        <f t="shared" si="3"/>
        <v>71:142</v>
      </c>
      <c r="H7" s="9">
        <f t="shared" si="5"/>
        <v>62</v>
      </c>
      <c r="I7" s="9">
        <f t="shared" si="6"/>
        <v>124</v>
      </c>
      <c r="J7" s="9">
        <f t="shared" si="7"/>
        <v>65</v>
      </c>
      <c r="K7" s="9">
        <f t="shared" si="8"/>
        <v>130</v>
      </c>
      <c r="L7" s="9">
        <f t="shared" si="9"/>
        <v>68</v>
      </c>
      <c r="M7" s="9">
        <f t="shared" si="10"/>
        <v>136</v>
      </c>
      <c r="N7" s="9">
        <f t="shared" si="11"/>
        <v>71</v>
      </c>
      <c r="O7" s="9">
        <f t="shared" si="12"/>
        <v>142</v>
      </c>
      <c r="Q7" s="8">
        <v>6.2</v>
      </c>
      <c r="R7" s="8">
        <v>12.4</v>
      </c>
      <c r="S7" s="8">
        <v>6.5</v>
      </c>
      <c r="T7" s="8">
        <v>13</v>
      </c>
      <c r="U7" s="8">
        <v>6.8</v>
      </c>
      <c r="V7" s="8">
        <v>13.6</v>
      </c>
      <c r="W7" s="8">
        <v>7.1</v>
      </c>
      <c r="X7" s="8">
        <v>14.2</v>
      </c>
      <c r="Y7" s="8">
        <v>6.2</v>
      </c>
      <c r="Z7" s="8">
        <v>6.5</v>
      </c>
      <c r="AA7" s="8">
        <v>6.8</v>
      </c>
      <c r="AB7" s="8">
        <v>7.1</v>
      </c>
    </row>
    <row r="8" s="2" customFormat="1" spans="1:28">
      <c r="A8" s="2">
        <v>1005</v>
      </c>
      <c r="B8" s="2">
        <v>1</v>
      </c>
      <c r="C8" s="3">
        <v>27</v>
      </c>
      <c r="D8" s="7" t="str">
        <f t="shared" si="0"/>
        <v>39:78</v>
      </c>
      <c r="E8" s="7" t="str">
        <f t="shared" si="1"/>
        <v>41:82</v>
      </c>
      <c r="F8" s="7" t="str">
        <f t="shared" si="2"/>
        <v>43:86</v>
      </c>
      <c r="G8" s="7" t="str">
        <f t="shared" si="3"/>
        <v>45:89</v>
      </c>
      <c r="H8" s="9">
        <f t="shared" si="5"/>
        <v>39</v>
      </c>
      <c r="I8" s="9">
        <f t="shared" si="6"/>
        <v>78</v>
      </c>
      <c r="J8" s="9">
        <f t="shared" si="7"/>
        <v>41</v>
      </c>
      <c r="K8" s="9">
        <f t="shared" si="8"/>
        <v>82</v>
      </c>
      <c r="L8" s="9">
        <f t="shared" si="9"/>
        <v>43</v>
      </c>
      <c r="M8" s="9">
        <f t="shared" si="10"/>
        <v>86</v>
      </c>
      <c r="N8" s="9">
        <f t="shared" si="11"/>
        <v>45</v>
      </c>
      <c r="O8" s="9">
        <f t="shared" si="12"/>
        <v>89</v>
      </c>
      <c r="Q8" s="8">
        <v>3.9</v>
      </c>
      <c r="R8" s="8">
        <v>7.8</v>
      </c>
      <c r="S8" s="8">
        <v>4.1</v>
      </c>
      <c r="T8" s="8">
        <v>8.2</v>
      </c>
      <c r="U8" s="8">
        <v>4.3</v>
      </c>
      <c r="V8" s="8">
        <v>8.6</v>
      </c>
      <c r="W8" s="8">
        <v>4.5</v>
      </c>
      <c r="X8" s="8">
        <v>8.9</v>
      </c>
      <c r="Y8" s="8">
        <v>3.9</v>
      </c>
      <c r="Z8" s="8">
        <v>4.1</v>
      </c>
      <c r="AA8" s="8">
        <v>4.3</v>
      </c>
      <c r="AB8" s="8">
        <v>4.5</v>
      </c>
    </row>
    <row r="9" s="2" customFormat="1" spans="1:28">
      <c r="A9" s="2">
        <v>1006</v>
      </c>
      <c r="B9" s="2">
        <v>1</v>
      </c>
      <c r="C9" s="3">
        <v>28</v>
      </c>
      <c r="D9" s="7" t="str">
        <f t="shared" si="0"/>
        <v>12:23</v>
      </c>
      <c r="E9" s="7" t="str">
        <f t="shared" si="1"/>
        <v>12:24</v>
      </c>
      <c r="F9" s="7" t="str">
        <f t="shared" si="2"/>
        <v>13:25</v>
      </c>
      <c r="G9" s="7" t="str">
        <f t="shared" si="3"/>
        <v>13:26</v>
      </c>
      <c r="H9" s="9">
        <f t="shared" si="5"/>
        <v>12</v>
      </c>
      <c r="I9" s="9">
        <f t="shared" si="6"/>
        <v>23</v>
      </c>
      <c r="J9" s="9">
        <f t="shared" si="7"/>
        <v>12</v>
      </c>
      <c r="K9" s="9">
        <f t="shared" si="8"/>
        <v>24</v>
      </c>
      <c r="L9" s="9">
        <f t="shared" si="9"/>
        <v>13</v>
      </c>
      <c r="M9" s="9">
        <f t="shared" si="10"/>
        <v>25</v>
      </c>
      <c r="N9" s="9">
        <f t="shared" si="11"/>
        <v>13</v>
      </c>
      <c r="O9" s="9">
        <f t="shared" si="12"/>
        <v>26</v>
      </c>
      <c r="Q9" s="8">
        <v>1.2</v>
      </c>
      <c r="R9" s="8">
        <v>2.3</v>
      </c>
      <c r="S9" s="8">
        <v>1.2</v>
      </c>
      <c r="T9" s="8">
        <v>2.4</v>
      </c>
      <c r="U9" s="8">
        <v>1.3</v>
      </c>
      <c r="V9" s="8">
        <v>2.5</v>
      </c>
      <c r="W9" s="8">
        <v>1.3</v>
      </c>
      <c r="X9" s="8">
        <v>2.6</v>
      </c>
      <c r="Y9" s="8">
        <v>1.2</v>
      </c>
      <c r="Z9" s="8">
        <v>1.2</v>
      </c>
      <c r="AA9" s="8">
        <v>1.3</v>
      </c>
      <c r="AB9" s="8">
        <v>1.3</v>
      </c>
    </row>
    <row r="10" s="2" customFormat="1" spans="1:28">
      <c r="A10" s="2">
        <v>1007</v>
      </c>
      <c r="B10" s="2">
        <v>1</v>
      </c>
      <c r="C10" s="3">
        <v>7</v>
      </c>
      <c r="D10" s="7" t="str">
        <f t="shared" si="0"/>
        <v>23:46</v>
      </c>
      <c r="E10" s="7" t="str">
        <f t="shared" si="1"/>
        <v>24:48</v>
      </c>
      <c r="F10" s="7" t="str">
        <f t="shared" si="2"/>
        <v>25:51</v>
      </c>
      <c r="G10" s="7" t="str">
        <f t="shared" si="3"/>
        <v>26:53</v>
      </c>
      <c r="H10" s="9">
        <f t="shared" si="5"/>
        <v>23</v>
      </c>
      <c r="I10" s="9">
        <f t="shared" si="6"/>
        <v>46</v>
      </c>
      <c r="J10" s="9">
        <f t="shared" si="7"/>
        <v>24</v>
      </c>
      <c r="K10" s="9">
        <f t="shared" si="8"/>
        <v>48</v>
      </c>
      <c r="L10" s="9">
        <f t="shared" si="9"/>
        <v>25</v>
      </c>
      <c r="M10" s="9">
        <f t="shared" si="10"/>
        <v>51</v>
      </c>
      <c r="N10" s="9">
        <f t="shared" si="11"/>
        <v>26</v>
      </c>
      <c r="O10" s="9">
        <f t="shared" si="12"/>
        <v>53</v>
      </c>
      <c r="Q10" s="8">
        <v>2.3</v>
      </c>
      <c r="R10" s="8">
        <v>4.6</v>
      </c>
      <c r="S10" s="8">
        <v>2.4</v>
      </c>
      <c r="T10" s="8">
        <v>4.8</v>
      </c>
      <c r="U10" s="8">
        <v>2.5</v>
      </c>
      <c r="V10" s="8">
        <v>5.1</v>
      </c>
      <c r="W10" s="8">
        <v>2.6</v>
      </c>
      <c r="X10" s="8">
        <v>5.3</v>
      </c>
      <c r="Y10" s="8">
        <v>2.3</v>
      </c>
      <c r="Z10" s="8">
        <v>2.4</v>
      </c>
      <c r="AA10" s="8">
        <v>2.5</v>
      </c>
      <c r="AB10" s="8">
        <v>2.6</v>
      </c>
    </row>
    <row r="11" s="2" customFormat="1" spans="1:28">
      <c r="A11" s="2">
        <v>1008</v>
      </c>
      <c r="B11" s="2">
        <v>1</v>
      </c>
      <c r="C11" s="3">
        <v>5</v>
      </c>
      <c r="D11" s="7" t="str">
        <f t="shared" si="0"/>
        <v>23:46</v>
      </c>
      <c r="E11" s="7" t="str">
        <f t="shared" si="1"/>
        <v>24:48</v>
      </c>
      <c r="F11" s="7" t="str">
        <f t="shared" si="2"/>
        <v>25:51</v>
      </c>
      <c r="G11" s="7" t="str">
        <f t="shared" si="3"/>
        <v>26:53</v>
      </c>
      <c r="H11" s="9">
        <f t="shared" si="5"/>
        <v>23</v>
      </c>
      <c r="I11" s="9">
        <f t="shared" si="6"/>
        <v>46</v>
      </c>
      <c r="J11" s="9">
        <f t="shared" si="7"/>
        <v>24</v>
      </c>
      <c r="K11" s="9">
        <f t="shared" si="8"/>
        <v>48</v>
      </c>
      <c r="L11" s="9">
        <f t="shared" si="9"/>
        <v>25</v>
      </c>
      <c r="M11" s="9">
        <f t="shared" si="10"/>
        <v>51</v>
      </c>
      <c r="N11" s="9">
        <f t="shared" si="11"/>
        <v>26</v>
      </c>
      <c r="O11" s="9">
        <f t="shared" si="12"/>
        <v>53</v>
      </c>
      <c r="Q11" s="8">
        <v>2.3</v>
      </c>
      <c r="R11" s="8">
        <v>4.6</v>
      </c>
      <c r="S11" s="8">
        <v>2.4</v>
      </c>
      <c r="T11" s="8">
        <v>4.8</v>
      </c>
      <c r="U11" s="8">
        <v>2.5</v>
      </c>
      <c r="V11" s="8">
        <v>5.1</v>
      </c>
      <c r="W11" s="8">
        <v>2.6</v>
      </c>
      <c r="X11" s="8">
        <v>5.3</v>
      </c>
      <c r="Y11" s="8">
        <v>2.3</v>
      </c>
      <c r="Z11" s="8">
        <v>2.4</v>
      </c>
      <c r="AA11" s="8">
        <v>2.5</v>
      </c>
      <c r="AB11" s="8">
        <v>2.6</v>
      </c>
    </row>
    <row r="12" s="2" customFormat="1" spans="1:28">
      <c r="A12" s="2">
        <v>1009</v>
      </c>
      <c r="B12" s="2">
        <v>1</v>
      </c>
      <c r="C12" s="3">
        <v>12</v>
      </c>
      <c r="D12" s="7" t="str">
        <f t="shared" si="0"/>
        <v>5:9</v>
      </c>
      <c r="E12" s="7" t="str">
        <f t="shared" si="1"/>
        <v>5:10</v>
      </c>
      <c r="F12" s="7" t="str">
        <f t="shared" si="2"/>
        <v>5:10</v>
      </c>
      <c r="G12" s="7" t="str">
        <f t="shared" si="3"/>
        <v>5:11</v>
      </c>
      <c r="H12" s="9">
        <f t="shared" si="5"/>
        <v>5</v>
      </c>
      <c r="I12" s="9">
        <f t="shared" si="6"/>
        <v>9</v>
      </c>
      <c r="J12" s="9">
        <f t="shared" si="7"/>
        <v>5</v>
      </c>
      <c r="K12" s="9">
        <f t="shared" si="8"/>
        <v>10</v>
      </c>
      <c r="L12" s="9">
        <f t="shared" si="9"/>
        <v>5</v>
      </c>
      <c r="M12" s="9">
        <f t="shared" si="10"/>
        <v>10</v>
      </c>
      <c r="N12" s="9">
        <f t="shared" si="11"/>
        <v>5</v>
      </c>
      <c r="O12" s="9">
        <f t="shared" si="12"/>
        <v>11</v>
      </c>
      <c r="Q12" s="8">
        <v>0.5</v>
      </c>
      <c r="R12" s="8">
        <v>0.9</v>
      </c>
      <c r="S12" s="8">
        <v>0.5</v>
      </c>
      <c r="T12" s="8">
        <v>1</v>
      </c>
      <c r="U12" s="8">
        <v>0.5</v>
      </c>
      <c r="V12" s="8">
        <v>1</v>
      </c>
      <c r="W12" s="8">
        <v>0.5</v>
      </c>
      <c r="X12" s="8">
        <v>1.1</v>
      </c>
      <c r="Y12" s="8">
        <f>Y11/5</f>
        <v>0.46</v>
      </c>
      <c r="Z12" s="8">
        <f>Z11/5</f>
        <v>0.48</v>
      </c>
      <c r="AA12" s="8">
        <f>AA11/5</f>
        <v>0.5</v>
      </c>
      <c r="AB12" s="8">
        <f>AB11/5</f>
        <v>0.52</v>
      </c>
    </row>
    <row r="13" s="2" customFormat="1" spans="1:28">
      <c r="A13" s="2">
        <v>1010</v>
      </c>
      <c r="B13" s="2">
        <v>1</v>
      </c>
      <c r="C13" s="3">
        <v>13</v>
      </c>
      <c r="D13" s="7" t="str">
        <f t="shared" si="0"/>
        <v>23:46</v>
      </c>
      <c r="E13" s="7" t="str">
        <f t="shared" si="1"/>
        <v>24:48</v>
      </c>
      <c r="F13" s="7" t="str">
        <f t="shared" si="2"/>
        <v>25:51</v>
      </c>
      <c r="G13" s="7" t="str">
        <f t="shared" si="3"/>
        <v>26:53</v>
      </c>
      <c r="H13" s="9">
        <f t="shared" si="5"/>
        <v>23</v>
      </c>
      <c r="I13" s="9">
        <f t="shared" si="6"/>
        <v>46</v>
      </c>
      <c r="J13" s="9">
        <f t="shared" si="7"/>
        <v>24</v>
      </c>
      <c r="K13" s="9">
        <f t="shared" si="8"/>
        <v>48</v>
      </c>
      <c r="L13" s="9">
        <f t="shared" si="9"/>
        <v>25</v>
      </c>
      <c r="M13" s="9">
        <f t="shared" si="10"/>
        <v>51</v>
      </c>
      <c r="N13" s="9">
        <f t="shared" si="11"/>
        <v>26</v>
      </c>
      <c r="O13" s="9">
        <f t="shared" si="12"/>
        <v>53</v>
      </c>
      <c r="Q13" s="8">
        <v>2.3</v>
      </c>
      <c r="R13" s="8">
        <v>4.6</v>
      </c>
      <c r="S13" s="8">
        <v>2.4</v>
      </c>
      <c r="T13" s="8">
        <v>4.8</v>
      </c>
      <c r="U13" s="8">
        <v>2.5</v>
      </c>
      <c r="V13" s="8">
        <v>5.1</v>
      </c>
      <c r="W13" s="8">
        <v>2.6</v>
      </c>
      <c r="X13" s="8">
        <v>5.3</v>
      </c>
      <c r="Y13" s="8">
        <f>Y11</f>
        <v>2.3</v>
      </c>
      <c r="Z13" s="8">
        <f>Z11</f>
        <v>2.4</v>
      </c>
      <c r="AA13" s="8">
        <f>AA11</f>
        <v>2.5</v>
      </c>
      <c r="AB13" s="8">
        <f>AB11</f>
        <v>2.6</v>
      </c>
    </row>
    <row r="14" s="2" customFormat="1" spans="1:24">
      <c r="A14" s="2">
        <v>1001</v>
      </c>
      <c r="B14" s="2">
        <v>5</v>
      </c>
      <c r="C14" s="3">
        <v>1</v>
      </c>
      <c r="D14" s="7" t="str">
        <f t="shared" si="0"/>
        <v>686:1372</v>
      </c>
      <c r="E14" s="7" t="str">
        <f t="shared" si="1"/>
        <v>721:1441</v>
      </c>
      <c r="F14" s="7" t="str">
        <f t="shared" si="2"/>
        <v>755:1509</v>
      </c>
      <c r="G14" s="7" t="str">
        <f t="shared" si="3"/>
        <v>789:1578</v>
      </c>
      <c r="H14" s="9">
        <f t="shared" ref="H14:H45" si="13">Q14*10</f>
        <v>686</v>
      </c>
      <c r="I14" s="9">
        <f t="shared" si="6"/>
        <v>1372</v>
      </c>
      <c r="J14" s="9">
        <f t="shared" si="7"/>
        <v>721</v>
      </c>
      <c r="K14" s="9">
        <f t="shared" si="8"/>
        <v>1441</v>
      </c>
      <c r="L14" s="9">
        <f t="shared" si="9"/>
        <v>755</v>
      </c>
      <c r="M14" s="9">
        <f t="shared" si="10"/>
        <v>1509</v>
      </c>
      <c r="N14" s="9">
        <f t="shared" si="11"/>
        <v>789</v>
      </c>
      <c r="O14" s="9">
        <f t="shared" si="12"/>
        <v>1578</v>
      </c>
      <c r="Q14" s="8">
        <v>68.6</v>
      </c>
      <c r="R14" s="8">
        <v>137.2</v>
      </c>
      <c r="S14" s="8">
        <v>72.1</v>
      </c>
      <c r="T14" s="8">
        <v>144.1</v>
      </c>
      <c r="U14" s="8">
        <v>75.5</v>
      </c>
      <c r="V14" s="8">
        <v>150.9</v>
      </c>
      <c r="W14" s="8">
        <v>78.9</v>
      </c>
      <c r="X14" s="8">
        <v>157.8</v>
      </c>
    </row>
    <row r="15" s="2" customFormat="1" spans="1:24">
      <c r="A15" s="2">
        <v>1002</v>
      </c>
      <c r="B15" s="2">
        <v>5</v>
      </c>
      <c r="C15" s="3">
        <v>2</v>
      </c>
      <c r="D15" s="7" t="str">
        <f t="shared" si="0"/>
        <v>87:173</v>
      </c>
      <c r="E15" s="7" t="str">
        <f t="shared" si="1"/>
        <v>91:182</v>
      </c>
      <c r="F15" s="7" t="str">
        <f t="shared" si="2"/>
        <v>95:190</v>
      </c>
      <c r="G15" s="7" t="str">
        <f t="shared" si="3"/>
        <v>99:199</v>
      </c>
      <c r="H15" s="9">
        <f t="shared" si="13"/>
        <v>87</v>
      </c>
      <c r="I15" s="9">
        <f t="shared" si="6"/>
        <v>173</v>
      </c>
      <c r="J15" s="9">
        <f t="shared" si="7"/>
        <v>91</v>
      </c>
      <c r="K15" s="9">
        <f t="shared" si="8"/>
        <v>182</v>
      </c>
      <c r="L15" s="9">
        <f t="shared" si="9"/>
        <v>95</v>
      </c>
      <c r="M15" s="9">
        <f t="shared" si="10"/>
        <v>190</v>
      </c>
      <c r="N15" s="9">
        <f t="shared" si="11"/>
        <v>99</v>
      </c>
      <c r="O15" s="9">
        <f t="shared" si="12"/>
        <v>199</v>
      </c>
      <c r="Q15" s="8">
        <v>8.7</v>
      </c>
      <c r="R15" s="8">
        <v>17.3</v>
      </c>
      <c r="S15" s="8">
        <v>9.1</v>
      </c>
      <c r="T15" s="8">
        <v>18.2</v>
      </c>
      <c r="U15" s="8">
        <v>9.5</v>
      </c>
      <c r="V15" s="8">
        <v>19</v>
      </c>
      <c r="W15" s="8">
        <v>9.9</v>
      </c>
      <c r="X15" s="8">
        <v>19.9</v>
      </c>
    </row>
    <row r="16" s="2" customFormat="1" spans="1:24">
      <c r="A16" s="2">
        <v>1003</v>
      </c>
      <c r="B16" s="2">
        <v>5</v>
      </c>
      <c r="C16" s="3">
        <v>4</v>
      </c>
      <c r="D16" s="7" t="str">
        <f t="shared" si="0"/>
        <v>55:109</v>
      </c>
      <c r="E16" s="7" t="str">
        <f t="shared" si="1"/>
        <v>57:115</v>
      </c>
      <c r="F16" s="7" t="str">
        <f t="shared" si="2"/>
        <v>60:120</v>
      </c>
      <c r="G16" s="7" t="str">
        <f t="shared" si="3"/>
        <v>63:125</v>
      </c>
      <c r="H16" s="9">
        <f t="shared" si="13"/>
        <v>55</v>
      </c>
      <c r="I16" s="9">
        <f t="shared" si="6"/>
        <v>109</v>
      </c>
      <c r="J16" s="9">
        <f t="shared" si="7"/>
        <v>57</v>
      </c>
      <c r="K16" s="9">
        <f t="shared" si="8"/>
        <v>115</v>
      </c>
      <c r="L16" s="9">
        <f t="shared" si="9"/>
        <v>60</v>
      </c>
      <c r="M16" s="9">
        <f t="shared" si="10"/>
        <v>120</v>
      </c>
      <c r="N16" s="9">
        <f t="shared" si="11"/>
        <v>63</v>
      </c>
      <c r="O16" s="9">
        <f t="shared" si="12"/>
        <v>125</v>
      </c>
      <c r="Q16" s="8">
        <v>5.5</v>
      </c>
      <c r="R16" s="8">
        <v>10.9</v>
      </c>
      <c r="S16" s="8">
        <v>5.7</v>
      </c>
      <c r="T16" s="8">
        <v>11.5</v>
      </c>
      <c r="U16" s="8">
        <v>6</v>
      </c>
      <c r="V16" s="8">
        <v>12</v>
      </c>
      <c r="W16" s="8">
        <v>6.3</v>
      </c>
      <c r="X16" s="8">
        <v>12.5</v>
      </c>
    </row>
    <row r="17" s="2" customFormat="1" spans="1:24">
      <c r="A17" s="2">
        <v>1004</v>
      </c>
      <c r="B17" s="2">
        <v>5</v>
      </c>
      <c r="C17" s="3">
        <v>3</v>
      </c>
      <c r="D17" s="7" t="str">
        <f t="shared" si="0"/>
        <v>87:173</v>
      </c>
      <c r="E17" s="7" t="str">
        <f t="shared" si="1"/>
        <v>91:182</v>
      </c>
      <c r="F17" s="7" t="str">
        <f t="shared" si="2"/>
        <v>95:190</v>
      </c>
      <c r="G17" s="7" t="str">
        <f t="shared" si="3"/>
        <v>99:199</v>
      </c>
      <c r="H17" s="9">
        <f t="shared" si="13"/>
        <v>87</v>
      </c>
      <c r="I17" s="9">
        <f t="shared" si="6"/>
        <v>173</v>
      </c>
      <c r="J17" s="9">
        <f t="shared" si="7"/>
        <v>91</v>
      </c>
      <c r="K17" s="9">
        <f t="shared" si="8"/>
        <v>182</v>
      </c>
      <c r="L17" s="9">
        <f t="shared" si="9"/>
        <v>95</v>
      </c>
      <c r="M17" s="9">
        <f t="shared" si="10"/>
        <v>190</v>
      </c>
      <c r="N17" s="9">
        <f t="shared" si="11"/>
        <v>99</v>
      </c>
      <c r="O17" s="9">
        <f t="shared" si="12"/>
        <v>199</v>
      </c>
      <c r="Q17" s="8">
        <v>8.7</v>
      </c>
      <c r="R17" s="8">
        <v>17.3</v>
      </c>
      <c r="S17" s="8">
        <v>9.1</v>
      </c>
      <c r="T17" s="8">
        <v>18.2</v>
      </c>
      <c r="U17" s="8">
        <v>9.5</v>
      </c>
      <c r="V17" s="8">
        <v>19</v>
      </c>
      <c r="W17" s="8">
        <v>9.9</v>
      </c>
      <c r="X17" s="8">
        <v>19.9</v>
      </c>
    </row>
    <row r="18" s="2" customFormat="1" spans="1:24">
      <c r="A18" s="2">
        <v>1005</v>
      </c>
      <c r="B18" s="2">
        <v>5</v>
      </c>
      <c r="C18" s="3">
        <v>27</v>
      </c>
      <c r="D18" s="7" t="str">
        <f t="shared" si="0"/>
        <v>55:109</v>
      </c>
      <c r="E18" s="7" t="str">
        <f t="shared" si="1"/>
        <v>57:115</v>
      </c>
      <c r="F18" s="7" t="str">
        <f t="shared" si="2"/>
        <v>60:120</v>
      </c>
      <c r="G18" s="7" t="str">
        <f t="shared" si="3"/>
        <v>63:125</v>
      </c>
      <c r="H18" s="9">
        <f t="shared" si="13"/>
        <v>55</v>
      </c>
      <c r="I18" s="9">
        <f t="shared" si="6"/>
        <v>109</v>
      </c>
      <c r="J18" s="9">
        <f t="shared" si="7"/>
        <v>57</v>
      </c>
      <c r="K18" s="9">
        <f t="shared" si="8"/>
        <v>115</v>
      </c>
      <c r="L18" s="9">
        <f t="shared" si="9"/>
        <v>60</v>
      </c>
      <c r="M18" s="9">
        <f t="shared" si="10"/>
        <v>120</v>
      </c>
      <c r="N18" s="9">
        <f t="shared" si="11"/>
        <v>63</v>
      </c>
      <c r="O18" s="9">
        <f t="shared" si="12"/>
        <v>125</v>
      </c>
      <c r="Q18" s="8">
        <v>5.5</v>
      </c>
      <c r="R18" s="8">
        <v>10.9</v>
      </c>
      <c r="S18" s="8">
        <v>5.7</v>
      </c>
      <c r="T18" s="8">
        <v>11.5</v>
      </c>
      <c r="U18" s="8">
        <v>6</v>
      </c>
      <c r="V18" s="8">
        <v>12</v>
      </c>
      <c r="W18" s="8">
        <v>6.3</v>
      </c>
      <c r="X18" s="8">
        <v>12.5</v>
      </c>
    </row>
    <row r="19" s="2" customFormat="1" spans="1:24">
      <c r="A19" s="2">
        <v>1006</v>
      </c>
      <c r="B19" s="2">
        <v>5</v>
      </c>
      <c r="C19" s="3">
        <v>28</v>
      </c>
      <c r="D19" s="7" t="str">
        <f t="shared" si="0"/>
        <v>17:32</v>
      </c>
      <c r="E19" s="7" t="str">
        <f t="shared" si="1"/>
        <v>17:34</v>
      </c>
      <c r="F19" s="7" t="str">
        <f t="shared" si="2"/>
        <v>18:35</v>
      </c>
      <c r="G19" s="7" t="str">
        <f t="shared" si="3"/>
        <v>18:37</v>
      </c>
      <c r="H19" s="9">
        <f t="shared" si="13"/>
        <v>17</v>
      </c>
      <c r="I19" s="9">
        <f t="shared" si="6"/>
        <v>32</v>
      </c>
      <c r="J19" s="9">
        <f t="shared" si="7"/>
        <v>17</v>
      </c>
      <c r="K19" s="9">
        <f t="shared" si="8"/>
        <v>34</v>
      </c>
      <c r="L19" s="9">
        <f t="shared" si="9"/>
        <v>18</v>
      </c>
      <c r="M19" s="9">
        <f t="shared" si="10"/>
        <v>35</v>
      </c>
      <c r="N19" s="9">
        <f t="shared" si="11"/>
        <v>18</v>
      </c>
      <c r="O19" s="9">
        <f t="shared" si="12"/>
        <v>37</v>
      </c>
      <c r="Q19" s="8">
        <v>1.7</v>
      </c>
      <c r="R19" s="8">
        <v>3.2</v>
      </c>
      <c r="S19" s="8">
        <v>1.7</v>
      </c>
      <c r="T19" s="8">
        <v>3.4</v>
      </c>
      <c r="U19" s="8">
        <v>1.8</v>
      </c>
      <c r="V19" s="8">
        <v>3.5</v>
      </c>
      <c r="W19" s="8">
        <v>1.8</v>
      </c>
      <c r="X19" s="8">
        <v>3.7</v>
      </c>
    </row>
    <row r="20" s="2" customFormat="1" spans="1:24">
      <c r="A20" s="2">
        <v>1007</v>
      </c>
      <c r="B20" s="2">
        <v>5</v>
      </c>
      <c r="C20" s="3">
        <v>7</v>
      </c>
      <c r="D20" s="7" t="str">
        <f t="shared" si="0"/>
        <v>32:64</v>
      </c>
      <c r="E20" s="7" t="str">
        <f t="shared" si="1"/>
        <v>34:67</v>
      </c>
      <c r="F20" s="7" t="str">
        <f t="shared" si="2"/>
        <v>35:71</v>
      </c>
      <c r="G20" s="7" t="str">
        <f t="shared" si="3"/>
        <v>37:74</v>
      </c>
      <c r="H20" s="9">
        <f t="shared" si="13"/>
        <v>32</v>
      </c>
      <c r="I20" s="9">
        <f t="shared" si="6"/>
        <v>64</v>
      </c>
      <c r="J20" s="9">
        <f t="shared" si="7"/>
        <v>34</v>
      </c>
      <c r="K20" s="9">
        <f t="shared" si="8"/>
        <v>67</v>
      </c>
      <c r="L20" s="9">
        <f t="shared" si="9"/>
        <v>35</v>
      </c>
      <c r="M20" s="9">
        <f t="shared" si="10"/>
        <v>71</v>
      </c>
      <c r="N20" s="9">
        <f t="shared" si="11"/>
        <v>37</v>
      </c>
      <c r="O20" s="9">
        <f t="shared" si="12"/>
        <v>74</v>
      </c>
      <c r="Q20" s="8">
        <v>3.2</v>
      </c>
      <c r="R20" s="8">
        <v>6.4</v>
      </c>
      <c r="S20" s="8">
        <v>3.4</v>
      </c>
      <c r="T20" s="8">
        <v>6.7</v>
      </c>
      <c r="U20" s="8">
        <v>3.5</v>
      </c>
      <c r="V20" s="8">
        <v>7.1</v>
      </c>
      <c r="W20" s="8">
        <v>3.7</v>
      </c>
      <c r="X20" s="8">
        <v>7.4</v>
      </c>
    </row>
    <row r="21" s="2" customFormat="1" spans="1:24">
      <c r="A21" s="2">
        <v>1008</v>
      </c>
      <c r="B21" s="2">
        <v>5</v>
      </c>
      <c r="C21" s="3">
        <v>5</v>
      </c>
      <c r="D21" s="7" t="str">
        <f t="shared" si="0"/>
        <v>32:64</v>
      </c>
      <c r="E21" s="7" t="str">
        <f t="shared" si="1"/>
        <v>34:67</v>
      </c>
      <c r="F21" s="7" t="str">
        <f t="shared" si="2"/>
        <v>35:71</v>
      </c>
      <c r="G21" s="7" t="str">
        <f t="shared" si="3"/>
        <v>37:74</v>
      </c>
      <c r="H21" s="9">
        <f t="shared" si="13"/>
        <v>32</v>
      </c>
      <c r="I21" s="9">
        <f t="shared" si="6"/>
        <v>64</v>
      </c>
      <c r="J21" s="9">
        <f t="shared" si="7"/>
        <v>34</v>
      </c>
      <c r="K21" s="9">
        <f t="shared" si="8"/>
        <v>67</v>
      </c>
      <c r="L21" s="9">
        <f t="shared" si="9"/>
        <v>35</v>
      </c>
      <c r="M21" s="9">
        <f t="shared" si="10"/>
        <v>71</v>
      </c>
      <c r="N21" s="9">
        <f t="shared" si="11"/>
        <v>37</v>
      </c>
      <c r="O21" s="9">
        <f t="shared" si="12"/>
        <v>74</v>
      </c>
      <c r="Q21" s="8">
        <v>3.2</v>
      </c>
      <c r="R21" s="8">
        <v>6.4</v>
      </c>
      <c r="S21" s="8">
        <v>3.4</v>
      </c>
      <c r="T21" s="8">
        <v>6.7</v>
      </c>
      <c r="U21" s="8">
        <v>3.5</v>
      </c>
      <c r="V21" s="8">
        <v>7.1</v>
      </c>
      <c r="W21" s="8">
        <v>3.7</v>
      </c>
      <c r="X21" s="8">
        <v>7.4</v>
      </c>
    </row>
    <row r="22" s="2" customFormat="1" spans="1:24">
      <c r="A22" s="2">
        <v>1009</v>
      </c>
      <c r="B22" s="2">
        <v>5</v>
      </c>
      <c r="C22" s="3">
        <v>12</v>
      </c>
      <c r="D22" s="7" t="str">
        <f t="shared" si="0"/>
        <v>6:13</v>
      </c>
      <c r="E22" s="7" t="str">
        <f t="shared" si="1"/>
        <v>7:13</v>
      </c>
      <c r="F22" s="7" t="str">
        <f t="shared" si="2"/>
        <v>7:14</v>
      </c>
      <c r="G22" s="7" t="str">
        <f t="shared" si="3"/>
        <v>7:15</v>
      </c>
      <c r="H22" s="9">
        <f t="shared" si="13"/>
        <v>6</v>
      </c>
      <c r="I22" s="9">
        <f t="shared" si="6"/>
        <v>13</v>
      </c>
      <c r="J22" s="9">
        <f t="shared" si="7"/>
        <v>7</v>
      </c>
      <c r="K22" s="9">
        <f t="shared" si="8"/>
        <v>13</v>
      </c>
      <c r="L22" s="9">
        <f t="shared" si="9"/>
        <v>7</v>
      </c>
      <c r="M22" s="9">
        <f t="shared" si="10"/>
        <v>14</v>
      </c>
      <c r="N22" s="9">
        <f t="shared" si="11"/>
        <v>7</v>
      </c>
      <c r="O22" s="9">
        <f t="shared" si="12"/>
        <v>15</v>
      </c>
      <c r="Q22" s="8">
        <v>0.6</v>
      </c>
      <c r="R22" s="8">
        <v>1.3</v>
      </c>
      <c r="S22" s="8">
        <v>0.7</v>
      </c>
      <c r="T22" s="8">
        <v>1.3</v>
      </c>
      <c r="U22" s="8">
        <v>0.7</v>
      </c>
      <c r="V22" s="8">
        <v>1.4</v>
      </c>
      <c r="W22" s="8">
        <v>0.7</v>
      </c>
      <c r="X22" s="8">
        <v>1.5</v>
      </c>
    </row>
    <row r="23" s="2" customFormat="1" spans="1:24">
      <c r="A23" s="2">
        <v>1010</v>
      </c>
      <c r="B23" s="2">
        <v>5</v>
      </c>
      <c r="C23" s="3">
        <v>13</v>
      </c>
      <c r="D23" s="7" t="str">
        <f t="shared" si="0"/>
        <v>32:64</v>
      </c>
      <c r="E23" s="7" t="str">
        <f t="shared" si="1"/>
        <v>34:67</v>
      </c>
      <c r="F23" s="7" t="str">
        <f t="shared" si="2"/>
        <v>35:71</v>
      </c>
      <c r="G23" s="7" t="str">
        <f t="shared" si="3"/>
        <v>37:74</v>
      </c>
      <c r="H23" s="9">
        <f t="shared" si="13"/>
        <v>32</v>
      </c>
      <c r="I23" s="9">
        <f t="shared" si="6"/>
        <v>64</v>
      </c>
      <c r="J23" s="9">
        <f t="shared" si="7"/>
        <v>34</v>
      </c>
      <c r="K23" s="9">
        <f t="shared" si="8"/>
        <v>67</v>
      </c>
      <c r="L23" s="9">
        <f t="shared" si="9"/>
        <v>35</v>
      </c>
      <c r="M23" s="9">
        <f t="shared" si="10"/>
        <v>71</v>
      </c>
      <c r="N23" s="9">
        <f t="shared" si="11"/>
        <v>37</v>
      </c>
      <c r="O23" s="9">
        <f t="shared" si="12"/>
        <v>74</v>
      </c>
      <c r="Q23" s="8">
        <v>3.2</v>
      </c>
      <c r="R23" s="8">
        <v>6.4</v>
      </c>
      <c r="S23" s="8">
        <v>3.4</v>
      </c>
      <c r="T23" s="8">
        <v>6.7</v>
      </c>
      <c r="U23" s="8">
        <v>3.5</v>
      </c>
      <c r="V23" s="8">
        <v>7.1</v>
      </c>
      <c r="W23" s="8">
        <v>3.7</v>
      </c>
      <c r="X23" s="8">
        <v>7.4</v>
      </c>
    </row>
    <row r="24" s="2" customFormat="1" spans="1:24">
      <c r="A24" s="2">
        <v>1001</v>
      </c>
      <c r="B24" s="2">
        <v>10</v>
      </c>
      <c r="C24" s="3">
        <v>1</v>
      </c>
      <c r="D24" s="7" t="str">
        <f t="shared" si="0"/>
        <v>931:1862</v>
      </c>
      <c r="E24" s="7" t="str">
        <f t="shared" si="1"/>
        <v>978:1955</v>
      </c>
      <c r="F24" s="7" t="str">
        <f t="shared" si="2"/>
        <v>1024:2048</v>
      </c>
      <c r="G24" s="7" t="str">
        <f t="shared" si="3"/>
        <v>1071:2142</v>
      </c>
      <c r="H24" s="9">
        <f t="shared" si="13"/>
        <v>931</v>
      </c>
      <c r="I24" s="9">
        <f t="shared" si="6"/>
        <v>1862</v>
      </c>
      <c r="J24" s="9">
        <f t="shared" si="7"/>
        <v>978</v>
      </c>
      <c r="K24" s="9">
        <f t="shared" si="8"/>
        <v>1955</v>
      </c>
      <c r="L24" s="9">
        <f t="shared" si="9"/>
        <v>1024</v>
      </c>
      <c r="M24" s="9">
        <f t="shared" si="10"/>
        <v>2048</v>
      </c>
      <c r="N24" s="9">
        <f t="shared" si="11"/>
        <v>1071</v>
      </c>
      <c r="O24" s="9">
        <f t="shared" si="12"/>
        <v>2142</v>
      </c>
      <c r="Q24" s="8">
        <v>93.1</v>
      </c>
      <c r="R24" s="8">
        <v>186.2</v>
      </c>
      <c r="S24" s="8">
        <v>97.8</v>
      </c>
      <c r="T24" s="8">
        <v>195.5</v>
      </c>
      <c r="U24" s="8">
        <v>102.4</v>
      </c>
      <c r="V24" s="8">
        <v>204.8</v>
      </c>
      <c r="W24" s="8">
        <v>107.1</v>
      </c>
      <c r="X24" s="8">
        <v>214.2</v>
      </c>
    </row>
    <row r="25" s="2" customFormat="1" spans="1:24">
      <c r="A25" s="2">
        <v>1002</v>
      </c>
      <c r="B25" s="2">
        <v>10</v>
      </c>
      <c r="C25" s="3">
        <v>2</v>
      </c>
      <c r="D25" s="7" t="str">
        <f t="shared" si="0"/>
        <v>118:235</v>
      </c>
      <c r="E25" s="7" t="str">
        <f t="shared" si="1"/>
        <v>123:247</v>
      </c>
      <c r="F25" s="7" t="str">
        <f t="shared" si="2"/>
        <v>129:259</v>
      </c>
      <c r="G25" s="7" t="str">
        <f t="shared" si="3"/>
        <v>135:270</v>
      </c>
      <c r="H25" s="9">
        <f t="shared" si="13"/>
        <v>118</v>
      </c>
      <c r="I25" s="9">
        <f t="shared" si="6"/>
        <v>235</v>
      </c>
      <c r="J25" s="9">
        <f t="shared" si="7"/>
        <v>123</v>
      </c>
      <c r="K25" s="9">
        <f t="shared" si="8"/>
        <v>247</v>
      </c>
      <c r="L25" s="9">
        <f t="shared" si="9"/>
        <v>129</v>
      </c>
      <c r="M25" s="9">
        <f t="shared" si="10"/>
        <v>259</v>
      </c>
      <c r="N25" s="9">
        <f t="shared" si="11"/>
        <v>135</v>
      </c>
      <c r="O25" s="9">
        <f t="shared" si="12"/>
        <v>270</v>
      </c>
      <c r="Q25" s="8">
        <v>11.8</v>
      </c>
      <c r="R25" s="8">
        <v>23.5</v>
      </c>
      <c r="S25" s="8">
        <v>12.3</v>
      </c>
      <c r="T25" s="8">
        <v>24.7</v>
      </c>
      <c r="U25" s="8">
        <v>12.9</v>
      </c>
      <c r="V25" s="8">
        <v>25.9</v>
      </c>
      <c r="W25" s="8">
        <v>13.5</v>
      </c>
      <c r="X25" s="8">
        <v>27</v>
      </c>
    </row>
    <row r="26" s="2" customFormat="1" spans="1:24">
      <c r="A26" s="2">
        <v>1003</v>
      </c>
      <c r="B26" s="2">
        <v>10</v>
      </c>
      <c r="C26" s="3">
        <v>4</v>
      </c>
      <c r="D26" s="7" t="str">
        <f t="shared" si="0"/>
        <v>74:148</v>
      </c>
      <c r="E26" s="7" t="str">
        <f t="shared" si="1"/>
        <v>78:155</v>
      </c>
      <c r="F26" s="7" t="str">
        <f t="shared" si="2"/>
        <v>81:163</v>
      </c>
      <c r="G26" s="7" t="str">
        <f t="shared" si="3"/>
        <v>85:169</v>
      </c>
      <c r="H26" s="9">
        <f t="shared" si="13"/>
        <v>74</v>
      </c>
      <c r="I26" s="9">
        <f t="shared" si="6"/>
        <v>148</v>
      </c>
      <c r="J26" s="9">
        <f t="shared" si="7"/>
        <v>78</v>
      </c>
      <c r="K26" s="9">
        <f t="shared" si="8"/>
        <v>155</v>
      </c>
      <c r="L26" s="9">
        <f t="shared" si="9"/>
        <v>81</v>
      </c>
      <c r="M26" s="9">
        <f t="shared" si="10"/>
        <v>163</v>
      </c>
      <c r="N26" s="9">
        <f t="shared" si="11"/>
        <v>85</v>
      </c>
      <c r="O26" s="9">
        <f t="shared" si="12"/>
        <v>169</v>
      </c>
      <c r="Q26" s="8">
        <v>7.4</v>
      </c>
      <c r="R26" s="8">
        <v>14.8</v>
      </c>
      <c r="S26" s="8">
        <v>7.8</v>
      </c>
      <c r="T26" s="8">
        <v>15.5</v>
      </c>
      <c r="U26" s="8">
        <v>8.1</v>
      </c>
      <c r="V26" s="8">
        <v>16.3</v>
      </c>
      <c r="W26" s="8">
        <v>8.5</v>
      </c>
      <c r="X26" s="8">
        <v>16.9</v>
      </c>
    </row>
    <row r="27" s="2" customFormat="1" spans="1:24">
      <c r="A27" s="2">
        <v>1004</v>
      </c>
      <c r="B27" s="2">
        <v>10</v>
      </c>
      <c r="C27" s="3">
        <v>3</v>
      </c>
      <c r="D27" s="7" t="str">
        <f t="shared" si="0"/>
        <v>118:235</v>
      </c>
      <c r="E27" s="7" t="str">
        <f t="shared" si="1"/>
        <v>123:247</v>
      </c>
      <c r="F27" s="7" t="str">
        <f t="shared" si="2"/>
        <v>129:259</v>
      </c>
      <c r="G27" s="7" t="str">
        <f t="shared" si="3"/>
        <v>135:270</v>
      </c>
      <c r="H27" s="9">
        <f t="shared" si="13"/>
        <v>118</v>
      </c>
      <c r="I27" s="9">
        <f t="shared" si="6"/>
        <v>235</v>
      </c>
      <c r="J27" s="9">
        <f t="shared" si="7"/>
        <v>123</v>
      </c>
      <c r="K27" s="9">
        <f t="shared" si="8"/>
        <v>247</v>
      </c>
      <c r="L27" s="9">
        <f t="shared" si="9"/>
        <v>129</v>
      </c>
      <c r="M27" s="9">
        <f t="shared" si="10"/>
        <v>259</v>
      </c>
      <c r="N27" s="9">
        <f t="shared" si="11"/>
        <v>135</v>
      </c>
      <c r="O27" s="9">
        <f t="shared" si="12"/>
        <v>270</v>
      </c>
      <c r="Q27" s="8">
        <v>11.8</v>
      </c>
      <c r="R27" s="8">
        <v>23.5</v>
      </c>
      <c r="S27" s="8">
        <v>12.3</v>
      </c>
      <c r="T27" s="8">
        <v>24.7</v>
      </c>
      <c r="U27" s="8">
        <v>12.9</v>
      </c>
      <c r="V27" s="8">
        <v>25.9</v>
      </c>
      <c r="W27" s="8">
        <v>13.5</v>
      </c>
      <c r="X27" s="8">
        <v>27</v>
      </c>
    </row>
    <row r="28" s="2" customFormat="1" spans="1:24">
      <c r="A28" s="2">
        <v>1005</v>
      </c>
      <c r="B28" s="2">
        <v>10</v>
      </c>
      <c r="C28" s="3">
        <v>27</v>
      </c>
      <c r="D28" s="7" t="str">
        <f t="shared" si="0"/>
        <v>74:148</v>
      </c>
      <c r="E28" s="7" t="str">
        <f t="shared" si="1"/>
        <v>78:155</v>
      </c>
      <c r="F28" s="7" t="str">
        <f t="shared" si="2"/>
        <v>81:163</v>
      </c>
      <c r="G28" s="7" t="str">
        <f t="shared" si="3"/>
        <v>85:169</v>
      </c>
      <c r="H28" s="9">
        <f t="shared" si="13"/>
        <v>74</v>
      </c>
      <c r="I28" s="9">
        <f t="shared" si="6"/>
        <v>148</v>
      </c>
      <c r="J28" s="9">
        <f t="shared" si="7"/>
        <v>78</v>
      </c>
      <c r="K28" s="9">
        <f t="shared" si="8"/>
        <v>155</v>
      </c>
      <c r="L28" s="9">
        <f t="shared" si="9"/>
        <v>81</v>
      </c>
      <c r="M28" s="9">
        <f t="shared" si="10"/>
        <v>163</v>
      </c>
      <c r="N28" s="9">
        <f t="shared" si="11"/>
        <v>85</v>
      </c>
      <c r="O28" s="9">
        <f t="shared" si="12"/>
        <v>169</v>
      </c>
      <c r="Q28" s="8">
        <v>7.4</v>
      </c>
      <c r="R28" s="8">
        <v>14.8</v>
      </c>
      <c r="S28" s="8">
        <v>7.8</v>
      </c>
      <c r="T28" s="8">
        <v>15.5</v>
      </c>
      <c r="U28" s="8">
        <v>8.1</v>
      </c>
      <c r="V28" s="8">
        <v>16.3</v>
      </c>
      <c r="W28" s="8">
        <v>8.5</v>
      </c>
      <c r="X28" s="8">
        <v>16.9</v>
      </c>
    </row>
    <row r="29" s="2" customFormat="1" spans="1:24">
      <c r="A29" s="2">
        <v>1006</v>
      </c>
      <c r="B29" s="2">
        <v>10</v>
      </c>
      <c r="C29" s="3">
        <v>28</v>
      </c>
      <c r="D29" s="7" t="str">
        <f t="shared" si="0"/>
        <v>22:44</v>
      </c>
      <c r="E29" s="7" t="str">
        <f t="shared" si="1"/>
        <v>23:46</v>
      </c>
      <c r="F29" s="7" t="str">
        <f t="shared" si="2"/>
        <v>24:48</v>
      </c>
      <c r="G29" s="7" t="str">
        <f t="shared" si="3"/>
        <v>25:50</v>
      </c>
      <c r="H29" s="9">
        <f t="shared" si="13"/>
        <v>22</v>
      </c>
      <c r="I29" s="9">
        <f t="shared" si="6"/>
        <v>44</v>
      </c>
      <c r="J29" s="9">
        <f t="shared" si="7"/>
        <v>23</v>
      </c>
      <c r="K29" s="9">
        <f t="shared" si="8"/>
        <v>46</v>
      </c>
      <c r="L29" s="9">
        <f t="shared" si="9"/>
        <v>24</v>
      </c>
      <c r="M29" s="9">
        <f t="shared" si="10"/>
        <v>48</v>
      </c>
      <c r="N29" s="9">
        <f t="shared" si="11"/>
        <v>25</v>
      </c>
      <c r="O29" s="9">
        <f t="shared" si="12"/>
        <v>50</v>
      </c>
      <c r="Q29" s="8">
        <v>2.2</v>
      </c>
      <c r="R29" s="8">
        <v>4.4</v>
      </c>
      <c r="S29" s="8">
        <v>2.3</v>
      </c>
      <c r="T29" s="8">
        <v>4.6</v>
      </c>
      <c r="U29" s="8">
        <v>2.4</v>
      </c>
      <c r="V29" s="8">
        <v>4.8</v>
      </c>
      <c r="W29" s="8">
        <v>2.5</v>
      </c>
      <c r="X29" s="8">
        <v>5</v>
      </c>
    </row>
    <row r="30" s="2" customFormat="1" spans="1:24">
      <c r="A30" s="2">
        <v>1007</v>
      </c>
      <c r="B30" s="2">
        <v>10</v>
      </c>
      <c r="C30" s="3">
        <v>7</v>
      </c>
      <c r="D30" s="7" t="str">
        <f t="shared" si="0"/>
        <v>44:87</v>
      </c>
      <c r="E30" s="7" t="str">
        <f t="shared" si="1"/>
        <v>46:91</v>
      </c>
      <c r="F30" s="7" t="str">
        <f t="shared" si="2"/>
        <v>48:97</v>
      </c>
      <c r="G30" s="7" t="str">
        <f t="shared" si="3"/>
        <v>50:101</v>
      </c>
      <c r="H30" s="9">
        <f t="shared" si="13"/>
        <v>44</v>
      </c>
      <c r="I30" s="9">
        <f t="shared" si="6"/>
        <v>87</v>
      </c>
      <c r="J30" s="9">
        <f t="shared" si="7"/>
        <v>46</v>
      </c>
      <c r="K30" s="9">
        <f t="shared" si="8"/>
        <v>91</v>
      </c>
      <c r="L30" s="9">
        <f t="shared" si="9"/>
        <v>48</v>
      </c>
      <c r="M30" s="9">
        <f t="shared" si="10"/>
        <v>97</v>
      </c>
      <c r="N30" s="9">
        <f t="shared" si="11"/>
        <v>50</v>
      </c>
      <c r="O30" s="9">
        <f t="shared" si="12"/>
        <v>101</v>
      </c>
      <c r="Q30" s="8">
        <v>4.4</v>
      </c>
      <c r="R30" s="8">
        <v>8.7</v>
      </c>
      <c r="S30" s="8">
        <v>4.6</v>
      </c>
      <c r="T30" s="8">
        <v>9.1</v>
      </c>
      <c r="U30" s="8">
        <v>4.8</v>
      </c>
      <c r="V30" s="8">
        <v>9.7</v>
      </c>
      <c r="W30" s="8">
        <v>5</v>
      </c>
      <c r="X30" s="8">
        <v>10.1</v>
      </c>
    </row>
    <row r="31" s="2" customFormat="1" spans="1:24">
      <c r="A31" s="2">
        <v>1008</v>
      </c>
      <c r="B31" s="2">
        <v>10</v>
      </c>
      <c r="C31" s="3">
        <v>5</v>
      </c>
      <c r="D31" s="7" t="str">
        <f t="shared" si="0"/>
        <v>44:87</v>
      </c>
      <c r="E31" s="7" t="str">
        <f t="shared" si="1"/>
        <v>46:91</v>
      </c>
      <c r="F31" s="7" t="str">
        <f t="shared" si="2"/>
        <v>48:97</v>
      </c>
      <c r="G31" s="7" t="str">
        <f t="shared" si="3"/>
        <v>50:101</v>
      </c>
      <c r="H31" s="9">
        <f t="shared" si="13"/>
        <v>44</v>
      </c>
      <c r="I31" s="9">
        <f t="shared" si="6"/>
        <v>87</v>
      </c>
      <c r="J31" s="9">
        <f t="shared" si="7"/>
        <v>46</v>
      </c>
      <c r="K31" s="9">
        <f t="shared" si="8"/>
        <v>91</v>
      </c>
      <c r="L31" s="9">
        <f t="shared" si="9"/>
        <v>48</v>
      </c>
      <c r="M31" s="9">
        <f t="shared" si="10"/>
        <v>97</v>
      </c>
      <c r="N31" s="9">
        <f t="shared" si="11"/>
        <v>50</v>
      </c>
      <c r="O31" s="9">
        <f t="shared" si="12"/>
        <v>101</v>
      </c>
      <c r="Q31" s="8">
        <v>4.4</v>
      </c>
      <c r="R31" s="8">
        <v>8.7</v>
      </c>
      <c r="S31" s="8">
        <v>4.6</v>
      </c>
      <c r="T31" s="8">
        <v>9.1</v>
      </c>
      <c r="U31" s="8">
        <v>4.8</v>
      </c>
      <c r="V31" s="8">
        <v>9.7</v>
      </c>
      <c r="W31" s="8">
        <v>5</v>
      </c>
      <c r="X31" s="8">
        <v>10.1</v>
      </c>
    </row>
    <row r="32" s="2" customFormat="1" spans="1:24">
      <c r="A32" s="2">
        <v>1009</v>
      </c>
      <c r="B32" s="2">
        <v>10</v>
      </c>
      <c r="C32" s="3">
        <v>12</v>
      </c>
      <c r="D32" s="7" t="str">
        <f t="shared" si="0"/>
        <v>9:17</v>
      </c>
      <c r="E32" s="7" t="str">
        <f t="shared" si="1"/>
        <v>9:18</v>
      </c>
      <c r="F32" s="7" t="str">
        <f t="shared" si="2"/>
        <v>10:19</v>
      </c>
      <c r="G32" s="7" t="str">
        <f t="shared" si="3"/>
        <v>10:20</v>
      </c>
      <c r="H32" s="9">
        <f t="shared" si="13"/>
        <v>9</v>
      </c>
      <c r="I32" s="9">
        <f t="shared" si="6"/>
        <v>17</v>
      </c>
      <c r="J32" s="9">
        <f t="shared" si="7"/>
        <v>9</v>
      </c>
      <c r="K32" s="9">
        <f t="shared" si="8"/>
        <v>18</v>
      </c>
      <c r="L32" s="9">
        <f t="shared" si="9"/>
        <v>10</v>
      </c>
      <c r="M32" s="9">
        <f t="shared" si="10"/>
        <v>19</v>
      </c>
      <c r="N32" s="9">
        <f t="shared" si="11"/>
        <v>10</v>
      </c>
      <c r="O32" s="9">
        <f t="shared" si="12"/>
        <v>20</v>
      </c>
      <c r="Q32" s="8">
        <v>0.9</v>
      </c>
      <c r="R32" s="8">
        <v>1.7</v>
      </c>
      <c r="S32" s="8">
        <v>0.9</v>
      </c>
      <c r="T32" s="8">
        <v>1.8</v>
      </c>
      <c r="U32" s="8">
        <v>1</v>
      </c>
      <c r="V32" s="8">
        <v>1.9</v>
      </c>
      <c r="W32" s="8">
        <v>1</v>
      </c>
      <c r="X32" s="8">
        <v>2</v>
      </c>
    </row>
    <row r="33" s="2" customFormat="1" spans="1:24">
      <c r="A33" s="2">
        <v>1010</v>
      </c>
      <c r="B33" s="2">
        <v>10</v>
      </c>
      <c r="C33" s="3">
        <v>13</v>
      </c>
      <c r="D33" s="7" t="str">
        <f t="shared" si="0"/>
        <v>44:87</v>
      </c>
      <c r="E33" s="7" t="str">
        <f t="shared" si="1"/>
        <v>46:91</v>
      </c>
      <c r="F33" s="7" t="str">
        <f t="shared" si="2"/>
        <v>48:97</v>
      </c>
      <c r="G33" s="7" t="str">
        <f t="shared" si="3"/>
        <v>50:101</v>
      </c>
      <c r="H33" s="9">
        <f t="shared" si="13"/>
        <v>44</v>
      </c>
      <c r="I33" s="9">
        <f t="shared" si="6"/>
        <v>87</v>
      </c>
      <c r="J33" s="9">
        <f t="shared" si="7"/>
        <v>46</v>
      </c>
      <c r="K33" s="9">
        <f t="shared" si="8"/>
        <v>91</v>
      </c>
      <c r="L33" s="9">
        <f t="shared" si="9"/>
        <v>48</v>
      </c>
      <c r="M33" s="9">
        <f t="shared" si="10"/>
        <v>97</v>
      </c>
      <c r="N33" s="9">
        <f t="shared" si="11"/>
        <v>50</v>
      </c>
      <c r="O33" s="9">
        <f t="shared" si="12"/>
        <v>101</v>
      </c>
      <c r="Q33" s="8">
        <v>4.4</v>
      </c>
      <c r="R33" s="8">
        <v>8.7</v>
      </c>
      <c r="S33" s="8">
        <v>4.6</v>
      </c>
      <c r="T33" s="8">
        <v>9.1</v>
      </c>
      <c r="U33" s="8">
        <v>4.8</v>
      </c>
      <c r="V33" s="8">
        <v>9.7</v>
      </c>
      <c r="W33" s="8">
        <v>5</v>
      </c>
      <c r="X33" s="8">
        <v>10.1</v>
      </c>
    </row>
    <row r="34" s="2" customFormat="1" spans="1:24">
      <c r="A34" s="2">
        <v>1001</v>
      </c>
      <c r="B34" s="2">
        <v>15</v>
      </c>
      <c r="C34" s="3">
        <v>1</v>
      </c>
      <c r="D34" s="7" t="str">
        <f t="shared" si="0"/>
        <v>1176:2352</v>
      </c>
      <c r="E34" s="7" t="str">
        <f t="shared" si="1"/>
        <v>1235:2470</v>
      </c>
      <c r="F34" s="7" t="str">
        <f t="shared" si="2"/>
        <v>1294:2588</v>
      </c>
      <c r="G34" s="7" t="str">
        <f t="shared" si="3"/>
        <v>1353:2705</v>
      </c>
      <c r="H34" s="9">
        <f t="shared" si="13"/>
        <v>1176</v>
      </c>
      <c r="I34" s="9">
        <f t="shared" si="6"/>
        <v>2352</v>
      </c>
      <c r="J34" s="9">
        <f t="shared" si="7"/>
        <v>1235</v>
      </c>
      <c r="K34" s="9">
        <f t="shared" si="8"/>
        <v>2470</v>
      </c>
      <c r="L34" s="9">
        <f t="shared" si="9"/>
        <v>1294</v>
      </c>
      <c r="M34" s="9">
        <f t="shared" si="10"/>
        <v>2588</v>
      </c>
      <c r="N34" s="9">
        <f t="shared" si="11"/>
        <v>1353</v>
      </c>
      <c r="O34" s="9">
        <f t="shared" si="12"/>
        <v>2705</v>
      </c>
      <c r="Q34" s="8">
        <v>117.6</v>
      </c>
      <c r="R34" s="8">
        <v>235.2</v>
      </c>
      <c r="S34" s="8">
        <v>123.5</v>
      </c>
      <c r="T34" s="8">
        <v>247</v>
      </c>
      <c r="U34" s="8">
        <v>129.4</v>
      </c>
      <c r="V34" s="8">
        <v>258.8</v>
      </c>
      <c r="W34" s="8">
        <v>135.3</v>
      </c>
      <c r="X34" s="8">
        <v>270.5</v>
      </c>
    </row>
    <row r="35" s="2" customFormat="1" spans="1:24">
      <c r="A35" s="2">
        <v>1002</v>
      </c>
      <c r="B35" s="2">
        <v>15</v>
      </c>
      <c r="C35" s="3">
        <v>2</v>
      </c>
      <c r="D35" s="7" t="str">
        <f t="shared" si="0"/>
        <v>149:297</v>
      </c>
      <c r="E35" s="7" t="str">
        <f t="shared" si="1"/>
        <v>156:312</v>
      </c>
      <c r="F35" s="7" t="str">
        <f t="shared" si="2"/>
        <v>163:327</v>
      </c>
      <c r="G35" s="7" t="str">
        <f t="shared" si="3"/>
        <v>171:341</v>
      </c>
      <c r="H35" s="9">
        <f t="shared" si="13"/>
        <v>149</v>
      </c>
      <c r="I35" s="9">
        <f t="shared" si="6"/>
        <v>297</v>
      </c>
      <c r="J35" s="9">
        <f t="shared" si="7"/>
        <v>156</v>
      </c>
      <c r="K35" s="9">
        <f t="shared" si="8"/>
        <v>312</v>
      </c>
      <c r="L35" s="9">
        <f t="shared" si="9"/>
        <v>163</v>
      </c>
      <c r="M35" s="9">
        <f t="shared" si="10"/>
        <v>327</v>
      </c>
      <c r="N35" s="9">
        <f t="shared" si="11"/>
        <v>171</v>
      </c>
      <c r="O35" s="9">
        <f t="shared" si="12"/>
        <v>341</v>
      </c>
      <c r="Q35" s="8">
        <v>14.9</v>
      </c>
      <c r="R35" s="8">
        <v>29.7</v>
      </c>
      <c r="S35" s="8">
        <v>15.6</v>
      </c>
      <c r="T35" s="8">
        <v>31.2</v>
      </c>
      <c r="U35" s="8">
        <v>16.3</v>
      </c>
      <c r="V35" s="8">
        <v>32.7</v>
      </c>
      <c r="W35" s="8">
        <v>17.1</v>
      </c>
      <c r="X35" s="8">
        <v>34.1</v>
      </c>
    </row>
    <row r="36" s="2" customFormat="1" spans="1:24">
      <c r="A36" s="2">
        <v>1003</v>
      </c>
      <c r="B36" s="2">
        <v>15</v>
      </c>
      <c r="C36" s="3">
        <v>4</v>
      </c>
      <c r="D36" s="7" t="str">
        <f t="shared" si="0"/>
        <v>93:187</v>
      </c>
      <c r="E36" s="7" t="str">
        <f t="shared" si="1"/>
        <v>98:196</v>
      </c>
      <c r="F36" s="7" t="str">
        <f t="shared" si="2"/>
        <v>103:206</v>
      </c>
      <c r="G36" s="7" t="str">
        <f t="shared" si="3"/>
        <v>108:214</v>
      </c>
      <c r="H36" s="9">
        <f t="shared" si="13"/>
        <v>93</v>
      </c>
      <c r="I36" s="9">
        <f t="shared" si="6"/>
        <v>187</v>
      </c>
      <c r="J36" s="9">
        <f t="shared" si="7"/>
        <v>98</v>
      </c>
      <c r="K36" s="9">
        <f t="shared" si="8"/>
        <v>196</v>
      </c>
      <c r="L36" s="9">
        <f t="shared" si="9"/>
        <v>103</v>
      </c>
      <c r="M36" s="9">
        <f t="shared" si="10"/>
        <v>206</v>
      </c>
      <c r="N36" s="9">
        <f t="shared" si="11"/>
        <v>108</v>
      </c>
      <c r="O36" s="9">
        <f t="shared" si="12"/>
        <v>214</v>
      </c>
      <c r="Q36" s="8">
        <v>9.3</v>
      </c>
      <c r="R36" s="8">
        <v>18.7</v>
      </c>
      <c r="S36" s="8">
        <v>9.8</v>
      </c>
      <c r="T36" s="8">
        <v>19.6</v>
      </c>
      <c r="U36" s="8">
        <v>10.3</v>
      </c>
      <c r="V36" s="8">
        <v>20.6</v>
      </c>
      <c r="W36" s="8">
        <v>10.8</v>
      </c>
      <c r="X36" s="8">
        <v>21.4</v>
      </c>
    </row>
    <row r="37" s="2" customFormat="1" spans="1:24">
      <c r="A37" s="2">
        <v>1004</v>
      </c>
      <c r="B37" s="2">
        <v>15</v>
      </c>
      <c r="C37" s="3">
        <v>3</v>
      </c>
      <c r="D37" s="7" t="str">
        <f t="shared" si="0"/>
        <v>149:297</v>
      </c>
      <c r="E37" s="7" t="str">
        <f t="shared" si="1"/>
        <v>156:312</v>
      </c>
      <c r="F37" s="7" t="str">
        <f t="shared" si="2"/>
        <v>163:327</v>
      </c>
      <c r="G37" s="7" t="str">
        <f t="shared" si="3"/>
        <v>171:341</v>
      </c>
      <c r="H37" s="9">
        <f t="shared" si="13"/>
        <v>149</v>
      </c>
      <c r="I37" s="9">
        <f t="shared" ref="I37:I68" si="14">R37*10</f>
        <v>297</v>
      </c>
      <c r="J37" s="9">
        <f t="shared" ref="J37:J68" si="15">S37*10</f>
        <v>156</v>
      </c>
      <c r="K37" s="9">
        <f t="shared" ref="K37:K68" si="16">T37*10</f>
        <v>312</v>
      </c>
      <c r="L37" s="9">
        <f t="shared" ref="L37:L68" si="17">U37*10</f>
        <v>163</v>
      </c>
      <c r="M37" s="9">
        <f t="shared" ref="M37:M68" si="18">V37*10</f>
        <v>327</v>
      </c>
      <c r="N37" s="9">
        <f t="shared" ref="N37:N68" si="19">W37*10</f>
        <v>171</v>
      </c>
      <c r="O37" s="9">
        <f t="shared" ref="O37:O68" si="20">X37*10</f>
        <v>341</v>
      </c>
      <c r="Q37" s="8">
        <v>14.9</v>
      </c>
      <c r="R37" s="8">
        <v>29.7</v>
      </c>
      <c r="S37" s="8">
        <v>15.6</v>
      </c>
      <c r="T37" s="8">
        <v>31.2</v>
      </c>
      <c r="U37" s="8">
        <v>16.3</v>
      </c>
      <c r="V37" s="8">
        <v>32.7</v>
      </c>
      <c r="W37" s="8">
        <v>17.1</v>
      </c>
      <c r="X37" s="8">
        <v>34.1</v>
      </c>
    </row>
    <row r="38" s="2" customFormat="1" spans="1:24">
      <c r="A38" s="2">
        <v>1005</v>
      </c>
      <c r="B38" s="2">
        <v>15</v>
      </c>
      <c r="C38" s="3">
        <v>27</v>
      </c>
      <c r="D38" s="7" t="str">
        <f t="shared" si="0"/>
        <v>93:187</v>
      </c>
      <c r="E38" s="7" t="str">
        <f t="shared" si="1"/>
        <v>98:196</v>
      </c>
      <c r="F38" s="7" t="str">
        <f t="shared" si="2"/>
        <v>103:206</v>
      </c>
      <c r="G38" s="7" t="str">
        <f t="shared" si="3"/>
        <v>108:214</v>
      </c>
      <c r="H38" s="9">
        <f t="shared" si="13"/>
        <v>93</v>
      </c>
      <c r="I38" s="9">
        <f t="shared" si="14"/>
        <v>187</v>
      </c>
      <c r="J38" s="9">
        <f t="shared" si="15"/>
        <v>98</v>
      </c>
      <c r="K38" s="9">
        <f t="shared" si="16"/>
        <v>196</v>
      </c>
      <c r="L38" s="9">
        <f t="shared" si="17"/>
        <v>103</v>
      </c>
      <c r="M38" s="9">
        <f t="shared" si="18"/>
        <v>206</v>
      </c>
      <c r="N38" s="9">
        <f t="shared" si="19"/>
        <v>108</v>
      </c>
      <c r="O38" s="9">
        <f t="shared" si="20"/>
        <v>214</v>
      </c>
      <c r="Q38" s="8">
        <v>9.3</v>
      </c>
      <c r="R38" s="8">
        <v>18.7</v>
      </c>
      <c r="S38" s="8">
        <v>9.8</v>
      </c>
      <c r="T38" s="8">
        <v>19.6</v>
      </c>
      <c r="U38" s="8">
        <v>10.3</v>
      </c>
      <c r="V38" s="8">
        <v>20.6</v>
      </c>
      <c r="W38" s="8">
        <v>10.8</v>
      </c>
      <c r="X38" s="8">
        <v>21.4</v>
      </c>
    </row>
    <row r="39" s="2" customFormat="1" spans="1:24">
      <c r="A39" s="2">
        <v>1006</v>
      </c>
      <c r="B39" s="2">
        <v>15</v>
      </c>
      <c r="C39" s="3">
        <v>28</v>
      </c>
      <c r="D39" s="7" t="str">
        <f t="shared" si="0"/>
        <v>28:55</v>
      </c>
      <c r="E39" s="7" t="str">
        <f t="shared" si="1"/>
        <v>29:58</v>
      </c>
      <c r="F39" s="7" t="str">
        <f t="shared" si="2"/>
        <v>31:60</v>
      </c>
      <c r="G39" s="7" t="str">
        <f t="shared" si="3"/>
        <v>32:63</v>
      </c>
      <c r="H39" s="9">
        <f t="shared" si="13"/>
        <v>28</v>
      </c>
      <c r="I39" s="9">
        <f t="shared" si="14"/>
        <v>55</v>
      </c>
      <c r="J39" s="9">
        <f t="shared" si="15"/>
        <v>29</v>
      </c>
      <c r="K39" s="9">
        <f t="shared" si="16"/>
        <v>58</v>
      </c>
      <c r="L39" s="9">
        <f t="shared" si="17"/>
        <v>31</v>
      </c>
      <c r="M39" s="9">
        <f t="shared" si="18"/>
        <v>60</v>
      </c>
      <c r="N39" s="9">
        <f t="shared" si="19"/>
        <v>32</v>
      </c>
      <c r="O39" s="9">
        <f t="shared" si="20"/>
        <v>63</v>
      </c>
      <c r="Q39" s="8">
        <v>2.8</v>
      </c>
      <c r="R39" s="8">
        <v>5.5</v>
      </c>
      <c r="S39" s="8">
        <v>2.9</v>
      </c>
      <c r="T39" s="8">
        <v>5.8</v>
      </c>
      <c r="U39" s="8">
        <v>3.1</v>
      </c>
      <c r="V39" s="8">
        <v>6</v>
      </c>
      <c r="W39" s="8">
        <v>3.2</v>
      </c>
      <c r="X39" s="8">
        <v>6.3</v>
      </c>
    </row>
    <row r="40" s="2" customFormat="1" spans="1:24">
      <c r="A40" s="2">
        <v>1007</v>
      </c>
      <c r="B40" s="2">
        <v>15</v>
      </c>
      <c r="C40" s="3">
        <v>7</v>
      </c>
      <c r="D40" s="7" t="str">
        <f t="shared" si="0"/>
        <v>55:110</v>
      </c>
      <c r="E40" s="7" t="str">
        <f t="shared" si="1"/>
        <v>58:116</v>
      </c>
      <c r="F40" s="7" t="str">
        <f t="shared" si="2"/>
        <v>60:122</v>
      </c>
      <c r="G40" s="7" t="str">
        <f t="shared" si="3"/>
        <v>63:127</v>
      </c>
      <c r="H40" s="9">
        <f t="shared" si="13"/>
        <v>55</v>
      </c>
      <c r="I40" s="9">
        <f t="shared" si="14"/>
        <v>110</v>
      </c>
      <c r="J40" s="9">
        <f t="shared" si="15"/>
        <v>58</v>
      </c>
      <c r="K40" s="9">
        <f t="shared" si="16"/>
        <v>116</v>
      </c>
      <c r="L40" s="9">
        <f t="shared" si="17"/>
        <v>60</v>
      </c>
      <c r="M40" s="9">
        <f t="shared" si="18"/>
        <v>122</v>
      </c>
      <c r="N40" s="9">
        <f t="shared" si="19"/>
        <v>63</v>
      </c>
      <c r="O40" s="9">
        <f t="shared" si="20"/>
        <v>127</v>
      </c>
      <c r="Q40" s="8">
        <v>5.5</v>
      </c>
      <c r="R40" s="8">
        <v>11</v>
      </c>
      <c r="S40" s="8">
        <v>5.8</v>
      </c>
      <c r="T40" s="8">
        <v>11.6</v>
      </c>
      <c r="U40" s="8">
        <v>6</v>
      </c>
      <c r="V40" s="8">
        <v>12.2</v>
      </c>
      <c r="W40" s="8">
        <v>6.3</v>
      </c>
      <c r="X40" s="8">
        <v>12.7</v>
      </c>
    </row>
    <row r="41" s="2" customFormat="1" spans="1:24">
      <c r="A41" s="2">
        <v>1008</v>
      </c>
      <c r="B41" s="2">
        <v>15</v>
      </c>
      <c r="C41" s="3">
        <v>5</v>
      </c>
      <c r="D41" s="7" t="str">
        <f t="shared" si="0"/>
        <v>55:110</v>
      </c>
      <c r="E41" s="7" t="str">
        <f t="shared" si="1"/>
        <v>58:116</v>
      </c>
      <c r="F41" s="7" t="str">
        <f t="shared" si="2"/>
        <v>60:122</v>
      </c>
      <c r="G41" s="7" t="str">
        <f t="shared" si="3"/>
        <v>63:127</v>
      </c>
      <c r="H41" s="9">
        <f t="shared" si="13"/>
        <v>55</v>
      </c>
      <c r="I41" s="9">
        <f t="shared" si="14"/>
        <v>110</v>
      </c>
      <c r="J41" s="9">
        <f t="shared" si="15"/>
        <v>58</v>
      </c>
      <c r="K41" s="9">
        <f t="shared" si="16"/>
        <v>116</v>
      </c>
      <c r="L41" s="9">
        <f t="shared" si="17"/>
        <v>60</v>
      </c>
      <c r="M41" s="9">
        <f t="shared" si="18"/>
        <v>122</v>
      </c>
      <c r="N41" s="9">
        <f t="shared" si="19"/>
        <v>63</v>
      </c>
      <c r="O41" s="9">
        <f t="shared" si="20"/>
        <v>127</v>
      </c>
      <c r="Q41" s="8">
        <v>5.5</v>
      </c>
      <c r="R41" s="8">
        <v>11</v>
      </c>
      <c r="S41" s="8">
        <v>5.8</v>
      </c>
      <c r="T41" s="8">
        <v>11.6</v>
      </c>
      <c r="U41" s="8">
        <v>6</v>
      </c>
      <c r="V41" s="8">
        <v>12.2</v>
      </c>
      <c r="W41" s="8">
        <v>6.3</v>
      </c>
      <c r="X41" s="8">
        <v>12.7</v>
      </c>
    </row>
    <row r="42" s="2" customFormat="1" spans="1:24">
      <c r="A42" s="2">
        <v>1009</v>
      </c>
      <c r="B42" s="2">
        <v>15</v>
      </c>
      <c r="C42" s="3">
        <v>12</v>
      </c>
      <c r="D42" s="7" t="str">
        <f t="shared" si="0"/>
        <v>11:22</v>
      </c>
      <c r="E42" s="7" t="str">
        <f t="shared" si="1"/>
        <v>12:23</v>
      </c>
      <c r="F42" s="7" t="str">
        <f t="shared" si="2"/>
        <v>12:24</v>
      </c>
      <c r="G42" s="7" t="str">
        <f t="shared" si="3"/>
        <v>13:25</v>
      </c>
      <c r="H42" s="9">
        <f t="shared" si="13"/>
        <v>11</v>
      </c>
      <c r="I42" s="9">
        <f t="shared" si="14"/>
        <v>22</v>
      </c>
      <c r="J42" s="9">
        <f t="shared" si="15"/>
        <v>12</v>
      </c>
      <c r="K42" s="9">
        <f t="shared" si="16"/>
        <v>23</v>
      </c>
      <c r="L42" s="9">
        <f t="shared" si="17"/>
        <v>12</v>
      </c>
      <c r="M42" s="9">
        <f t="shared" si="18"/>
        <v>24</v>
      </c>
      <c r="N42" s="9">
        <f t="shared" si="19"/>
        <v>13</v>
      </c>
      <c r="O42" s="9">
        <f t="shared" si="20"/>
        <v>25</v>
      </c>
      <c r="Q42" s="8">
        <v>1.1</v>
      </c>
      <c r="R42" s="8">
        <v>2.2</v>
      </c>
      <c r="S42" s="8">
        <v>1.2</v>
      </c>
      <c r="T42" s="8">
        <v>2.3</v>
      </c>
      <c r="U42" s="8">
        <v>1.2</v>
      </c>
      <c r="V42" s="8">
        <v>2.4</v>
      </c>
      <c r="W42" s="8">
        <v>1.3</v>
      </c>
      <c r="X42" s="8">
        <v>2.5</v>
      </c>
    </row>
    <row r="43" s="2" customFormat="1" spans="1:24">
      <c r="A43" s="2">
        <v>1010</v>
      </c>
      <c r="B43" s="2">
        <v>15</v>
      </c>
      <c r="C43" s="3">
        <v>13</v>
      </c>
      <c r="D43" s="7" t="str">
        <f t="shared" si="0"/>
        <v>55:110</v>
      </c>
      <c r="E43" s="7" t="str">
        <f t="shared" si="1"/>
        <v>58:116</v>
      </c>
      <c r="F43" s="7" t="str">
        <f t="shared" si="2"/>
        <v>60:122</v>
      </c>
      <c r="G43" s="7" t="str">
        <f t="shared" si="3"/>
        <v>63:127</v>
      </c>
      <c r="H43" s="9">
        <f t="shared" si="13"/>
        <v>55</v>
      </c>
      <c r="I43" s="9">
        <f t="shared" si="14"/>
        <v>110</v>
      </c>
      <c r="J43" s="9">
        <f t="shared" si="15"/>
        <v>58</v>
      </c>
      <c r="K43" s="9">
        <f t="shared" si="16"/>
        <v>116</v>
      </c>
      <c r="L43" s="9">
        <f t="shared" si="17"/>
        <v>60</v>
      </c>
      <c r="M43" s="9">
        <f t="shared" si="18"/>
        <v>122</v>
      </c>
      <c r="N43" s="9">
        <f t="shared" si="19"/>
        <v>63</v>
      </c>
      <c r="O43" s="9">
        <f t="shared" si="20"/>
        <v>127</v>
      </c>
      <c r="Q43" s="8">
        <v>5.5</v>
      </c>
      <c r="R43" s="8">
        <v>11</v>
      </c>
      <c r="S43" s="8">
        <v>5.8</v>
      </c>
      <c r="T43" s="8">
        <v>11.6</v>
      </c>
      <c r="U43" s="8">
        <v>6</v>
      </c>
      <c r="V43" s="8">
        <v>12.2</v>
      </c>
      <c r="W43" s="8">
        <v>6.3</v>
      </c>
      <c r="X43" s="8">
        <v>12.7</v>
      </c>
    </row>
    <row r="44" s="2" customFormat="1" spans="1:24">
      <c r="A44" s="2">
        <v>1001</v>
      </c>
      <c r="B44" s="2">
        <v>20</v>
      </c>
      <c r="C44" s="3">
        <v>1</v>
      </c>
      <c r="D44" s="7" t="str">
        <f t="shared" si="0"/>
        <v>1421:2842</v>
      </c>
      <c r="E44" s="7" t="str">
        <f t="shared" si="1"/>
        <v>1493:2985</v>
      </c>
      <c r="F44" s="7" t="str">
        <f t="shared" si="2"/>
        <v>1563:3127</v>
      </c>
      <c r="G44" s="7" t="str">
        <f t="shared" si="3"/>
        <v>1635:3269</v>
      </c>
      <c r="H44" s="9">
        <f t="shared" si="13"/>
        <v>1421</v>
      </c>
      <c r="I44" s="9">
        <f t="shared" si="14"/>
        <v>2842</v>
      </c>
      <c r="J44" s="9">
        <f t="shared" si="15"/>
        <v>1493</v>
      </c>
      <c r="K44" s="9">
        <f t="shared" si="16"/>
        <v>2985</v>
      </c>
      <c r="L44" s="9">
        <f t="shared" si="17"/>
        <v>1563</v>
      </c>
      <c r="M44" s="9">
        <f t="shared" si="18"/>
        <v>3127</v>
      </c>
      <c r="N44" s="9">
        <f t="shared" si="19"/>
        <v>1635</v>
      </c>
      <c r="O44" s="9">
        <f t="shared" si="20"/>
        <v>3269</v>
      </c>
      <c r="Q44" s="8">
        <v>142.1</v>
      </c>
      <c r="R44" s="8">
        <v>284.2</v>
      </c>
      <c r="S44" s="8">
        <v>149.3</v>
      </c>
      <c r="T44" s="8">
        <v>298.5</v>
      </c>
      <c r="U44" s="8">
        <v>156.3</v>
      </c>
      <c r="V44" s="8">
        <v>312.7</v>
      </c>
      <c r="W44" s="8">
        <v>163.5</v>
      </c>
      <c r="X44" s="8">
        <v>326.9</v>
      </c>
    </row>
    <row r="45" s="2" customFormat="1" spans="1:24">
      <c r="A45" s="2">
        <v>1002</v>
      </c>
      <c r="B45" s="2">
        <v>20</v>
      </c>
      <c r="C45" s="3">
        <v>2</v>
      </c>
      <c r="D45" s="7" t="str">
        <f t="shared" si="0"/>
        <v>180:359</v>
      </c>
      <c r="E45" s="7" t="str">
        <f t="shared" si="1"/>
        <v>188:377</v>
      </c>
      <c r="F45" s="7" t="str">
        <f t="shared" si="2"/>
        <v>197:395</v>
      </c>
      <c r="G45" s="7" t="str">
        <f t="shared" si="3"/>
        <v>206:412</v>
      </c>
      <c r="H45" s="9">
        <f t="shared" si="13"/>
        <v>180</v>
      </c>
      <c r="I45" s="9">
        <f t="shared" si="14"/>
        <v>359</v>
      </c>
      <c r="J45" s="9">
        <f t="shared" si="15"/>
        <v>188</v>
      </c>
      <c r="K45" s="9">
        <f t="shared" si="16"/>
        <v>377</v>
      </c>
      <c r="L45" s="9">
        <f t="shared" si="17"/>
        <v>197</v>
      </c>
      <c r="M45" s="9">
        <f t="shared" si="18"/>
        <v>395</v>
      </c>
      <c r="N45" s="9">
        <f t="shared" si="19"/>
        <v>206</v>
      </c>
      <c r="O45" s="9">
        <f t="shared" si="20"/>
        <v>412</v>
      </c>
      <c r="Q45" s="8">
        <v>18</v>
      </c>
      <c r="R45" s="8">
        <v>35.9</v>
      </c>
      <c r="S45" s="8">
        <v>18.8</v>
      </c>
      <c r="T45" s="8">
        <v>37.7</v>
      </c>
      <c r="U45" s="8">
        <v>19.7</v>
      </c>
      <c r="V45" s="8">
        <v>39.5</v>
      </c>
      <c r="W45" s="8">
        <v>20.6</v>
      </c>
      <c r="X45" s="8">
        <v>41.2</v>
      </c>
    </row>
    <row r="46" s="2" customFormat="1" spans="1:24">
      <c r="A46" s="2">
        <v>1003</v>
      </c>
      <c r="B46" s="2">
        <v>20</v>
      </c>
      <c r="C46" s="3">
        <v>4</v>
      </c>
      <c r="D46" s="7" t="str">
        <f t="shared" si="0"/>
        <v>113:226</v>
      </c>
      <c r="E46" s="7" t="str">
        <f t="shared" si="1"/>
        <v>119:237</v>
      </c>
      <c r="F46" s="7" t="str">
        <f t="shared" si="2"/>
        <v>124:248</v>
      </c>
      <c r="G46" s="7" t="str">
        <f t="shared" si="3"/>
        <v>130:259</v>
      </c>
      <c r="H46" s="9">
        <f t="shared" ref="H46:H77" si="21">Q46*10</f>
        <v>113</v>
      </c>
      <c r="I46" s="9">
        <f t="shared" si="14"/>
        <v>226</v>
      </c>
      <c r="J46" s="9">
        <f t="shared" si="15"/>
        <v>119</v>
      </c>
      <c r="K46" s="9">
        <f t="shared" si="16"/>
        <v>237</v>
      </c>
      <c r="L46" s="9">
        <f t="shared" si="17"/>
        <v>124</v>
      </c>
      <c r="M46" s="9">
        <f t="shared" si="18"/>
        <v>248</v>
      </c>
      <c r="N46" s="9">
        <f t="shared" si="19"/>
        <v>130</v>
      </c>
      <c r="O46" s="9">
        <f t="shared" si="20"/>
        <v>259</v>
      </c>
      <c r="Q46" s="8">
        <v>11.3</v>
      </c>
      <c r="R46" s="8">
        <v>22.6</v>
      </c>
      <c r="S46" s="8">
        <v>11.9</v>
      </c>
      <c r="T46" s="8">
        <v>23.7</v>
      </c>
      <c r="U46" s="8">
        <v>12.4</v>
      </c>
      <c r="V46" s="8">
        <v>24.8</v>
      </c>
      <c r="W46" s="8">
        <v>13</v>
      </c>
      <c r="X46" s="8">
        <v>25.9</v>
      </c>
    </row>
    <row r="47" s="2" customFormat="1" spans="1:24">
      <c r="A47" s="2">
        <v>1004</v>
      </c>
      <c r="B47" s="2">
        <v>20</v>
      </c>
      <c r="C47" s="3">
        <v>3</v>
      </c>
      <c r="D47" s="7" t="str">
        <f t="shared" si="0"/>
        <v>180:359</v>
      </c>
      <c r="E47" s="7" t="str">
        <f t="shared" si="1"/>
        <v>188:377</v>
      </c>
      <c r="F47" s="7" t="str">
        <f t="shared" si="2"/>
        <v>197:395</v>
      </c>
      <c r="G47" s="7" t="str">
        <f t="shared" si="3"/>
        <v>206:412</v>
      </c>
      <c r="H47" s="9">
        <f t="shared" si="21"/>
        <v>180</v>
      </c>
      <c r="I47" s="9">
        <f t="shared" si="14"/>
        <v>359</v>
      </c>
      <c r="J47" s="9">
        <f t="shared" si="15"/>
        <v>188</v>
      </c>
      <c r="K47" s="9">
        <f t="shared" si="16"/>
        <v>377</v>
      </c>
      <c r="L47" s="9">
        <f t="shared" si="17"/>
        <v>197</v>
      </c>
      <c r="M47" s="9">
        <f t="shared" si="18"/>
        <v>395</v>
      </c>
      <c r="N47" s="9">
        <f t="shared" si="19"/>
        <v>206</v>
      </c>
      <c r="O47" s="9">
        <f t="shared" si="20"/>
        <v>412</v>
      </c>
      <c r="Q47" s="8">
        <v>18</v>
      </c>
      <c r="R47" s="8">
        <v>35.9</v>
      </c>
      <c r="S47" s="8">
        <v>18.8</v>
      </c>
      <c r="T47" s="8">
        <v>37.7</v>
      </c>
      <c r="U47" s="8">
        <v>19.7</v>
      </c>
      <c r="V47" s="8">
        <v>39.5</v>
      </c>
      <c r="W47" s="8">
        <v>20.6</v>
      </c>
      <c r="X47" s="8">
        <v>41.2</v>
      </c>
    </row>
    <row r="48" s="2" customFormat="1" spans="1:24">
      <c r="A48" s="2">
        <v>1005</v>
      </c>
      <c r="B48" s="2">
        <v>20</v>
      </c>
      <c r="C48" s="3">
        <v>27</v>
      </c>
      <c r="D48" s="7" t="str">
        <f t="shared" si="0"/>
        <v>113:226</v>
      </c>
      <c r="E48" s="7" t="str">
        <f t="shared" si="1"/>
        <v>119:237</v>
      </c>
      <c r="F48" s="7" t="str">
        <f t="shared" si="2"/>
        <v>124:248</v>
      </c>
      <c r="G48" s="7" t="str">
        <f t="shared" si="3"/>
        <v>130:259</v>
      </c>
      <c r="H48" s="9">
        <f t="shared" si="21"/>
        <v>113</v>
      </c>
      <c r="I48" s="9">
        <f t="shared" si="14"/>
        <v>226</v>
      </c>
      <c r="J48" s="9">
        <f t="shared" si="15"/>
        <v>119</v>
      </c>
      <c r="K48" s="9">
        <f t="shared" si="16"/>
        <v>237</v>
      </c>
      <c r="L48" s="9">
        <f t="shared" si="17"/>
        <v>124</v>
      </c>
      <c r="M48" s="9">
        <f t="shared" si="18"/>
        <v>248</v>
      </c>
      <c r="N48" s="9">
        <f t="shared" si="19"/>
        <v>130</v>
      </c>
      <c r="O48" s="9">
        <f t="shared" si="20"/>
        <v>259</v>
      </c>
      <c r="Q48" s="8">
        <v>11.3</v>
      </c>
      <c r="R48" s="8">
        <v>22.6</v>
      </c>
      <c r="S48" s="8">
        <v>11.9</v>
      </c>
      <c r="T48" s="8">
        <v>23.7</v>
      </c>
      <c r="U48" s="8">
        <v>12.4</v>
      </c>
      <c r="V48" s="8">
        <v>24.8</v>
      </c>
      <c r="W48" s="8">
        <v>13</v>
      </c>
      <c r="X48" s="8">
        <v>25.9</v>
      </c>
    </row>
    <row r="49" s="2" customFormat="1" spans="1:24">
      <c r="A49" s="2">
        <v>1006</v>
      </c>
      <c r="B49" s="2">
        <v>20</v>
      </c>
      <c r="C49" s="3">
        <v>28</v>
      </c>
      <c r="D49" s="7" t="str">
        <f t="shared" si="0"/>
        <v>34:67</v>
      </c>
      <c r="E49" s="7" t="str">
        <f t="shared" si="1"/>
        <v>35:70</v>
      </c>
      <c r="F49" s="7" t="str">
        <f t="shared" si="2"/>
        <v>37:73</v>
      </c>
      <c r="G49" s="7" t="str">
        <f t="shared" si="3"/>
        <v>38:76</v>
      </c>
      <c r="H49" s="9">
        <f t="shared" si="21"/>
        <v>34</v>
      </c>
      <c r="I49" s="9">
        <f t="shared" si="14"/>
        <v>67</v>
      </c>
      <c r="J49" s="9">
        <f t="shared" si="15"/>
        <v>35</v>
      </c>
      <c r="K49" s="9">
        <f t="shared" si="16"/>
        <v>70</v>
      </c>
      <c r="L49" s="9">
        <f t="shared" si="17"/>
        <v>37</v>
      </c>
      <c r="M49" s="9">
        <f t="shared" si="18"/>
        <v>73</v>
      </c>
      <c r="N49" s="9">
        <f t="shared" si="19"/>
        <v>38</v>
      </c>
      <c r="O49" s="9">
        <f t="shared" si="20"/>
        <v>76</v>
      </c>
      <c r="Q49" s="8">
        <v>3.4</v>
      </c>
      <c r="R49" s="8">
        <v>6.7</v>
      </c>
      <c r="S49" s="8">
        <v>3.5</v>
      </c>
      <c r="T49" s="8">
        <v>7</v>
      </c>
      <c r="U49" s="8">
        <v>3.7</v>
      </c>
      <c r="V49" s="8">
        <v>7.3</v>
      </c>
      <c r="W49" s="8">
        <v>3.8</v>
      </c>
      <c r="X49" s="8">
        <v>7.6</v>
      </c>
    </row>
    <row r="50" s="2" customFormat="1" spans="1:24">
      <c r="A50" s="2">
        <v>1007</v>
      </c>
      <c r="B50" s="2">
        <v>20</v>
      </c>
      <c r="C50" s="3">
        <v>7</v>
      </c>
      <c r="D50" s="7" t="str">
        <f t="shared" si="0"/>
        <v>67:133</v>
      </c>
      <c r="E50" s="7" t="str">
        <f t="shared" si="1"/>
        <v>70:140</v>
      </c>
      <c r="F50" s="7" t="str">
        <f t="shared" si="2"/>
        <v>73:147</v>
      </c>
      <c r="G50" s="7" t="str">
        <f t="shared" si="3"/>
        <v>76:154</v>
      </c>
      <c r="H50" s="9">
        <f t="shared" si="21"/>
        <v>67</v>
      </c>
      <c r="I50" s="9">
        <f t="shared" si="14"/>
        <v>133</v>
      </c>
      <c r="J50" s="9">
        <f t="shared" si="15"/>
        <v>70</v>
      </c>
      <c r="K50" s="9">
        <f t="shared" si="16"/>
        <v>140</v>
      </c>
      <c r="L50" s="9">
        <f t="shared" si="17"/>
        <v>73</v>
      </c>
      <c r="M50" s="9">
        <f t="shared" si="18"/>
        <v>147</v>
      </c>
      <c r="N50" s="9">
        <f t="shared" si="19"/>
        <v>76</v>
      </c>
      <c r="O50" s="9">
        <f t="shared" si="20"/>
        <v>154</v>
      </c>
      <c r="Q50" s="8">
        <v>6.7</v>
      </c>
      <c r="R50" s="8">
        <v>13.3</v>
      </c>
      <c r="S50" s="8">
        <v>7</v>
      </c>
      <c r="T50" s="8">
        <v>14</v>
      </c>
      <c r="U50" s="8">
        <v>7.3</v>
      </c>
      <c r="V50" s="8">
        <v>14.7</v>
      </c>
      <c r="W50" s="8">
        <v>7.6</v>
      </c>
      <c r="X50" s="8">
        <v>15.4</v>
      </c>
    </row>
    <row r="51" s="2" customFormat="1" spans="1:24">
      <c r="A51" s="2">
        <v>1008</v>
      </c>
      <c r="B51" s="2">
        <v>20</v>
      </c>
      <c r="C51" s="3">
        <v>5</v>
      </c>
      <c r="D51" s="7" t="str">
        <f t="shared" si="0"/>
        <v>67:133</v>
      </c>
      <c r="E51" s="7" t="str">
        <f t="shared" si="1"/>
        <v>70:140</v>
      </c>
      <c r="F51" s="7" t="str">
        <f t="shared" si="2"/>
        <v>73:147</v>
      </c>
      <c r="G51" s="7" t="str">
        <f t="shared" si="3"/>
        <v>76:154</v>
      </c>
      <c r="H51" s="9">
        <f t="shared" si="21"/>
        <v>67</v>
      </c>
      <c r="I51" s="9">
        <f t="shared" si="14"/>
        <v>133</v>
      </c>
      <c r="J51" s="9">
        <f t="shared" si="15"/>
        <v>70</v>
      </c>
      <c r="K51" s="9">
        <f t="shared" si="16"/>
        <v>140</v>
      </c>
      <c r="L51" s="9">
        <f t="shared" si="17"/>
        <v>73</v>
      </c>
      <c r="M51" s="9">
        <f t="shared" si="18"/>
        <v>147</v>
      </c>
      <c r="N51" s="9">
        <f t="shared" si="19"/>
        <v>76</v>
      </c>
      <c r="O51" s="9">
        <f t="shared" si="20"/>
        <v>154</v>
      </c>
      <c r="Q51" s="8">
        <v>6.7</v>
      </c>
      <c r="R51" s="8">
        <v>13.3</v>
      </c>
      <c r="S51" s="8">
        <v>7</v>
      </c>
      <c r="T51" s="8">
        <v>14</v>
      </c>
      <c r="U51" s="8">
        <v>7.3</v>
      </c>
      <c r="V51" s="8">
        <v>14.7</v>
      </c>
      <c r="W51" s="8">
        <v>7.6</v>
      </c>
      <c r="X51" s="8">
        <v>15.4</v>
      </c>
    </row>
    <row r="52" s="2" customFormat="1" spans="1:24">
      <c r="A52" s="2">
        <v>1009</v>
      </c>
      <c r="B52" s="2">
        <v>20</v>
      </c>
      <c r="C52" s="3">
        <v>12</v>
      </c>
      <c r="D52" s="7" t="str">
        <f t="shared" si="0"/>
        <v>13:27</v>
      </c>
      <c r="E52" s="7" t="str">
        <f t="shared" si="1"/>
        <v>14:28</v>
      </c>
      <c r="F52" s="7" t="str">
        <f t="shared" si="2"/>
        <v>15:29</v>
      </c>
      <c r="G52" s="7" t="str">
        <f t="shared" si="3"/>
        <v>15:31</v>
      </c>
      <c r="H52" s="9">
        <f t="shared" si="21"/>
        <v>13</v>
      </c>
      <c r="I52" s="9">
        <f t="shared" si="14"/>
        <v>27</v>
      </c>
      <c r="J52" s="9">
        <f t="shared" si="15"/>
        <v>14</v>
      </c>
      <c r="K52" s="9">
        <f t="shared" si="16"/>
        <v>28</v>
      </c>
      <c r="L52" s="9">
        <f t="shared" si="17"/>
        <v>15</v>
      </c>
      <c r="M52" s="9">
        <f t="shared" si="18"/>
        <v>29</v>
      </c>
      <c r="N52" s="9">
        <f t="shared" si="19"/>
        <v>15</v>
      </c>
      <c r="O52" s="9">
        <f t="shared" si="20"/>
        <v>31</v>
      </c>
      <c r="Q52" s="8">
        <v>1.3</v>
      </c>
      <c r="R52" s="8">
        <v>2.7</v>
      </c>
      <c r="S52" s="8">
        <v>1.4</v>
      </c>
      <c r="T52" s="8">
        <v>2.8</v>
      </c>
      <c r="U52" s="8">
        <v>1.5</v>
      </c>
      <c r="V52" s="8">
        <v>2.9</v>
      </c>
      <c r="W52" s="8">
        <v>1.5</v>
      </c>
      <c r="X52" s="8">
        <v>3.1</v>
      </c>
    </row>
    <row r="53" s="2" customFormat="1" spans="1:24">
      <c r="A53" s="2">
        <v>1010</v>
      </c>
      <c r="B53" s="2">
        <v>20</v>
      </c>
      <c r="C53" s="3">
        <v>13</v>
      </c>
      <c r="D53" s="7" t="str">
        <f t="shared" si="0"/>
        <v>67:133</v>
      </c>
      <c r="E53" s="7" t="str">
        <f t="shared" si="1"/>
        <v>70:140</v>
      </c>
      <c r="F53" s="7" t="str">
        <f t="shared" si="2"/>
        <v>73:147</v>
      </c>
      <c r="G53" s="7" t="str">
        <f t="shared" si="3"/>
        <v>76:154</v>
      </c>
      <c r="H53" s="9">
        <f t="shared" si="21"/>
        <v>67</v>
      </c>
      <c r="I53" s="9">
        <f t="shared" si="14"/>
        <v>133</v>
      </c>
      <c r="J53" s="9">
        <f t="shared" si="15"/>
        <v>70</v>
      </c>
      <c r="K53" s="9">
        <f t="shared" si="16"/>
        <v>140</v>
      </c>
      <c r="L53" s="9">
        <f t="shared" si="17"/>
        <v>73</v>
      </c>
      <c r="M53" s="9">
        <f t="shared" si="18"/>
        <v>147</v>
      </c>
      <c r="N53" s="9">
        <f t="shared" si="19"/>
        <v>76</v>
      </c>
      <c r="O53" s="9">
        <f t="shared" si="20"/>
        <v>154</v>
      </c>
      <c r="Q53" s="8">
        <v>6.7</v>
      </c>
      <c r="R53" s="8">
        <v>13.3</v>
      </c>
      <c r="S53" s="8">
        <v>7</v>
      </c>
      <c r="T53" s="8">
        <v>14</v>
      </c>
      <c r="U53" s="8">
        <v>7.3</v>
      </c>
      <c r="V53" s="8">
        <v>14.7</v>
      </c>
      <c r="W53" s="8">
        <v>7.6</v>
      </c>
      <c r="X53" s="8">
        <v>15.4</v>
      </c>
    </row>
    <row r="54" s="2" customFormat="1" spans="1:24">
      <c r="A54" s="2">
        <v>1001</v>
      </c>
      <c r="B54" s="2">
        <v>25</v>
      </c>
      <c r="C54" s="3">
        <v>1</v>
      </c>
      <c r="D54" s="7" t="str">
        <f t="shared" si="0"/>
        <v>1666:3333</v>
      </c>
      <c r="E54" s="7" t="str">
        <f t="shared" si="1"/>
        <v>1750:3499</v>
      </c>
      <c r="F54" s="7" t="str">
        <f t="shared" si="2"/>
        <v>1833:3666</v>
      </c>
      <c r="G54" s="7" t="str">
        <f t="shared" si="3"/>
        <v>1917:3833</v>
      </c>
      <c r="H54" s="9">
        <f t="shared" si="21"/>
        <v>1666</v>
      </c>
      <c r="I54" s="9">
        <f t="shared" si="14"/>
        <v>3333</v>
      </c>
      <c r="J54" s="9">
        <f t="shared" si="15"/>
        <v>1750</v>
      </c>
      <c r="K54" s="9">
        <f t="shared" si="16"/>
        <v>3499</v>
      </c>
      <c r="L54" s="9">
        <f t="shared" si="17"/>
        <v>1833</v>
      </c>
      <c r="M54" s="9">
        <f t="shared" si="18"/>
        <v>3666</v>
      </c>
      <c r="N54" s="9">
        <f t="shared" si="19"/>
        <v>1917</v>
      </c>
      <c r="O54" s="9">
        <f t="shared" si="20"/>
        <v>3833</v>
      </c>
      <c r="Q54" s="8">
        <v>166.6</v>
      </c>
      <c r="R54" s="8">
        <v>333.3</v>
      </c>
      <c r="S54" s="8">
        <v>175</v>
      </c>
      <c r="T54" s="8">
        <v>349.9</v>
      </c>
      <c r="U54" s="8">
        <v>183.3</v>
      </c>
      <c r="V54" s="8">
        <v>366.6</v>
      </c>
      <c r="W54" s="8">
        <v>191.7</v>
      </c>
      <c r="X54" s="8">
        <v>383.3</v>
      </c>
    </row>
    <row r="55" s="2" customFormat="1" spans="1:24">
      <c r="A55" s="2">
        <v>1002</v>
      </c>
      <c r="B55" s="2">
        <v>25</v>
      </c>
      <c r="C55" s="3">
        <v>2</v>
      </c>
      <c r="D55" s="7" t="str">
        <f t="shared" si="0"/>
        <v>210:421</v>
      </c>
      <c r="E55" s="7" t="str">
        <f t="shared" si="1"/>
        <v>221:442</v>
      </c>
      <c r="F55" s="7" t="str">
        <f t="shared" si="2"/>
        <v>231:463</v>
      </c>
      <c r="G55" s="7" t="str">
        <f t="shared" si="3"/>
        <v>242:484</v>
      </c>
      <c r="H55" s="9">
        <f t="shared" si="21"/>
        <v>210</v>
      </c>
      <c r="I55" s="9">
        <f t="shared" si="14"/>
        <v>421</v>
      </c>
      <c r="J55" s="9">
        <f t="shared" si="15"/>
        <v>221</v>
      </c>
      <c r="K55" s="9">
        <f t="shared" si="16"/>
        <v>442</v>
      </c>
      <c r="L55" s="9">
        <f t="shared" si="17"/>
        <v>231</v>
      </c>
      <c r="M55" s="9">
        <f t="shared" si="18"/>
        <v>463</v>
      </c>
      <c r="N55" s="9">
        <f t="shared" si="19"/>
        <v>242</v>
      </c>
      <c r="O55" s="9">
        <f t="shared" si="20"/>
        <v>484</v>
      </c>
      <c r="Q55" s="8">
        <v>21</v>
      </c>
      <c r="R55" s="8">
        <v>42.1</v>
      </c>
      <c r="S55" s="8">
        <v>22.1</v>
      </c>
      <c r="T55" s="8">
        <v>44.2</v>
      </c>
      <c r="U55" s="8">
        <v>23.1</v>
      </c>
      <c r="V55" s="8">
        <v>46.3</v>
      </c>
      <c r="W55" s="8">
        <v>24.2</v>
      </c>
      <c r="X55" s="8">
        <v>48.4</v>
      </c>
    </row>
    <row r="56" s="2" customFormat="1" spans="1:24">
      <c r="A56" s="2">
        <v>1003</v>
      </c>
      <c r="B56" s="2">
        <v>25</v>
      </c>
      <c r="C56" s="3">
        <v>4</v>
      </c>
      <c r="D56" s="7" t="str">
        <f t="shared" si="0"/>
        <v>132:265</v>
      </c>
      <c r="E56" s="7" t="str">
        <f t="shared" si="1"/>
        <v>139:278</v>
      </c>
      <c r="F56" s="7" t="str">
        <f t="shared" si="2"/>
        <v>146:291</v>
      </c>
      <c r="G56" s="7" t="str">
        <f t="shared" si="3"/>
        <v>152:304</v>
      </c>
      <c r="H56" s="9">
        <f t="shared" si="21"/>
        <v>132</v>
      </c>
      <c r="I56" s="9">
        <f t="shared" si="14"/>
        <v>265</v>
      </c>
      <c r="J56" s="9">
        <f t="shared" si="15"/>
        <v>139</v>
      </c>
      <c r="K56" s="9">
        <f t="shared" si="16"/>
        <v>278</v>
      </c>
      <c r="L56" s="9">
        <f t="shared" si="17"/>
        <v>146</v>
      </c>
      <c r="M56" s="9">
        <f t="shared" si="18"/>
        <v>291</v>
      </c>
      <c r="N56" s="9">
        <f t="shared" si="19"/>
        <v>152</v>
      </c>
      <c r="O56" s="9">
        <f t="shared" si="20"/>
        <v>304</v>
      </c>
      <c r="Q56" s="8">
        <v>13.2</v>
      </c>
      <c r="R56" s="8">
        <v>26.5</v>
      </c>
      <c r="S56" s="8">
        <v>13.9</v>
      </c>
      <c r="T56" s="8">
        <v>27.8</v>
      </c>
      <c r="U56" s="8">
        <v>14.6</v>
      </c>
      <c r="V56" s="8">
        <v>29.1</v>
      </c>
      <c r="W56" s="8">
        <v>15.2</v>
      </c>
      <c r="X56" s="8">
        <v>30.4</v>
      </c>
    </row>
    <row r="57" s="2" customFormat="1" spans="1:24">
      <c r="A57" s="2">
        <v>1004</v>
      </c>
      <c r="B57" s="2">
        <v>25</v>
      </c>
      <c r="C57" s="3">
        <v>3</v>
      </c>
      <c r="D57" s="7" t="str">
        <f t="shared" si="0"/>
        <v>210:421</v>
      </c>
      <c r="E57" s="7" t="str">
        <f t="shared" si="1"/>
        <v>221:442</v>
      </c>
      <c r="F57" s="7" t="str">
        <f t="shared" si="2"/>
        <v>231:463</v>
      </c>
      <c r="G57" s="7" t="str">
        <f t="shared" si="3"/>
        <v>242:484</v>
      </c>
      <c r="H57" s="9">
        <f t="shared" si="21"/>
        <v>210</v>
      </c>
      <c r="I57" s="9">
        <f t="shared" si="14"/>
        <v>421</v>
      </c>
      <c r="J57" s="9">
        <f t="shared" si="15"/>
        <v>221</v>
      </c>
      <c r="K57" s="9">
        <f t="shared" si="16"/>
        <v>442</v>
      </c>
      <c r="L57" s="9">
        <f t="shared" si="17"/>
        <v>231</v>
      </c>
      <c r="M57" s="9">
        <f t="shared" si="18"/>
        <v>463</v>
      </c>
      <c r="N57" s="9">
        <f t="shared" si="19"/>
        <v>242</v>
      </c>
      <c r="O57" s="9">
        <f t="shared" si="20"/>
        <v>484</v>
      </c>
      <c r="Q57" s="8">
        <v>21</v>
      </c>
      <c r="R57" s="8">
        <v>42.1</v>
      </c>
      <c r="S57" s="8">
        <v>22.1</v>
      </c>
      <c r="T57" s="8">
        <v>44.2</v>
      </c>
      <c r="U57" s="8">
        <v>23.1</v>
      </c>
      <c r="V57" s="8">
        <v>46.3</v>
      </c>
      <c r="W57" s="8">
        <v>24.2</v>
      </c>
      <c r="X57" s="8">
        <v>48.4</v>
      </c>
    </row>
    <row r="58" s="2" customFormat="1" spans="1:24">
      <c r="A58" s="2">
        <v>1005</v>
      </c>
      <c r="B58" s="2">
        <v>25</v>
      </c>
      <c r="C58" s="3">
        <v>27</v>
      </c>
      <c r="D58" s="7" t="str">
        <f t="shared" si="0"/>
        <v>132:265</v>
      </c>
      <c r="E58" s="7" t="str">
        <f t="shared" si="1"/>
        <v>139:278</v>
      </c>
      <c r="F58" s="7" t="str">
        <f t="shared" si="2"/>
        <v>146:291</v>
      </c>
      <c r="G58" s="7" t="str">
        <f t="shared" si="3"/>
        <v>152:304</v>
      </c>
      <c r="H58" s="9">
        <f t="shared" si="21"/>
        <v>132</v>
      </c>
      <c r="I58" s="9">
        <f t="shared" si="14"/>
        <v>265</v>
      </c>
      <c r="J58" s="9">
        <f t="shared" si="15"/>
        <v>139</v>
      </c>
      <c r="K58" s="9">
        <f t="shared" si="16"/>
        <v>278</v>
      </c>
      <c r="L58" s="9">
        <f t="shared" si="17"/>
        <v>146</v>
      </c>
      <c r="M58" s="9">
        <f t="shared" si="18"/>
        <v>291</v>
      </c>
      <c r="N58" s="9">
        <f t="shared" si="19"/>
        <v>152</v>
      </c>
      <c r="O58" s="9">
        <f t="shared" si="20"/>
        <v>304</v>
      </c>
      <c r="Q58" s="8">
        <v>13.2</v>
      </c>
      <c r="R58" s="8">
        <v>26.5</v>
      </c>
      <c r="S58" s="8">
        <v>13.9</v>
      </c>
      <c r="T58" s="8">
        <v>27.8</v>
      </c>
      <c r="U58" s="8">
        <v>14.6</v>
      </c>
      <c r="V58" s="8">
        <v>29.1</v>
      </c>
      <c r="W58" s="8">
        <v>15.2</v>
      </c>
      <c r="X58" s="8">
        <v>30.4</v>
      </c>
    </row>
    <row r="59" s="2" customFormat="1" spans="1:24">
      <c r="A59" s="2">
        <v>1006</v>
      </c>
      <c r="B59" s="2">
        <v>25</v>
      </c>
      <c r="C59" s="3">
        <v>28</v>
      </c>
      <c r="D59" s="7" t="str">
        <f t="shared" si="0"/>
        <v>40:78</v>
      </c>
      <c r="E59" s="7" t="str">
        <f t="shared" si="1"/>
        <v>41:82</v>
      </c>
      <c r="F59" s="7" t="str">
        <f t="shared" si="2"/>
        <v>43:86</v>
      </c>
      <c r="G59" s="7" t="str">
        <f t="shared" si="3"/>
        <v>45:89</v>
      </c>
      <c r="H59" s="9">
        <f t="shared" si="21"/>
        <v>40</v>
      </c>
      <c r="I59" s="9">
        <f t="shared" si="14"/>
        <v>78</v>
      </c>
      <c r="J59" s="9">
        <f t="shared" si="15"/>
        <v>41</v>
      </c>
      <c r="K59" s="9">
        <f t="shared" si="16"/>
        <v>82</v>
      </c>
      <c r="L59" s="9">
        <f t="shared" si="17"/>
        <v>43</v>
      </c>
      <c r="M59" s="9">
        <f t="shared" si="18"/>
        <v>86</v>
      </c>
      <c r="N59" s="9">
        <f t="shared" si="19"/>
        <v>45</v>
      </c>
      <c r="O59" s="9">
        <f t="shared" si="20"/>
        <v>89</v>
      </c>
      <c r="Q59" s="8">
        <v>4</v>
      </c>
      <c r="R59" s="8">
        <v>7.8</v>
      </c>
      <c r="S59" s="8">
        <v>4.1</v>
      </c>
      <c r="T59" s="8">
        <v>8.2</v>
      </c>
      <c r="U59" s="8">
        <v>4.3</v>
      </c>
      <c r="V59" s="8">
        <v>8.6</v>
      </c>
      <c r="W59" s="8">
        <v>4.5</v>
      </c>
      <c r="X59" s="8">
        <v>8.9</v>
      </c>
    </row>
    <row r="60" s="2" customFormat="1" spans="1:24">
      <c r="A60" s="2">
        <v>1007</v>
      </c>
      <c r="B60" s="2">
        <v>25</v>
      </c>
      <c r="C60" s="3">
        <v>7</v>
      </c>
      <c r="D60" s="7" t="str">
        <f t="shared" si="0"/>
        <v>78:156</v>
      </c>
      <c r="E60" s="7" t="str">
        <f t="shared" si="1"/>
        <v>82:164</v>
      </c>
      <c r="F60" s="7" t="str">
        <f t="shared" si="2"/>
        <v>86:172</v>
      </c>
      <c r="G60" s="7" t="str">
        <f t="shared" si="3"/>
        <v>89:180</v>
      </c>
      <c r="H60" s="9">
        <f t="shared" si="21"/>
        <v>78</v>
      </c>
      <c r="I60" s="9">
        <f t="shared" si="14"/>
        <v>156</v>
      </c>
      <c r="J60" s="9">
        <f t="shared" si="15"/>
        <v>82</v>
      </c>
      <c r="K60" s="9">
        <f t="shared" si="16"/>
        <v>164</v>
      </c>
      <c r="L60" s="9">
        <f t="shared" si="17"/>
        <v>86</v>
      </c>
      <c r="M60" s="9">
        <f t="shared" si="18"/>
        <v>172</v>
      </c>
      <c r="N60" s="9">
        <f t="shared" si="19"/>
        <v>89</v>
      </c>
      <c r="O60" s="9">
        <f t="shared" si="20"/>
        <v>180</v>
      </c>
      <c r="Q60" s="8">
        <v>7.8</v>
      </c>
      <c r="R60" s="8">
        <v>15.6</v>
      </c>
      <c r="S60" s="8">
        <v>8.2</v>
      </c>
      <c r="T60" s="8">
        <v>16.4</v>
      </c>
      <c r="U60" s="8">
        <v>8.6</v>
      </c>
      <c r="V60" s="8">
        <v>17.2</v>
      </c>
      <c r="W60" s="8">
        <v>8.9</v>
      </c>
      <c r="X60" s="8">
        <v>18</v>
      </c>
    </row>
    <row r="61" s="2" customFormat="1" spans="1:24">
      <c r="A61" s="2">
        <v>1008</v>
      </c>
      <c r="B61" s="2">
        <v>25</v>
      </c>
      <c r="C61" s="3">
        <v>5</v>
      </c>
      <c r="D61" s="7" t="str">
        <f t="shared" si="0"/>
        <v>78:156</v>
      </c>
      <c r="E61" s="7" t="str">
        <f t="shared" si="1"/>
        <v>82:164</v>
      </c>
      <c r="F61" s="7" t="str">
        <f t="shared" si="2"/>
        <v>86:172</v>
      </c>
      <c r="G61" s="7" t="str">
        <f t="shared" si="3"/>
        <v>89:180</v>
      </c>
      <c r="H61" s="9">
        <f t="shared" si="21"/>
        <v>78</v>
      </c>
      <c r="I61" s="9">
        <f t="shared" si="14"/>
        <v>156</v>
      </c>
      <c r="J61" s="9">
        <f t="shared" si="15"/>
        <v>82</v>
      </c>
      <c r="K61" s="9">
        <f t="shared" si="16"/>
        <v>164</v>
      </c>
      <c r="L61" s="9">
        <f t="shared" si="17"/>
        <v>86</v>
      </c>
      <c r="M61" s="9">
        <f t="shared" si="18"/>
        <v>172</v>
      </c>
      <c r="N61" s="9">
        <f t="shared" si="19"/>
        <v>89</v>
      </c>
      <c r="O61" s="9">
        <f t="shared" si="20"/>
        <v>180</v>
      </c>
      <c r="Q61" s="8">
        <v>7.8</v>
      </c>
      <c r="R61" s="8">
        <v>15.6</v>
      </c>
      <c r="S61" s="8">
        <v>8.2</v>
      </c>
      <c r="T61" s="8">
        <v>16.4</v>
      </c>
      <c r="U61" s="8">
        <v>8.6</v>
      </c>
      <c r="V61" s="8">
        <v>17.2</v>
      </c>
      <c r="W61" s="8">
        <v>8.9</v>
      </c>
      <c r="X61" s="8">
        <v>18</v>
      </c>
    </row>
    <row r="62" s="2" customFormat="1" spans="1:24">
      <c r="A62" s="2">
        <v>1009</v>
      </c>
      <c r="B62" s="2">
        <v>25</v>
      </c>
      <c r="C62" s="3">
        <v>12</v>
      </c>
      <c r="D62" s="7" t="str">
        <f t="shared" si="0"/>
        <v>16:31</v>
      </c>
      <c r="E62" s="7" t="str">
        <f t="shared" si="1"/>
        <v>16:33</v>
      </c>
      <c r="F62" s="7" t="str">
        <f t="shared" si="2"/>
        <v>17:34</v>
      </c>
      <c r="G62" s="7" t="str">
        <f t="shared" si="3"/>
        <v>18:36</v>
      </c>
      <c r="H62" s="9">
        <f t="shared" si="21"/>
        <v>16</v>
      </c>
      <c r="I62" s="9">
        <f t="shared" si="14"/>
        <v>31</v>
      </c>
      <c r="J62" s="9">
        <f t="shared" si="15"/>
        <v>16</v>
      </c>
      <c r="K62" s="9">
        <f t="shared" si="16"/>
        <v>33</v>
      </c>
      <c r="L62" s="9">
        <f t="shared" si="17"/>
        <v>17</v>
      </c>
      <c r="M62" s="9">
        <f t="shared" si="18"/>
        <v>34</v>
      </c>
      <c r="N62" s="9">
        <f t="shared" si="19"/>
        <v>18</v>
      </c>
      <c r="O62" s="9">
        <f t="shared" si="20"/>
        <v>36</v>
      </c>
      <c r="Q62" s="8">
        <v>1.6</v>
      </c>
      <c r="R62" s="8">
        <v>3.1</v>
      </c>
      <c r="S62" s="8">
        <v>1.6</v>
      </c>
      <c r="T62" s="8">
        <v>3.3</v>
      </c>
      <c r="U62" s="8">
        <v>1.7</v>
      </c>
      <c r="V62" s="8">
        <v>3.4</v>
      </c>
      <c r="W62" s="8">
        <v>1.8</v>
      </c>
      <c r="X62" s="8">
        <v>3.6</v>
      </c>
    </row>
    <row r="63" s="2" customFormat="1" spans="1:24">
      <c r="A63" s="2">
        <v>1010</v>
      </c>
      <c r="B63" s="2">
        <v>25</v>
      </c>
      <c r="C63" s="3">
        <v>13</v>
      </c>
      <c r="D63" s="7" t="str">
        <f t="shared" si="0"/>
        <v>78:156</v>
      </c>
      <c r="E63" s="7" t="str">
        <f t="shared" si="1"/>
        <v>82:164</v>
      </c>
      <c r="F63" s="7" t="str">
        <f t="shared" si="2"/>
        <v>86:172</v>
      </c>
      <c r="G63" s="7" t="str">
        <f t="shared" si="3"/>
        <v>89:180</v>
      </c>
      <c r="H63" s="9">
        <f t="shared" si="21"/>
        <v>78</v>
      </c>
      <c r="I63" s="9">
        <f t="shared" si="14"/>
        <v>156</v>
      </c>
      <c r="J63" s="9">
        <f t="shared" si="15"/>
        <v>82</v>
      </c>
      <c r="K63" s="9">
        <f t="shared" si="16"/>
        <v>164</v>
      </c>
      <c r="L63" s="9">
        <f t="shared" si="17"/>
        <v>86</v>
      </c>
      <c r="M63" s="9">
        <f t="shared" si="18"/>
        <v>172</v>
      </c>
      <c r="N63" s="9">
        <f t="shared" si="19"/>
        <v>89</v>
      </c>
      <c r="O63" s="9">
        <f t="shared" si="20"/>
        <v>180</v>
      </c>
      <c r="Q63" s="8">
        <v>7.8</v>
      </c>
      <c r="R63" s="8">
        <v>15.6</v>
      </c>
      <c r="S63" s="8">
        <v>8.2</v>
      </c>
      <c r="T63" s="8">
        <v>16.4</v>
      </c>
      <c r="U63" s="8">
        <v>8.6</v>
      </c>
      <c r="V63" s="8">
        <v>17.2</v>
      </c>
      <c r="W63" s="8">
        <v>8.9</v>
      </c>
      <c r="X63" s="8">
        <v>18</v>
      </c>
    </row>
    <row r="64" s="2" customFormat="1" spans="1:24">
      <c r="A64" s="2">
        <v>1001</v>
      </c>
      <c r="B64" s="2">
        <v>30</v>
      </c>
      <c r="C64" s="3">
        <v>1</v>
      </c>
      <c r="D64" s="7" t="str">
        <f t="shared" si="0"/>
        <v>1911:3823</v>
      </c>
      <c r="E64" s="7" t="str">
        <f t="shared" si="1"/>
        <v>2007:4014</v>
      </c>
      <c r="F64" s="7" t="str">
        <f t="shared" si="2"/>
        <v>2103:4205</v>
      </c>
      <c r="G64" s="7" t="str">
        <f t="shared" si="3"/>
        <v>2199:4396</v>
      </c>
      <c r="H64" s="9">
        <f t="shared" si="21"/>
        <v>1911</v>
      </c>
      <c r="I64" s="9">
        <f t="shared" si="14"/>
        <v>3823</v>
      </c>
      <c r="J64" s="9">
        <f t="shared" si="15"/>
        <v>2007</v>
      </c>
      <c r="K64" s="9">
        <f t="shared" si="16"/>
        <v>4014</v>
      </c>
      <c r="L64" s="9">
        <f t="shared" si="17"/>
        <v>2103</v>
      </c>
      <c r="M64" s="9">
        <f t="shared" si="18"/>
        <v>4205</v>
      </c>
      <c r="N64" s="9">
        <f t="shared" si="19"/>
        <v>2199</v>
      </c>
      <c r="O64" s="9">
        <f t="shared" si="20"/>
        <v>4396</v>
      </c>
      <c r="Q64" s="8">
        <v>191.1</v>
      </c>
      <c r="R64" s="8">
        <v>382.3</v>
      </c>
      <c r="S64" s="8">
        <v>200.7</v>
      </c>
      <c r="T64" s="8">
        <v>401.4</v>
      </c>
      <c r="U64" s="8">
        <v>210.3</v>
      </c>
      <c r="V64" s="8">
        <v>420.5</v>
      </c>
      <c r="W64" s="8">
        <v>219.9</v>
      </c>
      <c r="X64" s="8">
        <v>439.6</v>
      </c>
    </row>
    <row r="65" s="2" customFormat="1" spans="1:24">
      <c r="A65" s="2">
        <v>1002</v>
      </c>
      <c r="B65" s="2">
        <v>30</v>
      </c>
      <c r="C65" s="3">
        <v>2</v>
      </c>
      <c r="D65" s="7" t="str">
        <f t="shared" si="0"/>
        <v>241:483</v>
      </c>
      <c r="E65" s="7" t="str">
        <f t="shared" si="1"/>
        <v>253:507</v>
      </c>
      <c r="F65" s="7" t="str">
        <f t="shared" si="2"/>
        <v>265:531</v>
      </c>
      <c r="G65" s="7" t="str">
        <f t="shared" si="3"/>
        <v>277:555</v>
      </c>
      <c r="H65" s="9">
        <f t="shared" si="21"/>
        <v>241</v>
      </c>
      <c r="I65" s="9">
        <f t="shared" si="14"/>
        <v>483</v>
      </c>
      <c r="J65" s="9">
        <f t="shared" si="15"/>
        <v>253</v>
      </c>
      <c r="K65" s="9">
        <f t="shared" si="16"/>
        <v>507</v>
      </c>
      <c r="L65" s="9">
        <f t="shared" si="17"/>
        <v>265</v>
      </c>
      <c r="M65" s="9">
        <f t="shared" si="18"/>
        <v>531</v>
      </c>
      <c r="N65" s="9">
        <f t="shared" si="19"/>
        <v>277</v>
      </c>
      <c r="O65" s="9">
        <f t="shared" si="20"/>
        <v>555</v>
      </c>
      <c r="Q65" s="8">
        <v>24.1</v>
      </c>
      <c r="R65" s="8">
        <v>48.3</v>
      </c>
      <c r="S65" s="8">
        <v>25.3</v>
      </c>
      <c r="T65" s="8">
        <v>50.7</v>
      </c>
      <c r="U65" s="8">
        <v>26.5</v>
      </c>
      <c r="V65" s="8">
        <v>53.1</v>
      </c>
      <c r="W65" s="8">
        <v>27.7</v>
      </c>
      <c r="X65" s="8">
        <v>55.5</v>
      </c>
    </row>
    <row r="66" s="2" customFormat="1" spans="1:24">
      <c r="A66" s="2">
        <v>1003</v>
      </c>
      <c r="B66" s="2">
        <v>30</v>
      </c>
      <c r="C66" s="3">
        <v>4</v>
      </c>
      <c r="D66" s="7" t="str">
        <f t="shared" si="0"/>
        <v>152:303</v>
      </c>
      <c r="E66" s="7" t="str">
        <f t="shared" si="1"/>
        <v>159:319</v>
      </c>
      <c r="F66" s="7" t="str">
        <f t="shared" si="2"/>
        <v>167:334</v>
      </c>
      <c r="G66" s="7" t="str">
        <f t="shared" si="3"/>
        <v>175:348</v>
      </c>
      <c r="H66" s="9">
        <f t="shared" si="21"/>
        <v>152</v>
      </c>
      <c r="I66" s="9">
        <f t="shared" si="14"/>
        <v>303</v>
      </c>
      <c r="J66" s="9">
        <f t="shared" si="15"/>
        <v>159</v>
      </c>
      <c r="K66" s="9">
        <f t="shared" si="16"/>
        <v>319</v>
      </c>
      <c r="L66" s="9">
        <f t="shared" si="17"/>
        <v>167</v>
      </c>
      <c r="M66" s="9">
        <f t="shared" si="18"/>
        <v>334</v>
      </c>
      <c r="N66" s="9">
        <f t="shared" si="19"/>
        <v>175</v>
      </c>
      <c r="O66" s="9">
        <f t="shared" si="20"/>
        <v>348</v>
      </c>
      <c r="Q66" s="8">
        <v>15.2</v>
      </c>
      <c r="R66" s="8">
        <v>30.3</v>
      </c>
      <c r="S66" s="8">
        <v>15.9</v>
      </c>
      <c r="T66" s="8">
        <v>31.9</v>
      </c>
      <c r="U66" s="8">
        <v>16.7</v>
      </c>
      <c r="V66" s="8">
        <v>33.4</v>
      </c>
      <c r="W66" s="8">
        <v>17.5</v>
      </c>
      <c r="X66" s="8">
        <v>34.8</v>
      </c>
    </row>
    <row r="67" s="2" customFormat="1" spans="1:24">
      <c r="A67" s="2">
        <v>1004</v>
      </c>
      <c r="B67" s="2">
        <v>30</v>
      </c>
      <c r="C67" s="3">
        <v>3</v>
      </c>
      <c r="D67" s="7" t="str">
        <f t="shared" si="0"/>
        <v>241:483</v>
      </c>
      <c r="E67" s="7" t="str">
        <f t="shared" si="1"/>
        <v>253:507</v>
      </c>
      <c r="F67" s="7" t="str">
        <f t="shared" si="2"/>
        <v>265:531</v>
      </c>
      <c r="G67" s="7" t="str">
        <f t="shared" si="3"/>
        <v>277:555</v>
      </c>
      <c r="H67" s="9">
        <f t="shared" si="21"/>
        <v>241</v>
      </c>
      <c r="I67" s="9">
        <f t="shared" si="14"/>
        <v>483</v>
      </c>
      <c r="J67" s="9">
        <f t="shared" si="15"/>
        <v>253</v>
      </c>
      <c r="K67" s="9">
        <f t="shared" si="16"/>
        <v>507</v>
      </c>
      <c r="L67" s="9">
        <f t="shared" si="17"/>
        <v>265</v>
      </c>
      <c r="M67" s="9">
        <f t="shared" si="18"/>
        <v>531</v>
      </c>
      <c r="N67" s="9">
        <f t="shared" si="19"/>
        <v>277</v>
      </c>
      <c r="O67" s="9">
        <f t="shared" si="20"/>
        <v>555</v>
      </c>
      <c r="Q67" s="8">
        <v>24.1</v>
      </c>
      <c r="R67" s="8">
        <v>48.3</v>
      </c>
      <c r="S67" s="8">
        <v>25.3</v>
      </c>
      <c r="T67" s="8">
        <v>50.7</v>
      </c>
      <c r="U67" s="8">
        <v>26.5</v>
      </c>
      <c r="V67" s="8">
        <v>53.1</v>
      </c>
      <c r="W67" s="8">
        <v>27.7</v>
      </c>
      <c r="X67" s="8">
        <v>55.5</v>
      </c>
    </row>
    <row r="68" s="2" customFormat="1" spans="1:24">
      <c r="A68" s="2">
        <v>1005</v>
      </c>
      <c r="B68" s="2">
        <v>30</v>
      </c>
      <c r="C68" s="3">
        <v>27</v>
      </c>
      <c r="D68" s="7" t="str">
        <f t="shared" ref="D68:D131" si="22">H68&amp;":"&amp;I68</f>
        <v>152:303</v>
      </c>
      <c r="E68" s="7" t="str">
        <f t="shared" ref="E68:E131" si="23">J68&amp;":"&amp;K68</f>
        <v>159:319</v>
      </c>
      <c r="F68" s="7" t="str">
        <f t="shared" ref="F68:F131" si="24">L68&amp;":"&amp;M68</f>
        <v>167:334</v>
      </c>
      <c r="G68" s="7" t="str">
        <f t="shared" ref="G68:G131" si="25">N68&amp;":"&amp;O68</f>
        <v>175:348</v>
      </c>
      <c r="H68" s="9">
        <f t="shared" si="21"/>
        <v>152</v>
      </c>
      <c r="I68" s="9">
        <f t="shared" si="14"/>
        <v>303</v>
      </c>
      <c r="J68" s="9">
        <f t="shared" si="15"/>
        <v>159</v>
      </c>
      <c r="K68" s="9">
        <f t="shared" si="16"/>
        <v>319</v>
      </c>
      <c r="L68" s="9">
        <f t="shared" si="17"/>
        <v>167</v>
      </c>
      <c r="M68" s="9">
        <f t="shared" si="18"/>
        <v>334</v>
      </c>
      <c r="N68" s="9">
        <f t="shared" si="19"/>
        <v>175</v>
      </c>
      <c r="O68" s="9">
        <f t="shared" si="20"/>
        <v>348</v>
      </c>
      <c r="Q68" s="8">
        <v>15.2</v>
      </c>
      <c r="R68" s="8">
        <v>30.3</v>
      </c>
      <c r="S68" s="8">
        <v>15.9</v>
      </c>
      <c r="T68" s="8">
        <v>31.9</v>
      </c>
      <c r="U68" s="8">
        <v>16.7</v>
      </c>
      <c r="V68" s="8">
        <v>33.4</v>
      </c>
      <c r="W68" s="8">
        <v>17.5</v>
      </c>
      <c r="X68" s="8">
        <v>34.8</v>
      </c>
    </row>
    <row r="69" s="2" customFormat="1" spans="1:24">
      <c r="A69" s="2">
        <v>1006</v>
      </c>
      <c r="B69" s="2">
        <v>30</v>
      </c>
      <c r="C69" s="3">
        <v>28</v>
      </c>
      <c r="D69" s="7" t="str">
        <f t="shared" si="22"/>
        <v>45:90</v>
      </c>
      <c r="E69" s="7" t="str">
        <f t="shared" si="23"/>
        <v>47:94</v>
      </c>
      <c r="F69" s="7" t="str">
        <f t="shared" si="24"/>
        <v>50:98</v>
      </c>
      <c r="G69" s="7" t="str">
        <f t="shared" si="25"/>
        <v>51:103</v>
      </c>
      <c r="H69" s="9">
        <f t="shared" si="21"/>
        <v>45</v>
      </c>
      <c r="I69" s="9">
        <f t="shared" ref="I69:I100" si="26">R69*10</f>
        <v>90</v>
      </c>
      <c r="J69" s="9">
        <f t="shared" ref="J69:J100" si="27">S69*10</f>
        <v>47</v>
      </c>
      <c r="K69" s="9">
        <f t="shared" ref="K69:K100" si="28">T69*10</f>
        <v>94</v>
      </c>
      <c r="L69" s="9">
        <f t="shared" ref="L69:L100" si="29">U69*10</f>
        <v>50</v>
      </c>
      <c r="M69" s="9">
        <f t="shared" ref="M69:M100" si="30">V69*10</f>
        <v>98</v>
      </c>
      <c r="N69" s="9">
        <f t="shared" ref="N69:N100" si="31">W69*10</f>
        <v>51</v>
      </c>
      <c r="O69" s="9">
        <f t="shared" ref="O69:O100" si="32">X69*10</f>
        <v>103</v>
      </c>
      <c r="Q69" s="8">
        <v>4.5</v>
      </c>
      <c r="R69" s="8">
        <v>9</v>
      </c>
      <c r="S69" s="8">
        <v>4.7</v>
      </c>
      <c r="T69" s="8">
        <v>9.4</v>
      </c>
      <c r="U69" s="8">
        <v>5</v>
      </c>
      <c r="V69" s="8">
        <v>9.8</v>
      </c>
      <c r="W69" s="8">
        <v>5.1</v>
      </c>
      <c r="X69" s="8">
        <v>10.3</v>
      </c>
    </row>
    <row r="70" s="2" customFormat="1" spans="1:24">
      <c r="A70" s="2">
        <v>1007</v>
      </c>
      <c r="B70" s="2">
        <v>30</v>
      </c>
      <c r="C70" s="3">
        <v>7</v>
      </c>
      <c r="D70" s="7" t="str">
        <f t="shared" si="22"/>
        <v>90:179</v>
      </c>
      <c r="E70" s="7" t="str">
        <f t="shared" si="23"/>
        <v>94:188</v>
      </c>
      <c r="F70" s="7" t="str">
        <f t="shared" si="24"/>
        <v>98:198</v>
      </c>
      <c r="G70" s="7" t="str">
        <f t="shared" si="25"/>
        <v>103:206</v>
      </c>
      <c r="H70" s="9">
        <f t="shared" si="21"/>
        <v>90</v>
      </c>
      <c r="I70" s="9">
        <f t="shared" si="26"/>
        <v>179</v>
      </c>
      <c r="J70" s="9">
        <f t="shared" si="27"/>
        <v>94</v>
      </c>
      <c r="K70" s="9">
        <f t="shared" si="28"/>
        <v>188</v>
      </c>
      <c r="L70" s="9">
        <f t="shared" si="29"/>
        <v>98</v>
      </c>
      <c r="M70" s="9">
        <f t="shared" si="30"/>
        <v>198</v>
      </c>
      <c r="N70" s="9">
        <f t="shared" si="31"/>
        <v>103</v>
      </c>
      <c r="O70" s="9">
        <f t="shared" si="32"/>
        <v>206</v>
      </c>
      <c r="Q70" s="8">
        <v>9</v>
      </c>
      <c r="R70" s="8">
        <v>17.9</v>
      </c>
      <c r="S70" s="8">
        <v>9.4</v>
      </c>
      <c r="T70" s="8">
        <v>18.8</v>
      </c>
      <c r="U70" s="8">
        <v>9.8</v>
      </c>
      <c r="V70" s="8">
        <v>19.8</v>
      </c>
      <c r="W70" s="8">
        <v>10.3</v>
      </c>
      <c r="X70" s="8">
        <v>20.6</v>
      </c>
    </row>
    <row r="71" s="2" customFormat="1" spans="1:24">
      <c r="A71" s="2">
        <v>1008</v>
      </c>
      <c r="B71" s="2">
        <v>30</v>
      </c>
      <c r="C71" s="3">
        <v>5</v>
      </c>
      <c r="D71" s="7" t="str">
        <f t="shared" si="22"/>
        <v>90:179</v>
      </c>
      <c r="E71" s="7" t="str">
        <f t="shared" si="23"/>
        <v>94:188</v>
      </c>
      <c r="F71" s="7" t="str">
        <f t="shared" si="24"/>
        <v>98:198</v>
      </c>
      <c r="G71" s="7" t="str">
        <f t="shared" si="25"/>
        <v>103:206</v>
      </c>
      <c r="H71" s="9">
        <f t="shared" si="21"/>
        <v>90</v>
      </c>
      <c r="I71" s="9">
        <f t="shared" si="26"/>
        <v>179</v>
      </c>
      <c r="J71" s="9">
        <f t="shared" si="27"/>
        <v>94</v>
      </c>
      <c r="K71" s="9">
        <f t="shared" si="28"/>
        <v>188</v>
      </c>
      <c r="L71" s="9">
        <f t="shared" si="29"/>
        <v>98</v>
      </c>
      <c r="M71" s="9">
        <f t="shared" si="30"/>
        <v>198</v>
      </c>
      <c r="N71" s="9">
        <f t="shared" si="31"/>
        <v>103</v>
      </c>
      <c r="O71" s="9">
        <f t="shared" si="32"/>
        <v>206</v>
      </c>
      <c r="Q71" s="8">
        <v>9</v>
      </c>
      <c r="R71" s="8">
        <v>17.9</v>
      </c>
      <c r="S71" s="8">
        <v>9.4</v>
      </c>
      <c r="T71" s="8">
        <v>18.8</v>
      </c>
      <c r="U71" s="8">
        <v>9.8</v>
      </c>
      <c r="V71" s="8">
        <v>19.8</v>
      </c>
      <c r="W71" s="8">
        <v>10.3</v>
      </c>
      <c r="X71" s="8">
        <v>20.6</v>
      </c>
    </row>
    <row r="72" s="2" customFormat="1" spans="1:24">
      <c r="A72" s="2">
        <v>1009</v>
      </c>
      <c r="B72" s="2">
        <v>30</v>
      </c>
      <c r="C72" s="3">
        <v>12</v>
      </c>
      <c r="D72" s="7" t="str">
        <f t="shared" si="22"/>
        <v>18:36</v>
      </c>
      <c r="E72" s="7" t="str">
        <f t="shared" si="23"/>
        <v>19:38</v>
      </c>
      <c r="F72" s="7" t="str">
        <f t="shared" si="24"/>
        <v>20:40</v>
      </c>
      <c r="G72" s="7" t="str">
        <f t="shared" si="25"/>
        <v>21:41</v>
      </c>
      <c r="H72" s="9">
        <f t="shared" si="21"/>
        <v>18</v>
      </c>
      <c r="I72" s="9">
        <f t="shared" si="26"/>
        <v>36</v>
      </c>
      <c r="J72" s="9">
        <f t="shared" si="27"/>
        <v>19</v>
      </c>
      <c r="K72" s="9">
        <f t="shared" si="28"/>
        <v>38</v>
      </c>
      <c r="L72" s="9">
        <f t="shared" si="29"/>
        <v>20</v>
      </c>
      <c r="M72" s="9">
        <f t="shared" si="30"/>
        <v>40</v>
      </c>
      <c r="N72" s="9">
        <f t="shared" si="31"/>
        <v>21</v>
      </c>
      <c r="O72" s="9">
        <f t="shared" si="32"/>
        <v>41</v>
      </c>
      <c r="Q72" s="8">
        <v>1.8</v>
      </c>
      <c r="R72" s="8">
        <v>3.6</v>
      </c>
      <c r="S72" s="8">
        <v>1.9</v>
      </c>
      <c r="T72" s="8">
        <v>3.8</v>
      </c>
      <c r="U72" s="8">
        <v>2</v>
      </c>
      <c r="V72" s="8">
        <v>4</v>
      </c>
      <c r="W72" s="8">
        <v>2.1</v>
      </c>
      <c r="X72" s="8">
        <v>4.1</v>
      </c>
    </row>
    <row r="73" s="2" customFormat="1" spans="1:24">
      <c r="A73" s="2">
        <v>1010</v>
      </c>
      <c r="B73" s="2">
        <v>30</v>
      </c>
      <c r="C73" s="3">
        <v>13</v>
      </c>
      <c r="D73" s="7" t="str">
        <f t="shared" si="22"/>
        <v>90:179</v>
      </c>
      <c r="E73" s="7" t="str">
        <f t="shared" si="23"/>
        <v>94:188</v>
      </c>
      <c r="F73" s="7" t="str">
        <f t="shared" si="24"/>
        <v>98:198</v>
      </c>
      <c r="G73" s="7" t="str">
        <f t="shared" si="25"/>
        <v>103:206</v>
      </c>
      <c r="H73" s="9">
        <f t="shared" si="21"/>
        <v>90</v>
      </c>
      <c r="I73" s="9">
        <f t="shared" si="26"/>
        <v>179</v>
      </c>
      <c r="J73" s="9">
        <f t="shared" si="27"/>
        <v>94</v>
      </c>
      <c r="K73" s="9">
        <f t="shared" si="28"/>
        <v>188</v>
      </c>
      <c r="L73" s="9">
        <f t="shared" si="29"/>
        <v>98</v>
      </c>
      <c r="M73" s="9">
        <f t="shared" si="30"/>
        <v>198</v>
      </c>
      <c r="N73" s="9">
        <f t="shared" si="31"/>
        <v>103</v>
      </c>
      <c r="O73" s="9">
        <f t="shared" si="32"/>
        <v>206</v>
      </c>
      <c r="Q73" s="8">
        <v>9</v>
      </c>
      <c r="R73" s="8">
        <v>17.9</v>
      </c>
      <c r="S73" s="8">
        <v>9.4</v>
      </c>
      <c r="T73" s="8">
        <v>18.8</v>
      </c>
      <c r="U73" s="8">
        <v>9.8</v>
      </c>
      <c r="V73" s="8">
        <v>19.8</v>
      </c>
      <c r="W73" s="8">
        <v>10.3</v>
      </c>
      <c r="X73" s="8">
        <v>20.6</v>
      </c>
    </row>
    <row r="74" s="2" customFormat="1" spans="1:24">
      <c r="A74" s="2">
        <v>1001</v>
      </c>
      <c r="B74" s="2">
        <v>45</v>
      </c>
      <c r="C74" s="3">
        <v>1</v>
      </c>
      <c r="D74" s="7" t="str">
        <f t="shared" si="22"/>
        <v>2647:5293</v>
      </c>
      <c r="E74" s="7" t="str">
        <f t="shared" si="23"/>
        <v>2779:5558</v>
      </c>
      <c r="F74" s="7" t="str">
        <f t="shared" si="24"/>
        <v>2911:5822</v>
      </c>
      <c r="G74" s="7" t="str">
        <f t="shared" si="25"/>
        <v>3044:6087</v>
      </c>
      <c r="H74" s="9">
        <f t="shared" si="21"/>
        <v>2647</v>
      </c>
      <c r="I74" s="9">
        <f t="shared" si="26"/>
        <v>5293</v>
      </c>
      <c r="J74" s="9">
        <f t="shared" si="27"/>
        <v>2779</v>
      </c>
      <c r="K74" s="9">
        <f t="shared" si="28"/>
        <v>5558</v>
      </c>
      <c r="L74" s="9">
        <f t="shared" si="29"/>
        <v>2911</v>
      </c>
      <c r="M74" s="9">
        <f t="shared" si="30"/>
        <v>5822</v>
      </c>
      <c r="N74" s="9">
        <f t="shared" si="31"/>
        <v>3044</v>
      </c>
      <c r="O74" s="9">
        <f t="shared" si="32"/>
        <v>6087</v>
      </c>
      <c r="Q74" s="8">
        <v>264.7</v>
      </c>
      <c r="R74" s="8">
        <v>529.3</v>
      </c>
      <c r="S74" s="8">
        <v>277.9</v>
      </c>
      <c r="T74" s="8">
        <v>555.8</v>
      </c>
      <c r="U74" s="8">
        <v>291.1</v>
      </c>
      <c r="V74" s="8">
        <v>582.2</v>
      </c>
      <c r="W74" s="8">
        <v>304.4</v>
      </c>
      <c r="X74" s="8">
        <v>608.7</v>
      </c>
    </row>
    <row r="75" s="2" customFormat="1" spans="1:24">
      <c r="A75" s="2">
        <v>1002</v>
      </c>
      <c r="B75" s="2">
        <v>45</v>
      </c>
      <c r="C75" s="3">
        <v>2</v>
      </c>
      <c r="D75" s="7" t="str">
        <f t="shared" si="22"/>
        <v>334:668</v>
      </c>
      <c r="E75" s="7" t="str">
        <f t="shared" si="23"/>
        <v>351:702</v>
      </c>
      <c r="F75" s="7" t="str">
        <f t="shared" si="24"/>
        <v>367:735</v>
      </c>
      <c r="G75" s="7" t="str">
        <f t="shared" si="25"/>
        <v>384:768</v>
      </c>
      <c r="H75" s="9">
        <f t="shared" si="21"/>
        <v>334</v>
      </c>
      <c r="I75" s="9">
        <f t="shared" si="26"/>
        <v>668</v>
      </c>
      <c r="J75" s="9">
        <f t="shared" si="27"/>
        <v>351</v>
      </c>
      <c r="K75" s="9">
        <f t="shared" si="28"/>
        <v>702</v>
      </c>
      <c r="L75" s="9">
        <f t="shared" si="29"/>
        <v>367</v>
      </c>
      <c r="M75" s="9">
        <f t="shared" si="30"/>
        <v>735</v>
      </c>
      <c r="N75" s="9">
        <f t="shared" si="31"/>
        <v>384</v>
      </c>
      <c r="O75" s="9">
        <f t="shared" si="32"/>
        <v>768</v>
      </c>
      <c r="Q75" s="8">
        <v>33.4</v>
      </c>
      <c r="R75" s="8">
        <v>66.8</v>
      </c>
      <c r="S75" s="8">
        <v>35.1</v>
      </c>
      <c r="T75" s="8">
        <v>70.2</v>
      </c>
      <c r="U75" s="8">
        <v>36.7</v>
      </c>
      <c r="V75" s="8">
        <v>73.5</v>
      </c>
      <c r="W75" s="8">
        <v>38.4</v>
      </c>
      <c r="X75" s="8">
        <v>76.8</v>
      </c>
    </row>
    <row r="76" s="2" customFormat="1" spans="1:24">
      <c r="A76" s="2">
        <v>1003</v>
      </c>
      <c r="B76" s="2">
        <v>45</v>
      </c>
      <c r="C76" s="3">
        <v>4</v>
      </c>
      <c r="D76" s="7" t="str">
        <f t="shared" si="22"/>
        <v>210:420</v>
      </c>
      <c r="E76" s="7" t="str">
        <f t="shared" si="23"/>
        <v>221:441</v>
      </c>
      <c r="F76" s="7" t="str">
        <f t="shared" si="24"/>
        <v>231:462</v>
      </c>
      <c r="G76" s="7" t="str">
        <f t="shared" si="25"/>
        <v>242:482</v>
      </c>
      <c r="H76" s="9">
        <f t="shared" si="21"/>
        <v>210</v>
      </c>
      <c r="I76" s="9">
        <f t="shared" si="26"/>
        <v>420</v>
      </c>
      <c r="J76" s="9">
        <f t="shared" si="27"/>
        <v>221</v>
      </c>
      <c r="K76" s="9">
        <f t="shared" si="28"/>
        <v>441</v>
      </c>
      <c r="L76" s="9">
        <f t="shared" si="29"/>
        <v>231</v>
      </c>
      <c r="M76" s="9">
        <f t="shared" si="30"/>
        <v>462</v>
      </c>
      <c r="N76" s="9">
        <f t="shared" si="31"/>
        <v>242</v>
      </c>
      <c r="O76" s="9">
        <f t="shared" si="32"/>
        <v>482</v>
      </c>
      <c r="Q76" s="8">
        <v>21</v>
      </c>
      <c r="R76" s="8">
        <v>42</v>
      </c>
      <c r="S76" s="8">
        <v>22.1</v>
      </c>
      <c r="T76" s="8">
        <v>44.1</v>
      </c>
      <c r="U76" s="8">
        <v>23.1</v>
      </c>
      <c r="V76" s="8">
        <v>46.2</v>
      </c>
      <c r="W76" s="8">
        <v>24.2</v>
      </c>
      <c r="X76" s="8">
        <v>48.2</v>
      </c>
    </row>
    <row r="77" s="2" customFormat="1" spans="1:24">
      <c r="A77" s="2">
        <v>1004</v>
      </c>
      <c r="B77" s="2">
        <v>45</v>
      </c>
      <c r="C77" s="3">
        <v>3</v>
      </c>
      <c r="D77" s="7" t="str">
        <f t="shared" si="22"/>
        <v>334:668</v>
      </c>
      <c r="E77" s="7" t="str">
        <f t="shared" si="23"/>
        <v>351:702</v>
      </c>
      <c r="F77" s="7" t="str">
        <f t="shared" si="24"/>
        <v>367:735</v>
      </c>
      <c r="G77" s="7" t="str">
        <f t="shared" si="25"/>
        <v>384:768</v>
      </c>
      <c r="H77" s="9">
        <f t="shared" si="21"/>
        <v>334</v>
      </c>
      <c r="I77" s="9">
        <f t="shared" si="26"/>
        <v>668</v>
      </c>
      <c r="J77" s="9">
        <f t="shared" si="27"/>
        <v>351</v>
      </c>
      <c r="K77" s="9">
        <f t="shared" si="28"/>
        <v>702</v>
      </c>
      <c r="L77" s="9">
        <f t="shared" si="29"/>
        <v>367</v>
      </c>
      <c r="M77" s="9">
        <f t="shared" si="30"/>
        <v>735</v>
      </c>
      <c r="N77" s="9">
        <f t="shared" si="31"/>
        <v>384</v>
      </c>
      <c r="O77" s="9">
        <f t="shared" si="32"/>
        <v>768</v>
      </c>
      <c r="Q77" s="8">
        <v>33.4</v>
      </c>
      <c r="R77" s="8">
        <v>66.8</v>
      </c>
      <c r="S77" s="8">
        <v>35.1</v>
      </c>
      <c r="T77" s="8">
        <v>70.2</v>
      </c>
      <c r="U77" s="8">
        <v>36.7</v>
      </c>
      <c r="V77" s="8">
        <v>73.5</v>
      </c>
      <c r="W77" s="8">
        <v>38.4</v>
      </c>
      <c r="X77" s="8">
        <v>76.8</v>
      </c>
    </row>
    <row r="78" s="2" customFormat="1" spans="1:24">
      <c r="A78" s="2">
        <v>1005</v>
      </c>
      <c r="B78" s="2">
        <v>45</v>
      </c>
      <c r="C78" s="3">
        <v>27</v>
      </c>
      <c r="D78" s="7" t="str">
        <f t="shared" si="22"/>
        <v>210:420</v>
      </c>
      <c r="E78" s="7" t="str">
        <f t="shared" si="23"/>
        <v>221:441</v>
      </c>
      <c r="F78" s="7" t="str">
        <f t="shared" si="24"/>
        <v>231:462</v>
      </c>
      <c r="G78" s="7" t="str">
        <f t="shared" si="25"/>
        <v>242:482</v>
      </c>
      <c r="H78" s="9">
        <f t="shared" ref="H78:H109" si="33">Q78*10</f>
        <v>210</v>
      </c>
      <c r="I78" s="9">
        <f t="shared" si="26"/>
        <v>420</v>
      </c>
      <c r="J78" s="9">
        <f t="shared" si="27"/>
        <v>221</v>
      </c>
      <c r="K78" s="9">
        <f t="shared" si="28"/>
        <v>441</v>
      </c>
      <c r="L78" s="9">
        <f t="shared" si="29"/>
        <v>231</v>
      </c>
      <c r="M78" s="9">
        <f t="shared" si="30"/>
        <v>462</v>
      </c>
      <c r="N78" s="9">
        <f t="shared" si="31"/>
        <v>242</v>
      </c>
      <c r="O78" s="9">
        <f t="shared" si="32"/>
        <v>482</v>
      </c>
      <c r="Q78" s="8">
        <v>21</v>
      </c>
      <c r="R78" s="8">
        <v>42</v>
      </c>
      <c r="S78" s="8">
        <v>22.1</v>
      </c>
      <c r="T78" s="8">
        <v>44.1</v>
      </c>
      <c r="U78" s="8">
        <v>23.1</v>
      </c>
      <c r="V78" s="8">
        <v>46.2</v>
      </c>
      <c r="W78" s="8">
        <v>24.2</v>
      </c>
      <c r="X78" s="8">
        <v>48.2</v>
      </c>
    </row>
    <row r="79" s="2" customFormat="1" spans="1:24">
      <c r="A79" s="2">
        <v>1006</v>
      </c>
      <c r="B79" s="2">
        <v>45</v>
      </c>
      <c r="C79" s="3">
        <v>28</v>
      </c>
      <c r="D79" s="7" t="str">
        <f t="shared" si="22"/>
        <v>63:124</v>
      </c>
      <c r="E79" s="7" t="str">
        <f t="shared" si="23"/>
        <v>65:130</v>
      </c>
      <c r="F79" s="7" t="str">
        <f t="shared" si="24"/>
        <v>69:136</v>
      </c>
      <c r="G79" s="7" t="str">
        <f t="shared" si="25"/>
        <v>71:142</v>
      </c>
      <c r="H79" s="9">
        <f t="shared" si="33"/>
        <v>63</v>
      </c>
      <c r="I79" s="9">
        <f t="shared" si="26"/>
        <v>124</v>
      </c>
      <c r="J79" s="9">
        <f t="shared" si="27"/>
        <v>65</v>
      </c>
      <c r="K79" s="9">
        <f t="shared" si="28"/>
        <v>130</v>
      </c>
      <c r="L79" s="9">
        <f t="shared" si="29"/>
        <v>69</v>
      </c>
      <c r="M79" s="9">
        <f t="shared" si="30"/>
        <v>136</v>
      </c>
      <c r="N79" s="9">
        <f t="shared" si="31"/>
        <v>71</v>
      </c>
      <c r="O79" s="9">
        <f t="shared" si="32"/>
        <v>142</v>
      </c>
      <c r="Q79" s="8">
        <v>6.3</v>
      </c>
      <c r="R79" s="8">
        <v>12.4</v>
      </c>
      <c r="S79" s="8">
        <v>6.5</v>
      </c>
      <c r="T79" s="8">
        <v>13</v>
      </c>
      <c r="U79" s="8">
        <v>6.9</v>
      </c>
      <c r="V79" s="8">
        <v>13.6</v>
      </c>
      <c r="W79" s="8">
        <v>7.1</v>
      </c>
      <c r="X79" s="8">
        <v>14.2</v>
      </c>
    </row>
    <row r="80" s="2" customFormat="1" spans="1:24">
      <c r="A80" s="2">
        <v>1007</v>
      </c>
      <c r="B80" s="2">
        <v>45</v>
      </c>
      <c r="C80" s="3">
        <v>7</v>
      </c>
      <c r="D80" s="7" t="str">
        <f t="shared" si="22"/>
        <v>124:248</v>
      </c>
      <c r="E80" s="7" t="str">
        <f t="shared" si="23"/>
        <v>130:261</v>
      </c>
      <c r="F80" s="7" t="str">
        <f t="shared" si="24"/>
        <v>136:274</v>
      </c>
      <c r="G80" s="7" t="str">
        <f t="shared" si="25"/>
        <v>142:286</v>
      </c>
      <c r="H80" s="9">
        <f t="shared" si="33"/>
        <v>124</v>
      </c>
      <c r="I80" s="9">
        <f t="shared" si="26"/>
        <v>248</v>
      </c>
      <c r="J80" s="9">
        <f t="shared" si="27"/>
        <v>130</v>
      </c>
      <c r="K80" s="9">
        <f t="shared" si="28"/>
        <v>261</v>
      </c>
      <c r="L80" s="9">
        <f t="shared" si="29"/>
        <v>136</v>
      </c>
      <c r="M80" s="9">
        <f t="shared" si="30"/>
        <v>274</v>
      </c>
      <c r="N80" s="9">
        <f t="shared" si="31"/>
        <v>142</v>
      </c>
      <c r="O80" s="9">
        <f t="shared" si="32"/>
        <v>286</v>
      </c>
      <c r="Q80" s="8">
        <v>12.4</v>
      </c>
      <c r="R80" s="8">
        <v>24.8</v>
      </c>
      <c r="S80" s="8">
        <v>13</v>
      </c>
      <c r="T80" s="8">
        <v>26.1</v>
      </c>
      <c r="U80" s="8">
        <v>13.6</v>
      </c>
      <c r="V80" s="8">
        <v>27.4</v>
      </c>
      <c r="W80" s="8">
        <v>14.2</v>
      </c>
      <c r="X80" s="8">
        <v>28.6</v>
      </c>
    </row>
    <row r="81" s="2" customFormat="1" spans="1:24">
      <c r="A81" s="2">
        <v>1008</v>
      </c>
      <c r="B81" s="2">
        <v>45</v>
      </c>
      <c r="C81" s="3">
        <v>5</v>
      </c>
      <c r="D81" s="7" t="str">
        <f t="shared" si="22"/>
        <v>124:248</v>
      </c>
      <c r="E81" s="7" t="str">
        <f t="shared" si="23"/>
        <v>130:261</v>
      </c>
      <c r="F81" s="7" t="str">
        <f t="shared" si="24"/>
        <v>136:274</v>
      </c>
      <c r="G81" s="7" t="str">
        <f t="shared" si="25"/>
        <v>142:286</v>
      </c>
      <c r="H81" s="9">
        <f t="shared" si="33"/>
        <v>124</v>
      </c>
      <c r="I81" s="9">
        <f t="shared" si="26"/>
        <v>248</v>
      </c>
      <c r="J81" s="9">
        <f t="shared" si="27"/>
        <v>130</v>
      </c>
      <c r="K81" s="9">
        <f t="shared" si="28"/>
        <v>261</v>
      </c>
      <c r="L81" s="9">
        <f t="shared" si="29"/>
        <v>136</v>
      </c>
      <c r="M81" s="9">
        <f t="shared" si="30"/>
        <v>274</v>
      </c>
      <c r="N81" s="9">
        <f t="shared" si="31"/>
        <v>142</v>
      </c>
      <c r="O81" s="9">
        <f t="shared" si="32"/>
        <v>286</v>
      </c>
      <c r="Q81" s="8">
        <v>12.4</v>
      </c>
      <c r="R81" s="8">
        <v>24.8</v>
      </c>
      <c r="S81" s="8">
        <v>13</v>
      </c>
      <c r="T81" s="8">
        <v>26.1</v>
      </c>
      <c r="U81" s="8">
        <v>13.6</v>
      </c>
      <c r="V81" s="8">
        <v>27.4</v>
      </c>
      <c r="W81" s="8">
        <v>14.2</v>
      </c>
      <c r="X81" s="8">
        <v>28.6</v>
      </c>
    </row>
    <row r="82" s="2" customFormat="1" spans="1:24">
      <c r="A82" s="2">
        <v>1009</v>
      </c>
      <c r="B82" s="2">
        <v>45</v>
      </c>
      <c r="C82" s="3">
        <v>12</v>
      </c>
      <c r="D82" s="7" t="str">
        <f t="shared" si="22"/>
        <v>25:50</v>
      </c>
      <c r="E82" s="7" t="str">
        <f t="shared" si="23"/>
        <v>26:52</v>
      </c>
      <c r="F82" s="7" t="str">
        <f t="shared" si="24"/>
        <v>27:55</v>
      </c>
      <c r="G82" s="7" t="str">
        <f t="shared" si="25"/>
        <v>28:57</v>
      </c>
      <c r="H82" s="9">
        <f t="shared" si="33"/>
        <v>25</v>
      </c>
      <c r="I82" s="9">
        <f t="shared" si="26"/>
        <v>50</v>
      </c>
      <c r="J82" s="9">
        <f t="shared" si="27"/>
        <v>26</v>
      </c>
      <c r="K82" s="9">
        <f t="shared" si="28"/>
        <v>52</v>
      </c>
      <c r="L82" s="9">
        <f t="shared" si="29"/>
        <v>27</v>
      </c>
      <c r="M82" s="9">
        <f t="shared" si="30"/>
        <v>55</v>
      </c>
      <c r="N82" s="9">
        <f t="shared" si="31"/>
        <v>28</v>
      </c>
      <c r="O82" s="9">
        <f t="shared" si="32"/>
        <v>57</v>
      </c>
      <c r="Q82" s="8">
        <v>2.5</v>
      </c>
      <c r="R82" s="8">
        <v>5</v>
      </c>
      <c r="S82" s="8">
        <v>2.6</v>
      </c>
      <c r="T82" s="8">
        <v>5.2</v>
      </c>
      <c r="U82" s="8">
        <v>2.7</v>
      </c>
      <c r="V82" s="8">
        <v>5.5</v>
      </c>
      <c r="W82" s="8">
        <v>2.8</v>
      </c>
      <c r="X82" s="8">
        <v>5.7</v>
      </c>
    </row>
    <row r="83" s="2" customFormat="1" spans="1:24">
      <c r="A83" s="2">
        <v>1010</v>
      </c>
      <c r="B83" s="2">
        <v>45</v>
      </c>
      <c r="C83" s="3">
        <v>13</v>
      </c>
      <c r="D83" s="7" t="str">
        <f t="shared" si="22"/>
        <v>124:248</v>
      </c>
      <c r="E83" s="7" t="str">
        <f t="shared" si="23"/>
        <v>130:261</v>
      </c>
      <c r="F83" s="7" t="str">
        <f t="shared" si="24"/>
        <v>136:274</v>
      </c>
      <c r="G83" s="7" t="str">
        <f t="shared" si="25"/>
        <v>142:286</v>
      </c>
      <c r="H83" s="9">
        <f t="shared" si="33"/>
        <v>124</v>
      </c>
      <c r="I83" s="9">
        <f t="shared" si="26"/>
        <v>248</v>
      </c>
      <c r="J83" s="9">
        <f t="shared" si="27"/>
        <v>130</v>
      </c>
      <c r="K83" s="9">
        <f t="shared" si="28"/>
        <v>261</v>
      </c>
      <c r="L83" s="9">
        <f t="shared" si="29"/>
        <v>136</v>
      </c>
      <c r="M83" s="9">
        <f t="shared" si="30"/>
        <v>274</v>
      </c>
      <c r="N83" s="9">
        <f t="shared" si="31"/>
        <v>142</v>
      </c>
      <c r="O83" s="9">
        <f t="shared" si="32"/>
        <v>286</v>
      </c>
      <c r="Q83" s="8">
        <v>12.4</v>
      </c>
      <c r="R83" s="8">
        <v>24.8</v>
      </c>
      <c r="S83" s="8">
        <v>13</v>
      </c>
      <c r="T83" s="8">
        <v>26.1</v>
      </c>
      <c r="U83" s="8">
        <v>13.6</v>
      </c>
      <c r="V83" s="8">
        <v>27.4</v>
      </c>
      <c r="W83" s="8">
        <v>14.2</v>
      </c>
      <c r="X83" s="8">
        <v>28.6</v>
      </c>
    </row>
    <row r="84" s="2" customFormat="1" spans="1:24">
      <c r="A84" s="2">
        <v>1001</v>
      </c>
      <c r="B84" s="2">
        <v>50</v>
      </c>
      <c r="C84" s="3">
        <v>1</v>
      </c>
      <c r="D84" s="7" t="str">
        <f t="shared" si="22"/>
        <v>2892:5783</v>
      </c>
      <c r="E84" s="7" t="str">
        <f t="shared" si="23"/>
        <v>3037:6072</v>
      </c>
      <c r="F84" s="7" t="str">
        <f t="shared" si="24"/>
        <v>3181:6362</v>
      </c>
      <c r="G84" s="7" t="str">
        <f t="shared" si="25"/>
        <v>3326:6651</v>
      </c>
      <c r="H84" s="9">
        <f t="shared" si="33"/>
        <v>2892</v>
      </c>
      <c r="I84" s="9">
        <f t="shared" si="26"/>
        <v>5783</v>
      </c>
      <c r="J84" s="9">
        <f t="shared" si="27"/>
        <v>3037</v>
      </c>
      <c r="K84" s="9">
        <f t="shared" si="28"/>
        <v>6072</v>
      </c>
      <c r="L84" s="9">
        <f t="shared" si="29"/>
        <v>3181</v>
      </c>
      <c r="M84" s="9">
        <f t="shared" si="30"/>
        <v>6362</v>
      </c>
      <c r="N84" s="9">
        <f t="shared" si="31"/>
        <v>3326</v>
      </c>
      <c r="O84" s="9">
        <f t="shared" si="32"/>
        <v>6651</v>
      </c>
      <c r="Q84" s="8">
        <v>289.2</v>
      </c>
      <c r="R84" s="8">
        <v>578.3</v>
      </c>
      <c r="S84" s="8">
        <v>303.7</v>
      </c>
      <c r="T84" s="8">
        <v>607.2</v>
      </c>
      <c r="U84" s="8">
        <v>318.1</v>
      </c>
      <c r="V84" s="8">
        <v>636.2</v>
      </c>
      <c r="W84" s="8">
        <v>332.6</v>
      </c>
      <c r="X84" s="8">
        <v>665.1</v>
      </c>
    </row>
    <row r="85" s="2" customFormat="1" spans="1:24">
      <c r="A85" s="2">
        <v>1002</v>
      </c>
      <c r="B85" s="2">
        <v>50</v>
      </c>
      <c r="C85" s="3">
        <v>2</v>
      </c>
      <c r="D85" s="7" t="str">
        <f t="shared" si="22"/>
        <v>365:730</v>
      </c>
      <c r="E85" s="7" t="str">
        <f t="shared" si="23"/>
        <v>383:767</v>
      </c>
      <c r="F85" s="7" t="str">
        <f t="shared" si="24"/>
        <v>401:803</v>
      </c>
      <c r="G85" s="7" t="str">
        <f t="shared" si="25"/>
        <v>420:839</v>
      </c>
      <c r="H85" s="9">
        <f t="shared" si="33"/>
        <v>365</v>
      </c>
      <c r="I85" s="9">
        <f t="shared" si="26"/>
        <v>730</v>
      </c>
      <c r="J85" s="9">
        <f t="shared" si="27"/>
        <v>383</v>
      </c>
      <c r="K85" s="9">
        <f t="shared" si="28"/>
        <v>767</v>
      </c>
      <c r="L85" s="9">
        <f t="shared" si="29"/>
        <v>401</v>
      </c>
      <c r="M85" s="9">
        <f t="shared" si="30"/>
        <v>803</v>
      </c>
      <c r="N85" s="9">
        <f t="shared" si="31"/>
        <v>420</v>
      </c>
      <c r="O85" s="9">
        <f t="shared" si="32"/>
        <v>839</v>
      </c>
      <c r="Q85" s="8">
        <v>36.5</v>
      </c>
      <c r="R85" s="8">
        <v>73</v>
      </c>
      <c r="S85" s="8">
        <v>38.3</v>
      </c>
      <c r="T85" s="8">
        <v>76.7</v>
      </c>
      <c r="U85" s="8">
        <v>40.1</v>
      </c>
      <c r="V85" s="8">
        <v>80.3</v>
      </c>
      <c r="W85" s="8">
        <v>42</v>
      </c>
      <c r="X85" s="8">
        <v>83.9</v>
      </c>
    </row>
    <row r="86" s="2" customFormat="1" spans="1:24">
      <c r="A86" s="2">
        <v>1003</v>
      </c>
      <c r="B86" s="2">
        <v>50</v>
      </c>
      <c r="C86" s="3">
        <v>4</v>
      </c>
      <c r="D86" s="7" t="str">
        <f t="shared" si="22"/>
        <v>229:459</v>
      </c>
      <c r="E86" s="7" t="str">
        <f t="shared" si="23"/>
        <v>241:482</v>
      </c>
      <c r="F86" s="7" t="str">
        <f t="shared" si="24"/>
        <v>253:505</v>
      </c>
      <c r="G86" s="7" t="str">
        <f t="shared" si="25"/>
        <v>264:527</v>
      </c>
      <c r="H86" s="9">
        <f t="shared" si="33"/>
        <v>229</v>
      </c>
      <c r="I86" s="9">
        <f t="shared" si="26"/>
        <v>459</v>
      </c>
      <c r="J86" s="9">
        <f t="shared" si="27"/>
        <v>241</v>
      </c>
      <c r="K86" s="9">
        <f t="shared" si="28"/>
        <v>482</v>
      </c>
      <c r="L86" s="9">
        <f t="shared" si="29"/>
        <v>253</v>
      </c>
      <c r="M86" s="9">
        <f t="shared" si="30"/>
        <v>505</v>
      </c>
      <c r="N86" s="9">
        <f t="shared" si="31"/>
        <v>264</v>
      </c>
      <c r="O86" s="9">
        <f t="shared" si="32"/>
        <v>527</v>
      </c>
      <c r="Q86" s="8">
        <v>22.9</v>
      </c>
      <c r="R86" s="8">
        <v>45.9</v>
      </c>
      <c r="S86" s="8">
        <v>24.1</v>
      </c>
      <c r="T86" s="8">
        <v>48.2</v>
      </c>
      <c r="U86" s="8">
        <v>25.3</v>
      </c>
      <c r="V86" s="8">
        <v>50.5</v>
      </c>
      <c r="W86" s="8">
        <v>26.4</v>
      </c>
      <c r="X86" s="8">
        <v>52.7</v>
      </c>
    </row>
    <row r="87" s="2" customFormat="1" spans="1:24">
      <c r="A87" s="2">
        <v>1004</v>
      </c>
      <c r="B87" s="2">
        <v>50</v>
      </c>
      <c r="C87" s="3">
        <v>3</v>
      </c>
      <c r="D87" s="7" t="str">
        <f t="shared" si="22"/>
        <v>365:730</v>
      </c>
      <c r="E87" s="7" t="str">
        <f t="shared" si="23"/>
        <v>383:767</v>
      </c>
      <c r="F87" s="7" t="str">
        <f t="shared" si="24"/>
        <v>401:803</v>
      </c>
      <c r="G87" s="7" t="str">
        <f t="shared" si="25"/>
        <v>420:839</v>
      </c>
      <c r="H87" s="9">
        <f t="shared" si="33"/>
        <v>365</v>
      </c>
      <c r="I87" s="9">
        <f t="shared" si="26"/>
        <v>730</v>
      </c>
      <c r="J87" s="9">
        <f t="shared" si="27"/>
        <v>383</v>
      </c>
      <c r="K87" s="9">
        <f t="shared" si="28"/>
        <v>767</v>
      </c>
      <c r="L87" s="9">
        <f t="shared" si="29"/>
        <v>401</v>
      </c>
      <c r="M87" s="9">
        <f t="shared" si="30"/>
        <v>803</v>
      </c>
      <c r="N87" s="9">
        <f t="shared" si="31"/>
        <v>420</v>
      </c>
      <c r="O87" s="9">
        <f t="shared" si="32"/>
        <v>839</v>
      </c>
      <c r="Q87" s="8">
        <v>36.5</v>
      </c>
      <c r="R87" s="8">
        <v>73</v>
      </c>
      <c r="S87" s="8">
        <v>38.3</v>
      </c>
      <c r="T87" s="8">
        <v>76.7</v>
      </c>
      <c r="U87" s="8">
        <v>40.1</v>
      </c>
      <c r="V87" s="8">
        <v>80.3</v>
      </c>
      <c r="W87" s="8">
        <v>42</v>
      </c>
      <c r="X87" s="8">
        <v>83.9</v>
      </c>
    </row>
    <row r="88" s="2" customFormat="1" spans="1:24">
      <c r="A88" s="2">
        <v>1005</v>
      </c>
      <c r="B88" s="2">
        <v>50</v>
      </c>
      <c r="C88" s="3">
        <v>27</v>
      </c>
      <c r="D88" s="7" t="str">
        <f t="shared" si="22"/>
        <v>229:459</v>
      </c>
      <c r="E88" s="7" t="str">
        <f t="shared" si="23"/>
        <v>241:482</v>
      </c>
      <c r="F88" s="7" t="str">
        <f t="shared" si="24"/>
        <v>253:505</v>
      </c>
      <c r="G88" s="7" t="str">
        <f t="shared" si="25"/>
        <v>264:527</v>
      </c>
      <c r="H88" s="9">
        <f t="shared" si="33"/>
        <v>229</v>
      </c>
      <c r="I88" s="9">
        <f t="shared" si="26"/>
        <v>459</v>
      </c>
      <c r="J88" s="9">
        <f t="shared" si="27"/>
        <v>241</v>
      </c>
      <c r="K88" s="9">
        <f t="shared" si="28"/>
        <v>482</v>
      </c>
      <c r="L88" s="9">
        <f t="shared" si="29"/>
        <v>253</v>
      </c>
      <c r="M88" s="9">
        <f t="shared" si="30"/>
        <v>505</v>
      </c>
      <c r="N88" s="9">
        <f t="shared" si="31"/>
        <v>264</v>
      </c>
      <c r="O88" s="9">
        <f t="shared" si="32"/>
        <v>527</v>
      </c>
      <c r="Q88" s="8">
        <v>22.9</v>
      </c>
      <c r="R88" s="8">
        <v>45.9</v>
      </c>
      <c r="S88" s="8">
        <v>24.1</v>
      </c>
      <c r="T88" s="8">
        <v>48.2</v>
      </c>
      <c r="U88" s="8">
        <v>25.3</v>
      </c>
      <c r="V88" s="8">
        <v>50.5</v>
      </c>
      <c r="W88" s="8">
        <v>26.4</v>
      </c>
      <c r="X88" s="8">
        <v>52.7</v>
      </c>
    </row>
    <row r="89" s="2" customFormat="1" spans="1:24">
      <c r="A89" s="2">
        <v>1006</v>
      </c>
      <c r="B89" s="2">
        <v>50</v>
      </c>
      <c r="C89" s="3">
        <v>28</v>
      </c>
      <c r="D89" s="7" t="str">
        <f t="shared" si="22"/>
        <v>68:136</v>
      </c>
      <c r="E89" s="7" t="str">
        <f t="shared" si="23"/>
        <v>71:142</v>
      </c>
      <c r="F89" s="7" t="str">
        <f t="shared" si="24"/>
        <v>75:149</v>
      </c>
      <c r="G89" s="7" t="str">
        <f t="shared" si="25"/>
        <v>78:156</v>
      </c>
      <c r="H89" s="9">
        <f t="shared" si="33"/>
        <v>68</v>
      </c>
      <c r="I89" s="9">
        <f t="shared" si="26"/>
        <v>136</v>
      </c>
      <c r="J89" s="9">
        <f t="shared" si="27"/>
        <v>71</v>
      </c>
      <c r="K89" s="9">
        <f t="shared" si="28"/>
        <v>142</v>
      </c>
      <c r="L89" s="9">
        <f t="shared" si="29"/>
        <v>75</v>
      </c>
      <c r="M89" s="9">
        <f t="shared" si="30"/>
        <v>149</v>
      </c>
      <c r="N89" s="9">
        <f t="shared" si="31"/>
        <v>78</v>
      </c>
      <c r="O89" s="9">
        <f t="shared" si="32"/>
        <v>156</v>
      </c>
      <c r="Q89" s="8">
        <v>6.8</v>
      </c>
      <c r="R89" s="8">
        <v>13.6</v>
      </c>
      <c r="S89" s="8">
        <v>7.1</v>
      </c>
      <c r="T89" s="8">
        <v>14.2</v>
      </c>
      <c r="U89" s="8">
        <v>7.5</v>
      </c>
      <c r="V89" s="8">
        <v>14.9</v>
      </c>
      <c r="W89" s="8">
        <v>7.8</v>
      </c>
      <c r="X89" s="8">
        <v>15.6</v>
      </c>
    </row>
    <row r="90" s="2" customFormat="1" spans="1:24">
      <c r="A90" s="2">
        <v>1007</v>
      </c>
      <c r="B90" s="2">
        <v>50</v>
      </c>
      <c r="C90" s="3">
        <v>7</v>
      </c>
      <c r="D90" s="7" t="str">
        <f t="shared" si="22"/>
        <v>136:271</v>
      </c>
      <c r="E90" s="7" t="str">
        <f t="shared" si="23"/>
        <v>142:285</v>
      </c>
      <c r="F90" s="7" t="str">
        <f t="shared" si="24"/>
        <v>149:299</v>
      </c>
      <c r="G90" s="7" t="str">
        <f t="shared" si="25"/>
        <v>156:312</v>
      </c>
      <c r="H90" s="9">
        <f t="shared" si="33"/>
        <v>136</v>
      </c>
      <c r="I90" s="9">
        <f t="shared" si="26"/>
        <v>271</v>
      </c>
      <c r="J90" s="9">
        <f t="shared" si="27"/>
        <v>142</v>
      </c>
      <c r="K90" s="9">
        <f t="shared" si="28"/>
        <v>285</v>
      </c>
      <c r="L90" s="9">
        <f t="shared" si="29"/>
        <v>149</v>
      </c>
      <c r="M90" s="9">
        <f t="shared" si="30"/>
        <v>299</v>
      </c>
      <c r="N90" s="9">
        <f t="shared" si="31"/>
        <v>156</v>
      </c>
      <c r="O90" s="9">
        <f t="shared" si="32"/>
        <v>312</v>
      </c>
      <c r="Q90" s="8">
        <v>13.6</v>
      </c>
      <c r="R90" s="8">
        <v>27.1</v>
      </c>
      <c r="S90" s="8">
        <v>14.2</v>
      </c>
      <c r="T90" s="8">
        <v>28.5</v>
      </c>
      <c r="U90" s="8">
        <v>14.9</v>
      </c>
      <c r="V90" s="8">
        <v>29.9</v>
      </c>
      <c r="W90" s="8">
        <v>15.6</v>
      </c>
      <c r="X90" s="8">
        <v>31.2</v>
      </c>
    </row>
    <row r="91" s="2" customFormat="1" spans="1:24">
      <c r="A91" s="2">
        <v>1008</v>
      </c>
      <c r="B91" s="2">
        <v>50</v>
      </c>
      <c r="C91" s="3">
        <v>5</v>
      </c>
      <c r="D91" s="7" t="str">
        <f t="shared" si="22"/>
        <v>136:271</v>
      </c>
      <c r="E91" s="7" t="str">
        <f t="shared" si="23"/>
        <v>142:285</v>
      </c>
      <c r="F91" s="7" t="str">
        <f t="shared" si="24"/>
        <v>149:299</v>
      </c>
      <c r="G91" s="7" t="str">
        <f t="shared" si="25"/>
        <v>156:312</v>
      </c>
      <c r="H91" s="9">
        <f t="shared" si="33"/>
        <v>136</v>
      </c>
      <c r="I91" s="9">
        <f t="shared" si="26"/>
        <v>271</v>
      </c>
      <c r="J91" s="9">
        <f t="shared" si="27"/>
        <v>142</v>
      </c>
      <c r="K91" s="9">
        <f t="shared" si="28"/>
        <v>285</v>
      </c>
      <c r="L91" s="9">
        <f t="shared" si="29"/>
        <v>149</v>
      </c>
      <c r="M91" s="9">
        <f t="shared" si="30"/>
        <v>299</v>
      </c>
      <c r="N91" s="9">
        <f t="shared" si="31"/>
        <v>156</v>
      </c>
      <c r="O91" s="9">
        <f t="shared" si="32"/>
        <v>312</v>
      </c>
      <c r="Q91" s="8">
        <v>13.6</v>
      </c>
      <c r="R91" s="8">
        <v>27.1</v>
      </c>
      <c r="S91" s="8">
        <v>14.2</v>
      </c>
      <c r="T91" s="8">
        <v>28.5</v>
      </c>
      <c r="U91" s="8">
        <v>14.9</v>
      </c>
      <c r="V91" s="8">
        <v>29.9</v>
      </c>
      <c r="W91" s="8">
        <v>15.6</v>
      </c>
      <c r="X91" s="8">
        <v>31.2</v>
      </c>
    </row>
    <row r="92" s="2" customFormat="1" spans="1:24">
      <c r="A92" s="2">
        <v>1009</v>
      </c>
      <c r="B92" s="2">
        <v>50</v>
      </c>
      <c r="C92" s="3">
        <v>12</v>
      </c>
      <c r="D92" s="7" t="str">
        <f t="shared" si="22"/>
        <v>27:54</v>
      </c>
      <c r="E92" s="7" t="str">
        <f t="shared" si="23"/>
        <v>28:57</v>
      </c>
      <c r="F92" s="7" t="str">
        <f t="shared" si="24"/>
        <v>30:60</v>
      </c>
      <c r="G92" s="7" t="str">
        <f t="shared" si="25"/>
        <v>31:62</v>
      </c>
      <c r="H92" s="9">
        <f t="shared" si="33"/>
        <v>27</v>
      </c>
      <c r="I92" s="9">
        <f t="shared" si="26"/>
        <v>54</v>
      </c>
      <c r="J92" s="9">
        <f t="shared" si="27"/>
        <v>28</v>
      </c>
      <c r="K92" s="9">
        <f t="shared" si="28"/>
        <v>57</v>
      </c>
      <c r="L92" s="9">
        <f t="shared" si="29"/>
        <v>30</v>
      </c>
      <c r="M92" s="9">
        <f t="shared" si="30"/>
        <v>60</v>
      </c>
      <c r="N92" s="9">
        <f t="shared" si="31"/>
        <v>31</v>
      </c>
      <c r="O92" s="9">
        <f t="shared" si="32"/>
        <v>62</v>
      </c>
      <c r="Q92" s="8">
        <v>2.7</v>
      </c>
      <c r="R92" s="8">
        <v>5.4</v>
      </c>
      <c r="S92" s="8">
        <v>2.8</v>
      </c>
      <c r="T92" s="8">
        <v>5.7</v>
      </c>
      <c r="U92" s="8">
        <v>3</v>
      </c>
      <c r="V92" s="8">
        <v>6</v>
      </c>
      <c r="W92" s="8">
        <v>3.1</v>
      </c>
      <c r="X92" s="8">
        <v>6.2</v>
      </c>
    </row>
    <row r="93" s="2" customFormat="1" spans="1:24">
      <c r="A93" s="2">
        <v>1010</v>
      </c>
      <c r="B93" s="2">
        <v>50</v>
      </c>
      <c r="C93" s="3">
        <v>13</v>
      </c>
      <c r="D93" s="7" t="str">
        <f t="shared" si="22"/>
        <v>136:271</v>
      </c>
      <c r="E93" s="7" t="str">
        <f t="shared" si="23"/>
        <v>142:285</v>
      </c>
      <c r="F93" s="7" t="str">
        <f t="shared" si="24"/>
        <v>149:299</v>
      </c>
      <c r="G93" s="7" t="str">
        <f t="shared" si="25"/>
        <v>156:312</v>
      </c>
      <c r="H93" s="9">
        <f t="shared" si="33"/>
        <v>136</v>
      </c>
      <c r="I93" s="9">
        <f t="shared" si="26"/>
        <v>271</v>
      </c>
      <c r="J93" s="9">
        <f t="shared" si="27"/>
        <v>142</v>
      </c>
      <c r="K93" s="9">
        <f t="shared" si="28"/>
        <v>285</v>
      </c>
      <c r="L93" s="9">
        <f t="shared" si="29"/>
        <v>149</v>
      </c>
      <c r="M93" s="9">
        <f t="shared" si="30"/>
        <v>299</v>
      </c>
      <c r="N93" s="9">
        <f t="shared" si="31"/>
        <v>156</v>
      </c>
      <c r="O93" s="9">
        <f t="shared" si="32"/>
        <v>312</v>
      </c>
      <c r="Q93" s="8">
        <v>13.6</v>
      </c>
      <c r="R93" s="8">
        <v>27.1</v>
      </c>
      <c r="S93" s="8">
        <v>14.2</v>
      </c>
      <c r="T93" s="8">
        <v>28.5</v>
      </c>
      <c r="U93" s="8">
        <v>14.9</v>
      </c>
      <c r="V93" s="8">
        <v>29.9</v>
      </c>
      <c r="W93" s="8">
        <v>15.6</v>
      </c>
      <c r="X93" s="8">
        <v>31.2</v>
      </c>
    </row>
    <row r="94" s="2" customFormat="1" spans="1:24">
      <c r="A94" s="2">
        <v>1001</v>
      </c>
      <c r="B94" s="2">
        <v>55</v>
      </c>
      <c r="C94" s="3">
        <v>1</v>
      </c>
      <c r="D94" s="7" t="str">
        <f t="shared" si="22"/>
        <v>3137:6273</v>
      </c>
      <c r="E94" s="7" t="str">
        <f t="shared" si="23"/>
        <v>3294:6587</v>
      </c>
      <c r="F94" s="7" t="str">
        <f t="shared" si="24"/>
        <v>3450:6901</v>
      </c>
      <c r="G94" s="7" t="str">
        <f t="shared" si="25"/>
        <v>3608:7214</v>
      </c>
      <c r="H94" s="9">
        <f t="shared" si="33"/>
        <v>3137</v>
      </c>
      <c r="I94" s="9">
        <f t="shared" si="26"/>
        <v>6273</v>
      </c>
      <c r="J94" s="9">
        <f t="shared" si="27"/>
        <v>3294</v>
      </c>
      <c r="K94" s="9">
        <f t="shared" si="28"/>
        <v>6587</v>
      </c>
      <c r="L94" s="9">
        <f t="shared" si="29"/>
        <v>3450</v>
      </c>
      <c r="M94" s="9">
        <f t="shared" si="30"/>
        <v>6901</v>
      </c>
      <c r="N94" s="9">
        <f t="shared" si="31"/>
        <v>3608</v>
      </c>
      <c r="O94" s="9">
        <f t="shared" si="32"/>
        <v>7214</v>
      </c>
      <c r="Q94" s="8">
        <v>313.7</v>
      </c>
      <c r="R94" s="8">
        <v>627.3</v>
      </c>
      <c r="S94" s="8">
        <v>329.4</v>
      </c>
      <c r="T94" s="8">
        <v>658.7</v>
      </c>
      <c r="U94" s="8">
        <v>345</v>
      </c>
      <c r="V94" s="8">
        <v>690.1</v>
      </c>
      <c r="W94" s="8">
        <v>360.8</v>
      </c>
      <c r="X94" s="8">
        <v>721.4</v>
      </c>
    </row>
    <row r="95" s="2" customFormat="1" spans="1:24">
      <c r="A95" s="2">
        <v>1002</v>
      </c>
      <c r="B95" s="2">
        <v>55</v>
      </c>
      <c r="C95" s="3">
        <v>2</v>
      </c>
      <c r="D95" s="7" t="str">
        <f t="shared" si="22"/>
        <v>396:792</v>
      </c>
      <c r="E95" s="7" t="str">
        <f t="shared" si="23"/>
        <v>416:832</v>
      </c>
      <c r="F95" s="7" t="str">
        <f t="shared" si="24"/>
        <v>436:871</v>
      </c>
      <c r="G95" s="7" t="str">
        <f t="shared" si="25"/>
        <v>455:910</v>
      </c>
      <c r="H95" s="9">
        <f t="shared" si="33"/>
        <v>396</v>
      </c>
      <c r="I95" s="9">
        <f t="shared" si="26"/>
        <v>792</v>
      </c>
      <c r="J95" s="9">
        <f t="shared" si="27"/>
        <v>416</v>
      </c>
      <c r="K95" s="9">
        <f t="shared" si="28"/>
        <v>832</v>
      </c>
      <c r="L95" s="9">
        <f t="shared" si="29"/>
        <v>436</v>
      </c>
      <c r="M95" s="9">
        <f t="shared" si="30"/>
        <v>871</v>
      </c>
      <c r="N95" s="9">
        <f t="shared" si="31"/>
        <v>455</v>
      </c>
      <c r="O95" s="9">
        <f t="shared" si="32"/>
        <v>910</v>
      </c>
      <c r="Q95" s="8">
        <v>39.6</v>
      </c>
      <c r="R95" s="8">
        <v>79.2</v>
      </c>
      <c r="S95" s="8">
        <v>41.6</v>
      </c>
      <c r="T95" s="8">
        <v>83.2</v>
      </c>
      <c r="U95" s="8">
        <v>43.6</v>
      </c>
      <c r="V95" s="8">
        <v>87.1</v>
      </c>
      <c r="W95" s="8">
        <v>45.5</v>
      </c>
      <c r="X95" s="8">
        <v>91</v>
      </c>
    </row>
    <row r="96" s="2" customFormat="1" spans="1:24">
      <c r="A96" s="2">
        <v>1003</v>
      </c>
      <c r="B96" s="2">
        <v>55</v>
      </c>
      <c r="C96" s="3">
        <v>4</v>
      </c>
      <c r="D96" s="7" t="str">
        <f t="shared" si="22"/>
        <v>249:498</v>
      </c>
      <c r="E96" s="7" t="str">
        <f t="shared" si="23"/>
        <v>261:523</v>
      </c>
      <c r="F96" s="7" t="str">
        <f t="shared" si="24"/>
        <v>274:548</v>
      </c>
      <c r="G96" s="7" t="str">
        <f t="shared" si="25"/>
        <v>286:572</v>
      </c>
      <c r="H96" s="9">
        <f t="shared" si="33"/>
        <v>249</v>
      </c>
      <c r="I96" s="9">
        <f t="shared" si="26"/>
        <v>498</v>
      </c>
      <c r="J96" s="9">
        <f t="shared" si="27"/>
        <v>261</v>
      </c>
      <c r="K96" s="9">
        <f t="shared" si="28"/>
        <v>523</v>
      </c>
      <c r="L96" s="9">
        <f t="shared" si="29"/>
        <v>274</v>
      </c>
      <c r="M96" s="9">
        <f t="shared" si="30"/>
        <v>548</v>
      </c>
      <c r="N96" s="9">
        <f t="shared" si="31"/>
        <v>286</v>
      </c>
      <c r="O96" s="9">
        <f t="shared" si="32"/>
        <v>572</v>
      </c>
      <c r="Q96" s="8">
        <v>24.9</v>
      </c>
      <c r="R96" s="8">
        <v>49.8</v>
      </c>
      <c r="S96" s="8">
        <v>26.1</v>
      </c>
      <c r="T96" s="8">
        <v>52.3</v>
      </c>
      <c r="U96" s="8">
        <v>27.4</v>
      </c>
      <c r="V96" s="8">
        <v>54.8</v>
      </c>
      <c r="W96" s="8">
        <v>28.6</v>
      </c>
      <c r="X96" s="8">
        <v>57.2</v>
      </c>
    </row>
    <row r="97" s="2" customFormat="1" spans="1:24">
      <c r="A97" s="2">
        <v>1004</v>
      </c>
      <c r="B97" s="2">
        <v>55</v>
      </c>
      <c r="C97" s="3">
        <v>3</v>
      </c>
      <c r="D97" s="7" t="str">
        <f t="shared" si="22"/>
        <v>396:792</v>
      </c>
      <c r="E97" s="7" t="str">
        <f t="shared" si="23"/>
        <v>416:832</v>
      </c>
      <c r="F97" s="7" t="str">
        <f t="shared" si="24"/>
        <v>436:871</v>
      </c>
      <c r="G97" s="7" t="str">
        <f t="shared" si="25"/>
        <v>455:910</v>
      </c>
      <c r="H97" s="9">
        <f t="shared" si="33"/>
        <v>396</v>
      </c>
      <c r="I97" s="9">
        <f t="shared" si="26"/>
        <v>792</v>
      </c>
      <c r="J97" s="9">
        <f t="shared" si="27"/>
        <v>416</v>
      </c>
      <c r="K97" s="9">
        <f t="shared" si="28"/>
        <v>832</v>
      </c>
      <c r="L97" s="9">
        <f t="shared" si="29"/>
        <v>436</v>
      </c>
      <c r="M97" s="9">
        <f t="shared" si="30"/>
        <v>871</v>
      </c>
      <c r="N97" s="9">
        <f t="shared" si="31"/>
        <v>455</v>
      </c>
      <c r="O97" s="9">
        <f t="shared" si="32"/>
        <v>910</v>
      </c>
      <c r="Q97" s="8">
        <v>39.6</v>
      </c>
      <c r="R97" s="8">
        <v>79.2</v>
      </c>
      <c r="S97" s="8">
        <v>41.6</v>
      </c>
      <c r="T97" s="8">
        <v>83.2</v>
      </c>
      <c r="U97" s="8">
        <v>43.6</v>
      </c>
      <c r="V97" s="8">
        <v>87.1</v>
      </c>
      <c r="W97" s="8">
        <v>45.5</v>
      </c>
      <c r="X97" s="8">
        <v>91</v>
      </c>
    </row>
    <row r="98" s="2" customFormat="1" spans="1:24">
      <c r="A98" s="2">
        <v>1005</v>
      </c>
      <c r="B98" s="2">
        <v>55</v>
      </c>
      <c r="C98" s="3">
        <v>27</v>
      </c>
      <c r="D98" s="7" t="str">
        <f t="shared" si="22"/>
        <v>249:498</v>
      </c>
      <c r="E98" s="7" t="str">
        <f t="shared" si="23"/>
        <v>261:523</v>
      </c>
      <c r="F98" s="7" t="str">
        <f t="shared" si="24"/>
        <v>274:548</v>
      </c>
      <c r="G98" s="7" t="str">
        <f t="shared" si="25"/>
        <v>286:572</v>
      </c>
      <c r="H98" s="9">
        <f t="shared" si="33"/>
        <v>249</v>
      </c>
      <c r="I98" s="9">
        <f t="shared" si="26"/>
        <v>498</v>
      </c>
      <c r="J98" s="9">
        <f t="shared" si="27"/>
        <v>261</v>
      </c>
      <c r="K98" s="9">
        <f t="shared" si="28"/>
        <v>523</v>
      </c>
      <c r="L98" s="9">
        <f t="shared" si="29"/>
        <v>274</v>
      </c>
      <c r="M98" s="9">
        <f t="shared" si="30"/>
        <v>548</v>
      </c>
      <c r="N98" s="9">
        <f t="shared" si="31"/>
        <v>286</v>
      </c>
      <c r="O98" s="9">
        <f t="shared" si="32"/>
        <v>572</v>
      </c>
      <c r="Q98" s="8">
        <v>24.9</v>
      </c>
      <c r="R98" s="8">
        <v>49.8</v>
      </c>
      <c r="S98" s="8">
        <v>26.1</v>
      </c>
      <c r="T98" s="8">
        <v>52.3</v>
      </c>
      <c r="U98" s="8">
        <v>27.4</v>
      </c>
      <c r="V98" s="8">
        <v>54.8</v>
      </c>
      <c r="W98" s="8">
        <v>28.6</v>
      </c>
      <c r="X98" s="8">
        <v>57.2</v>
      </c>
    </row>
    <row r="99" s="2" customFormat="1" spans="1:24">
      <c r="A99" s="2">
        <v>1006</v>
      </c>
      <c r="B99" s="2">
        <v>55</v>
      </c>
      <c r="C99" s="3">
        <v>28</v>
      </c>
      <c r="D99" s="7" t="str">
        <f t="shared" si="22"/>
        <v>74:147</v>
      </c>
      <c r="E99" s="7" t="str">
        <f t="shared" si="23"/>
        <v>77:154</v>
      </c>
      <c r="F99" s="7" t="str">
        <f t="shared" si="24"/>
        <v>81:162</v>
      </c>
      <c r="G99" s="7" t="str">
        <f t="shared" si="25"/>
        <v>84:169</v>
      </c>
      <c r="H99" s="9">
        <f t="shared" si="33"/>
        <v>74</v>
      </c>
      <c r="I99" s="9">
        <f t="shared" si="26"/>
        <v>147</v>
      </c>
      <c r="J99" s="9">
        <f t="shared" si="27"/>
        <v>77</v>
      </c>
      <c r="K99" s="9">
        <f t="shared" si="28"/>
        <v>154</v>
      </c>
      <c r="L99" s="9">
        <f t="shared" si="29"/>
        <v>81</v>
      </c>
      <c r="M99" s="9">
        <f t="shared" si="30"/>
        <v>162</v>
      </c>
      <c r="N99" s="9">
        <f t="shared" si="31"/>
        <v>84</v>
      </c>
      <c r="O99" s="9">
        <f t="shared" si="32"/>
        <v>169</v>
      </c>
      <c r="Q99" s="8">
        <v>7.4</v>
      </c>
      <c r="R99" s="8">
        <v>14.7</v>
      </c>
      <c r="S99" s="8">
        <v>7.7</v>
      </c>
      <c r="T99" s="8">
        <v>15.4</v>
      </c>
      <c r="U99" s="8">
        <v>8.1</v>
      </c>
      <c r="V99" s="8">
        <v>16.2</v>
      </c>
      <c r="W99" s="8">
        <v>8.4</v>
      </c>
      <c r="X99" s="8">
        <v>16.9</v>
      </c>
    </row>
    <row r="100" s="2" customFormat="1" spans="1:24">
      <c r="A100" s="2">
        <v>1007</v>
      </c>
      <c r="B100" s="2">
        <v>55</v>
      </c>
      <c r="C100" s="3">
        <v>7</v>
      </c>
      <c r="D100" s="7" t="str">
        <f t="shared" si="22"/>
        <v>147:294</v>
      </c>
      <c r="E100" s="7" t="str">
        <f t="shared" si="23"/>
        <v>154:309</v>
      </c>
      <c r="F100" s="7" t="str">
        <f t="shared" si="24"/>
        <v>162:324</v>
      </c>
      <c r="G100" s="7" t="str">
        <f t="shared" si="25"/>
        <v>169:339</v>
      </c>
      <c r="H100" s="9">
        <f t="shared" si="33"/>
        <v>147</v>
      </c>
      <c r="I100" s="9">
        <f t="shared" si="26"/>
        <v>294</v>
      </c>
      <c r="J100" s="9">
        <f t="shared" si="27"/>
        <v>154</v>
      </c>
      <c r="K100" s="9">
        <f t="shared" si="28"/>
        <v>309</v>
      </c>
      <c r="L100" s="9">
        <f t="shared" si="29"/>
        <v>162</v>
      </c>
      <c r="M100" s="9">
        <f t="shared" si="30"/>
        <v>324</v>
      </c>
      <c r="N100" s="9">
        <f t="shared" si="31"/>
        <v>169</v>
      </c>
      <c r="O100" s="9">
        <f t="shared" si="32"/>
        <v>339</v>
      </c>
      <c r="Q100" s="8">
        <v>14.7</v>
      </c>
      <c r="R100" s="8">
        <v>29.4</v>
      </c>
      <c r="S100" s="8">
        <v>15.4</v>
      </c>
      <c r="T100" s="8">
        <v>30.9</v>
      </c>
      <c r="U100" s="8">
        <v>16.2</v>
      </c>
      <c r="V100" s="8">
        <v>32.4</v>
      </c>
      <c r="W100" s="8">
        <v>16.9</v>
      </c>
      <c r="X100" s="8">
        <v>33.9</v>
      </c>
    </row>
    <row r="101" s="2" customFormat="1" spans="1:24">
      <c r="A101" s="2">
        <v>1008</v>
      </c>
      <c r="B101" s="2">
        <v>55</v>
      </c>
      <c r="C101" s="3">
        <v>5</v>
      </c>
      <c r="D101" s="7" t="str">
        <f t="shared" si="22"/>
        <v>147:294</v>
      </c>
      <c r="E101" s="7" t="str">
        <f t="shared" si="23"/>
        <v>154:309</v>
      </c>
      <c r="F101" s="7" t="str">
        <f t="shared" si="24"/>
        <v>162:324</v>
      </c>
      <c r="G101" s="7" t="str">
        <f t="shared" si="25"/>
        <v>169:339</v>
      </c>
      <c r="H101" s="9">
        <f t="shared" si="33"/>
        <v>147</v>
      </c>
      <c r="I101" s="9">
        <f t="shared" ref="I101:I133" si="34">R101*10</f>
        <v>294</v>
      </c>
      <c r="J101" s="9">
        <f t="shared" ref="J101:J133" si="35">S101*10</f>
        <v>154</v>
      </c>
      <c r="K101" s="9">
        <f t="shared" ref="K101:K133" si="36">T101*10</f>
        <v>309</v>
      </c>
      <c r="L101" s="9">
        <f t="shared" ref="L101:L133" si="37">U101*10</f>
        <v>162</v>
      </c>
      <c r="M101" s="9">
        <f t="shared" ref="M101:M133" si="38">V101*10</f>
        <v>324</v>
      </c>
      <c r="N101" s="9">
        <f t="shared" ref="N101:N133" si="39">W101*10</f>
        <v>169</v>
      </c>
      <c r="O101" s="9">
        <f t="shared" ref="O101:O133" si="40">X101*10</f>
        <v>339</v>
      </c>
      <c r="Q101" s="8">
        <v>14.7</v>
      </c>
      <c r="R101" s="8">
        <v>29.4</v>
      </c>
      <c r="S101" s="8">
        <v>15.4</v>
      </c>
      <c r="T101" s="8">
        <v>30.9</v>
      </c>
      <c r="U101" s="8">
        <v>16.2</v>
      </c>
      <c r="V101" s="8">
        <v>32.4</v>
      </c>
      <c r="W101" s="8">
        <v>16.9</v>
      </c>
      <c r="X101" s="8">
        <v>33.9</v>
      </c>
    </row>
    <row r="102" s="2" customFormat="1" spans="1:24">
      <c r="A102" s="2">
        <v>1009</v>
      </c>
      <c r="B102" s="2">
        <v>55</v>
      </c>
      <c r="C102" s="3">
        <v>12</v>
      </c>
      <c r="D102" s="7" t="str">
        <f t="shared" si="22"/>
        <v>29:59</v>
      </c>
      <c r="E102" s="7" t="str">
        <f t="shared" si="23"/>
        <v>31:62</v>
      </c>
      <c r="F102" s="7" t="str">
        <f t="shared" si="24"/>
        <v>32:65</v>
      </c>
      <c r="G102" s="7" t="str">
        <f t="shared" si="25"/>
        <v>34:68</v>
      </c>
      <c r="H102" s="9">
        <f t="shared" si="33"/>
        <v>29</v>
      </c>
      <c r="I102" s="9">
        <f t="shared" si="34"/>
        <v>59</v>
      </c>
      <c r="J102" s="9">
        <f t="shared" si="35"/>
        <v>31</v>
      </c>
      <c r="K102" s="9">
        <f t="shared" si="36"/>
        <v>62</v>
      </c>
      <c r="L102" s="9">
        <f t="shared" si="37"/>
        <v>32</v>
      </c>
      <c r="M102" s="9">
        <f t="shared" si="38"/>
        <v>65</v>
      </c>
      <c r="N102" s="9">
        <f t="shared" si="39"/>
        <v>34</v>
      </c>
      <c r="O102" s="9">
        <f t="shared" si="40"/>
        <v>68</v>
      </c>
      <c r="Q102" s="8">
        <v>2.9</v>
      </c>
      <c r="R102" s="8">
        <v>5.9</v>
      </c>
      <c r="S102" s="8">
        <v>3.1</v>
      </c>
      <c r="T102" s="8">
        <v>6.2</v>
      </c>
      <c r="U102" s="8">
        <v>3.2</v>
      </c>
      <c r="V102" s="8">
        <v>6.5</v>
      </c>
      <c r="W102" s="8">
        <v>3.4</v>
      </c>
      <c r="X102" s="8">
        <v>6.8</v>
      </c>
    </row>
    <row r="103" s="2" customFormat="1" spans="1:24">
      <c r="A103" s="2">
        <v>1010</v>
      </c>
      <c r="B103" s="2">
        <v>55</v>
      </c>
      <c r="C103" s="3">
        <v>13</v>
      </c>
      <c r="D103" s="7" t="str">
        <f t="shared" si="22"/>
        <v>147:294</v>
      </c>
      <c r="E103" s="7" t="str">
        <f t="shared" si="23"/>
        <v>154:309</v>
      </c>
      <c r="F103" s="7" t="str">
        <f t="shared" si="24"/>
        <v>162:324</v>
      </c>
      <c r="G103" s="7" t="str">
        <f t="shared" si="25"/>
        <v>169:339</v>
      </c>
      <c r="H103" s="9">
        <f t="shared" si="33"/>
        <v>147</v>
      </c>
      <c r="I103" s="9">
        <f t="shared" si="34"/>
        <v>294</v>
      </c>
      <c r="J103" s="9">
        <f t="shared" si="35"/>
        <v>154</v>
      </c>
      <c r="K103" s="9">
        <f t="shared" si="36"/>
        <v>309</v>
      </c>
      <c r="L103" s="9">
        <f t="shared" si="37"/>
        <v>162</v>
      </c>
      <c r="M103" s="9">
        <f t="shared" si="38"/>
        <v>324</v>
      </c>
      <c r="N103" s="9">
        <f t="shared" si="39"/>
        <v>169</v>
      </c>
      <c r="O103" s="9">
        <f t="shared" si="40"/>
        <v>339</v>
      </c>
      <c r="Q103" s="8">
        <v>14.7</v>
      </c>
      <c r="R103" s="8">
        <v>29.4</v>
      </c>
      <c r="S103" s="8">
        <v>15.4</v>
      </c>
      <c r="T103" s="8">
        <v>30.9</v>
      </c>
      <c r="U103" s="8">
        <v>16.2</v>
      </c>
      <c r="V103" s="8">
        <v>32.4</v>
      </c>
      <c r="W103" s="8">
        <v>16.9</v>
      </c>
      <c r="X103" s="8">
        <v>33.9</v>
      </c>
    </row>
    <row r="104" s="2" customFormat="1" spans="1:24">
      <c r="A104" s="2">
        <v>1001</v>
      </c>
      <c r="B104" s="2">
        <v>60</v>
      </c>
      <c r="C104" s="3">
        <v>1</v>
      </c>
      <c r="D104" s="7" t="str">
        <f t="shared" si="22"/>
        <v>3382:6764</v>
      </c>
      <c r="E104" s="7" t="str">
        <f t="shared" si="23"/>
        <v>3551:7102</v>
      </c>
      <c r="F104" s="7" t="str">
        <f t="shared" si="24"/>
        <v>3720:7440</v>
      </c>
      <c r="G104" s="7" t="str">
        <f t="shared" si="25"/>
        <v>3890:7778</v>
      </c>
      <c r="H104" s="9">
        <f t="shared" si="33"/>
        <v>3382</v>
      </c>
      <c r="I104" s="9">
        <f t="shared" si="34"/>
        <v>6764</v>
      </c>
      <c r="J104" s="9">
        <f t="shared" si="35"/>
        <v>3551</v>
      </c>
      <c r="K104" s="9">
        <f t="shared" si="36"/>
        <v>7102</v>
      </c>
      <c r="L104" s="9">
        <f t="shared" si="37"/>
        <v>3720</v>
      </c>
      <c r="M104" s="9">
        <f t="shared" si="38"/>
        <v>7440</v>
      </c>
      <c r="N104" s="9">
        <f t="shared" si="39"/>
        <v>3890</v>
      </c>
      <c r="O104" s="9">
        <f t="shared" si="40"/>
        <v>7778</v>
      </c>
      <c r="Q104" s="8">
        <v>338.2</v>
      </c>
      <c r="R104" s="8">
        <v>676.4</v>
      </c>
      <c r="S104" s="8">
        <v>355.1</v>
      </c>
      <c r="T104" s="8">
        <v>710.2</v>
      </c>
      <c r="U104" s="8">
        <v>372</v>
      </c>
      <c r="V104" s="8">
        <v>744</v>
      </c>
      <c r="W104" s="8">
        <v>389</v>
      </c>
      <c r="X104" s="8">
        <v>777.8</v>
      </c>
    </row>
    <row r="105" s="2" customFormat="1" spans="1:24">
      <c r="A105" s="2">
        <v>1002</v>
      </c>
      <c r="B105" s="2">
        <v>60</v>
      </c>
      <c r="C105" s="3">
        <v>2</v>
      </c>
      <c r="D105" s="7" t="str">
        <f t="shared" si="22"/>
        <v>427:854</v>
      </c>
      <c r="E105" s="7" t="str">
        <f t="shared" si="23"/>
        <v>448:897</v>
      </c>
      <c r="F105" s="7" t="str">
        <f t="shared" si="24"/>
        <v>470:939</v>
      </c>
      <c r="G105" s="7" t="str">
        <f t="shared" si="25"/>
        <v>491:982</v>
      </c>
      <c r="H105" s="9">
        <f t="shared" si="33"/>
        <v>427</v>
      </c>
      <c r="I105" s="9">
        <f t="shared" si="34"/>
        <v>854</v>
      </c>
      <c r="J105" s="9">
        <f t="shared" si="35"/>
        <v>448</v>
      </c>
      <c r="K105" s="9">
        <f t="shared" si="36"/>
        <v>897</v>
      </c>
      <c r="L105" s="9">
        <f t="shared" si="37"/>
        <v>470</v>
      </c>
      <c r="M105" s="9">
        <f t="shared" si="38"/>
        <v>939</v>
      </c>
      <c r="N105" s="9">
        <f t="shared" si="39"/>
        <v>491</v>
      </c>
      <c r="O105" s="9">
        <f t="shared" si="40"/>
        <v>982</v>
      </c>
      <c r="Q105" s="8">
        <v>42.7</v>
      </c>
      <c r="R105" s="8">
        <v>85.4</v>
      </c>
      <c r="S105" s="8">
        <v>44.8</v>
      </c>
      <c r="T105" s="8">
        <v>89.7</v>
      </c>
      <c r="U105" s="8">
        <v>47</v>
      </c>
      <c r="V105" s="8">
        <v>93.9</v>
      </c>
      <c r="W105" s="8">
        <v>49.1</v>
      </c>
      <c r="X105" s="8">
        <v>98.2</v>
      </c>
    </row>
    <row r="106" s="2" customFormat="1" spans="1:24">
      <c r="A106" s="2">
        <v>1003</v>
      </c>
      <c r="B106" s="2">
        <v>60</v>
      </c>
      <c r="C106" s="3">
        <v>4</v>
      </c>
      <c r="D106" s="7" t="str">
        <f t="shared" si="22"/>
        <v>268:537</v>
      </c>
      <c r="E106" s="7" t="str">
        <f t="shared" si="23"/>
        <v>282:564</v>
      </c>
      <c r="F106" s="7" t="str">
        <f t="shared" si="24"/>
        <v>295:591</v>
      </c>
      <c r="G106" s="7" t="str">
        <f t="shared" si="25"/>
        <v>309:616</v>
      </c>
      <c r="H106" s="9">
        <f t="shared" si="33"/>
        <v>268</v>
      </c>
      <c r="I106" s="9">
        <f t="shared" si="34"/>
        <v>537</v>
      </c>
      <c r="J106" s="9">
        <f t="shared" si="35"/>
        <v>282</v>
      </c>
      <c r="K106" s="9">
        <f t="shared" si="36"/>
        <v>564</v>
      </c>
      <c r="L106" s="9">
        <f t="shared" si="37"/>
        <v>295</v>
      </c>
      <c r="M106" s="9">
        <f t="shared" si="38"/>
        <v>591</v>
      </c>
      <c r="N106" s="9">
        <f t="shared" si="39"/>
        <v>309</v>
      </c>
      <c r="O106" s="9">
        <f t="shared" si="40"/>
        <v>616</v>
      </c>
      <c r="Q106" s="8">
        <v>26.8</v>
      </c>
      <c r="R106" s="8">
        <v>53.7</v>
      </c>
      <c r="S106" s="8">
        <v>28.2</v>
      </c>
      <c r="T106" s="8">
        <v>56.4</v>
      </c>
      <c r="U106" s="8">
        <v>29.5</v>
      </c>
      <c r="V106" s="8">
        <v>59.1</v>
      </c>
      <c r="W106" s="8">
        <v>30.9</v>
      </c>
      <c r="X106" s="8">
        <v>61.6</v>
      </c>
    </row>
    <row r="107" s="2" customFormat="1" spans="1:24">
      <c r="A107" s="2">
        <v>1004</v>
      </c>
      <c r="B107" s="2">
        <v>60</v>
      </c>
      <c r="C107" s="3">
        <v>3</v>
      </c>
      <c r="D107" s="7" t="str">
        <f t="shared" si="22"/>
        <v>427:854</v>
      </c>
      <c r="E107" s="7" t="str">
        <f t="shared" si="23"/>
        <v>448:897</v>
      </c>
      <c r="F107" s="7" t="str">
        <f t="shared" si="24"/>
        <v>470:939</v>
      </c>
      <c r="G107" s="7" t="str">
        <f t="shared" si="25"/>
        <v>491:982</v>
      </c>
      <c r="H107" s="9">
        <f t="shared" si="33"/>
        <v>427</v>
      </c>
      <c r="I107" s="9">
        <f t="shared" si="34"/>
        <v>854</v>
      </c>
      <c r="J107" s="9">
        <f t="shared" si="35"/>
        <v>448</v>
      </c>
      <c r="K107" s="9">
        <f t="shared" si="36"/>
        <v>897</v>
      </c>
      <c r="L107" s="9">
        <f t="shared" si="37"/>
        <v>470</v>
      </c>
      <c r="M107" s="9">
        <f t="shared" si="38"/>
        <v>939</v>
      </c>
      <c r="N107" s="9">
        <f t="shared" si="39"/>
        <v>491</v>
      </c>
      <c r="O107" s="9">
        <f t="shared" si="40"/>
        <v>982</v>
      </c>
      <c r="Q107" s="8">
        <v>42.7</v>
      </c>
      <c r="R107" s="8">
        <v>85.4</v>
      </c>
      <c r="S107" s="8">
        <v>44.8</v>
      </c>
      <c r="T107" s="8">
        <v>89.7</v>
      </c>
      <c r="U107" s="8">
        <v>47</v>
      </c>
      <c r="V107" s="8">
        <v>93.9</v>
      </c>
      <c r="W107" s="8">
        <v>49.1</v>
      </c>
      <c r="X107" s="8">
        <v>98.2</v>
      </c>
    </row>
    <row r="108" s="2" customFormat="1" spans="1:24">
      <c r="A108" s="2">
        <v>1005</v>
      </c>
      <c r="B108" s="2">
        <v>60</v>
      </c>
      <c r="C108" s="3">
        <v>27</v>
      </c>
      <c r="D108" s="7" t="str">
        <f t="shared" si="22"/>
        <v>268:537</v>
      </c>
      <c r="E108" s="7" t="str">
        <f t="shared" si="23"/>
        <v>282:564</v>
      </c>
      <c r="F108" s="7" t="str">
        <f t="shared" si="24"/>
        <v>295:591</v>
      </c>
      <c r="G108" s="7" t="str">
        <f t="shared" si="25"/>
        <v>309:616</v>
      </c>
      <c r="H108" s="9">
        <f t="shared" si="33"/>
        <v>268</v>
      </c>
      <c r="I108" s="9">
        <f t="shared" si="34"/>
        <v>537</v>
      </c>
      <c r="J108" s="9">
        <f t="shared" si="35"/>
        <v>282</v>
      </c>
      <c r="K108" s="9">
        <f t="shared" si="36"/>
        <v>564</v>
      </c>
      <c r="L108" s="9">
        <f t="shared" si="37"/>
        <v>295</v>
      </c>
      <c r="M108" s="9">
        <f t="shared" si="38"/>
        <v>591</v>
      </c>
      <c r="N108" s="9">
        <f t="shared" si="39"/>
        <v>309</v>
      </c>
      <c r="O108" s="9">
        <f t="shared" si="40"/>
        <v>616</v>
      </c>
      <c r="Q108" s="8">
        <v>26.8</v>
      </c>
      <c r="R108" s="8">
        <v>53.7</v>
      </c>
      <c r="S108" s="8">
        <v>28.2</v>
      </c>
      <c r="T108" s="8">
        <v>56.4</v>
      </c>
      <c r="U108" s="8">
        <v>29.5</v>
      </c>
      <c r="V108" s="8">
        <v>59.1</v>
      </c>
      <c r="W108" s="8">
        <v>30.9</v>
      </c>
      <c r="X108" s="8">
        <v>61.6</v>
      </c>
    </row>
    <row r="109" s="2" customFormat="1" spans="1:24">
      <c r="A109" s="2">
        <v>1006</v>
      </c>
      <c r="B109" s="2">
        <v>60</v>
      </c>
      <c r="C109" s="3">
        <v>28</v>
      </c>
      <c r="D109" s="7" t="str">
        <f t="shared" si="22"/>
        <v>80:159</v>
      </c>
      <c r="E109" s="7" t="str">
        <f t="shared" si="23"/>
        <v>83:166</v>
      </c>
      <c r="F109" s="7" t="str">
        <f t="shared" si="24"/>
        <v>88:174</v>
      </c>
      <c r="G109" s="7" t="str">
        <f t="shared" si="25"/>
        <v>91:182</v>
      </c>
      <c r="H109" s="9">
        <f t="shared" si="33"/>
        <v>80</v>
      </c>
      <c r="I109" s="9">
        <f t="shared" si="34"/>
        <v>159</v>
      </c>
      <c r="J109" s="9">
        <f t="shared" si="35"/>
        <v>83</v>
      </c>
      <c r="K109" s="9">
        <f t="shared" si="36"/>
        <v>166</v>
      </c>
      <c r="L109" s="9">
        <f t="shared" si="37"/>
        <v>88</v>
      </c>
      <c r="M109" s="9">
        <f t="shared" si="38"/>
        <v>174</v>
      </c>
      <c r="N109" s="9">
        <f t="shared" si="39"/>
        <v>91</v>
      </c>
      <c r="O109" s="9">
        <f t="shared" si="40"/>
        <v>182</v>
      </c>
      <c r="Q109" s="8">
        <v>8</v>
      </c>
      <c r="R109" s="8">
        <v>15.9</v>
      </c>
      <c r="S109" s="8">
        <v>8.3</v>
      </c>
      <c r="T109" s="8">
        <v>16.6</v>
      </c>
      <c r="U109" s="8">
        <v>8.8</v>
      </c>
      <c r="V109" s="8">
        <v>17.4</v>
      </c>
      <c r="W109" s="8">
        <v>9.1</v>
      </c>
      <c r="X109" s="8">
        <v>18.2</v>
      </c>
    </row>
    <row r="110" s="2" customFormat="1" spans="1:24">
      <c r="A110" s="2">
        <v>1007</v>
      </c>
      <c r="B110" s="2">
        <v>60</v>
      </c>
      <c r="C110" s="3">
        <v>7</v>
      </c>
      <c r="D110" s="7" t="str">
        <f t="shared" si="22"/>
        <v>159:317</v>
      </c>
      <c r="E110" s="7" t="str">
        <f t="shared" si="23"/>
        <v>166:333</v>
      </c>
      <c r="F110" s="7" t="str">
        <f t="shared" si="24"/>
        <v>174:350</v>
      </c>
      <c r="G110" s="7" t="str">
        <f t="shared" si="25"/>
        <v>182:365</v>
      </c>
      <c r="H110" s="9">
        <f t="shared" ref="H110:H133" si="41">Q110*10</f>
        <v>159</v>
      </c>
      <c r="I110" s="9">
        <f t="shared" si="34"/>
        <v>317</v>
      </c>
      <c r="J110" s="9">
        <f t="shared" si="35"/>
        <v>166</v>
      </c>
      <c r="K110" s="9">
        <f t="shared" si="36"/>
        <v>333</v>
      </c>
      <c r="L110" s="9">
        <f t="shared" si="37"/>
        <v>174</v>
      </c>
      <c r="M110" s="9">
        <f t="shared" si="38"/>
        <v>350</v>
      </c>
      <c r="N110" s="9">
        <f t="shared" si="39"/>
        <v>182</v>
      </c>
      <c r="O110" s="9">
        <f t="shared" si="40"/>
        <v>365</v>
      </c>
      <c r="Q110" s="8">
        <v>15.9</v>
      </c>
      <c r="R110" s="8">
        <v>31.7</v>
      </c>
      <c r="S110" s="8">
        <v>16.6</v>
      </c>
      <c r="T110" s="8">
        <v>33.3</v>
      </c>
      <c r="U110" s="8">
        <v>17.4</v>
      </c>
      <c r="V110" s="8">
        <v>35</v>
      </c>
      <c r="W110" s="8">
        <v>18.2</v>
      </c>
      <c r="X110" s="8">
        <v>36.5</v>
      </c>
    </row>
    <row r="111" s="2" customFormat="1" spans="1:24">
      <c r="A111" s="2">
        <v>1008</v>
      </c>
      <c r="B111" s="2">
        <v>60</v>
      </c>
      <c r="C111" s="3">
        <v>5</v>
      </c>
      <c r="D111" s="7" t="str">
        <f t="shared" si="22"/>
        <v>159:317</v>
      </c>
      <c r="E111" s="7" t="str">
        <f t="shared" si="23"/>
        <v>166:333</v>
      </c>
      <c r="F111" s="7" t="str">
        <f t="shared" si="24"/>
        <v>174:350</v>
      </c>
      <c r="G111" s="7" t="str">
        <f t="shared" si="25"/>
        <v>182:365</v>
      </c>
      <c r="H111" s="9">
        <f t="shared" si="41"/>
        <v>159</v>
      </c>
      <c r="I111" s="9">
        <f t="shared" si="34"/>
        <v>317</v>
      </c>
      <c r="J111" s="9">
        <f t="shared" si="35"/>
        <v>166</v>
      </c>
      <c r="K111" s="9">
        <f t="shared" si="36"/>
        <v>333</v>
      </c>
      <c r="L111" s="9">
        <f t="shared" si="37"/>
        <v>174</v>
      </c>
      <c r="M111" s="9">
        <f t="shared" si="38"/>
        <v>350</v>
      </c>
      <c r="N111" s="9">
        <f t="shared" si="39"/>
        <v>182</v>
      </c>
      <c r="O111" s="9">
        <f t="shared" si="40"/>
        <v>365</v>
      </c>
      <c r="Q111" s="8">
        <v>15.9</v>
      </c>
      <c r="R111" s="8">
        <v>31.7</v>
      </c>
      <c r="S111" s="8">
        <v>16.6</v>
      </c>
      <c r="T111" s="8">
        <v>33.3</v>
      </c>
      <c r="U111" s="8">
        <v>17.4</v>
      </c>
      <c r="V111" s="8">
        <v>35</v>
      </c>
      <c r="W111" s="8">
        <v>18.2</v>
      </c>
      <c r="X111" s="8">
        <v>36.5</v>
      </c>
    </row>
    <row r="112" s="2" customFormat="1" spans="1:24">
      <c r="A112" s="2">
        <v>1009</v>
      </c>
      <c r="B112" s="2">
        <v>60</v>
      </c>
      <c r="C112" s="3">
        <v>12</v>
      </c>
      <c r="D112" s="7" t="str">
        <f t="shared" si="22"/>
        <v>32:63</v>
      </c>
      <c r="E112" s="7" t="str">
        <f t="shared" si="23"/>
        <v>33:67</v>
      </c>
      <c r="F112" s="7" t="str">
        <f t="shared" si="24"/>
        <v>35:70</v>
      </c>
      <c r="G112" s="7" t="str">
        <f t="shared" si="25"/>
        <v>36:73</v>
      </c>
      <c r="H112" s="9">
        <f t="shared" si="41"/>
        <v>32</v>
      </c>
      <c r="I112" s="9">
        <f t="shared" si="34"/>
        <v>63</v>
      </c>
      <c r="J112" s="9">
        <f t="shared" si="35"/>
        <v>33</v>
      </c>
      <c r="K112" s="9">
        <f t="shared" si="36"/>
        <v>67</v>
      </c>
      <c r="L112" s="9">
        <f t="shared" si="37"/>
        <v>35</v>
      </c>
      <c r="M112" s="9">
        <f t="shared" si="38"/>
        <v>70</v>
      </c>
      <c r="N112" s="9">
        <f t="shared" si="39"/>
        <v>36</v>
      </c>
      <c r="O112" s="9">
        <f t="shared" si="40"/>
        <v>73</v>
      </c>
      <c r="Q112" s="8">
        <v>3.2</v>
      </c>
      <c r="R112" s="8">
        <v>6.3</v>
      </c>
      <c r="S112" s="8">
        <v>3.3</v>
      </c>
      <c r="T112" s="8">
        <v>6.7</v>
      </c>
      <c r="U112" s="8">
        <v>3.5</v>
      </c>
      <c r="V112" s="8">
        <v>7</v>
      </c>
      <c r="W112" s="8">
        <v>3.6</v>
      </c>
      <c r="X112" s="8">
        <v>7.3</v>
      </c>
    </row>
    <row r="113" s="2" customFormat="1" spans="1:24">
      <c r="A113" s="2">
        <v>1010</v>
      </c>
      <c r="B113" s="2">
        <v>60</v>
      </c>
      <c r="C113" s="3">
        <v>13</v>
      </c>
      <c r="D113" s="7" t="str">
        <f t="shared" si="22"/>
        <v>159:317</v>
      </c>
      <c r="E113" s="7" t="str">
        <f t="shared" si="23"/>
        <v>166:333</v>
      </c>
      <c r="F113" s="7" t="str">
        <f t="shared" si="24"/>
        <v>174:350</v>
      </c>
      <c r="G113" s="7" t="str">
        <f t="shared" si="25"/>
        <v>182:365</v>
      </c>
      <c r="H113" s="9">
        <f t="shared" si="41"/>
        <v>159</v>
      </c>
      <c r="I113" s="9">
        <f t="shared" si="34"/>
        <v>317</v>
      </c>
      <c r="J113" s="9">
        <f t="shared" si="35"/>
        <v>166</v>
      </c>
      <c r="K113" s="9">
        <f t="shared" si="36"/>
        <v>333</v>
      </c>
      <c r="L113" s="9">
        <f t="shared" si="37"/>
        <v>174</v>
      </c>
      <c r="M113" s="9">
        <f t="shared" si="38"/>
        <v>350</v>
      </c>
      <c r="N113" s="9">
        <f t="shared" si="39"/>
        <v>182</v>
      </c>
      <c r="O113" s="9">
        <f t="shared" si="40"/>
        <v>365</v>
      </c>
      <c r="Q113" s="8">
        <v>15.9</v>
      </c>
      <c r="R113" s="8">
        <v>31.7</v>
      </c>
      <c r="S113" s="8">
        <v>16.6</v>
      </c>
      <c r="T113" s="8">
        <v>33.3</v>
      </c>
      <c r="U113" s="8">
        <v>17.4</v>
      </c>
      <c r="V113" s="8">
        <v>35</v>
      </c>
      <c r="W113" s="8">
        <v>18.2</v>
      </c>
      <c r="X113" s="8">
        <v>36.5</v>
      </c>
    </row>
    <row r="114" s="2" customFormat="1" spans="1:24">
      <c r="A114" s="2">
        <v>1001</v>
      </c>
      <c r="B114" s="2">
        <v>65</v>
      </c>
      <c r="C114" s="3">
        <v>1</v>
      </c>
      <c r="D114" s="7" t="str">
        <f t="shared" si="22"/>
        <v>3627:7254</v>
      </c>
      <c r="E114" s="7" t="str">
        <f t="shared" si="23"/>
        <v>3809:7616</v>
      </c>
      <c r="F114" s="7" t="str">
        <f t="shared" si="24"/>
        <v>3990:7979</v>
      </c>
      <c r="G114" s="7" t="str">
        <f t="shared" si="25"/>
        <v>4171:8342</v>
      </c>
      <c r="H114" s="9">
        <f t="shared" si="41"/>
        <v>3627</v>
      </c>
      <c r="I114" s="9">
        <f t="shared" si="34"/>
        <v>7254</v>
      </c>
      <c r="J114" s="9">
        <f t="shared" si="35"/>
        <v>3809</v>
      </c>
      <c r="K114" s="9">
        <f t="shared" si="36"/>
        <v>7616</v>
      </c>
      <c r="L114" s="9">
        <f t="shared" si="37"/>
        <v>3990</v>
      </c>
      <c r="M114" s="9">
        <f t="shared" si="38"/>
        <v>7979</v>
      </c>
      <c r="N114" s="9">
        <f t="shared" si="39"/>
        <v>4171</v>
      </c>
      <c r="O114" s="9">
        <f t="shared" si="40"/>
        <v>8342</v>
      </c>
      <c r="Q114" s="8">
        <v>362.7</v>
      </c>
      <c r="R114" s="8">
        <v>725.4</v>
      </c>
      <c r="S114" s="8">
        <v>380.9</v>
      </c>
      <c r="T114" s="8">
        <v>761.6</v>
      </c>
      <c r="U114" s="8">
        <v>399</v>
      </c>
      <c r="V114" s="8">
        <v>797.9</v>
      </c>
      <c r="W114" s="8">
        <v>417.1</v>
      </c>
      <c r="X114" s="8">
        <v>834.2</v>
      </c>
    </row>
    <row r="115" s="2" customFormat="1" spans="1:24">
      <c r="A115" s="2">
        <v>1002</v>
      </c>
      <c r="B115" s="2">
        <v>65</v>
      </c>
      <c r="C115" s="3">
        <v>2</v>
      </c>
      <c r="D115" s="7" t="str">
        <f t="shared" si="22"/>
        <v>458:916</v>
      </c>
      <c r="E115" s="7" t="str">
        <f t="shared" si="23"/>
        <v>481:962</v>
      </c>
      <c r="F115" s="7" t="str">
        <f t="shared" si="24"/>
        <v>504:1007</v>
      </c>
      <c r="G115" s="7" t="str">
        <f t="shared" si="25"/>
        <v>526:1053</v>
      </c>
      <c r="H115" s="9">
        <f t="shared" si="41"/>
        <v>458</v>
      </c>
      <c r="I115" s="9">
        <f t="shared" si="34"/>
        <v>916</v>
      </c>
      <c r="J115" s="9">
        <f t="shared" si="35"/>
        <v>481</v>
      </c>
      <c r="K115" s="9">
        <f t="shared" si="36"/>
        <v>962</v>
      </c>
      <c r="L115" s="9">
        <f t="shared" si="37"/>
        <v>504</v>
      </c>
      <c r="M115" s="9">
        <f t="shared" si="38"/>
        <v>1007</v>
      </c>
      <c r="N115" s="9">
        <f t="shared" si="39"/>
        <v>526</v>
      </c>
      <c r="O115" s="9">
        <f t="shared" si="40"/>
        <v>1053</v>
      </c>
      <c r="Q115" s="8">
        <v>45.8</v>
      </c>
      <c r="R115" s="8">
        <v>91.6</v>
      </c>
      <c r="S115" s="8">
        <v>48.1</v>
      </c>
      <c r="T115" s="8">
        <v>96.2</v>
      </c>
      <c r="U115" s="8">
        <v>50.4</v>
      </c>
      <c r="V115" s="8">
        <v>100.7</v>
      </c>
      <c r="W115" s="8">
        <v>52.6</v>
      </c>
      <c r="X115" s="8">
        <v>105.3</v>
      </c>
    </row>
    <row r="116" s="2" customFormat="1" spans="1:24">
      <c r="A116" s="2">
        <v>1003</v>
      </c>
      <c r="B116" s="2">
        <v>65</v>
      </c>
      <c r="C116" s="3">
        <v>4</v>
      </c>
      <c r="D116" s="7" t="str">
        <f t="shared" si="22"/>
        <v>288:576</v>
      </c>
      <c r="E116" s="7" t="str">
        <f t="shared" si="23"/>
        <v>302:604</v>
      </c>
      <c r="F116" s="7" t="str">
        <f t="shared" si="24"/>
        <v>317:633</v>
      </c>
      <c r="G116" s="7" t="str">
        <f t="shared" si="25"/>
        <v>331:661</v>
      </c>
      <c r="H116" s="9">
        <f t="shared" si="41"/>
        <v>288</v>
      </c>
      <c r="I116" s="9">
        <f t="shared" si="34"/>
        <v>576</v>
      </c>
      <c r="J116" s="9">
        <f t="shared" si="35"/>
        <v>302</v>
      </c>
      <c r="K116" s="9">
        <f t="shared" si="36"/>
        <v>604</v>
      </c>
      <c r="L116" s="9">
        <f t="shared" si="37"/>
        <v>317</v>
      </c>
      <c r="M116" s="9">
        <f t="shared" si="38"/>
        <v>633</v>
      </c>
      <c r="N116" s="9">
        <f t="shared" si="39"/>
        <v>331</v>
      </c>
      <c r="O116" s="9">
        <f t="shared" si="40"/>
        <v>661</v>
      </c>
      <c r="Q116" s="8">
        <v>28.8</v>
      </c>
      <c r="R116" s="8">
        <v>57.6</v>
      </c>
      <c r="S116" s="8">
        <v>30.2</v>
      </c>
      <c r="T116" s="8">
        <v>60.4</v>
      </c>
      <c r="U116" s="8">
        <v>31.7</v>
      </c>
      <c r="V116" s="8">
        <v>63.3</v>
      </c>
      <c r="W116" s="8">
        <v>33.1</v>
      </c>
      <c r="X116" s="8">
        <v>66.1</v>
      </c>
    </row>
    <row r="117" s="2" customFormat="1" spans="1:24">
      <c r="A117" s="2">
        <v>1004</v>
      </c>
      <c r="B117" s="2">
        <v>65</v>
      </c>
      <c r="C117" s="3">
        <v>3</v>
      </c>
      <c r="D117" s="7" t="str">
        <f t="shared" si="22"/>
        <v>458:916</v>
      </c>
      <c r="E117" s="7" t="str">
        <f t="shared" si="23"/>
        <v>481:962</v>
      </c>
      <c r="F117" s="7" t="str">
        <f t="shared" si="24"/>
        <v>504:1007</v>
      </c>
      <c r="G117" s="7" t="str">
        <f t="shared" si="25"/>
        <v>526:1053</v>
      </c>
      <c r="H117" s="9">
        <f t="shared" si="41"/>
        <v>458</v>
      </c>
      <c r="I117" s="9">
        <f t="shared" si="34"/>
        <v>916</v>
      </c>
      <c r="J117" s="9">
        <f t="shared" si="35"/>
        <v>481</v>
      </c>
      <c r="K117" s="9">
        <f t="shared" si="36"/>
        <v>962</v>
      </c>
      <c r="L117" s="9">
        <f t="shared" si="37"/>
        <v>504</v>
      </c>
      <c r="M117" s="9">
        <f t="shared" si="38"/>
        <v>1007</v>
      </c>
      <c r="N117" s="9">
        <f t="shared" si="39"/>
        <v>526</v>
      </c>
      <c r="O117" s="9">
        <f t="shared" si="40"/>
        <v>1053</v>
      </c>
      <c r="Q117" s="8">
        <v>45.8</v>
      </c>
      <c r="R117" s="8">
        <v>91.6</v>
      </c>
      <c r="S117" s="8">
        <v>48.1</v>
      </c>
      <c r="T117" s="8">
        <v>96.2</v>
      </c>
      <c r="U117" s="8">
        <v>50.4</v>
      </c>
      <c r="V117" s="8">
        <v>100.7</v>
      </c>
      <c r="W117" s="8">
        <v>52.6</v>
      </c>
      <c r="X117" s="8">
        <v>105.3</v>
      </c>
    </row>
    <row r="118" s="2" customFormat="1" spans="1:24">
      <c r="A118" s="2">
        <v>1005</v>
      </c>
      <c r="B118" s="2">
        <v>65</v>
      </c>
      <c r="C118" s="3">
        <v>27</v>
      </c>
      <c r="D118" s="7" t="str">
        <f t="shared" si="22"/>
        <v>288:576</v>
      </c>
      <c r="E118" s="7" t="str">
        <f t="shared" si="23"/>
        <v>302:604</v>
      </c>
      <c r="F118" s="7" t="str">
        <f t="shared" si="24"/>
        <v>317:633</v>
      </c>
      <c r="G118" s="7" t="str">
        <f t="shared" si="25"/>
        <v>331:661</v>
      </c>
      <c r="H118" s="9">
        <f t="shared" si="41"/>
        <v>288</v>
      </c>
      <c r="I118" s="9">
        <f t="shared" si="34"/>
        <v>576</v>
      </c>
      <c r="J118" s="9">
        <f t="shared" si="35"/>
        <v>302</v>
      </c>
      <c r="K118" s="9">
        <f t="shared" si="36"/>
        <v>604</v>
      </c>
      <c r="L118" s="9">
        <f t="shared" si="37"/>
        <v>317</v>
      </c>
      <c r="M118" s="9">
        <f t="shared" si="38"/>
        <v>633</v>
      </c>
      <c r="N118" s="9">
        <f t="shared" si="39"/>
        <v>331</v>
      </c>
      <c r="O118" s="9">
        <f t="shared" si="40"/>
        <v>661</v>
      </c>
      <c r="Q118" s="8">
        <v>28.8</v>
      </c>
      <c r="R118" s="8">
        <v>57.6</v>
      </c>
      <c r="S118" s="8">
        <v>30.2</v>
      </c>
      <c r="T118" s="8">
        <v>60.4</v>
      </c>
      <c r="U118" s="8">
        <v>31.7</v>
      </c>
      <c r="V118" s="8">
        <v>63.3</v>
      </c>
      <c r="W118" s="8">
        <v>33.1</v>
      </c>
      <c r="X118" s="8">
        <v>66.1</v>
      </c>
    </row>
    <row r="119" s="2" customFormat="1" spans="1:24">
      <c r="A119" s="2">
        <v>1006</v>
      </c>
      <c r="B119" s="2">
        <v>65</v>
      </c>
      <c r="C119" s="3">
        <v>28</v>
      </c>
      <c r="D119" s="7" t="str">
        <f t="shared" si="22"/>
        <v>86:170</v>
      </c>
      <c r="E119" s="7" t="str">
        <f t="shared" si="23"/>
        <v>89:179</v>
      </c>
      <c r="F119" s="7" t="str">
        <f t="shared" si="24"/>
        <v>94:187</v>
      </c>
      <c r="G119" s="7" t="str">
        <f t="shared" si="25"/>
        <v>98:195</v>
      </c>
      <c r="H119" s="9">
        <f t="shared" si="41"/>
        <v>86</v>
      </c>
      <c r="I119" s="9">
        <f t="shared" si="34"/>
        <v>170</v>
      </c>
      <c r="J119" s="9">
        <f t="shared" si="35"/>
        <v>89</v>
      </c>
      <c r="K119" s="9">
        <f t="shared" si="36"/>
        <v>179</v>
      </c>
      <c r="L119" s="9">
        <f t="shared" si="37"/>
        <v>94</v>
      </c>
      <c r="M119" s="9">
        <f t="shared" si="38"/>
        <v>187</v>
      </c>
      <c r="N119" s="9">
        <f t="shared" si="39"/>
        <v>98</v>
      </c>
      <c r="O119" s="9">
        <f t="shared" si="40"/>
        <v>195</v>
      </c>
      <c r="Q119" s="8">
        <v>8.6</v>
      </c>
      <c r="R119" s="8">
        <v>17</v>
      </c>
      <c r="S119" s="8">
        <v>8.9</v>
      </c>
      <c r="T119" s="8">
        <v>17.9</v>
      </c>
      <c r="U119" s="8">
        <v>9.4</v>
      </c>
      <c r="V119" s="8">
        <v>18.7</v>
      </c>
      <c r="W119" s="8">
        <v>9.8</v>
      </c>
      <c r="X119" s="8">
        <v>19.5</v>
      </c>
    </row>
    <row r="120" s="2" customFormat="1" spans="1:24">
      <c r="A120" s="2">
        <v>1007</v>
      </c>
      <c r="B120" s="2">
        <v>65</v>
      </c>
      <c r="C120" s="3">
        <v>7</v>
      </c>
      <c r="D120" s="7" t="str">
        <f t="shared" si="22"/>
        <v>170:340</v>
      </c>
      <c r="E120" s="7" t="str">
        <f t="shared" si="23"/>
        <v>179:357</v>
      </c>
      <c r="F120" s="7" t="str">
        <f t="shared" si="24"/>
        <v>187:375</v>
      </c>
      <c r="G120" s="7" t="str">
        <f t="shared" si="25"/>
        <v>195:392</v>
      </c>
      <c r="H120" s="9">
        <f t="shared" si="41"/>
        <v>170</v>
      </c>
      <c r="I120" s="9">
        <f t="shared" si="34"/>
        <v>340</v>
      </c>
      <c r="J120" s="9">
        <f t="shared" si="35"/>
        <v>179</v>
      </c>
      <c r="K120" s="9">
        <f t="shared" si="36"/>
        <v>357</v>
      </c>
      <c r="L120" s="9">
        <f t="shared" si="37"/>
        <v>187</v>
      </c>
      <c r="M120" s="9">
        <f t="shared" si="38"/>
        <v>375</v>
      </c>
      <c r="N120" s="9">
        <f t="shared" si="39"/>
        <v>195</v>
      </c>
      <c r="O120" s="9">
        <f t="shared" si="40"/>
        <v>392</v>
      </c>
      <c r="Q120" s="8">
        <v>17</v>
      </c>
      <c r="R120" s="8">
        <v>34</v>
      </c>
      <c r="S120" s="8">
        <v>17.9</v>
      </c>
      <c r="T120" s="8">
        <v>35.7</v>
      </c>
      <c r="U120" s="8">
        <v>18.7</v>
      </c>
      <c r="V120" s="8">
        <v>37.5</v>
      </c>
      <c r="W120" s="8">
        <v>19.5</v>
      </c>
      <c r="X120" s="8">
        <v>39.2</v>
      </c>
    </row>
    <row r="121" s="2" customFormat="1" spans="1:24">
      <c r="A121" s="2">
        <v>1008</v>
      </c>
      <c r="B121" s="2">
        <v>65</v>
      </c>
      <c r="C121" s="3">
        <v>5</v>
      </c>
      <c r="D121" s="7" t="str">
        <f t="shared" si="22"/>
        <v>170:340</v>
      </c>
      <c r="E121" s="7" t="str">
        <f t="shared" si="23"/>
        <v>179:357</v>
      </c>
      <c r="F121" s="7" t="str">
        <f t="shared" si="24"/>
        <v>187:375</v>
      </c>
      <c r="G121" s="7" t="str">
        <f t="shared" si="25"/>
        <v>195:392</v>
      </c>
      <c r="H121" s="9">
        <f t="shared" si="41"/>
        <v>170</v>
      </c>
      <c r="I121" s="9">
        <f t="shared" si="34"/>
        <v>340</v>
      </c>
      <c r="J121" s="9">
        <f t="shared" si="35"/>
        <v>179</v>
      </c>
      <c r="K121" s="9">
        <f t="shared" si="36"/>
        <v>357</v>
      </c>
      <c r="L121" s="9">
        <f t="shared" si="37"/>
        <v>187</v>
      </c>
      <c r="M121" s="9">
        <f t="shared" si="38"/>
        <v>375</v>
      </c>
      <c r="N121" s="9">
        <f t="shared" si="39"/>
        <v>195</v>
      </c>
      <c r="O121" s="9">
        <f t="shared" si="40"/>
        <v>392</v>
      </c>
      <c r="Q121" s="8">
        <v>17</v>
      </c>
      <c r="R121" s="8">
        <v>34</v>
      </c>
      <c r="S121" s="8">
        <v>17.9</v>
      </c>
      <c r="T121" s="8">
        <v>35.7</v>
      </c>
      <c r="U121" s="8">
        <v>18.7</v>
      </c>
      <c r="V121" s="8">
        <v>37.5</v>
      </c>
      <c r="W121" s="8">
        <v>19.5</v>
      </c>
      <c r="X121" s="8">
        <v>39.2</v>
      </c>
    </row>
    <row r="122" s="2" customFormat="1" spans="1:24">
      <c r="A122" s="2">
        <v>1009</v>
      </c>
      <c r="B122" s="2">
        <v>65</v>
      </c>
      <c r="C122" s="3">
        <v>12</v>
      </c>
      <c r="D122" s="7" t="str">
        <f t="shared" si="22"/>
        <v>34:68</v>
      </c>
      <c r="E122" s="7" t="str">
        <f t="shared" si="23"/>
        <v>36:71</v>
      </c>
      <c r="F122" s="7" t="str">
        <f t="shared" si="24"/>
        <v>37:75</v>
      </c>
      <c r="G122" s="7" t="str">
        <f t="shared" si="25"/>
        <v>39:78</v>
      </c>
      <c r="H122" s="9">
        <f t="shared" si="41"/>
        <v>34</v>
      </c>
      <c r="I122" s="9">
        <f t="shared" si="34"/>
        <v>68</v>
      </c>
      <c r="J122" s="9">
        <f t="shared" si="35"/>
        <v>36</v>
      </c>
      <c r="K122" s="9">
        <f t="shared" si="36"/>
        <v>71</v>
      </c>
      <c r="L122" s="9">
        <f t="shared" si="37"/>
        <v>37</v>
      </c>
      <c r="M122" s="9">
        <f t="shared" si="38"/>
        <v>75</v>
      </c>
      <c r="N122" s="9">
        <f t="shared" si="39"/>
        <v>39</v>
      </c>
      <c r="O122" s="9">
        <f t="shared" si="40"/>
        <v>78</v>
      </c>
      <c r="Q122" s="8">
        <v>3.4</v>
      </c>
      <c r="R122" s="8">
        <v>6.8</v>
      </c>
      <c r="S122" s="8">
        <v>3.6</v>
      </c>
      <c r="T122" s="8">
        <v>7.1</v>
      </c>
      <c r="U122" s="8">
        <v>3.7</v>
      </c>
      <c r="V122" s="8">
        <v>7.5</v>
      </c>
      <c r="W122" s="8">
        <v>3.9</v>
      </c>
      <c r="X122" s="8">
        <v>7.8</v>
      </c>
    </row>
    <row r="123" s="2" customFormat="1" spans="1:24">
      <c r="A123" s="2">
        <v>1010</v>
      </c>
      <c r="B123" s="2">
        <v>65</v>
      </c>
      <c r="C123" s="3">
        <v>13</v>
      </c>
      <c r="D123" s="7" t="str">
        <f t="shared" si="22"/>
        <v>170:340</v>
      </c>
      <c r="E123" s="7" t="str">
        <f t="shared" si="23"/>
        <v>179:357</v>
      </c>
      <c r="F123" s="7" t="str">
        <f t="shared" si="24"/>
        <v>187:375</v>
      </c>
      <c r="G123" s="7" t="str">
        <f t="shared" si="25"/>
        <v>195:392</v>
      </c>
      <c r="H123" s="9">
        <f t="shared" si="41"/>
        <v>170</v>
      </c>
      <c r="I123" s="9">
        <f t="shared" si="34"/>
        <v>340</v>
      </c>
      <c r="J123" s="9">
        <f t="shared" si="35"/>
        <v>179</v>
      </c>
      <c r="K123" s="9">
        <f t="shared" si="36"/>
        <v>357</v>
      </c>
      <c r="L123" s="9">
        <f t="shared" si="37"/>
        <v>187</v>
      </c>
      <c r="M123" s="9">
        <f t="shared" si="38"/>
        <v>375</v>
      </c>
      <c r="N123" s="9">
        <f t="shared" si="39"/>
        <v>195</v>
      </c>
      <c r="O123" s="9">
        <f t="shared" si="40"/>
        <v>392</v>
      </c>
      <c r="Q123" s="8">
        <v>17</v>
      </c>
      <c r="R123" s="8">
        <v>34</v>
      </c>
      <c r="S123" s="8">
        <v>17.9</v>
      </c>
      <c r="T123" s="8">
        <v>35.7</v>
      </c>
      <c r="U123" s="8">
        <v>18.7</v>
      </c>
      <c r="V123" s="8">
        <v>37.5</v>
      </c>
      <c r="W123" s="8">
        <v>19.5</v>
      </c>
      <c r="X123" s="8">
        <v>39.2</v>
      </c>
    </row>
    <row r="124" s="2" customFormat="1" spans="1:24">
      <c r="A124" s="2">
        <v>1001</v>
      </c>
      <c r="B124" s="2">
        <v>70</v>
      </c>
      <c r="C124" s="3">
        <v>1</v>
      </c>
      <c r="D124" s="7" t="str">
        <f t="shared" si="22"/>
        <v>3872:7744</v>
      </c>
      <c r="E124" s="7" t="str">
        <f t="shared" si="23"/>
        <v>4066:8131</v>
      </c>
      <c r="F124" s="7" t="str">
        <f t="shared" si="24"/>
        <v>4259:8518</v>
      </c>
      <c r="G124" s="7" t="str">
        <f t="shared" si="25"/>
        <v>4453:8905</v>
      </c>
      <c r="H124" s="9">
        <f t="shared" si="41"/>
        <v>3872</v>
      </c>
      <c r="I124" s="9">
        <f t="shared" si="34"/>
        <v>7744</v>
      </c>
      <c r="J124" s="9">
        <f t="shared" si="35"/>
        <v>4066</v>
      </c>
      <c r="K124" s="9">
        <f t="shared" si="36"/>
        <v>8131</v>
      </c>
      <c r="L124" s="9">
        <f t="shared" si="37"/>
        <v>4259</v>
      </c>
      <c r="M124" s="9">
        <f t="shared" si="38"/>
        <v>8518</v>
      </c>
      <c r="N124" s="9">
        <f t="shared" si="39"/>
        <v>4453</v>
      </c>
      <c r="O124" s="9">
        <f t="shared" si="40"/>
        <v>8905</v>
      </c>
      <c r="Q124" s="8">
        <v>387.2</v>
      </c>
      <c r="R124" s="8">
        <v>774.4</v>
      </c>
      <c r="S124" s="8">
        <v>406.6</v>
      </c>
      <c r="T124" s="8">
        <v>813.1</v>
      </c>
      <c r="U124" s="8">
        <v>425.9</v>
      </c>
      <c r="V124" s="8">
        <v>851.8</v>
      </c>
      <c r="W124" s="8">
        <v>445.3</v>
      </c>
      <c r="X124" s="8">
        <v>890.5</v>
      </c>
    </row>
    <row r="125" s="2" customFormat="1" spans="1:24">
      <c r="A125" s="2">
        <v>1002</v>
      </c>
      <c r="B125" s="2">
        <v>70</v>
      </c>
      <c r="C125" s="3">
        <v>2</v>
      </c>
      <c r="D125" s="7" t="str">
        <f t="shared" si="22"/>
        <v>489:978</v>
      </c>
      <c r="E125" s="7" t="str">
        <f t="shared" si="23"/>
        <v>513:1026</v>
      </c>
      <c r="F125" s="7" t="str">
        <f t="shared" si="24"/>
        <v>538:1075</v>
      </c>
      <c r="G125" s="7" t="str">
        <f t="shared" si="25"/>
        <v>562:1124</v>
      </c>
      <c r="H125" s="9">
        <f t="shared" si="41"/>
        <v>489</v>
      </c>
      <c r="I125" s="9">
        <f t="shared" si="34"/>
        <v>978</v>
      </c>
      <c r="J125" s="9">
        <f t="shared" si="35"/>
        <v>513</v>
      </c>
      <c r="K125" s="9">
        <f t="shared" si="36"/>
        <v>1026</v>
      </c>
      <c r="L125" s="9">
        <f t="shared" si="37"/>
        <v>538</v>
      </c>
      <c r="M125" s="9">
        <f t="shared" si="38"/>
        <v>1075</v>
      </c>
      <c r="N125" s="9">
        <f t="shared" si="39"/>
        <v>562</v>
      </c>
      <c r="O125" s="9">
        <f t="shared" si="40"/>
        <v>1124</v>
      </c>
      <c r="Q125" s="8">
        <v>48.9</v>
      </c>
      <c r="R125" s="8">
        <v>97.8</v>
      </c>
      <c r="S125" s="8">
        <v>51.3</v>
      </c>
      <c r="T125" s="8">
        <v>102.6</v>
      </c>
      <c r="U125" s="8">
        <v>53.8</v>
      </c>
      <c r="V125" s="8">
        <v>107.5</v>
      </c>
      <c r="W125" s="8">
        <v>56.2</v>
      </c>
      <c r="X125" s="8">
        <v>112.4</v>
      </c>
    </row>
    <row r="126" s="2" customFormat="1" spans="1:24">
      <c r="A126" s="2">
        <v>1003</v>
      </c>
      <c r="B126" s="2">
        <v>70</v>
      </c>
      <c r="C126" s="3">
        <v>4</v>
      </c>
      <c r="D126" s="7" t="str">
        <f t="shared" si="22"/>
        <v>307:614</v>
      </c>
      <c r="E126" s="7" t="str">
        <f t="shared" si="23"/>
        <v>323:645</v>
      </c>
      <c r="F126" s="7" t="str">
        <f t="shared" si="24"/>
        <v>338:676</v>
      </c>
      <c r="G126" s="7" t="str">
        <f t="shared" si="25"/>
        <v>353:706</v>
      </c>
      <c r="H126" s="9">
        <f t="shared" si="41"/>
        <v>307</v>
      </c>
      <c r="I126" s="9">
        <f t="shared" si="34"/>
        <v>614</v>
      </c>
      <c r="J126" s="9">
        <f t="shared" si="35"/>
        <v>323</v>
      </c>
      <c r="K126" s="9">
        <f t="shared" si="36"/>
        <v>645</v>
      </c>
      <c r="L126" s="9">
        <f t="shared" si="37"/>
        <v>338</v>
      </c>
      <c r="M126" s="9">
        <f t="shared" si="38"/>
        <v>676</v>
      </c>
      <c r="N126" s="9">
        <f t="shared" si="39"/>
        <v>353</v>
      </c>
      <c r="O126" s="9">
        <f t="shared" si="40"/>
        <v>706</v>
      </c>
      <c r="Q126" s="8">
        <v>30.7</v>
      </c>
      <c r="R126" s="8">
        <v>61.4</v>
      </c>
      <c r="S126" s="8">
        <v>32.3</v>
      </c>
      <c r="T126" s="8">
        <v>64.5</v>
      </c>
      <c r="U126" s="8">
        <v>33.8</v>
      </c>
      <c r="V126" s="8">
        <v>67.6</v>
      </c>
      <c r="W126" s="8">
        <v>35.3</v>
      </c>
      <c r="X126" s="8">
        <v>70.6</v>
      </c>
    </row>
    <row r="127" s="2" customFormat="1" spans="1:24">
      <c r="A127" s="2">
        <v>1004</v>
      </c>
      <c r="B127" s="2">
        <v>70</v>
      </c>
      <c r="C127" s="3">
        <v>3</v>
      </c>
      <c r="D127" s="7" t="str">
        <f t="shared" si="22"/>
        <v>489:978</v>
      </c>
      <c r="E127" s="7" t="str">
        <f t="shared" si="23"/>
        <v>513:1026</v>
      </c>
      <c r="F127" s="7" t="str">
        <f t="shared" si="24"/>
        <v>538:1075</v>
      </c>
      <c r="G127" s="7" t="str">
        <f t="shared" si="25"/>
        <v>562:1124</v>
      </c>
      <c r="H127" s="9">
        <f t="shared" si="41"/>
        <v>489</v>
      </c>
      <c r="I127" s="9">
        <f t="shared" si="34"/>
        <v>978</v>
      </c>
      <c r="J127" s="9">
        <f t="shared" si="35"/>
        <v>513</v>
      </c>
      <c r="K127" s="9">
        <f t="shared" si="36"/>
        <v>1026</v>
      </c>
      <c r="L127" s="9">
        <f t="shared" si="37"/>
        <v>538</v>
      </c>
      <c r="M127" s="9">
        <f t="shared" si="38"/>
        <v>1075</v>
      </c>
      <c r="N127" s="9">
        <f t="shared" si="39"/>
        <v>562</v>
      </c>
      <c r="O127" s="9">
        <f t="shared" si="40"/>
        <v>1124</v>
      </c>
      <c r="Q127" s="8">
        <v>48.9</v>
      </c>
      <c r="R127" s="8">
        <v>97.8</v>
      </c>
      <c r="S127" s="8">
        <v>51.3</v>
      </c>
      <c r="T127" s="8">
        <v>102.6</v>
      </c>
      <c r="U127" s="8">
        <v>53.8</v>
      </c>
      <c r="V127" s="8">
        <v>107.5</v>
      </c>
      <c r="W127" s="8">
        <v>56.2</v>
      </c>
      <c r="X127" s="8">
        <v>112.4</v>
      </c>
    </row>
    <row r="128" s="2" customFormat="1" spans="1:24">
      <c r="A128" s="2">
        <v>1005</v>
      </c>
      <c r="B128" s="2">
        <v>70</v>
      </c>
      <c r="C128" s="3">
        <v>27</v>
      </c>
      <c r="D128" s="7" t="str">
        <f t="shared" si="22"/>
        <v>307:614</v>
      </c>
      <c r="E128" s="7" t="str">
        <f t="shared" si="23"/>
        <v>323:645</v>
      </c>
      <c r="F128" s="7" t="str">
        <f t="shared" si="24"/>
        <v>338:676</v>
      </c>
      <c r="G128" s="7" t="str">
        <f t="shared" si="25"/>
        <v>353:706</v>
      </c>
      <c r="H128" s="9">
        <f t="shared" si="41"/>
        <v>307</v>
      </c>
      <c r="I128" s="9">
        <f t="shared" si="34"/>
        <v>614</v>
      </c>
      <c r="J128" s="9">
        <f t="shared" si="35"/>
        <v>323</v>
      </c>
      <c r="K128" s="9">
        <f t="shared" si="36"/>
        <v>645</v>
      </c>
      <c r="L128" s="9">
        <f t="shared" si="37"/>
        <v>338</v>
      </c>
      <c r="M128" s="9">
        <f t="shared" si="38"/>
        <v>676</v>
      </c>
      <c r="N128" s="9">
        <f t="shared" si="39"/>
        <v>353</v>
      </c>
      <c r="O128" s="9">
        <f t="shared" si="40"/>
        <v>706</v>
      </c>
      <c r="Q128" s="8">
        <v>30.7</v>
      </c>
      <c r="R128" s="8">
        <v>61.4</v>
      </c>
      <c r="S128" s="8">
        <v>32.3</v>
      </c>
      <c r="T128" s="8">
        <v>64.5</v>
      </c>
      <c r="U128" s="8">
        <v>33.8</v>
      </c>
      <c r="V128" s="8">
        <v>67.6</v>
      </c>
      <c r="W128" s="8">
        <v>35.3</v>
      </c>
      <c r="X128" s="8">
        <v>70.6</v>
      </c>
    </row>
    <row r="129" s="2" customFormat="1" spans="1:24">
      <c r="A129" s="2">
        <v>1006</v>
      </c>
      <c r="B129" s="2">
        <v>70</v>
      </c>
      <c r="C129" s="3">
        <v>28</v>
      </c>
      <c r="D129" s="7" t="str">
        <f t="shared" si="22"/>
        <v>91:182</v>
      </c>
      <c r="E129" s="7" t="str">
        <f t="shared" si="23"/>
        <v>95:191</v>
      </c>
      <c r="F129" s="7" t="str">
        <f t="shared" si="24"/>
        <v>100:200</v>
      </c>
      <c r="G129" s="7" t="str">
        <f t="shared" si="25"/>
        <v>104:209</v>
      </c>
      <c r="H129" s="9">
        <f t="shared" si="41"/>
        <v>91</v>
      </c>
      <c r="I129" s="9">
        <f t="shared" si="34"/>
        <v>182</v>
      </c>
      <c r="J129" s="9">
        <f t="shared" si="35"/>
        <v>95</v>
      </c>
      <c r="K129" s="9">
        <f t="shared" si="36"/>
        <v>191</v>
      </c>
      <c r="L129" s="9">
        <f t="shared" si="37"/>
        <v>100</v>
      </c>
      <c r="M129" s="9">
        <f t="shared" si="38"/>
        <v>200</v>
      </c>
      <c r="N129" s="9">
        <f t="shared" si="39"/>
        <v>104</v>
      </c>
      <c r="O129" s="9">
        <f t="shared" si="40"/>
        <v>209</v>
      </c>
      <c r="Q129" s="8">
        <v>9.1</v>
      </c>
      <c r="R129" s="8">
        <v>18.2</v>
      </c>
      <c r="S129" s="8">
        <v>9.5</v>
      </c>
      <c r="T129" s="8">
        <v>19.1</v>
      </c>
      <c r="U129" s="8">
        <v>10</v>
      </c>
      <c r="V129" s="8">
        <v>20</v>
      </c>
      <c r="W129" s="8">
        <v>10.4</v>
      </c>
      <c r="X129" s="8">
        <v>20.9</v>
      </c>
    </row>
    <row r="130" s="2" customFormat="1" spans="1:24">
      <c r="A130" s="2">
        <v>1007</v>
      </c>
      <c r="B130" s="2">
        <v>70</v>
      </c>
      <c r="C130" s="3">
        <v>7</v>
      </c>
      <c r="D130" s="7" t="str">
        <f t="shared" si="22"/>
        <v>182:363</v>
      </c>
      <c r="E130" s="7" t="str">
        <f t="shared" si="23"/>
        <v>191:381</v>
      </c>
      <c r="F130" s="7" t="str">
        <f t="shared" si="24"/>
        <v>200:400</v>
      </c>
      <c r="G130" s="7" t="str">
        <f t="shared" si="25"/>
        <v>209:418</v>
      </c>
      <c r="H130" s="9">
        <f t="shared" si="41"/>
        <v>182</v>
      </c>
      <c r="I130" s="9">
        <f t="shared" si="34"/>
        <v>363</v>
      </c>
      <c r="J130" s="9">
        <f t="shared" si="35"/>
        <v>191</v>
      </c>
      <c r="K130" s="9">
        <f t="shared" si="36"/>
        <v>381</v>
      </c>
      <c r="L130" s="9">
        <f t="shared" si="37"/>
        <v>200</v>
      </c>
      <c r="M130" s="9">
        <f t="shared" si="38"/>
        <v>400</v>
      </c>
      <c r="N130" s="9">
        <f t="shared" si="39"/>
        <v>209</v>
      </c>
      <c r="O130" s="9">
        <f t="shared" si="40"/>
        <v>418</v>
      </c>
      <c r="Q130" s="8">
        <v>18.2</v>
      </c>
      <c r="R130" s="8">
        <v>36.3</v>
      </c>
      <c r="S130" s="8">
        <v>19.1</v>
      </c>
      <c r="T130" s="8">
        <v>38.1</v>
      </c>
      <c r="U130" s="8">
        <v>20</v>
      </c>
      <c r="V130" s="8">
        <v>40</v>
      </c>
      <c r="W130" s="8">
        <v>20.9</v>
      </c>
      <c r="X130" s="8">
        <v>41.8</v>
      </c>
    </row>
    <row r="131" s="2" customFormat="1" spans="1:24">
      <c r="A131" s="2">
        <v>1008</v>
      </c>
      <c r="B131" s="2">
        <v>70</v>
      </c>
      <c r="C131" s="3">
        <v>5</v>
      </c>
      <c r="D131" s="7" t="str">
        <f t="shared" si="22"/>
        <v>182:363</v>
      </c>
      <c r="E131" s="7" t="str">
        <f t="shared" si="23"/>
        <v>191:381</v>
      </c>
      <c r="F131" s="7" t="str">
        <f t="shared" si="24"/>
        <v>200:400</v>
      </c>
      <c r="G131" s="7" t="str">
        <f t="shared" si="25"/>
        <v>209:418</v>
      </c>
      <c r="H131" s="9">
        <f t="shared" si="41"/>
        <v>182</v>
      </c>
      <c r="I131" s="9">
        <f t="shared" si="34"/>
        <v>363</v>
      </c>
      <c r="J131" s="9">
        <f t="shared" si="35"/>
        <v>191</v>
      </c>
      <c r="K131" s="9">
        <f t="shared" si="36"/>
        <v>381</v>
      </c>
      <c r="L131" s="9">
        <f t="shared" si="37"/>
        <v>200</v>
      </c>
      <c r="M131" s="9">
        <f t="shared" si="38"/>
        <v>400</v>
      </c>
      <c r="N131" s="9">
        <f t="shared" si="39"/>
        <v>209</v>
      </c>
      <c r="O131" s="9">
        <f t="shared" si="40"/>
        <v>418</v>
      </c>
      <c r="Q131" s="8">
        <v>18.2</v>
      </c>
      <c r="R131" s="8">
        <v>36.3</v>
      </c>
      <c r="S131" s="8">
        <v>19.1</v>
      </c>
      <c r="T131" s="8">
        <v>38.1</v>
      </c>
      <c r="U131" s="8">
        <v>20</v>
      </c>
      <c r="V131" s="8">
        <v>40</v>
      </c>
      <c r="W131" s="8">
        <v>20.9</v>
      </c>
      <c r="X131" s="8">
        <v>41.8</v>
      </c>
    </row>
    <row r="132" s="2" customFormat="1" spans="1:24">
      <c r="A132" s="2">
        <v>1009</v>
      </c>
      <c r="B132" s="2">
        <v>70</v>
      </c>
      <c r="C132" s="3">
        <v>12</v>
      </c>
      <c r="D132" s="7" t="str">
        <f>H132&amp;":"&amp;I132</f>
        <v>36:73</v>
      </c>
      <c r="E132" s="7" t="str">
        <f>J132&amp;":"&amp;K132</f>
        <v>38:76</v>
      </c>
      <c r="F132" s="7" t="str">
        <f>L132&amp;":"&amp;M132</f>
        <v>40:80</v>
      </c>
      <c r="G132" s="7" t="str">
        <f>N132&amp;":"&amp;O132</f>
        <v>42:84</v>
      </c>
      <c r="H132" s="9">
        <f t="shared" si="41"/>
        <v>36</v>
      </c>
      <c r="I132" s="9">
        <f t="shared" si="34"/>
        <v>73</v>
      </c>
      <c r="J132" s="9">
        <f t="shared" si="35"/>
        <v>38</v>
      </c>
      <c r="K132" s="9">
        <f t="shared" si="36"/>
        <v>76</v>
      </c>
      <c r="L132" s="9">
        <f t="shared" si="37"/>
        <v>40</v>
      </c>
      <c r="M132" s="9">
        <f t="shared" si="38"/>
        <v>80</v>
      </c>
      <c r="N132" s="9">
        <f t="shared" si="39"/>
        <v>42</v>
      </c>
      <c r="O132" s="9">
        <f t="shared" si="40"/>
        <v>84</v>
      </c>
      <c r="Q132" s="8">
        <v>3.6</v>
      </c>
      <c r="R132" s="8">
        <v>7.3</v>
      </c>
      <c r="S132" s="8">
        <v>3.8</v>
      </c>
      <c r="T132" s="8">
        <v>7.6</v>
      </c>
      <c r="U132" s="8">
        <v>4</v>
      </c>
      <c r="V132" s="8">
        <v>8</v>
      </c>
      <c r="W132" s="8">
        <v>4.2</v>
      </c>
      <c r="X132" s="8">
        <v>8.4</v>
      </c>
    </row>
    <row r="133" s="2" customFormat="1" spans="1:24">
      <c r="A133" s="2">
        <v>1010</v>
      </c>
      <c r="B133" s="2">
        <v>70</v>
      </c>
      <c r="C133" s="3">
        <v>13</v>
      </c>
      <c r="D133" s="7" t="str">
        <f>H133&amp;":"&amp;I133</f>
        <v>182:363</v>
      </c>
      <c r="E133" s="7" t="str">
        <f>J133&amp;":"&amp;K133</f>
        <v>191:381</v>
      </c>
      <c r="F133" s="7" t="str">
        <f>L133&amp;":"&amp;M133</f>
        <v>200:400</v>
      </c>
      <c r="G133" s="7" t="str">
        <f>N133&amp;":"&amp;O133</f>
        <v>209:418</v>
      </c>
      <c r="H133" s="9">
        <f t="shared" si="41"/>
        <v>182</v>
      </c>
      <c r="I133" s="9">
        <f t="shared" si="34"/>
        <v>363</v>
      </c>
      <c r="J133" s="9">
        <f t="shared" si="35"/>
        <v>191</v>
      </c>
      <c r="K133" s="9">
        <f t="shared" si="36"/>
        <v>381</v>
      </c>
      <c r="L133" s="9">
        <f t="shared" si="37"/>
        <v>200</v>
      </c>
      <c r="M133" s="9">
        <f t="shared" si="38"/>
        <v>400</v>
      </c>
      <c r="N133" s="9">
        <f t="shared" si="39"/>
        <v>209</v>
      </c>
      <c r="O133" s="9">
        <f t="shared" si="40"/>
        <v>418</v>
      </c>
      <c r="Q133" s="8">
        <v>18.2</v>
      </c>
      <c r="R133" s="8">
        <v>36.3</v>
      </c>
      <c r="S133" s="8">
        <v>19.1</v>
      </c>
      <c r="T133" s="8">
        <v>38.1</v>
      </c>
      <c r="U133" s="8">
        <v>20</v>
      </c>
      <c r="V133" s="8">
        <v>40</v>
      </c>
      <c r="W133" s="8">
        <v>20.9</v>
      </c>
      <c r="X133" s="8">
        <v>41.8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H1" sqref="H$1:O$1048576"/>
    </sheetView>
  </sheetViews>
  <sheetFormatPr defaultColWidth="9" defaultRowHeight="16.5"/>
  <cols>
    <col min="1" max="2" width="9" style="2"/>
    <col min="3" max="3" width="11.875" style="3" customWidth="1"/>
    <col min="4" max="7" width="11.625" style="2" customWidth="1"/>
    <col min="8" max="9" width="9.375" style="2"/>
    <col min="10" max="10" width="11.5" style="2"/>
    <col min="11" max="13" width="10.375" style="2"/>
    <col min="14" max="14" width="11.5" style="2"/>
    <col min="15" max="15" width="10.375" style="2"/>
    <col min="16" max="18" width="9" style="2"/>
    <col min="19" max="20" width="10.25" style="2"/>
    <col min="21" max="21" width="12.625" style="2"/>
    <col min="22" max="22" width="11.5" style="2"/>
    <col min="23" max="24" width="12.625" style="2"/>
    <col min="25" max="16384" width="9" style="2"/>
  </cols>
  <sheetData>
    <row r="1" s="2" customFormat="1" ht="17.25" spans="1:7">
      <c r="A1" s="2" t="s">
        <v>0</v>
      </c>
      <c r="B1" s="4" t="s">
        <v>1</v>
      </c>
      <c r="C1" s="2" t="s">
        <v>2</v>
      </c>
      <c r="D1" s="5" t="s">
        <v>3</v>
      </c>
      <c r="E1" s="5" t="s">
        <v>3</v>
      </c>
      <c r="F1" s="5" t="s">
        <v>3</v>
      </c>
      <c r="G1" s="5" t="s">
        <v>3</v>
      </c>
    </row>
    <row r="2" s="2" customFormat="1" spans="1:7">
      <c r="A2" s="6" t="s">
        <v>7</v>
      </c>
      <c r="B2" s="6" t="s">
        <v>7</v>
      </c>
      <c r="C2" s="6" t="s">
        <v>7</v>
      </c>
      <c r="D2" s="2" t="s">
        <v>8</v>
      </c>
      <c r="E2" s="2" t="s">
        <v>8</v>
      </c>
      <c r="F2" s="2" t="s">
        <v>8</v>
      </c>
      <c r="G2" s="2" t="s">
        <v>8</v>
      </c>
    </row>
    <row r="3" s="2" customFormat="1" spans="1:7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="2" customFormat="1" spans="1:28">
      <c r="A4" s="2">
        <v>1001</v>
      </c>
      <c r="B4" s="2">
        <v>1</v>
      </c>
      <c r="C4" s="3">
        <v>1</v>
      </c>
      <c r="D4" s="7" t="str">
        <f t="shared" ref="D4:D67" si="0">H4&amp;":"&amp;I4</f>
        <v>49:98</v>
      </c>
      <c r="E4" s="7" t="str">
        <f t="shared" ref="E4:E67" si="1">J4&amp;":"&amp;K4</f>
        <v>51.5:102.9</v>
      </c>
      <c r="F4" s="7" t="str">
        <f t="shared" ref="F4:F67" si="2">L4&amp;":"&amp;M4</f>
        <v>53.9:107.8</v>
      </c>
      <c r="G4" s="7" t="str">
        <f t="shared" ref="G4:G67" si="3">N4&amp;":"&amp;O4</f>
        <v>56.4:112.7</v>
      </c>
      <c r="H4" s="2">
        <f t="shared" ref="H4:H13" si="4">Y4</f>
        <v>49</v>
      </c>
      <c r="I4" s="2">
        <f t="shared" ref="I4:I13" si="5">U4</f>
        <v>98</v>
      </c>
      <c r="J4" s="2">
        <f t="shared" ref="J4:J13" si="6">Z4</f>
        <v>51.5</v>
      </c>
      <c r="K4" s="2">
        <f t="shared" ref="K4:K13" si="7">V4</f>
        <v>102.9</v>
      </c>
      <c r="L4" s="2">
        <f t="shared" ref="L4:L13" si="8">AA4</f>
        <v>53.9</v>
      </c>
      <c r="M4" s="2">
        <f t="shared" ref="M4:M13" si="9">W4</f>
        <v>107.8</v>
      </c>
      <c r="N4" s="2">
        <f t="shared" ref="N4:N13" si="10">AB4</f>
        <v>56.4</v>
      </c>
      <c r="O4" s="2">
        <f t="shared" ref="O4:O13" si="11">X4</f>
        <v>112.7</v>
      </c>
      <c r="Q4" s="2">
        <v>21.31</v>
      </c>
      <c r="R4" s="8">
        <f>Q4*0.46</f>
        <v>9.8026</v>
      </c>
      <c r="S4" s="8">
        <v>225.5</v>
      </c>
      <c r="T4" s="8">
        <v>112.7</v>
      </c>
      <c r="U4" s="8">
        <v>98</v>
      </c>
      <c r="V4" s="8">
        <v>102.9</v>
      </c>
      <c r="W4" s="8">
        <v>107.8</v>
      </c>
      <c r="X4" s="8">
        <v>112.7</v>
      </c>
      <c r="Y4" s="8">
        <v>49</v>
      </c>
      <c r="Z4" s="8">
        <v>51.5</v>
      </c>
      <c r="AA4" s="8">
        <v>53.9</v>
      </c>
      <c r="AB4" s="8">
        <v>56.4</v>
      </c>
    </row>
    <row r="5" s="2" customFormat="1" spans="1:28">
      <c r="A5" s="2">
        <v>1002</v>
      </c>
      <c r="B5" s="2">
        <v>1</v>
      </c>
      <c r="C5" s="3">
        <v>2</v>
      </c>
      <c r="D5" s="7" t="str">
        <f t="shared" si="0"/>
        <v>6.2:12.4</v>
      </c>
      <c r="E5" s="7" t="str">
        <f t="shared" si="1"/>
        <v>6.5:13</v>
      </c>
      <c r="F5" s="7" t="str">
        <f t="shared" si="2"/>
        <v>6.8:13.6</v>
      </c>
      <c r="G5" s="7" t="str">
        <f t="shared" si="3"/>
        <v>7.1:14.2</v>
      </c>
      <c r="H5" s="2">
        <f t="shared" si="4"/>
        <v>6.2</v>
      </c>
      <c r="I5" s="2">
        <f t="shared" si="5"/>
        <v>12.4</v>
      </c>
      <c r="J5" s="2">
        <f t="shared" si="6"/>
        <v>6.5</v>
      </c>
      <c r="K5" s="2">
        <f t="shared" si="7"/>
        <v>13</v>
      </c>
      <c r="L5" s="2">
        <f t="shared" si="8"/>
        <v>6.8</v>
      </c>
      <c r="M5" s="2">
        <f t="shared" si="9"/>
        <v>13.6</v>
      </c>
      <c r="N5" s="2">
        <f t="shared" si="10"/>
        <v>7.1</v>
      </c>
      <c r="O5" s="2">
        <f t="shared" si="11"/>
        <v>14.2</v>
      </c>
      <c r="Q5" s="2">
        <v>2.69</v>
      </c>
      <c r="R5" s="8">
        <f t="shared" ref="R5:R13" si="12">Q5*0.46</f>
        <v>1.2374</v>
      </c>
      <c r="S5" s="8">
        <v>28.5</v>
      </c>
      <c r="T5" s="8">
        <v>14.2</v>
      </c>
      <c r="U5" s="8">
        <v>12.4</v>
      </c>
      <c r="V5" s="8">
        <v>13</v>
      </c>
      <c r="W5" s="8">
        <v>13.6</v>
      </c>
      <c r="X5" s="8">
        <v>14.2</v>
      </c>
      <c r="Y5" s="8">
        <v>6.2</v>
      </c>
      <c r="Z5" s="8">
        <v>6.5</v>
      </c>
      <c r="AA5" s="8">
        <v>6.8</v>
      </c>
      <c r="AB5" s="8">
        <v>7.1</v>
      </c>
    </row>
    <row r="6" s="2" customFormat="1" spans="1:28">
      <c r="A6" s="2">
        <v>1003</v>
      </c>
      <c r="B6" s="2">
        <v>1</v>
      </c>
      <c r="C6" s="3">
        <v>4</v>
      </c>
      <c r="D6" s="7" t="str">
        <f t="shared" si="0"/>
        <v>3.9:7.8</v>
      </c>
      <c r="E6" s="7" t="str">
        <f t="shared" si="1"/>
        <v>4.1:8.2</v>
      </c>
      <c r="F6" s="7" t="str">
        <f t="shared" si="2"/>
        <v>4.3:8.6</v>
      </c>
      <c r="G6" s="7" t="str">
        <f t="shared" si="3"/>
        <v>4.5:8.9</v>
      </c>
      <c r="H6" s="2">
        <f t="shared" si="4"/>
        <v>3.9</v>
      </c>
      <c r="I6" s="2">
        <f t="shared" si="5"/>
        <v>7.8</v>
      </c>
      <c r="J6" s="2">
        <f t="shared" si="6"/>
        <v>4.1</v>
      </c>
      <c r="K6" s="2">
        <f t="shared" si="7"/>
        <v>8.2</v>
      </c>
      <c r="L6" s="2">
        <f t="shared" si="8"/>
        <v>4.3</v>
      </c>
      <c r="M6" s="2">
        <f t="shared" si="9"/>
        <v>8.6</v>
      </c>
      <c r="N6" s="2">
        <f t="shared" si="10"/>
        <v>4.5</v>
      </c>
      <c r="O6" s="2">
        <f t="shared" si="11"/>
        <v>8.9</v>
      </c>
      <c r="Q6" s="2">
        <v>1.69</v>
      </c>
      <c r="R6" s="8">
        <f t="shared" si="12"/>
        <v>0.7774</v>
      </c>
      <c r="S6" s="8">
        <v>17.9</v>
      </c>
      <c r="T6" s="8">
        <v>8.9</v>
      </c>
      <c r="U6" s="8">
        <v>7.8</v>
      </c>
      <c r="V6" s="8">
        <v>8.2</v>
      </c>
      <c r="W6" s="8">
        <v>8.6</v>
      </c>
      <c r="X6" s="8">
        <v>8.9</v>
      </c>
      <c r="Y6" s="8">
        <v>3.9</v>
      </c>
      <c r="Z6" s="8">
        <v>4.1</v>
      </c>
      <c r="AA6" s="8">
        <v>4.3</v>
      </c>
      <c r="AB6" s="8">
        <v>4.5</v>
      </c>
    </row>
    <row r="7" s="2" customFormat="1" spans="1:28">
      <c r="A7" s="2">
        <v>1004</v>
      </c>
      <c r="B7" s="2">
        <v>1</v>
      </c>
      <c r="C7" s="3">
        <v>3</v>
      </c>
      <c r="D7" s="7" t="str">
        <f t="shared" si="0"/>
        <v>6.2:12.4</v>
      </c>
      <c r="E7" s="7" t="str">
        <f t="shared" si="1"/>
        <v>6.5:13</v>
      </c>
      <c r="F7" s="7" t="str">
        <f t="shared" si="2"/>
        <v>6.8:13.6</v>
      </c>
      <c r="G7" s="7" t="str">
        <f t="shared" si="3"/>
        <v>7.1:14.2</v>
      </c>
      <c r="H7" s="2">
        <f t="shared" si="4"/>
        <v>6.2</v>
      </c>
      <c r="I7" s="2">
        <f t="shared" si="5"/>
        <v>12.4</v>
      </c>
      <c r="J7" s="2">
        <f t="shared" si="6"/>
        <v>6.5</v>
      </c>
      <c r="K7" s="2">
        <f t="shared" si="7"/>
        <v>13</v>
      </c>
      <c r="L7" s="2">
        <f t="shared" si="8"/>
        <v>6.8</v>
      </c>
      <c r="M7" s="2">
        <f t="shared" si="9"/>
        <v>13.6</v>
      </c>
      <c r="N7" s="2">
        <f t="shared" si="10"/>
        <v>7.1</v>
      </c>
      <c r="O7" s="2">
        <f t="shared" si="11"/>
        <v>14.2</v>
      </c>
      <c r="Q7" s="2">
        <v>2.69</v>
      </c>
      <c r="R7" s="8">
        <f t="shared" si="12"/>
        <v>1.2374</v>
      </c>
      <c r="S7" s="8">
        <v>28.5</v>
      </c>
      <c r="T7" s="8">
        <v>14.2</v>
      </c>
      <c r="U7" s="8">
        <v>12.4</v>
      </c>
      <c r="V7" s="8">
        <v>13</v>
      </c>
      <c r="W7" s="8">
        <v>13.6</v>
      </c>
      <c r="X7" s="8">
        <v>14.2</v>
      </c>
      <c r="Y7" s="8">
        <v>6.2</v>
      </c>
      <c r="Z7" s="8">
        <v>6.5</v>
      </c>
      <c r="AA7" s="8">
        <v>6.8</v>
      </c>
      <c r="AB7" s="8">
        <v>7.1</v>
      </c>
    </row>
    <row r="8" s="2" customFormat="1" spans="1:28">
      <c r="A8" s="2">
        <v>1005</v>
      </c>
      <c r="B8" s="2">
        <v>1</v>
      </c>
      <c r="C8" s="3">
        <v>27</v>
      </c>
      <c r="D8" s="7" t="str">
        <f t="shared" si="0"/>
        <v>3.9:7.8</v>
      </c>
      <c r="E8" s="7" t="str">
        <f t="shared" si="1"/>
        <v>4.1:8.2</v>
      </c>
      <c r="F8" s="7" t="str">
        <f t="shared" si="2"/>
        <v>4.3:8.6</v>
      </c>
      <c r="G8" s="7" t="str">
        <f t="shared" si="3"/>
        <v>4.5:8.9</v>
      </c>
      <c r="H8" s="2">
        <f t="shared" si="4"/>
        <v>3.9</v>
      </c>
      <c r="I8" s="2">
        <f t="shared" si="5"/>
        <v>7.8</v>
      </c>
      <c r="J8" s="2">
        <f t="shared" si="6"/>
        <v>4.1</v>
      </c>
      <c r="K8" s="2">
        <f t="shared" si="7"/>
        <v>8.2</v>
      </c>
      <c r="L8" s="2">
        <f t="shared" si="8"/>
        <v>4.3</v>
      </c>
      <c r="M8" s="2">
        <f t="shared" si="9"/>
        <v>8.6</v>
      </c>
      <c r="N8" s="2">
        <f t="shared" si="10"/>
        <v>4.5</v>
      </c>
      <c r="O8" s="2">
        <f t="shared" si="11"/>
        <v>8.9</v>
      </c>
      <c r="Q8" s="2">
        <v>1.69</v>
      </c>
      <c r="R8" s="8">
        <f t="shared" si="12"/>
        <v>0.7774</v>
      </c>
      <c r="S8" s="8">
        <v>17.9</v>
      </c>
      <c r="T8" s="8">
        <v>8.9</v>
      </c>
      <c r="U8" s="8">
        <v>7.8</v>
      </c>
      <c r="V8" s="8">
        <v>8.2</v>
      </c>
      <c r="W8" s="8">
        <v>8.6</v>
      </c>
      <c r="X8" s="8">
        <v>8.9</v>
      </c>
      <c r="Y8" s="8">
        <v>3.9</v>
      </c>
      <c r="Z8" s="8">
        <v>4.1</v>
      </c>
      <c r="AA8" s="8">
        <v>4.3</v>
      </c>
      <c r="AB8" s="8">
        <v>4.5</v>
      </c>
    </row>
    <row r="9" s="2" customFormat="1" spans="1:28">
      <c r="A9" s="2">
        <v>1006</v>
      </c>
      <c r="B9" s="2">
        <v>1</v>
      </c>
      <c r="C9" s="3">
        <v>28</v>
      </c>
      <c r="D9" s="7" t="str">
        <f t="shared" si="0"/>
        <v>1.2:2.3</v>
      </c>
      <c r="E9" s="7" t="str">
        <f t="shared" si="1"/>
        <v>1.2:2.4</v>
      </c>
      <c r="F9" s="7" t="str">
        <f t="shared" si="2"/>
        <v>1.3:2.5</v>
      </c>
      <c r="G9" s="7" t="str">
        <f t="shared" si="3"/>
        <v>1.3:2.6</v>
      </c>
      <c r="H9" s="2">
        <f t="shared" si="4"/>
        <v>1.2</v>
      </c>
      <c r="I9" s="2">
        <f t="shared" si="5"/>
        <v>2.3</v>
      </c>
      <c r="J9" s="2">
        <f t="shared" si="6"/>
        <v>1.2</v>
      </c>
      <c r="K9" s="2">
        <f t="shared" si="7"/>
        <v>2.4</v>
      </c>
      <c r="L9" s="2">
        <f t="shared" si="8"/>
        <v>1.3</v>
      </c>
      <c r="M9" s="2">
        <f t="shared" si="9"/>
        <v>2.5</v>
      </c>
      <c r="N9" s="2">
        <f t="shared" si="10"/>
        <v>1.3</v>
      </c>
      <c r="O9" s="2">
        <f t="shared" si="11"/>
        <v>2.6</v>
      </c>
      <c r="Q9" s="2">
        <v>0.5</v>
      </c>
      <c r="R9" s="8">
        <f t="shared" si="12"/>
        <v>0.23</v>
      </c>
      <c r="S9" s="8">
        <v>5.3</v>
      </c>
      <c r="T9" s="8">
        <v>2.6</v>
      </c>
      <c r="U9" s="8">
        <v>2.3</v>
      </c>
      <c r="V9" s="8">
        <v>2.4</v>
      </c>
      <c r="W9" s="8">
        <v>2.5</v>
      </c>
      <c r="X9" s="8">
        <v>2.6</v>
      </c>
      <c r="Y9" s="8">
        <v>1.2</v>
      </c>
      <c r="Z9" s="8">
        <v>1.2</v>
      </c>
      <c r="AA9" s="8">
        <v>1.3</v>
      </c>
      <c r="AB9" s="8">
        <v>1.3</v>
      </c>
    </row>
    <row r="10" s="2" customFormat="1" spans="1:28">
      <c r="A10" s="2">
        <v>1007</v>
      </c>
      <c r="B10" s="2">
        <v>1</v>
      </c>
      <c r="C10" s="3">
        <v>7</v>
      </c>
      <c r="D10" s="7" t="str">
        <f t="shared" si="0"/>
        <v>2.3:4.6</v>
      </c>
      <c r="E10" s="7" t="str">
        <f t="shared" si="1"/>
        <v>2.4:4.8</v>
      </c>
      <c r="F10" s="7" t="str">
        <f t="shared" si="2"/>
        <v>2.5:5.1</v>
      </c>
      <c r="G10" s="7" t="str">
        <f t="shared" si="3"/>
        <v>2.6:5.3</v>
      </c>
      <c r="H10" s="2">
        <f t="shared" si="4"/>
        <v>2.3</v>
      </c>
      <c r="I10" s="2">
        <f t="shared" si="5"/>
        <v>4.6</v>
      </c>
      <c r="J10" s="2">
        <f t="shared" si="6"/>
        <v>2.4</v>
      </c>
      <c r="K10" s="2">
        <f t="shared" si="7"/>
        <v>4.8</v>
      </c>
      <c r="L10" s="2">
        <f t="shared" si="8"/>
        <v>2.5</v>
      </c>
      <c r="M10" s="2">
        <f t="shared" si="9"/>
        <v>5.1</v>
      </c>
      <c r="N10" s="2">
        <f t="shared" si="10"/>
        <v>2.6</v>
      </c>
      <c r="O10" s="2">
        <f t="shared" si="11"/>
        <v>5.3</v>
      </c>
      <c r="Q10" s="2">
        <v>1</v>
      </c>
      <c r="R10" s="8">
        <f t="shared" si="12"/>
        <v>0.46</v>
      </c>
      <c r="S10" s="8">
        <v>10.6</v>
      </c>
      <c r="T10" s="8">
        <v>5.3</v>
      </c>
      <c r="U10" s="8">
        <v>4.6</v>
      </c>
      <c r="V10" s="8">
        <v>4.8</v>
      </c>
      <c r="W10" s="8">
        <v>5.1</v>
      </c>
      <c r="X10" s="8">
        <v>5.3</v>
      </c>
      <c r="Y10" s="8">
        <v>2.3</v>
      </c>
      <c r="Z10" s="8">
        <v>2.4</v>
      </c>
      <c r="AA10" s="8">
        <v>2.5</v>
      </c>
      <c r="AB10" s="8">
        <v>2.6</v>
      </c>
    </row>
    <row r="11" s="2" customFormat="1" spans="1:28">
      <c r="A11" s="2">
        <v>1008</v>
      </c>
      <c r="B11" s="2">
        <v>1</v>
      </c>
      <c r="C11" s="3">
        <v>5</v>
      </c>
      <c r="D11" s="7" t="str">
        <f t="shared" si="0"/>
        <v>2.3:4.6</v>
      </c>
      <c r="E11" s="7" t="str">
        <f t="shared" si="1"/>
        <v>2.4:4.8</v>
      </c>
      <c r="F11" s="7" t="str">
        <f t="shared" si="2"/>
        <v>2.5:5.1</v>
      </c>
      <c r="G11" s="7" t="str">
        <f t="shared" si="3"/>
        <v>2.6:5.3</v>
      </c>
      <c r="H11" s="2">
        <f t="shared" si="4"/>
        <v>2.3</v>
      </c>
      <c r="I11" s="2">
        <f t="shared" si="5"/>
        <v>4.6</v>
      </c>
      <c r="J11" s="2">
        <f t="shared" si="6"/>
        <v>2.4</v>
      </c>
      <c r="K11" s="2">
        <f t="shared" si="7"/>
        <v>4.8</v>
      </c>
      <c r="L11" s="2">
        <f t="shared" si="8"/>
        <v>2.5</v>
      </c>
      <c r="M11" s="2">
        <f t="shared" si="9"/>
        <v>5.1</v>
      </c>
      <c r="N11" s="2">
        <f t="shared" si="10"/>
        <v>2.6</v>
      </c>
      <c r="O11" s="2">
        <f t="shared" si="11"/>
        <v>5.3</v>
      </c>
      <c r="Q11" s="2">
        <v>1</v>
      </c>
      <c r="R11" s="8">
        <f t="shared" si="12"/>
        <v>0.46</v>
      </c>
      <c r="S11" s="8">
        <v>10.6</v>
      </c>
      <c r="T11" s="8">
        <v>5.3</v>
      </c>
      <c r="U11" s="8">
        <v>4.6</v>
      </c>
      <c r="V11" s="8">
        <v>4.8</v>
      </c>
      <c r="W11" s="8">
        <v>5.1</v>
      </c>
      <c r="X11" s="8">
        <v>5.3</v>
      </c>
      <c r="Y11" s="8">
        <v>2.3</v>
      </c>
      <c r="Z11" s="8">
        <v>2.4</v>
      </c>
      <c r="AA11" s="8">
        <v>2.5</v>
      </c>
      <c r="AB11" s="8">
        <v>2.6</v>
      </c>
    </row>
    <row r="12" s="2" customFormat="1" spans="1:28">
      <c r="A12" s="2">
        <v>1009</v>
      </c>
      <c r="B12" s="2">
        <v>1</v>
      </c>
      <c r="C12" s="3">
        <v>12</v>
      </c>
      <c r="D12" s="7" t="str">
        <f t="shared" si="0"/>
        <v>0.46:0.92</v>
      </c>
      <c r="E12" s="7" t="str">
        <f t="shared" si="1"/>
        <v>0.48:0.96</v>
      </c>
      <c r="F12" s="7" t="str">
        <f t="shared" si="2"/>
        <v>0.5:1.02</v>
      </c>
      <c r="G12" s="7" t="str">
        <f t="shared" si="3"/>
        <v>0.52:1.06</v>
      </c>
      <c r="H12" s="2">
        <f t="shared" si="4"/>
        <v>0.46</v>
      </c>
      <c r="I12" s="2">
        <f t="shared" si="5"/>
        <v>0.92</v>
      </c>
      <c r="J12" s="2">
        <f t="shared" si="6"/>
        <v>0.48</v>
      </c>
      <c r="K12" s="2">
        <f t="shared" si="7"/>
        <v>0.96</v>
      </c>
      <c r="L12" s="2">
        <f t="shared" si="8"/>
        <v>0.5</v>
      </c>
      <c r="M12" s="2">
        <f t="shared" si="9"/>
        <v>1.02</v>
      </c>
      <c r="N12" s="2">
        <f t="shared" si="10"/>
        <v>0.52</v>
      </c>
      <c r="O12" s="2">
        <f t="shared" si="11"/>
        <v>1.06</v>
      </c>
      <c r="Q12" s="2">
        <v>0.2</v>
      </c>
      <c r="R12" s="8">
        <f t="shared" si="12"/>
        <v>0.092</v>
      </c>
      <c r="S12" s="8">
        <f>S11/5</f>
        <v>2.12</v>
      </c>
      <c r="T12" s="8">
        <f t="shared" ref="T12:AB12" si="13">T11/5</f>
        <v>1.06</v>
      </c>
      <c r="U12" s="8">
        <f t="shared" si="13"/>
        <v>0.92</v>
      </c>
      <c r="V12" s="8">
        <f t="shared" si="13"/>
        <v>0.96</v>
      </c>
      <c r="W12" s="8">
        <f t="shared" si="13"/>
        <v>1.02</v>
      </c>
      <c r="X12" s="8">
        <f t="shared" si="13"/>
        <v>1.06</v>
      </c>
      <c r="Y12" s="8">
        <f t="shared" si="13"/>
        <v>0.46</v>
      </c>
      <c r="Z12" s="8">
        <f t="shared" si="13"/>
        <v>0.48</v>
      </c>
      <c r="AA12" s="8">
        <f t="shared" si="13"/>
        <v>0.5</v>
      </c>
      <c r="AB12" s="8">
        <f t="shared" si="13"/>
        <v>0.52</v>
      </c>
    </row>
    <row r="13" s="2" customFormat="1" spans="1:28">
      <c r="A13" s="2">
        <v>1010</v>
      </c>
      <c r="B13" s="2">
        <v>1</v>
      </c>
      <c r="C13" s="3">
        <v>13</v>
      </c>
      <c r="D13" s="7" t="str">
        <f t="shared" si="0"/>
        <v>2.3:4.6</v>
      </c>
      <c r="E13" s="7" t="str">
        <f t="shared" si="1"/>
        <v>2.4:4.8</v>
      </c>
      <c r="F13" s="7" t="str">
        <f t="shared" si="2"/>
        <v>2.5:5.1</v>
      </c>
      <c r="G13" s="7" t="str">
        <f t="shared" si="3"/>
        <v>2.6:5.3</v>
      </c>
      <c r="H13" s="2">
        <f t="shared" si="4"/>
        <v>2.3</v>
      </c>
      <c r="I13" s="2">
        <f t="shared" si="5"/>
        <v>4.6</v>
      </c>
      <c r="J13" s="2">
        <f t="shared" si="6"/>
        <v>2.4</v>
      </c>
      <c r="K13" s="2">
        <f t="shared" si="7"/>
        <v>4.8</v>
      </c>
      <c r="L13" s="2">
        <f t="shared" si="8"/>
        <v>2.5</v>
      </c>
      <c r="M13" s="2">
        <f t="shared" si="9"/>
        <v>5.1</v>
      </c>
      <c r="N13" s="2">
        <f t="shared" si="10"/>
        <v>2.6</v>
      </c>
      <c r="O13" s="2">
        <f t="shared" si="11"/>
        <v>5.3</v>
      </c>
      <c r="Q13" s="2">
        <v>1</v>
      </c>
      <c r="R13" s="8">
        <f t="shared" si="12"/>
        <v>0.46</v>
      </c>
      <c r="S13" s="8">
        <f>S11</f>
        <v>10.6</v>
      </c>
      <c r="T13" s="8">
        <f t="shared" ref="T13:AB13" si="14">T11</f>
        <v>5.3</v>
      </c>
      <c r="U13" s="8">
        <f t="shared" si="14"/>
        <v>4.6</v>
      </c>
      <c r="V13" s="8">
        <f t="shared" si="14"/>
        <v>4.8</v>
      </c>
      <c r="W13" s="8">
        <f t="shared" si="14"/>
        <v>5.1</v>
      </c>
      <c r="X13" s="8">
        <f t="shared" si="14"/>
        <v>5.3</v>
      </c>
      <c r="Y13" s="8">
        <f t="shared" si="14"/>
        <v>2.3</v>
      </c>
      <c r="Z13" s="8">
        <f t="shared" si="14"/>
        <v>2.4</v>
      </c>
      <c r="AA13" s="8">
        <f t="shared" si="14"/>
        <v>2.5</v>
      </c>
      <c r="AB13" s="8">
        <f t="shared" si="14"/>
        <v>2.6</v>
      </c>
    </row>
    <row r="14" s="2" customFormat="1" spans="1:15">
      <c r="A14" s="2">
        <v>1001</v>
      </c>
      <c r="B14" s="2">
        <v>5</v>
      </c>
      <c r="C14" s="3">
        <v>1</v>
      </c>
      <c r="D14" s="7" t="str">
        <f t="shared" si="0"/>
        <v>68.6052:137.2104</v>
      </c>
      <c r="E14" s="7" t="str">
        <f t="shared" si="1"/>
        <v>72.08546:144.07092</v>
      </c>
      <c r="F14" s="7" t="str">
        <f t="shared" si="2"/>
        <v>75.46572:150.93144</v>
      </c>
      <c r="G14" s="7" t="str">
        <f t="shared" si="3"/>
        <v>78.94598:157.79196</v>
      </c>
      <c r="H14" s="2">
        <f>$H4+($R$4/2)*($B14-$B4)</f>
        <v>68.6052</v>
      </c>
      <c r="I14" s="2">
        <f>$I4+$R$4*($B14-$B4)</f>
        <v>137.2104</v>
      </c>
      <c r="J14" s="2">
        <f>$J4+($R$4/2)*($B14-$B4)*1.05</f>
        <v>72.08546</v>
      </c>
      <c r="K14" s="2">
        <f>$K4+$R$4*($B14-$B4)*1.05</f>
        <v>144.07092</v>
      </c>
      <c r="L14" s="2">
        <f>$L4+($R$4/2)*($B14-$B4)*1.1</f>
        <v>75.46572</v>
      </c>
      <c r="M14" s="2">
        <f>$M4+$R$4*($B14-$B4)*1.1</f>
        <v>150.93144</v>
      </c>
      <c r="N14" s="2">
        <f>$N4+($R$4/2)*($B14-$B4)*1.15</f>
        <v>78.94598</v>
      </c>
      <c r="O14" s="2">
        <f>$O4+$R$4*($B14-$B4)*1.15</f>
        <v>157.79196</v>
      </c>
    </row>
    <row r="15" s="2" customFormat="1" spans="1:15">
      <c r="A15" s="2">
        <v>1002</v>
      </c>
      <c r="B15" s="2">
        <v>5</v>
      </c>
      <c r="C15" s="3">
        <v>2</v>
      </c>
      <c r="D15" s="7" t="str">
        <f t="shared" si="0"/>
        <v>8.6748:17.3496</v>
      </c>
      <c r="E15" s="7" t="str">
        <f t="shared" si="1"/>
        <v>9.09854:18.19708</v>
      </c>
      <c r="F15" s="7" t="str">
        <f t="shared" si="2"/>
        <v>9.52228:19.04456</v>
      </c>
      <c r="G15" s="7" t="str">
        <f t="shared" si="3"/>
        <v>9.94602:19.89204</v>
      </c>
      <c r="H15" s="2">
        <f>$H5+($R$5/2)*($B15-$B5)</f>
        <v>8.6748</v>
      </c>
      <c r="I15" s="2">
        <f>$I5+$R$5*($B15-$B5)</f>
        <v>17.3496</v>
      </c>
      <c r="J15" s="2">
        <f>$J5+($R$5/2)*($B14-$B4)*1.05</f>
        <v>9.09854</v>
      </c>
      <c r="K15" s="2">
        <f>$K5+$R$5*($B14-$B4)*1.05</f>
        <v>18.19708</v>
      </c>
      <c r="L15" s="2">
        <f>$L5+($R$5/2)*($B14-$B4)*1.1</f>
        <v>9.52228</v>
      </c>
      <c r="M15" s="2">
        <f>$M5+$R$5*($B14-$B4)*1.1</f>
        <v>19.04456</v>
      </c>
      <c r="N15" s="2">
        <f>$N5+($R$5/2)*($B14-$B4)*1.15</f>
        <v>9.94602</v>
      </c>
      <c r="O15" s="2">
        <f>$O5+$R$5*($B14-$B4)*1.15</f>
        <v>19.89204</v>
      </c>
    </row>
    <row r="16" s="2" customFormat="1" spans="1:15">
      <c r="A16" s="2">
        <v>1003</v>
      </c>
      <c r="B16" s="2">
        <v>5</v>
      </c>
      <c r="C16" s="3">
        <v>4</v>
      </c>
      <c r="D16" s="7" t="str">
        <f t="shared" si="0"/>
        <v>5.4548:10.9096</v>
      </c>
      <c r="E16" s="7" t="str">
        <f t="shared" si="1"/>
        <v>5.73254:11.46508</v>
      </c>
      <c r="F16" s="7" t="str">
        <f t="shared" si="2"/>
        <v>6.01028:12.02056</v>
      </c>
      <c r="G16" s="7" t="str">
        <f t="shared" si="3"/>
        <v>6.28802:12.47604</v>
      </c>
      <c r="H16" s="2">
        <f>$H6+($R$6/2)*($B16-$B6)</f>
        <v>5.4548</v>
      </c>
      <c r="I16" s="2">
        <f>$I6+$R$6*($B16-$B6)</f>
        <v>10.9096</v>
      </c>
      <c r="J16" s="2">
        <f>$J6+($R$6/2)*($B14-$B4)*1.05</f>
        <v>5.73254</v>
      </c>
      <c r="K16" s="2">
        <f>$K6+$R$6*($B14-$B4)*1.05</f>
        <v>11.46508</v>
      </c>
      <c r="L16" s="2">
        <f>$L6+($R$6/2)*($B14-$B4)*1.1</f>
        <v>6.01028</v>
      </c>
      <c r="M16" s="2">
        <f>$M6+$R$6*($B14-$B4)*1.1</f>
        <v>12.02056</v>
      </c>
      <c r="N16" s="2">
        <f>$N6+($R$6/2)*($B14-$B4)*1.15</f>
        <v>6.28802</v>
      </c>
      <c r="O16" s="2">
        <f>$O6+$R$6*($B14-$B4)*1.15</f>
        <v>12.47604</v>
      </c>
    </row>
    <row r="17" s="2" customFormat="1" spans="1:15">
      <c r="A17" s="2">
        <v>1004</v>
      </c>
      <c r="B17" s="2">
        <v>5</v>
      </c>
      <c r="C17" s="3">
        <v>3</v>
      </c>
      <c r="D17" s="7" t="str">
        <f t="shared" si="0"/>
        <v>8.6748:17.3496</v>
      </c>
      <c r="E17" s="7" t="str">
        <f t="shared" si="1"/>
        <v>9.09854:18.19708</v>
      </c>
      <c r="F17" s="7" t="str">
        <f t="shared" si="2"/>
        <v>9.52228:19.04456</v>
      </c>
      <c r="G17" s="7" t="str">
        <f t="shared" si="3"/>
        <v>9.94602:19.89204</v>
      </c>
      <c r="H17" s="2">
        <f>$H7+($R$7/2)*($B17-$B7)</f>
        <v>8.6748</v>
      </c>
      <c r="I17" s="2">
        <f>$I7+$R$7*($B17-$B7)</f>
        <v>17.3496</v>
      </c>
      <c r="J17" s="2">
        <f>$J7+($R$7/2)*($B14-$B4)*1.05</f>
        <v>9.09854</v>
      </c>
      <c r="K17" s="2">
        <f>$K7+$R$7*($B14-$B4)*1.05</f>
        <v>18.19708</v>
      </c>
      <c r="L17" s="2">
        <f>$L7+($R$7/2)*($B14-$B4)*1.1</f>
        <v>9.52228</v>
      </c>
      <c r="M17" s="2">
        <f>$M7+$R$7*($B14-$B4)*1.1</f>
        <v>19.04456</v>
      </c>
      <c r="N17" s="2">
        <f>$N7+($R$7/2)*($B14-$B4)*1.15</f>
        <v>9.94602</v>
      </c>
      <c r="O17" s="2">
        <f>$O7+$R$7*($B14-$B4)*1.15</f>
        <v>19.89204</v>
      </c>
    </row>
    <row r="18" s="2" customFormat="1" spans="1:15">
      <c r="A18" s="2">
        <v>1005</v>
      </c>
      <c r="B18" s="2">
        <v>5</v>
      </c>
      <c r="C18" s="3">
        <v>27</v>
      </c>
      <c r="D18" s="7" t="str">
        <f t="shared" si="0"/>
        <v>5.4548:10.9096</v>
      </c>
      <c r="E18" s="7" t="str">
        <f t="shared" si="1"/>
        <v>5.73254:11.46508</v>
      </c>
      <c r="F18" s="7" t="str">
        <f t="shared" si="2"/>
        <v>6.01028:12.02056</v>
      </c>
      <c r="G18" s="7" t="str">
        <f t="shared" si="3"/>
        <v>6.28802:12.47604</v>
      </c>
      <c r="H18" s="2">
        <f>$H8+($R$8/2)*($B18-$B8)</f>
        <v>5.4548</v>
      </c>
      <c r="I18" s="2">
        <f>$I8+$R$8*($B18-$B8)</f>
        <v>10.9096</v>
      </c>
      <c r="J18" s="2">
        <f>$J8+($R$8/2)*($B14-$B4)*1.05</f>
        <v>5.73254</v>
      </c>
      <c r="K18" s="2">
        <f>$K8+$R$8*($B14-$B4)*1.05</f>
        <v>11.46508</v>
      </c>
      <c r="L18" s="2">
        <f>$L8+($R$8/2)*($B14-$B4)*1.1</f>
        <v>6.01028</v>
      </c>
      <c r="M18" s="2">
        <f>$M8+$R$8*($B14-$B4)*1.1</f>
        <v>12.02056</v>
      </c>
      <c r="N18" s="2">
        <f>$N8+($R$8/2)*($B14-$B4)*1.15</f>
        <v>6.28802</v>
      </c>
      <c r="O18" s="2">
        <f>$O8+$R$8*($B14-$B4)*1.15</f>
        <v>12.47604</v>
      </c>
    </row>
    <row r="19" s="2" customFormat="1" spans="1:15">
      <c r="A19" s="2">
        <v>1006</v>
      </c>
      <c r="B19" s="2">
        <v>5</v>
      </c>
      <c r="C19" s="3">
        <v>28</v>
      </c>
      <c r="D19" s="7" t="str">
        <f t="shared" si="0"/>
        <v>1.66:3.22</v>
      </c>
      <c r="E19" s="7" t="str">
        <f t="shared" si="1"/>
        <v>1.683:3.366</v>
      </c>
      <c r="F19" s="7" t="str">
        <f t="shared" si="2"/>
        <v>1.806:3.512</v>
      </c>
      <c r="G19" s="7" t="str">
        <f t="shared" si="3"/>
        <v>1.829:3.658</v>
      </c>
      <c r="H19" s="2">
        <f>$H9+($R$9/2)*($B19-$B9)</f>
        <v>1.66</v>
      </c>
      <c r="I19" s="2">
        <f>$I9+$R$9*($B19-$B9)</f>
        <v>3.22</v>
      </c>
      <c r="J19" s="2">
        <f>$J9+($R$9/2)*($B14-$B4)*1.05</f>
        <v>1.683</v>
      </c>
      <c r="K19" s="2">
        <f>$K9+$R$9*($B14-$B4)*1.05</f>
        <v>3.366</v>
      </c>
      <c r="L19" s="2">
        <f>$L9+($R$9/2)*($B14-$B4)*1.1</f>
        <v>1.806</v>
      </c>
      <c r="M19" s="2">
        <f>$M9+$R$9*($B14-$B4)*1.1</f>
        <v>3.512</v>
      </c>
      <c r="N19" s="2">
        <f>$N9+($R$9/2)*($B14-$B4)*1.15</f>
        <v>1.829</v>
      </c>
      <c r="O19" s="2">
        <f>$O9+$R$9*($B14-$B4)*1.15</f>
        <v>3.658</v>
      </c>
    </row>
    <row r="20" s="2" customFormat="1" spans="1:15">
      <c r="A20" s="2">
        <v>1007</v>
      </c>
      <c r="B20" s="2">
        <v>5</v>
      </c>
      <c r="C20" s="3">
        <v>7</v>
      </c>
      <c r="D20" s="7" t="str">
        <f t="shared" si="0"/>
        <v>3.22:6.44</v>
      </c>
      <c r="E20" s="7" t="str">
        <f t="shared" si="1"/>
        <v>3.366:6.732</v>
      </c>
      <c r="F20" s="7" t="str">
        <f t="shared" si="2"/>
        <v>3.512:7.124</v>
      </c>
      <c r="G20" s="7" t="str">
        <f t="shared" si="3"/>
        <v>3.658:7.416</v>
      </c>
      <c r="H20" s="2">
        <f>$H10+($R$10/2)*($B20-$B10)</f>
        <v>3.22</v>
      </c>
      <c r="I20" s="2">
        <f>$I10+$R$10*($B20-$B10)</f>
        <v>6.44</v>
      </c>
      <c r="J20" s="2">
        <f>$J10+($R$10/2)*($B14-$B4)*1.05</f>
        <v>3.366</v>
      </c>
      <c r="K20" s="2">
        <f>$K10+$R$10*($B14-$B4)*1.05</f>
        <v>6.732</v>
      </c>
      <c r="L20" s="2">
        <f>$L10+($R$10/2)*($B14-$B4)*1.1</f>
        <v>3.512</v>
      </c>
      <c r="M20" s="2">
        <f>$M10+$R$10*($B14-$B4)*1.1</f>
        <v>7.124</v>
      </c>
      <c r="N20" s="2">
        <f>$N10+($R$10/2)*($B14-$B4)*1.15</f>
        <v>3.658</v>
      </c>
      <c r="O20" s="2">
        <f>$O10+$R$10*($B14-$B4)*1.15</f>
        <v>7.416</v>
      </c>
    </row>
    <row r="21" s="2" customFormat="1" spans="1:15">
      <c r="A21" s="2">
        <v>1008</v>
      </c>
      <c r="B21" s="2">
        <v>5</v>
      </c>
      <c r="C21" s="3">
        <v>5</v>
      </c>
      <c r="D21" s="7" t="str">
        <f t="shared" si="0"/>
        <v>3.22:6.44</v>
      </c>
      <c r="E21" s="7" t="str">
        <f t="shared" si="1"/>
        <v>3.366:6.732</v>
      </c>
      <c r="F21" s="7" t="str">
        <f t="shared" si="2"/>
        <v>3.512:7.124</v>
      </c>
      <c r="G21" s="7" t="str">
        <f t="shared" si="3"/>
        <v>3.658:7.416</v>
      </c>
      <c r="H21" s="2">
        <f>$H11+($R$11/2)*($B21-$B11)</f>
        <v>3.22</v>
      </c>
      <c r="I21" s="2">
        <f>$I11+$R$11*($B21-$B11)</f>
        <v>6.44</v>
      </c>
      <c r="J21" s="2">
        <f>$J11+($R$11/2)*($B14-$B4)*1.05</f>
        <v>3.366</v>
      </c>
      <c r="K21" s="2">
        <f>$K11+$R$11*($B14-$B4)*1.05</f>
        <v>6.732</v>
      </c>
      <c r="L21" s="2">
        <f>$L11+($R$11/2)*($B14-$B4)*1.1</f>
        <v>3.512</v>
      </c>
      <c r="M21" s="2">
        <f>$M11+$R$11*($B14-$B4)*1.1</f>
        <v>7.124</v>
      </c>
      <c r="N21" s="2">
        <f>$N11+($R$11/2)*($B14-$B4)*1.15</f>
        <v>3.658</v>
      </c>
      <c r="O21" s="2">
        <f>$O11+$R$11*($B14-$B4)*1.15</f>
        <v>7.416</v>
      </c>
    </row>
    <row r="22" s="2" customFormat="1" spans="1:15">
      <c r="A22" s="2">
        <v>1009</v>
      </c>
      <c r="B22" s="2">
        <v>5</v>
      </c>
      <c r="C22" s="3">
        <v>12</v>
      </c>
      <c r="D22" s="7" t="str">
        <f t="shared" si="0"/>
        <v>0.644:1.288</v>
      </c>
      <c r="E22" s="7" t="str">
        <f t="shared" si="1"/>
        <v>0.6732:1.3464</v>
      </c>
      <c r="F22" s="7" t="str">
        <f t="shared" si="2"/>
        <v>0.7024:1.4248</v>
      </c>
      <c r="G22" s="7" t="str">
        <f t="shared" si="3"/>
        <v>0.7316:1.4832</v>
      </c>
      <c r="H22" s="2">
        <f>$H12+($R$12/2)*($B22-$B12)</f>
        <v>0.644</v>
      </c>
      <c r="I22" s="2">
        <f>$I12+$R$12*($B22-$B12)</f>
        <v>1.288</v>
      </c>
      <c r="J22" s="2">
        <f>$J12+($R$12/2)*($B14-$B4)*1.05</f>
        <v>0.6732</v>
      </c>
      <c r="K22" s="2">
        <f>$K12+$R$12*($B14-$B4)*1.05</f>
        <v>1.3464</v>
      </c>
      <c r="L22" s="2">
        <f>$L12+($R$12/2)*($B14-$B4)*1.1</f>
        <v>0.7024</v>
      </c>
      <c r="M22" s="2">
        <f>$M12+$R$12*($B14-$B4)*1.1</f>
        <v>1.4248</v>
      </c>
      <c r="N22" s="2">
        <f>$N12+($R$12/2)*($B14-$B4)*1.15</f>
        <v>0.7316</v>
      </c>
      <c r="O22" s="2">
        <f>$O12+$R$12*($B14-$B4)*1.15</f>
        <v>1.4832</v>
      </c>
    </row>
    <row r="23" s="2" customFormat="1" spans="1:15">
      <c r="A23" s="2">
        <v>1010</v>
      </c>
      <c r="B23" s="2">
        <v>5</v>
      </c>
      <c r="C23" s="3">
        <v>13</v>
      </c>
      <c r="D23" s="7" t="str">
        <f t="shared" si="0"/>
        <v>3.22:6.44</v>
      </c>
      <c r="E23" s="7" t="str">
        <f t="shared" si="1"/>
        <v>3.366:6.732</v>
      </c>
      <c r="F23" s="7" t="str">
        <f t="shared" si="2"/>
        <v>3.512:7.124</v>
      </c>
      <c r="G23" s="7" t="str">
        <f t="shared" si="3"/>
        <v>3.658:7.416</v>
      </c>
      <c r="H23" s="2">
        <f>$H13+($R$13/2)*($B23-$B13)</f>
        <v>3.22</v>
      </c>
      <c r="I23" s="2">
        <f>$I13+$R$13*($B23-$B13)</f>
        <v>6.44</v>
      </c>
      <c r="J23" s="2">
        <f>$J13+($R$13/2)*($B14-$B4)*1.05</f>
        <v>3.366</v>
      </c>
      <c r="K23" s="2">
        <f>$K13+$R$13*($B14-$B4)*1.05</f>
        <v>6.732</v>
      </c>
      <c r="L23" s="2">
        <f>$L13+($R$13/2)*($B14-$B4)*1.1</f>
        <v>3.512</v>
      </c>
      <c r="M23" s="2">
        <f>$M13+$R$13*($B14-$B4)*1.1</f>
        <v>7.124</v>
      </c>
      <c r="N23" s="2">
        <f>$N13+($R$13/2)*($B14-$B4)*1.15</f>
        <v>3.658</v>
      </c>
      <c r="O23" s="2">
        <f>$O13+$R$13*($B14-$B4)*1.15</f>
        <v>7.416</v>
      </c>
    </row>
    <row r="24" s="2" customFormat="1" spans="1:15">
      <c r="A24" s="2">
        <v>1001</v>
      </c>
      <c r="B24" s="2">
        <v>10</v>
      </c>
      <c r="C24" s="3">
        <v>1</v>
      </c>
      <c r="D24" s="7" t="str">
        <f t="shared" si="0"/>
        <v>93.1117:186.2234</v>
      </c>
      <c r="E24" s="7" t="str">
        <f t="shared" si="1"/>
        <v>97.817285:195.53457</v>
      </c>
      <c r="F24" s="7" t="str">
        <f t="shared" si="2"/>
        <v>102.42287:204.84574</v>
      </c>
      <c r="G24" s="7" t="str">
        <f t="shared" si="3"/>
        <v>107.128455:214.15691</v>
      </c>
      <c r="H24" s="2">
        <f>$H14+($R$4/2)*($B24-$B14)</f>
        <v>93.1117</v>
      </c>
      <c r="I24" s="2">
        <f>$I14+$R$4*($B24-$B14)</f>
        <v>186.2234</v>
      </c>
      <c r="J24" s="2">
        <f>$J14+($R$4/2)*($B24-$B14)*1.05</f>
        <v>97.817285</v>
      </c>
      <c r="K24" s="2">
        <f>$K14+$R$4*($B24-$B14)*1.05</f>
        <v>195.53457</v>
      </c>
      <c r="L24" s="2">
        <f>$L14+($R$4/2)*($B24-$B14)*1.1</f>
        <v>102.42287</v>
      </c>
      <c r="M24" s="2">
        <f>$M14+$R$4*($B24-$B14)*1.1</f>
        <v>204.84574</v>
      </c>
      <c r="N24" s="2">
        <f>$N14+($R$4/2)*($B24-$B14)*1.15</f>
        <v>107.128455</v>
      </c>
      <c r="O24" s="2">
        <f>$O14+$R$4*($B24-$B14)*1.15</f>
        <v>214.15691</v>
      </c>
    </row>
    <row r="25" s="2" customFormat="1" spans="1:15">
      <c r="A25" s="2">
        <v>1002</v>
      </c>
      <c r="B25" s="2">
        <v>10</v>
      </c>
      <c r="C25" s="3">
        <v>2</v>
      </c>
      <c r="D25" s="7" t="str">
        <f t="shared" si="0"/>
        <v>11.7683:23.5366</v>
      </c>
      <c r="E25" s="7" t="str">
        <f t="shared" si="1"/>
        <v>12.346715:24.69343</v>
      </c>
      <c r="F25" s="7" t="str">
        <f t="shared" si="2"/>
        <v>12.92513:25.85026</v>
      </c>
      <c r="G25" s="7" t="str">
        <f t="shared" si="3"/>
        <v>13.503545:27.00709</v>
      </c>
      <c r="H25" s="2">
        <f>$H15+($R$5/2)*($B25-$B15)</f>
        <v>11.7683</v>
      </c>
      <c r="I25" s="2">
        <f>$I15+$R$5*($B25-$B15)</f>
        <v>23.5366</v>
      </c>
      <c r="J25" s="2">
        <f>$J15+($R$5/2)*($B24-$B14)*1.05</f>
        <v>12.346715</v>
      </c>
      <c r="K25" s="2">
        <f>$K15+$R$5*($B24-$B14)*1.05</f>
        <v>24.69343</v>
      </c>
      <c r="L25" s="2">
        <f>$L15+($R$5/2)*($B24-$B14)*1.1</f>
        <v>12.92513</v>
      </c>
      <c r="M25" s="2">
        <f>$M15+$R$5*($B24-$B14)*1.1</f>
        <v>25.85026</v>
      </c>
      <c r="N25" s="2">
        <f>$N15+($R$5/2)*($B24-$B14)*1.15</f>
        <v>13.503545</v>
      </c>
      <c r="O25" s="2">
        <f>$O15+$R$5*($B24-$B14)*1.15</f>
        <v>27.00709</v>
      </c>
    </row>
    <row r="26" s="2" customFormat="1" spans="1:15">
      <c r="A26" s="2">
        <v>1003</v>
      </c>
      <c r="B26" s="2">
        <v>10</v>
      </c>
      <c r="C26" s="3">
        <v>4</v>
      </c>
      <c r="D26" s="7" t="str">
        <f t="shared" si="0"/>
        <v>7.3983:14.7966</v>
      </c>
      <c r="E26" s="7" t="str">
        <f t="shared" si="1"/>
        <v>7.773215:15.54643</v>
      </c>
      <c r="F26" s="7" t="str">
        <f t="shared" si="2"/>
        <v>8.14813:16.29626</v>
      </c>
      <c r="G26" s="7" t="str">
        <f t="shared" si="3"/>
        <v>8.523045:16.94609</v>
      </c>
      <c r="H26" s="2">
        <f>$H16+($R$6/2)*($B26-$B16)</f>
        <v>7.3983</v>
      </c>
      <c r="I26" s="2">
        <f>$I16+$R$6*($B26-$B16)</f>
        <v>14.7966</v>
      </c>
      <c r="J26" s="2">
        <f>$J16+($R$6/2)*($B24-$B14)*1.05</f>
        <v>7.773215</v>
      </c>
      <c r="K26" s="2">
        <f>$K16+$R$6*($B24-$B14)*1.05</f>
        <v>15.54643</v>
      </c>
      <c r="L26" s="2">
        <f>$L16+($R$6/2)*($B24-$B14)*1.1</f>
        <v>8.14813</v>
      </c>
      <c r="M26" s="2">
        <f>$M16+$R$6*($B24-$B14)*1.1</f>
        <v>16.29626</v>
      </c>
      <c r="N26" s="2">
        <f>$N16+($R$6/2)*($B24-$B14)*1.15</f>
        <v>8.523045</v>
      </c>
      <c r="O26" s="2">
        <f>$O16+$R$6*($B24-$B14)*1.15</f>
        <v>16.94609</v>
      </c>
    </row>
    <row r="27" s="2" customFormat="1" spans="1:15">
      <c r="A27" s="2">
        <v>1004</v>
      </c>
      <c r="B27" s="2">
        <v>10</v>
      </c>
      <c r="C27" s="3">
        <v>3</v>
      </c>
      <c r="D27" s="7" t="str">
        <f t="shared" si="0"/>
        <v>11.7683:23.5366</v>
      </c>
      <c r="E27" s="7" t="str">
        <f t="shared" si="1"/>
        <v>12.346715:24.69343</v>
      </c>
      <c r="F27" s="7" t="str">
        <f t="shared" si="2"/>
        <v>12.92513:25.85026</v>
      </c>
      <c r="G27" s="7" t="str">
        <f t="shared" si="3"/>
        <v>13.503545:27.00709</v>
      </c>
      <c r="H27" s="2">
        <f>$H17+($R$7/2)*($B27-$B17)</f>
        <v>11.7683</v>
      </c>
      <c r="I27" s="2">
        <f>$I17+$R$7*($B27-$B17)</f>
        <v>23.5366</v>
      </c>
      <c r="J27" s="2">
        <f>$J17+($R$7/2)*($B24-$B14)*1.05</f>
        <v>12.346715</v>
      </c>
      <c r="K27" s="2">
        <f>$K17+$R$7*($B24-$B14)*1.05</f>
        <v>24.69343</v>
      </c>
      <c r="L27" s="2">
        <f>$L17+($R$7/2)*($B24-$B14)*1.1</f>
        <v>12.92513</v>
      </c>
      <c r="M27" s="2">
        <f>$M17+$R$7*($B24-$B14)*1.1</f>
        <v>25.85026</v>
      </c>
      <c r="N27" s="2">
        <f>$N17+($R$7/2)*($B24-$B14)*1.15</f>
        <v>13.503545</v>
      </c>
      <c r="O27" s="2">
        <f>$O17+$R$7*($B24-$B14)*1.15</f>
        <v>27.00709</v>
      </c>
    </row>
    <row r="28" s="2" customFormat="1" spans="1:15">
      <c r="A28" s="2">
        <v>1005</v>
      </c>
      <c r="B28" s="2">
        <v>10</v>
      </c>
      <c r="C28" s="3">
        <v>27</v>
      </c>
      <c r="D28" s="7" t="str">
        <f t="shared" si="0"/>
        <v>7.3983:14.7966</v>
      </c>
      <c r="E28" s="7" t="str">
        <f t="shared" si="1"/>
        <v>7.773215:15.54643</v>
      </c>
      <c r="F28" s="7" t="str">
        <f t="shared" si="2"/>
        <v>8.14813:16.29626</v>
      </c>
      <c r="G28" s="7" t="str">
        <f t="shared" si="3"/>
        <v>8.523045:16.94609</v>
      </c>
      <c r="H28" s="2">
        <f>$H18+($R$8/2)*($B28-$B18)</f>
        <v>7.3983</v>
      </c>
      <c r="I28" s="2">
        <f>$I18+$R$8*($B28-$B18)</f>
        <v>14.7966</v>
      </c>
      <c r="J28" s="2">
        <f>$J18+($R$8/2)*($B24-$B14)*1.05</f>
        <v>7.773215</v>
      </c>
      <c r="K28" s="2">
        <f>$K18+$R$8*($B24-$B14)*1.05</f>
        <v>15.54643</v>
      </c>
      <c r="L28" s="2">
        <f>$L18+($R$8/2)*($B24-$B14)*1.1</f>
        <v>8.14813</v>
      </c>
      <c r="M28" s="2">
        <f>$M18+$R$8*($B24-$B14)*1.1</f>
        <v>16.29626</v>
      </c>
      <c r="N28" s="2">
        <f>$N18+($R$8/2)*($B24-$B14)*1.15</f>
        <v>8.523045</v>
      </c>
      <c r="O28" s="2">
        <f>$O18+$R$8*($B24-$B14)*1.15</f>
        <v>16.94609</v>
      </c>
    </row>
    <row r="29" s="2" customFormat="1" spans="1:15">
      <c r="A29" s="2">
        <v>1006</v>
      </c>
      <c r="B29" s="2">
        <v>10</v>
      </c>
      <c r="C29" s="3">
        <v>28</v>
      </c>
      <c r="D29" s="7" t="str">
        <f t="shared" si="0"/>
        <v>2.235:4.37</v>
      </c>
      <c r="E29" s="7" t="str">
        <f t="shared" si="1"/>
        <v>2.28675:4.5735</v>
      </c>
      <c r="F29" s="7" t="str">
        <f t="shared" si="2"/>
        <v>2.4385:4.777</v>
      </c>
      <c r="G29" s="7" t="str">
        <f t="shared" si="3"/>
        <v>2.49025:4.9805</v>
      </c>
      <c r="H29" s="2">
        <f>$H19+($R$9/2)*($B29-$B19)</f>
        <v>2.235</v>
      </c>
      <c r="I29" s="2">
        <f>$I19+$R$9*($B29-$B19)</f>
        <v>4.37</v>
      </c>
      <c r="J29" s="2">
        <f>$J19+($R$9/2)*($B24-$B14)*1.05</f>
        <v>2.28675</v>
      </c>
      <c r="K29" s="2">
        <f>$K19+$R$9*($B24-$B14)*1.05</f>
        <v>4.5735</v>
      </c>
      <c r="L29" s="2">
        <f>$L19+($R$9/2)*($B24-$B14)*1.1</f>
        <v>2.4385</v>
      </c>
      <c r="M29" s="2">
        <f>$M19+$R$9*($B24-$B14)*1.1</f>
        <v>4.777</v>
      </c>
      <c r="N29" s="2">
        <f>$N19+($R$9/2)*($B24-$B14)*1.15</f>
        <v>2.49025</v>
      </c>
      <c r="O29" s="2">
        <f>$O19+$R$9*($B24-$B14)*1.15</f>
        <v>4.9805</v>
      </c>
    </row>
    <row r="30" s="2" customFormat="1" spans="1:15">
      <c r="A30" s="2">
        <v>1007</v>
      </c>
      <c r="B30" s="2">
        <v>10</v>
      </c>
      <c r="C30" s="3">
        <v>7</v>
      </c>
      <c r="D30" s="7" t="str">
        <f t="shared" si="0"/>
        <v>4.37:8.74</v>
      </c>
      <c r="E30" s="7" t="str">
        <f t="shared" si="1"/>
        <v>4.5735:9.147</v>
      </c>
      <c r="F30" s="7" t="str">
        <f t="shared" si="2"/>
        <v>4.777:9.654</v>
      </c>
      <c r="G30" s="7" t="str">
        <f t="shared" si="3"/>
        <v>4.9805:10.061</v>
      </c>
      <c r="H30" s="2">
        <f>$H20+($R$10/2)*($B30-$B20)</f>
        <v>4.37</v>
      </c>
      <c r="I30" s="2">
        <f>$I20+$R$10*($B30-$B20)</f>
        <v>8.74</v>
      </c>
      <c r="J30" s="2">
        <f>$J20+($R$10/2)*($B24-$B14)*1.05</f>
        <v>4.5735</v>
      </c>
      <c r="K30" s="2">
        <f>$K20+$R$10*($B24-$B14)*1.05</f>
        <v>9.147</v>
      </c>
      <c r="L30" s="2">
        <f>$L20+($R$10/2)*($B24-$B14)*1.1</f>
        <v>4.777</v>
      </c>
      <c r="M30" s="2">
        <f>$M20+$R$10*($B24-$B14)*1.1</f>
        <v>9.654</v>
      </c>
      <c r="N30" s="2">
        <f>$N20+($R$10/2)*($B24-$B14)*1.15</f>
        <v>4.9805</v>
      </c>
      <c r="O30" s="2">
        <f>$O20+$R$10*($B24-$B14)*1.15</f>
        <v>10.061</v>
      </c>
    </row>
    <row r="31" s="2" customFormat="1" spans="1:15">
      <c r="A31" s="2">
        <v>1008</v>
      </c>
      <c r="B31" s="2">
        <v>10</v>
      </c>
      <c r="C31" s="3">
        <v>5</v>
      </c>
      <c r="D31" s="7" t="str">
        <f t="shared" si="0"/>
        <v>4.37:8.74</v>
      </c>
      <c r="E31" s="7" t="str">
        <f t="shared" si="1"/>
        <v>4.5735:9.147</v>
      </c>
      <c r="F31" s="7" t="str">
        <f t="shared" si="2"/>
        <v>4.777:9.654</v>
      </c>
      <c r="G31" s="7" t="str">
        <f t="shared" si="3"/>
        <v>4.9805:10.061</v>
      </c>
      <c r="H31" s="2">
        <f>$H21+($R$11/2)*($B31-$B21)</f>
        <v>4.37</v>
      </c>
      <c r="I31" s="2">
        <f>$I21+$R$11*($B31-$B21)</f>
        <v>8.74</v>
      </c>
      <c r="J31" s="2">
        <f>$J21+($R$11/2)*($B24-$B14)*1.05</f>
        <v>4.5735</v>
      </c>
      <c r="K31" s="2">
        <f>$K21+$R$11*($B24-$B14)*1.05</f>
        <v>9.147</v>
      </c>
      <c r="L31" s="2">
        <f>$L21+($R$11/2)*($B24-$B14)*1.1</f>
        <v>4.777</v>
      </c>
      <c r="M31" s="2">
        <f>$M21+$R$11*($B24-$B14)*1.1</f>
        <v>9.654</v>
      </c>
      <c r="N31" s="2">
        <f>$N21+($R$11/2)*($B24-$B14)*1.15</f>
        <v>4.9805</v>
      </c>
      <c r="O31" s="2">
        <f>$O21+$R$11*($B24-$B14)*1.15</f>
        <v>10.061</v>
      </c>
    </row>
    <row r="32" s="2" customFormat="1" spans="1:15">
      <c r="A32" s="2">
        <v>1009</v>
      </c>
      <c r="B32" s="2">
        <v>10</v>
      </c>
      <c r="C32" s="3">
        <v>12</v>
      </c>
      <c r="D32" s="7" t="str">
        <f t="shared" si="0"/>
        <v>0.874:1.748</v>
      </c>
      <c r="E32" s="7" t="str">
        <f t="shared" si="1"/>
        <v>0.9147:1.8294</v>
      </c>
      <c r="F32" s="7" t="str">
        <f t="shared" si="2"/>
        <v>0.9554:1.9308</v>
      </c>
      <c r="G32" s="7" t="str">
        <f t="shared" si="3"/>
        <v>0.9961:2.0122</v>
      </c>
      <c r="H32" s="2">
        <f>$H22+($R$12/2)*($B32-$B22)</f>
        <v>0.874</v>
      </c>
      <c r="I32" s="2">
        <f>$I22+$R$12*($B32-$B22)</f>
        <v>1.748</v>
      </c>
      <c r="J32" s="2">
        <f>$J22+($R$12/2)*($B24-$B14)*1.05</f>
        <v>0.9147</v>
      </c>
      <c r="K32" s="2">
        <f>$K22+$R$12*($B24-$B14)*1.05</f>
        <v>1.8294</v>
      </c>
      <c r="L32" s="2">
        <f>$L22+($R$12/2)*($B24-$B14)*1.1</f>
        <v>0.9554</v>
      </c>
      <c r="M32" s="2">
        <f>$M22+$R$12*($B24-$B14)*1.1</f>
        <v>1.9308</v>
      </c>
      <c r="N32" s="2">
        <f>$N22+($R$12/2)*($B24-$B14)*1.15</f>
        <v>0.9961</v>
      </c>
      <c r="O32" s="2">
        <f>$O22+$R$12*($B24-$B14)*1.15</f>
        <v>2.0122</v>
      </c>
    </row>
    <row r="33" s="2" customFormat="1" spans="1:15">
      <c r="A33" s="2">
        <v>1010</v>
      </c>
      <c r="B33" s="2">
        <v>10</v>
      </c>
      <c r="C33" s="3">
        <v>13</v>
      </c>
      <c r="D33" s="7" t="str">
        <f t="shared" si="0"/>
        <v>4.37:8.74</v>
      </c>
      <c r="E33" s="7" t="str">
        <f t="shared" si="1"/>
        <v>4.5735:9.147</v>
      </c>
      <c r="F33" s="7" t="str">
        <f t="shared" si="2"/>
        <v>4.777:9.654</v>
      </c>
      <c r="G33" s="7" t="str">
        <f t="shared" si="3"/>
        <v>4.9805:10.061</v>
      </c>
      <c r="H33" s="2">
        <f>$H23+($R$13/2)*($B33-$B23)</f>
        <v>4.37</v>
      </c>
      <c r="I33" s="2">
        <f>$I23+$R$13*($B33-$B23)</f>
        <v>8.74</v>
      </c>
      <c r="J33" s="2">
        <f>$J23+($R$13/2)*($B24-$B14)*1.05</f>
        <v>4.5735</v>
      </c>
      <c r="K33" s="2">
        <f>$K23+$R$13*($B24-$B14)*1.05</f>
        <v>9.147</v>
      </c>
      <c r="L33" s="2">
        <f>$L23+($R$13/2)*($B24-$B14)*1.1</f>
        <v>4.777</v>
      </c>
      <c r="M33" s="2">
        <f>$M23+$R$13*($B24-$B14)*1.1</f>
        <v>9.654</v>
      </c>
      <c r="N33" s="2">
        <f>$N23+($R$13/2)*($B24-$B14)*1.15</f>
        <v>4.9805</v>
      </c>
      <c r="O33" s="2">
        <f>$O23+$R$13*($B24-$B14)*1.15</f>
        <v>10.061</v>
      </c>
    </row>
    <row r="34" s="2" customFormat="1" spans="1:15">
      <c r="A34" s="2">
        <v>1001</v>
      </c>
      <c r="B34" s="2">
        <v>15</v>
      </c>
      <c r="C34" s="3">
        <v>1</v>
      </c>
      <c r="D34" s="7" t="str">
        <f t="shared" si="0"/>
        <v>117.6182:235.2364</v>
      </c>
      <c r="E34" s="7" t="str">
        <f t="shared" si="1"/>
        <v>123.54911:246.99822</v>
      </c>
      <c r="F34" s="7" t="str">
        <f t="shared" si="2"/>
        <v>129.38002:258.76004</v>
      </c>
      <c r="G34" s="7" t="str">
        <f t="shared" si="3"/>
        <v>135.31093:270.52186</v>
      </c>
      <c r="H34" s="2">
        <f>$H24+($R$4/2)*($B34-$B24)</f>
        <v>117.6182</v>
      </c>
      <c r="I34" s="2">
        <f>$I24+$R$4*($B34-$B24)</f>
        <v>235.2364</v>
      </c>
      <c r="J34" s="2">
        <f>$J24+($R$4/2)*($B34-$B24)*1.05</f>
        <v>123.54911</v>
      </c>
      <c r="K34" s="2">
        <f>$K24+$R$4*($B34-$B24)*1.05</f>
        <v>246.99822</v>
      </c>
      <c r="L34" s="2">
        <f>$L24+($R$4/2)*($B34-$B24)*1.1</f>
        <v>129.38002</v>
      </c>
      <c r="M34" s="2">
        <f>$M24+$R$4*($B34-$B24)*1.1</f>
        <v>258.76004</v>
      </c>
      <c r="N34" s="2">
        <f>$N24+($R$4/2)*($B34-$B24)*1.15</f>
        <v>135.31093</v>
      </c>
      <c r="O34" s="2">
        <f>$O24+$R$4*($B34-$B24)*1.15</f>
        <v>270.52186</v>
      </c>
    </row>
    <row r="35" s="2" customFormat="1" spans="1:15">
      <c r="A35" s="2">
        <v>1002</v>
      </c>
      <c r="B35" s="2">
        <v>15</v>
      </c>
      <c r="C35" s="3">
        <v>2</v>
      </c>
      <c r="D35" s="7" t="str">
        <f t="shared" si="0"/>
        <v>14.8618:29.7236</v>
      </c>
      <c r="E35" s="7" t="str">
        <f t="shared" si="1"/>
        <v>15.59489:31.18978</v>
      </c>
      <c r="F35" s="7" t="str">
        <f t="shared" si="2"/>
        <v>16.32798:32.65596</v>
      </c>
      <c r="G35" s="7" t="str">
        <f t="shared" si="3"/>
        <v>17.06107:34.12214</v>
      </c>
      <c r="H35" s="2">
        <f>$H25+($R$5/2)*($B35-$B25)</f>
        <v>14.8618</v>
      </c>
      <c r="I35" s="2">
        <f>$I25+$R$5*($B35-$B25)</f>
        <v>29.7236</v>
      </c>
      <c r="J35" s="2">
        <f>$J25+($R$5/2)*($B34-$B24)*1.05</f>
        <v>15.59489</v>
      </c>
      <c r="K35" s="2">
        <f>$K25+$R$5*($B34-$B24)*1.05</f>
        <v>31.18978</v>
      </c>
      <c r="L35" s="2">
        <f>$L25+($R$5/2)*($B34-$B24)*1.1</f>
        <v>16.32798</v>
      </c>
      <c r="M35" s="2">
        <f>$M25+$R$5*($B34-$B24)*1.1</f>
        <v>32.65596</v>
      </c>
      <c r="N35" s="2">
        <f>$N25+($R$5/2)*($B34-$B24)*1.15</f>
        <v>17.06107</v>
      </c>
      <c r="O35" s="2">
        <f>$O25+$R$5*($B34-$B24)*1.15</f>
        <v>34.12214</v>
      </c>
    </row>
    <row r="36" s="2" customFormat="1" spans="1:15">
      <c r="A36" s="2">
        <v>1003</v>
      </c>
      <c r="B36" s="2">
        <v>15</v>
      </c>
      <c r="C36" s="3">
        <v>4</v>
      </c>
      <c r="D36" s="7" t="str">
        <f t="shared" si="0"/>
        <v>9.3418:18.6836</v>
      </c>
      <c r="E36" s="7" t="str">
        <f t="shared" si="1"/>
        <v>9.81389:19.62778</v>
      </c>
      <c r="F36" s="7" t="str">
        <f t="shared" si="2"/>
        <v>10.28598:20.57196</v>
      </c>
      <c r="G36" s="7" t="str">
        <f t="shared" si="3"/>
        <v>10.75807:21.41614</v>
      </c>
      <c r="H36" s="2">
        <f>$H26+($R$6/2)*($B36-$B26)</f>
        <v>9.3418</v>
      </c>
      <c r="I36" s="2">
        <f>$I26+$R$6*($B36-$B26)</f>
        <v>18.6836</v>
      </c>
      <c r="J36" s="2">
        <f>$J26+($R$6/2)*($B34-$B24)*1.05</f>
        <v>9.81389</v>
      </c>
      <c r="K36" s="2">
        <f>$K26+$R$6*($B34-$B24)*1.05</f>
        <v>19.62778</v>
      </c>
      <c r="L36" s="2">
        <f>$L26+($R$6/2)*($B34-$B24)*1.1</f>
        <v>10.28598</v>
      </c>
      <c r="M36" s="2">
        <f>$M26+$R$6*($B34-$B24)*1.1</f>
        <v>20.57196</v>
      </c>
      <c r="N36" s="2">
        <f>$N26+($R$6/2)*($B34-$B24)*1.15</f>
        <v>10.75807</v>
      </c>
      <c r="O36" s="2">
        <f>$O26+$R$6*($B34-$B24)*1.15</f>
        <v>21.41614</v>
      </c>
    </row>
    <row r="37" s="2" customFormat="1" spans="1:15">
      <c r="A37" s="2">
        <v>1004</v>
      </c>
      <c r="B37" s="2">
        <v>15</v>
      </c>
      <c r="C37" s="3">
        <v>3</v>
      </c>
      <c r="D37" s="7" t="str">
        <f t="shared" si="0"/>
        <v>14.8618:29.7236</v>
      </c>
      <c r="E37" s="7" t="str">
        <f t="shared" si="1"/>
        <v>15.59489:31.18978</v>
      </c>
      <c r="F37" s="7" t="str">
        <f t="shared" si="2"/>
        <v>16.32798:32.65596</v>
      </c>
      <c r="G37" s="7" t="str">
        <f t="shared" si="3"/>
        <v>17.06107:34.12214</v>
      </c>
      <c r="H37" s="2">
        <f>$H27+($R$7/2)*($B37-$B27)</f>
        <v>14.8618</v>
      </c>
      <c r="I37" s="2">
        <f>$I27+$R$7*($B37-$B27)</f>
        <v>29.7236</v>
      </c>
      <c r="J37" s="2">
        <f>$J27+($R$7/2)*($B34-$B24)*1.05</f>
        <v>15.59489</v>
      </c>
      <c r="K37" s="2">
        <f>$K27+$R$7*($B34-$B24)*1.05</f>
        <v>31.18978</v>
      </c>
      <c r="L37" s="2">
        <f>$L27+($R$7/2)*($B34-$B24)*1.1</f>
        <v>16.32798</v>
      </c>
      <c r="M37" s="2">
        <f>$M27+$R$7*($B34-$B24)*1.1</f>
        <v>32.65596</v>
      </c>
      <c r="N37" s="2">
        <f>$N27+($R$7/2)*($B34-$B24)*1.15</f>
        <v>17.06107</v>
      </c>
      <c r="O37" s="2">
        <f>$O27+$R$7*($B34-$B24)*1.15</f>
        <v>34.12214</v>
      </c>
    </row>
    <row r="38" s="2" customFormat="1" spans="1:15">
      <c r="A38" s="2">
        <v>1005</v>
      </c>
      <c r="B38" s="2">
        <v>15</v>
      </c>
      <c r="C38" s="3">
        <v>27</v>
      </c>
      <c r="D38" s="7" t="str">
        <f t="shared" si="0"/>
        <v>9.3418:18.6836</v>
      </c>
      <c r="E38" s="7" t="str">
        <f t="shared" si="1"/>
        <v>9.81389:19.62778</v>
      </c>
      <c r="F38" s="7" t="str">
        <f t="shared" si="2"/>
        <v>10.28598:20.57196</v>
      </c>
      <c r="G38" s="7" t="str">
        <f t="shared" si="3"/>
        <v>10.75807:21.41614</v>
      </c>
      <c r="H38" s="2">
        <f>$H28+($R$8/2)*($B38-$B28)</f>
        <v>9.3418</v>
      </c>
      <c r="I38" s="2">
        <f>$I28+$R$8*($B38-$B28)</f>
        <v>18.6836</v>
      </c>
      <c r="J38" s="2">
        <f>$J28+($R$8/2)*($B34-$B24)*1.05</f>
        <v>9.81389</v>
      </c>
      <c r="K38" s="2">
        <f>$K28+$R$8*($B34-$B24)*1.05</f>
        <v>19.62778</v>
      </c>
      <c r="L38" s="2">
        <f>$L28+($R$8/2)*($B34-$B24)*1.1</f>
        <v>10.28598</v>
      </c>
      <c r="M38" s="2">
        <f>$M28+$R$8*($B34-$B24)*1.1</f>
        <v>20.57196</v>
      </c>
      <c r="N38" s="2">
        <f>$N28+($R$8/2)*($B34-$B24)*1.15</f>
        <v>10.75807</v>
      </c>
      <c r="O38" s="2">
        <f>$O28+$R$8*($B34-$B24)*1.15</f>
        <v>21.41614</v>
      </c>
    </row>
    <row r="39" s="2" customFormat="1" spans="1:15">
      <c r="A39" s="2">
        <v>1006</v>
      </c>
      <c r="B39" s="2">
        <v>15</v>
      </c>
      <c r="C39" s="3">
        <v>28</v>
      </c>
      <c r="D39" s="7" t="str">
        <f t="shared" si="0"/>
        <v>2.81:5.52</v>
      </c>
      <c r="E39" s="7" t="str">
        <f t="shared" si="1"/>
        <v>2.8905:5.781</v>
      </c>
      <c r="F39" s="7" t="str">
        <f t="shared" si="2"/>
        <v>3.071:6.042</v>
      </c>
      <c r="G39" s="7" t="str">
        <f t="shared" si="3"/>
        <v>3.1515:6.303</v>
      </c>
      <c r="H39" s="2">
        <f>$H29+($R$9/2)*($B39-$B29)</f>
        <v>2.81</v>
      </c>
      <c r="I39" s="2">
        <f>$I29+$R$9*($B39-$B29)</f>
        <v>5.52</v>
      </c>
      <c r="J39" s="2">
        <f>$J29+($R$9/2)*($B34-$B24)*1.05</f>
        <v>2.8905</v>
      </c>
      <c r="K39" s="2">
        <f>$K29+$R$9*($B34-$B24)*1.05</f>
        <v>5.781</v>
      </c>
      <c r="L39" s="2">
        <f>$L29+($R$9/2)*($B34-$B24)*1.1</f>
        <v>3.071</v>
      </c>
      <c r="M39" s="2">
        <f>$M29+$R$9*($B34-$B24)*1.1</f>
        <v>6.042</v>
      </c>
      <c r="N39" s="2">
        <f>$N29+($R$9/2)*($B34-$B24)*1.15</f>
        <v>3.1515</v>
      </c>
      <c r="O39" s="2">
        <f>$O29+$R$9*($B34-$B24)*1.15</f>
        <v>6.303</v>
      </c>
    </row>
    <row r="40" s="2" customFormat="1" spans="1:15">
      <c r="A40" s="2">
        <v>1007</v>
      </c>
      <c r="B40" s="2">
        <v>15</v>
      </c>
      <c r="C40" s="3">
        <v>7</v>
      </c>
      <c r="D40" s="7" t="str">
        <f t="shared" si="0"/>
        <v>5.52:11.04</v>
      </c>
      <c r="E40" s="7" t="str">
        <f t="shared" si="1"/>
        <v>5.781:11.562</v>
      </c>
      <c r="F40" s="7" t="str">
        <f t="shared" si="2"/>
        <v>6.042:12.184</v>
      </c>
      <c r="G40" s="7" t="str">
        <f t="shared" si="3"/>
        <v>6.303:12.706</v>
      </c>
      <c r="H40" s="2">
        <f>$H30+($R$10/2)*($B40-$B30)</f>
        <v>5.52</v>
      </c>
      <c r="I40" s="2">
        <f>$I30+$R$10*($B40-$B30)</f>
        <v>11.04</v>
      </c>
      <c r="J40" s="2">
        <f>$J30+($R$10/2)*($B34-$B24)*1.05</f>
        <v>5.781</v>
      </c>
      <c r="K40" s="2">
        <f>$K30+$R$10*($B34-$B24)*1.05</f>
        <v>11.562</v>
      </c>
      <c r="L40" s="2">
        <f>$L30+($R$10/2)*($B34-$B24)*1.1</f>
        <v>6.042</v>
      </c>
      <c r="M40" s="2">
        <f>$M30+$R$10*($B34-$B24)*1.1</f>
        <v>12.184</v>
      </c>
      <c r="N40" s="2">
        <f>$N30+($R$10/2)*($B34-$B24)*1.15</f>
        <v>6.303</v>
      </c>
      <c r="O40" s="2">
        <f>$O30+$R$10*($B34-$B24)*1.15</f>
        <v>12.706</v>
      </c>
    </row>
    <row r="41" s="2" customFormat="1" spans="1:15">
      <c r="A41" s="2">
        <v>1008</v>
      </c>
      <c r="B41" s="2">
        <v>15</v>
      </c>
      <c r="C41" s="3">
        <v>5</v>
      </c>
      <c r="D41" s="7" t="str">
        <f t="shared" si="0"/>
        <v>5.52:11.04</v>
      </c>
      <c r="E41" s="7" t="str">
        <f t="shared" si="1"/>
        <v>5.781:11.562</v>
      </c>
      <c r="F41" s="7" t="str">
        <f t="shared" si="2"/>
        <v>6.042:12.184</v>
      </c>
      <c r="G41" s="7" t="str">
        <f t="shared" si="3"/>
        <v>6.303:12.706</v>
      </c>
      <c r="H41" s="2">
        <f>$H31+($R$11/2)*($B41-$B31)</f>
        <v>5.52</v>
      </c>
      <c r="I41" s="2">
        <f>$I31+$R$11*($B41-$B31)</f>
        <v>11.04</v>
      </c>
      <c r="J41" s="2">
        <f>$J31+($R$11/2)*($B34-$B24)*1.05</f>
        <v>5.781</v>
      </c>
      <c r="K41" s="2">
        <f>$K31+$R$11*($B34-$B24)*1.05</f>
        <v>11.562</v>
      </c>
      <c r="L41" s="2">
        <f>$L31+($R$11/2)*($B34-$B24)*1.1</f>
        <v>6.042</v>
      </c>
      <c r="M41" s="2">
        <f>$M31+$R$11*($B34-$B24)*1.1</f>
        <v>12.184</v>
      </c>
      <c r="N41" s="2">
        <f>$N31+($R$11/2)*($B34-$B24)*1.15</f>
        <v>6.303</v>
      </c>
      <c r="O41" s="2">
        <f>$O31+$R$11*($B34-$B24)*1.15</f>
        <v>12.706</v>
      </c>
    </row>
    <row r="42" s="2" customFormat="1" spans="1:15">
      <c r="A42" s="2">
        <v>1009</v>
      </c>
      <c r="B42" s="2">
        <v>15</v>
      </c>
      <c r="C42" s="3">
        <v>12</v>
      </c>
      <c r="D42" s="7" t="str">
        <f t="shared" si="0"/>
        <v>1.104:2.208</v>
      </c>
      <c r="E42" s="7" t="str">
        <f t="shared" si="1"/>
        <v>1.1562:2.3124</v>
      </c>
      <c r="F42" s="7" t="str">
        <f t="shared" si="2"/>
        <v>1.2084:2.4368</v>
      </c>
      <c r="G42" s="7" t="str">
        <f t="shared" si="3"/>
        <v>1.2606:2.5412</v>
      </c>
      <c r="H42" s="2">
        <f>$H32+($R$12/2)*($B42-$B32)</f>
        <v>1.104</v>
      </c>
      <c r="I42" s="2">
        <f>$I32+$R$12*($B42-$B32)</f>
        <v>2.208</v>
      </c>
      <c r="J42" s="2">
        <f>$J32+($R$12/2)*($B34-$B24)*1.05</f>
        <v>1.1562</v>
      </c>
      <c r="K42" s="2">
        <f>$K32+$R$12*($B34-$B24)*1.05</f>
        <v>2.3124</v>
      </c>
      <c r="L42" s="2">
        <f>$L32+($R$12/2)*($B34-$B24)*1.1</f>
        <v>1.2084</v>
      </c>
      <c r="M42" s="2">
        <f>$M32+$R$12*($B34-$B24)*1.1</f>
        <v>2.4368</v>
      </c>
      <c r="N42" s="2">
        <f>$N32+($R$12/2)*($B34-$B24)*1.15</f>
        <v>1.2606</v>
      </c>
      <c r="O42" s="2">
        <f>$O32+$R$12*($B34-$B24)*1.15</f>
        <v>2.5412</v>
      </c>
    </row>
    <row r="43" s="2" customFormat="1" spans="1:15">
      <c r="A43" s="2">
        <v>1010</v>
      </c>
      <c r="B43" s="2">
        <v>15</v>
      </c>
      <c r="C43" s="3">
        <v>13</v>
      </c>
      <c r="D43" s="7" t="str">
        <f t="shared" si="0"/>
        <v>5.52:11.04</v>
      </c>
      <c r="E43" s="7" t="str">
        <f t="shared" si="1"/>
        <v>5.781:11.562</v>
      </c>
      <c r="F43" s="7" t="str">
        <f t="shared" si="2"/>
        <v>6.042:12.184</v>
      </c>
      <c r="G43" s="7" t="str">
        <f t="shared" si="3"/>
        <v>6.303:12.706</v>
      </c>
      <c r="H43" s="2">
        <f>$H33+($R$13/2)*($B43-$B33)</f>
        <v>5.52</v>
      </c>
      <c r="I43" s="2">
        <f>$I33+$R$13*($B43-$B33)</f>
        <v>11.04</v>
      </c>
      <c r="J43" s="2">
        <f>$J33+($R$13/2)*($B34-$B24)*1.05</f>
        <v>5.781</v>
      </c>
      <c r="K43" s="2">
        <f>$K33+$R$13*($B34-$B24)*1.05</f>
        <v>11.562</v>
      </c>
      <c r="L43" s="2">
        <f>$L33+($R$13/2)*($B34-$B24)*1.1</f>
        <v>6.042</v>
      </c>
      <c r="M43" s="2">
        <f>$M33+$R$13*($B34-$B24)*1.1</f>
        <v>12.184</v>
      </c>
      <c r="N43" s="2">
        <f>$N33+($R$13/2)*($B34-$B24)*1.15</f>
        <v>6.303</v>
      </c>
      <c r="O43" s="2">
        <f>$O33+$R$13*($B34-$B24)*1.15</f>
        <v>12.706</v>
      </c>
    </row>
    <row r="44" s="2" customFormat="1" spans="1:15">
      <c r="A44" s="2">
        <v>1001</v>
      </c>
      <c r="B44" s="2">
        <v>20</v>
      </c>
      <c r="C44" s="3">
        <v>1</v>
      </c>
      <c r="D44" s="7" t="str">
        <f t="shared" si="0"/>
        <v>142.1247:284.2494</v>
      </c>
      <c r="E44" s="7" t="str">
        <f t="shared" si="1"/>
        <v>149.280935:298.46187</v>
      </c>
      <c r="F44" s="7" t="str">
        <f t="shared" si="2"/>
        <v>156.33717:312.67434</v>
      </c>
      <c r="G44" s="7" t="str">
        <f t="shared" si="3"/>
        <v>163.493405:326.88681</v>
      </c>
      <c r="H44" s="2">
        <f>$H34+($R$4/2)*($B44-$B34)</f>
        <v>142.1247</v>
      </c>
      <c r="I44" s="2">
        <f>$I34+$R$4*($B44-$B34)</f>
        <v>284.2494</v>
      </c>
      <c r="J44" s="2">
        <f>$J34+($R$4/2)*($B44-$B34)*1.05</f>
        <v>149.280935</v>
      </c>
      <c r="K44" s="2">
        <f>$K34+$R$4*($B44-$B34)*1.05</f>
        <v>298.46187</v>
      </c>
      <c r="L44" s="2">
        <f>$L34+($R$4/2)*($B44-$B34)*1.1</f>
        <v>156.33717</v>
      </c>
      <c r="M44" s="2">
        <f>$M34+$R$4*($B44-$B34)*1.1</f>
        <v>312.67434</v>
      </c>
      <c r="N44" s="2">
        <f>$N34+($R$4/2)*($B44-$B34)*1.15</f>
        <v>163.493405</v>
      </c>
      <c r="O44" s="2">
        <f>$O34+$R$4*($B44-$B34)*1.15</f>
        <v>326.88681</v>
      </c>
    </row>
    <row r="45" s="2" customFormat="1" spans="1:15">
      <c r="A45" s="2">
        <v>1002</v>
      </c>
      <c r="B45" s="2">
        <v>20</v>
      </c>
      <c r="C45" s="3">
        <v>2</v>
      </c>
      <c r="D45" s="7" t="str">
        <f t="shared" si="0"/>
        <v>17.9553:35.9106</v>
      </c>
      <c r="E45" s="7" t="str">
        <f t="shared" si="1"/>
        <v>18.843065:37.68613</v>
      </c>
      <c r="F45" s="7" t="str">
        <f t="shared" si="2"/>
        <v>19.73083:39.46166</v>
      </c>
      <c r="G45" s="7" t="str">
        <f t="shared" si="3"/>
        <v>20.618595:41.23719</v>
      </c>
      <c r="H45" s="2">
        <f>$H35+($R$5/2)*($B45-$B35)</f>
        <v>17.9553</v>
      </c>
      <c r="I45" s="2">
        <f>$I35+$R$5*($B45-$B35)</f>
        <v>35.9106</v>
      </c>
      <c r="J45" s="2">
        <f>$J35+($R$5/2)*($B44-$B34)*1.05</f>
        <v>18.843065</v>
      </c>
      <c r="K45" s="2">
        <f>$K35+$R$5*($B44-$B34)*1.05</f>
        <v>37.68613</v>
      </c>
      <c r="L45" s="2">
        <f>$L35+($R$5/2)*($B44-$B34)*1.1</f>
        <v>19.73083</v>
      </c>
      <c r="M45" s="2">
        <f>$M35+$R$5*($B44-$B34)*1.1</f>
        <v>39.46166</v>
      </c>
      <c r="N45" s="2">
        <f>$N35+($R$5/2)*($B44-$B34)*1.15</f>
        <v>20.618595</v>
      </c>
      <c r="O45" s="2">
        <f>$O35+$R$5*($B44-$B34)*1.15</f>
        <v>41.23719</v>
      </c>
    </row>
    <row r="46" s="2" customFormat="1" spans="1:15">
      <c r="A46" s="2">
        <v>1003</v>
      </c>
      <c r="B46" s="2">
        <v>20</v>
      </c>
      <c r="C46" s="3">
        <v>4</v>
      </c>
      <c r="D46" s="7" t="str">
        <f t="shared" si="0"/>
        <v>11.2853:22.5706</v>
      </c>
      <c r="E46" s="7" t="str">
        <f t="shared" si="1"/>
        <v>11.854565:23.70913</v>
      </c>
      <c r="F46" s="7" t="str">
        <f t="shared" si="2"/>
        <v>12.42383:24.84766</v>
      </c>
      <c r="G46" s="7" t="str">
        <f t="shared" si="3"/>
        <v>12.993095:25.88619</v>
      </c>
      <c r="H46" s="2">
        <f>$H36+($R$6/2)*($B46-$B36)</f>
        <v>11.2853</v>
      </c>
      <c r="I46" s="2">
        <f>$I36+$R$6*($B46-$B36)</f>
        <v>22.5706</v>
      </c>
      <c r="J46" s="2">
        <f>$J36+($R$6/2)*($B44-$B34)*1.05</f>
        <v>11.854565</v>
      </c>
      <c r="K46" s="2">
        <f>$K36+$R$6*($B44-$B34)*1.05</f>
        <v>23.70913</v>
      </c>
      <c r="L46" s="2">
        <f>$L36+($R$6/2)*($B44-$B34)*1.1</f>
        <v>12.42383</v>
      </c>
      <c r="M46" s="2">
        <f>$M36+$R$6*($B44-$B34)*1.1</f>
        <v>24.84766</v>
      </c>
      <c r="N46" s="2">
        <f>$N36+($R$6/2)*($B44-$B34)*1.15</f>
        <v>12.993095</v>
      </c>
      <c r="O46" s="2">
        <f>$O36+$R$6*($B44-$B34)*1.15</f>
        <v>25.88619</v>
      </c>
    </row>
    <row r="47" s="2" customFormat="1" spans="1:15">
      <c r="A47" s="2">
        <v>1004</v>
      </c>
      <c r="B47" s="2">
        <v>20</v>
      </c>
      <c r="C47" s="3">
        <v>3</v>
      </c>
      <c r="D47" s="7" t="str">
        <f t="shared" si="0"/>
        <v>17.9553:35.9106</v>
      </c>
      <c r="E47" s="7" t="str">
        <f t="shared" si="1"/>
        <v>18.843065:37.68613</v>
      </c>
      <c r="F47" s="7" t="str">
        <f t="shared" si="2"/>
        <v>19.73083:39.46166</v>
      </c>
      <c r="G47" s="7" t="str">
        <f t="shared" si="3"/>
        <v>20.618595:41.23719</v>
      </c>
      <c r="H47" s="2">
        <f>$H37+($R$7/2)*($B47-$B37)</f>
        <v>17.9553</v>
      </c>
      <c r="I47" s="2">
        <f>$I37+$R$7*($B47-$B37)</f>
        <v>35.9106</v>
      </c>
      <c r="J47" s="2">
        <f>$J37+($R$7/2)*($B44-$B34)*1.05</f>
        <v>18.843065</v>
      </c>
      <c r="K47" s="2">
        <f>$K37+$R$7*($B44-$B34)*1.05</f>
        <v>37.68613</v>
      </c>
      <c r="L47" s="2">
        <f>$L37+($R$7/2)*($B44-$B34)*1.1</f>
        <v>19.73083</v>
      </c>
      <c r="M47" s="2">
        <f>$M37+$R$7*($B44-$B34)*1.1</f>
        <v>39.46166</v>
      </c>
      <c r="N47" s="2">
        <f>$N37+($R$7/2)*($B44-$B34)*1.15</f>
        <v>20.618595</v>
      </c>
      <c r="O47" s="2">
        <f>$O37+$R$7*($B44-$B34)*1.15</f>
        <v>41.23719</v>
      </c>
    </row>
    <row r="48" s="2" customFormat="1" spans="1:15">
      <c r="A48" s="2">
        <v>1005</v>
      </c>
      <c r="B48" s="2">
        <v>20</v>
      </c>
      <c r="C48" s="3">
        <v>27</v>
      </c>
      <c r="D48" s="7" t="str">
        <f t="shared" si="0"/>
        <v>11.2853:22.5706</v>
      </c>
      <c r="E48" s="7" t="str">
        <f t="shared" si="1"/>
        <v>11.854565:23.70913</v>
      </c>
      <c r="F48" s="7" t="str">
        <f t="shared" si="2"/>
        <v>12.42383:24.84766</v>
      </c>
      <c r="G48" s="7" t="str">
        <f t="shared" si="3"/>
        <v>12.993095:25.88619</v>
      </c>
      <c r="H48" s="2">
        <f>$H38+($R$8/2)*($B48-$B38)</f>
        <v>11.2853</v>
      </c>
      <c r="I48" s="2">
        <f>$I38+$R$8*($B48-$B38)</f>
        <v>22.5706</v>
      </c>
      <c r="J48" s="2">
        <f>$J38+($R$8/2)*($B44-$B34)*1.05</f>
        <v>11.854565</v>
      </c>
      <c r="K48" s="2">
        <f>$K38+$R$8*($B44-$B34)*1.05</f>
        <v>23.70913</v>
      </c>
      <c r="L48" s="2">
        <f>$L38+($R$8/2)*($B44-$B34)*1.1</f>
        <v>12.42383</v>
      </c>
      <c r="M48" s="2">
        <f>$M38+$R$8*($B44-$B34)*1.1</f>
        <v>24.84766</v>
      </c>
      <c r="N48" s="2">
        <f>$N38+($R$8/2)*($B44-$B34)*1.15</f>
        <v>12.993095</v>
      </c>
      <c r="O48" s="2">
        <f>$O38+$R$8*($B44-$B34)*1.15</f>
        <v>25.88619</v>
      </c>
    </row>
    <row r="49" s="2" customFormat="1" spans="1:15">
      <c r="A49" s="2">
        <v>1006</v>
      </c>
      <c r="B49" s="2">
        <v>20</v>
      </c>
      <c r="C49" s="3">
        <v>28</v>
      </c>
      <c r="D49" s="7" t="str">
        <f t="shared" si="0"/>
        <v>3.385:6.67</v>
      </c>
      <c r="E49" s="7" t="str">
        <f t="shared" si="1"/>
        <v>3.49425:6.9885</v>
      </c>
      <c r="F49" s="7" t="str">
        <f t="shared" si="2"/>
        <v>3.7035:7.307</v>
      </c>
      <c r="G49" s="7" t="str">
        <f t="shared" si="3"/>
        <v>3.81275:7.6255</v>
      </c>
      <c r="H49" s="2">
        <f>$H39+($R$9/2)*($B49-$B39)</f>
        <v>3.385</v>
      </c>
      <c r="I49" s="2">
        <f>$I39+$R$9*($B49-$B39)</f>
        <v>6.67</v>
      </c>
      <c r="J49" s="2">
        <f>$J39+($R$9/2)*($B44-$B34)*1.05</f>
        <v>3.49425</v>
      </c>
      <c r="K49" s="2">
        <f>$K39+$R$9*($B44-$B34)*1.05</f>
        <v>6.9885</v>
      </c>
      <c r="L49" s="2">
        <f>$L39+($R$9/2)*($B44-$B34)*1.1</f>
        <v>3.7035</v>
      </c>
      <c r="M49" s="2">
        <f>$M39+$R$9*($B44-$B34)*1.1</f>
        <v>7.307</v>
      </c>
      <c r="N49" s="2">
        <f>$N39+($R$9/2)*($B44-$B34)*1.15</f>
        <v>3.81275</v>
      </c>
      <c r="O49" s="2">
        <f>$O39+$R$9*($B44-$B34)*1.15</f>
        <v>7.6255</v>
      </c>
    </row>
    <row r="50" s="2" customFormat="1" spans="1:15">
      <c r="A50" s="2">
        <v>1007</v>
      </c>
      <c r="B50" s="2">
        <v>20</v>
      </c>
      <c r="C50" s="3">
        <v>7</v>
      </c>
      <c r="D50" s="7" t="str">
        <f t="shared" si="0"/>
        <v>6.67:13.34</v>
      </c>
      <c r="E50" s="7" t="str">
        <f t="shared" si="1"/>
        <v>6.9885:13.977</v>
      </c>
      <c r="F50" s="7" t="str">
        <f t="shared" si="2"/>
        <v>7.307:14.714</v>
      </c>
      <c r="G50" s="7" t="str">
        <f t="shared" si="3"/>
        <v>7.6255:15.351</v>
      </c>
      <c r="H50" s="2">
        <f>$H40+($R$10/2)*($B50-$B40)</f>
        <v>6.67</v>
      </c>
      <c r="I50" s="2">
        <f>$I40+$R$10*($B50-$B40)</f>
        <v>13.34</v>
      </c>
      <c r="J50" s="2">
        <f>$J40+($R$10/2)*($B44-$B34)*1.05</f>
        <v>6.9885</v>
      </c>
      <c r="K50" s="2">
        <f>$K40+$R$10*($B44-$B34)*1.05</f>
        <v>13.977</v>
      </c>
      <c r="L50" s="2">
        <f>$L40+($R$10/2)*($B44-$B34)*1.1</f>
        <v>7.307</v>
      </c>
      <c r="M50" s="2">
        <f>$M40+$R$10*($B44-$B34)*1.1</f>
        <v>14.714</v>
      </c>
      <c r="N50" s="2">
        <f>$N40+($R$10/2)*($B44-$B34)*1.15</f>
        <v>7.6255</v>
      </c>
      <c r="O50" s="2">
        <f>$O40+$R$10*($B44-$B34)*1.15</f>
        <v>15.351</v>
      </c>
    </row>
    <row r="51" s="2" customFormat="1" spans="1:15">
      <c r="A51" s="2">
        <v>1008</v>
      </c>
      <c r="B51" s="2">
        <v>20</v>
      </c>
      <c r="C51" s="3">
        <v>5</v>
      </c>
      <c r="D51" s="7" t="str">
        <f t="shared" si="0"/>
        <v>6.67:13.34</v>
      </c>
      <c r="E51" s="7" t="str">
        <f t="shared" si="1"/>
        <v>6.9885:13.977</v>
      </c>
      <c r="F51" s="7" t="str">
        <f t="shared" si="2"/>
        <v>7.307:14.714</v>
      </c>
      <c r="G51" s="7" t="str">
        <f t="shared" si="3"/>
        <v>7.6255:15.351</v>
      </c>
      <c r="H51" s="2">
        <f>$H41+($R$11/2)*($B51-$B41)</f>
        <v>6.67</v>
      </c>
      <c r="I51" s="2">
        <f>$I41+$R$11*($B51-$B41)</f>
        <v>13.34</v>
      </c>
      <c r="J51" s="2">
        <f>$J41+($R$11/2)*($B44-$B34)*1.05</f>
        <v>6.9885</v>
      </c>
      <c r="K51" s="2">
        <f>$K41+$R$11*($B44-$B34)*1.05</f>
        <v>13.977</v>
      </c>
      <c r="L51" s="2">
        <f>$L41+($R$11/2)*($B44-$B34)*1.1</f>
        <v>7.307</v>
      </c>
      <c r="M51" s="2">
        <f>$M41+$R$11*($B44-$B34)*1.1</f>
        <v>14.714</v>
      </c>
      <c r="N51" s="2">
        <f>$N41+($R$11/2)*($B44-$B34)*1.15</f>
        <v>7.6255</v>
      </c>
      <c r="O51" s="2">
        <f>$O41+$R$11*($B44-$B34)*1.15</f>
        <v>15.351</v>
      </c>
    </row>
    <row r="52" s="2" customFormat="1" spans="1:15">
      <c r="A52" s="2">
        <v>1009</v>
      </c>
      <c r="B52" s="2">
        <v>20</v>
      </c>
      <c r="C52" s="3">
        <v>12</v>
      </c>
      <c r="D52" s="7" t="str">
        <f t="shared" si="0"/>
        <v>1.334:2.668</v>
      </c>
      <c r="E52" s="7" t="str">
        <f t="shared" si="1"/>
        <v>1.3977:2.7954</v>
      </c>
      <c r="F52" s="7" t="str">
        <f t="shared" si="2"/>
        <v>1.4614:2.9428</v>
      </c>
      <c r="G52" s="7" t="str">
        <f t="shared" si="3"/>
        <v>1.5251:3.0702</v>
      </c>
      <c r="H52" s="2">
        <f>$H42+($R$12/2)*($B52-$B42)</f>
        <v>1.334</v>
      </c>
      <c r="I52" s="2">
        <f>$I42+$R$12*($B52-$B42)</f>
        <v>2.668</v>
      </c>
      <c r="J52" s="2">
        <f>$J42+($R$12/2)*($B44-$B34)*1.05</f>
        <v>1.3977</v>
      </c>
      <c r="K52" s="2">
        <f>$K42+$R$12*($B44-$B34)*1.05</f>
        <v>2.7954</v>
      </c>
      <c r="L52" s="2">
        <f>$L42+($R$12/2)*($B44-$B34)*1.1</f>
        <v>1.4614</v>
      </c>
      <c r="M52" s="2">
        <f>$M42+$R$12*($B44-$B34)*1.1</f>
        <v>2.9428</v>
      </c>
      <c r="N52" s="2">
        <f>$N42+($R$12/2)*($B44-$B34)*1.15</f>
        <v>1.5251</v>
      </c>
      <c r="O52" s="2">
        <f>$O42+$R$12*($B44-$B34)*1.15</f>
        <v>3.0702</v>
      </c>
    </row>
    <row r="53" s="2" customFormat="1" spans="1:15">
      <c r="A53" s="2">
        <v>1010</v>
      </c>
      <c r="B53" s="2">
        <v>20</v>
      </c>
      <c r="C53" s="3">
        <v>13</v>
      </c>
      <c r="D53" s="7" t="str">
        <f t="shared" si="0"/>
        <v>6.67:13.34</v>
      </c>
      <c r="E53" s="7" t="str">
        <f t="shared" si="1"/>
        <v>6.9885:13.977</v>
      </c>
      <c r="F53" s="7" t="str">
        <f t="shared" si="2"/>
        <v>7.307:14.714</v>
      </c>
      <c r="G53" s="7" t="str">
        <f t="shared" si="3"/>
        <v>7.6255:15.351</v>
      </c>
      <c r="H53" s="2">
        <f>$H43+($R$13/2)*($B53-$B43)</f>
        <v>6.67</v>
      </c>
      <c r="I53" s="2">
        <f>$I43+$R$13*($B53-$B43)</f>
        <v>13.34</v>
      </c>
      <c r="J53" s="2">
        <f>$J43+($R$13/2)*($B44-$B34)*1.05</f>
        <v>6.9885</v>
      </c>
      <c r="K53" s="2">
        <f>$K43+$R$13*($B44-$B34)*1.05</f>
        <v>13.977</v>
      </c>
      <c r="L53" s="2">
        <f>$L43+($R$13/2)*($B44-$B34)*1.1</f>
        <v>7.307</v>
      </c>
      <c r="M53" s="2">
        <f>$M43+$R$13*($B44-$B34)*1.1</f>
        <v>14.714</v>
      </c>
      <c r="N53" s="2">
        <f>$N43+($R$13/2)*($B44-$B34)*1.15</f>
        <v>7.6255</v>
      </c>
      <c r="O53" s="2">
        <f>$O43+$R$13*($B44-$B34)*1.15</f>
        <v>15.351</v>
      </c>
    </row>
    <row r="54" s="2" customFormat="1" spans="1:15">
      <c r="A54" s="2">
        <v>1001</v>
      </c>
      <c r="B54" s="2">
        <v>25</v>
      </c>
      <c r="C54" s="3">
        <v>1</v>
      </c>
      <c r="D54" s="7" t="str">
        <f t="shared" si="0"/>
        <v>166.6312:333.2624</v>
      </c>
      <c r="E54" s="7" t="str">
        <f t="shared" si="1"/>
        <v>175.01276:349.92552</v>
      </c>
      <c r="F54" s="7" t="str">
        <f t="shared" si="2"/>
        <v>183.29432:366.58864</v>
      </c>
      <c r="G54" s="7" t="str">
        <f t="shared" si="3"/>
        <v>191.67588:383.25176</v>
      </c>
      <c r="H54" s="2">
        <f>$H44+($R$4/2)*($B54-$B44)</f>
        <v>166.6312</v>
      </c>
      <c r="I54" s="2">
        <f>$I44+$R$4*($B54-$B44)</f>
        <v>333.2624</v>
      </c>
      <c r="J54" s="2">
        <f>$J44+($R$4/2)*($B54-$B44)*1.05</f>
        <v>175.01276</v>
      </c>
      <c r="K54" s="2">
        <f>$K44+$R$4*($B54-$B44)*1.05</f>
        <v>349.92552</v>
      </c>
      <c r="L54" s="2">
        <f>$L44+($R$4/2)*($B54-$B44)*1.1</f>
        <v>183.29432</v>
      </c>
      <c r="M54" s="2">
        <f>$M44+$R$4*($B54-$B44)*1.1</f>
        <v>366.58864</v>
      </c>
      <c r="N54" s="2">
        <f>$N44+($R$4/2)*($B54-$B44)*1.15</f>
        <v>191.67588</v>
      </c>
      <c r="O54" s="2">
        <f>$O44+$R$4*($B54-$B44)*1.15</f>
        <v>383.25176</v>
      </c>
    </row>
    <row r="55" s="2" customFormat="1" spans="1:15">
      <c r="A55" s="2">
        <v>1002</v>
      </c>
      <c r="B55" s="2">
        <v>25</v>
      </c>
      <c r="C55" s="3">
        <v>2</v>
      </c>
      <c r="D55" s="7" t="str">
        <f t="shared" si="0"/>
        <v>21.0488:42.0976</v>
      </c>
      <c r="E55" s="7" t="str">
        <f t="shared" si="1"/>
        <v>22.09124:44.18248</v>
      </c>
      <c r="F55" s="7" t="str">
        <f t="shared" si="2"/>
        <v>23.13368:46.26736</v>
      </c>
      <c r="G55" s="7" t="str">
        <f t="shared" si="3"/>
        <v>24.17612:48.35224</v>
      </c>
      <c r="H55" s="2">
        <f>$H45+($R$5/2)*($B55-$B45)</f>
        <v>21.0488</v>
      </c>
      <c r="I55" s="2">
        <f>$I45+$R$5*($B55-$B45)</f>
        <v>42.0976</v>
      </c>
      <c r="J55" s="2">
        <f>$J45+($R$5/2)*($B54-$B44)*1.05</f>
        <v>22.09124</v>
      </c>
      <c r="K55" s="2">
        <f>$K45+$R$5*($B54-$B44)*1.05</f>
        <v>44.18248</v>
      </c>
      <c r="L55" s="2">
        <f>$L45+($R$5/2)*($B54-$B44)*1.1</f>
        <v>23.13368</v>
      </c>
      <c r="M55" s="2">
        <f>$M45+$R$5*($B54-$B44)*1.1</f>
        <v>46.26736</v>
      </c>
      <c r="N55" s="2">
        <f>$N45+($R$5/2)*($B54-$B44)*1.15</f>
        <v>24.17612</v>
      </c>
      <c r="O55" s="2">
        <f>$O45+$R$5*($B54-$B44)*1.15</f>
        <v>48.35224</v>
      </c>
    </row>
    <row r="56" s="2" customFormat="1" spans="1:15">
      <c r="A56" s="2">
        <v>1003</v>
      </c>
      <c r="B56" s="2">
        <v>25</v>
      </c>
      <c r="C56" s="3">
        <v>4</v>
      </c>
      <c r="D56" s="7" t="str">
        <f t="shared" si="0"/>
        <v>13.2288:26.4576</v>
      </c>
      <c r="E56" s="7" t="str">
        <f t="shared" si="1"/>
        <v>13.89524:27.79048</v>
      </c>
      <c r="F56" s="7" t="str">
        <f t="shared" si="2"/>
        <v>14.56168:29.12336</v>
      </c>
      <c r="G56" s="7" t="str">
        <f t="shared" si="3"/>
        <v>15.22812:30.35624</v>
      </c>
      <c r="H56" s="2">
        <f>$H46+($R$6/2)*($B56-$B46)</f>
        <v>13.2288</v>
      </c>
      <c r="I56" s="2">
        <f>$I46+$R$6*($B56-$B46)</f>
        <v>26.4576</v>
      </c>
      <c r="J56" s="2">
        <f>$J46+($R$6/2)*($B54-$B44)*1.05</f>
        <v>13.89524</v>
      </c>
      <c r="K56" s="2">
        <f>$K46+$R$6*($B54-$B44)*1.05</f>
        <v>27.79048</v>
      </c>
      <c r="L56" s="2">
        <f>$L46+($R$6/2)*($B54-$B44)*1.1</f>
        <v>14.56168</v>
      </c>
      <c r="M56" s="2">
        <f>$M46+$R$6*($B54-$B44)*1.1</f>
        <v>29.12336</v>
      </c>
      <c r="N56" s="2">
        <f>$N46+($R$6/2)*($B54-$B44)*1.15</f>
        <v>15.22812</v>
      </c>
      <c r="O56" s="2">
        <f>$O46+$R$6*($B54-$B44)*1.15</f>
        <v>30.35624</v>
      </c>
    </row>
    <row r="57" s="2" customFormat="1" spans="1:15">
      <c r="A57" s="2">
        <v>1004</v>
      </c>
      <c r="B57" s="2">
        <v>25</v>
      </c>
      <c r="C57" s="3">
        <v>3</v>
      </c>
      <c r="D57" s="7" t="str">
        <f t="shared" si="0"/>
        <v>21.0488:42.0976</v>
      </c>
      <c r="E57" s="7" t="str">
        <f t="shared" si="1"/>
        <v>22.09124:44.18248</v>
      </c>
      <c r="F57" s="7" t="str">
        <f t="shared" si="2"/>
        <v>23.13368:46.26736</v>
      </c>
      <c r="G57" s="7" t="str">
        <f t="shared" si="3"/>
        <v>24.17612:48.35224</v>
      </c>
      <c r="H57" s="2">
        <f>$H47+($R$7/2)*($B57-$B47)</f>
        <v>21.0488</v>
      </c>
      <c r="I57" s="2">
        <f>$I47+$R$7*($B57-$B47)</f>
        <v>42.0976</v>
      </c>
      <c r="J57" s="2">
        <f>$J47+($R$7/2)*($B54-$B44)*1.05</f>
        <v>22.09124</v>
      </c>
      <c r="K57" s="2">
        <f>$K47+$R$7*($B54-$B44)*1.05</f>
        <v>44.18248</v>
      </c>
      <c r="L57" s="2">
        <f>$L47+($R$7/2)*($B54-$B44)*1.1</f>
        <v>23.13368</v>
      </c>
      <c r="M57" s="2">
        <f>$M47+$R$7*($B54-$B44)*1.1</f>
        <v>46.26736</v>
      </c>
      <c r="N57" s="2">
        <f>$N47+($R$7/2)*($B54-$B44)*1.15</f>
        <v>24.17612</v>
      </c>
      <c r="O57" s="2">
        <f>$O47+$R$7*($B54-$B44)*1.15</f>
        <v>48.35224</v>
      </c>
    </row>
    <row r="58" s="2" customFormat="1" spans="1:15">
      <c r="A58" s="2">
        <v>1005</v>
      </c>
      <c r="B58" s="2">
        <v>25</v>
      </c>
      <c r="C58" s="3">
        <v>27</v>
      </c>
      <c r="D58" s="7" t="str">
        <f t="shared" si="0"/>
        <v>13.2288:26.4576</v>
      </c>
      <c r="E58" s="7" t="str">
        <f t="shared" si="1"/>
        <v>13.89524:27.79048</v>
      </c>
      <c r="F58" s="7" t="str">
        <f t="shared" si="2"/>
        <v>14.56168:29.12336</v>
      </c>
      <c r="G58" s="7" t="str">
        <f t="shared" si="3"/>
        <v>15.22812:30.35624</v>
      </c>
      <c r="H58" s="2">
        <f>$H48+($R$8/2)*($B58-$B48)</f>
        <v>13.2288</v>
      </c>
      <c r="I58" s="2">
        <f>$I48+$R$8*($B58-$B48)</f>
        <v>26.4576</v>
      </c>
      <c r="J58" s="2">
        <f>$J48+($R$8/2)*($B54-$B44)*1.05</f>
        <v>13.89524</v>
      </c>
      <c r="K58" s="2">
        <f>$K48+$R$8*($B54-$B44)*1.05</f>
        <v>27.79048</v>
      </c>
      <c r="L58" s="2">
        <f>$L48+($R$8/2)*($B54-$B44)*1.1</f>
        <v>14.56168</v>
      </c>
      <c r="M58" s="2">
        <f>$M48+$R$8*($B54-$B44)*1.1</f>
        <v>29.12336</v>
      </c>
      <c r="N58" s="2">
        <f>$N48+($R$8/2)*($B54-$B44)*1.15</f>
        <v>15.22812</v>
      </c>
      <c r="O58" s="2">
        <f>$O48+$R$8*($B54-$B44)*1.15</f>
        <v>30.35624</v>
      </c>
    </row>
    <row r="59" s="2" customFormat="1" spans="1:15">
      <c r="A59" s="2">
        <v>1006</v>
      </c>
      <c r="B59" s="2">
        <v>25</v>
      </c>
      <c r="C59" s="3">
        <v>28</v>
      </c>
      <c r="D59" s="7" t="str">
        <f t="shared" si="0"/>
        <v>3.96:7.82</v>
      </c>
      <c r="E59" s="7" t="str">
        <f t="shared" si="1"/>
        <v>4.098:8.196</v>
      </c>
      <c r="F59" s="7" t="str">
        <f t="shared" si="2"/>
        <v>4.336:8.572</v>
      </c>
      <c r="G59" s="7" t="str">
        <f t="shared" si="3"/>
        <v>4.474:8.948</v>
      </c>
      <c r="H59" s="2">
        <f>$H49+($R$9/2)*($B59-$B49)</f>
        <v>3.96</v>
      </c>
      <c r="I59" s="2">
        <f>$I49+$R$9*($B59-$B49)</f>
        <v>7.82</v>
      </c>
      <c r="J59" s="2">
        <f>$J49+($R$9/2)*($B54-$B44)*1.05</f>
        <v>4.098</v>
      </c>
      <c r="K59" s="2">
        <f>$K49+$R$9*($B54-$B44)*1.05</f>
        <v>8.196</v>
      </c>
      <c r="L59" s="2">
        <f>$L49+($R$9/2)*($B54-$B44)*1.1</f>
        <v>4.336</v>
      </c>
      <c r="M59" s="2">
        <f>$M49+$R$9*($B54-$B44)*1.1</f>
        <v>8.572</v>
      </c>
      <c r="N59" s="2">
        <f>$N49+($R$9/2)*($B54-$B44)*1.15</f>
        <v>4.474</v>
      </c>
      <c r="O59" s="2">
        <f>$O49+$R$9*($B54-$B44)*1.15</f>
        <v>8.948</v>
      </c>
    </row>
    <row r="60" s="2" customFormat="1" spans="1:15">
      <c r="A60" s="2">
        <v>1007</v>
      </c>
      <c r="B60" s="2">
        <v>25</v>
      </c>
      <c r="C60" s="3">
        <v>7</v>
      </c>
      <c r="D60" s="7" t="str">
        <f t="shared" si="0"/>
        <v>7.82:15.64</v>
      </c>
      <c r="E60" s="7" t="str">
        <f t="shared" si="1"/>
        <v>8.196:16.392</v>
      </c>
      <c r="F60" s="7" t="str">
        <f t="shared" si="2"/>
        <v>8.572:17.244</v>
      </c>
      <c r="G60" s="7" t="str">
        <f t="shared" si="3"/>
        <v>8.948:17.996</v>
      </c>
      <c r="H60" s="2">
        <f>$H50+($R$10/2)*($B60-$B50)</f>
        <v>7.82</v>
      </c>
      <c r="I60" s="2">
        <f>$I50+$R$10*($B60-$B50)</f>
        <v>15.64</v>
      </c>
      <c r="J60" s="2">
        <f>$J50+($R$10/2)*($B54-$B44)*1.05</f>
        <v>8.196</v>
      </c>
      <c r="K60" s="2">
        <f>$K50+$R$10*($B54-$B44)*1.05</f>
        <v>16.392</v>
      </c>
      <c r="L60" s="2">
        <f>$L50+($R$10/2)*($B54-$B44)*1.1</f>
        <v>8.572</v>
      </c>
      <c r="M60" s="2">
        <f>$M50+$R$10*($B54-$B44)*1.1</f>
        <v>17.244</v>
      </c>
      <c r="N60" s="2">
        <f>$N50+($R$10/2)*($B54-$B44)*1.15</f>
        <v>8.948</v>
      </c>
      <c r="O60" s="2">
        <f>$O50+$R$10*($B54-$B44)*1.15</f>
        <v>17.996</v>
      </c>
    </row>
    <row r="61" s="2" customFormat="1" spans="1:15">
      <c r="A61" s="2">
        <v>1008</v>
      </c>
      <c r="B61" s="2">
        <v>25</v>
      </c>
      <c r="C61" s="3">
        <v>5</v>
      </c>
      <c r="D61" s="7" t="str">
        <f t="shared" si="0"/>
        <v>7.82:15.64</v>
      </c>
      <c r="E61" s="7" t="str">
        <f t="shared" si="1"/>
        <v>8.196:16.392</v>
      </c>
      <c r="F61" s="7" t="str">
        <f t="shared" si="2"/>
        <v>8.572:17.244</v>
      </c>
      <c r="G61" s="7" t="str">
        <f t="shared" si="3"/>
        <v>8.948:17.996</v>
      </c>
      <c r="H61" s="2">
        <f>$H51+($R$11/2)*($B61-$B51)</f>
        <v>7.82</v>
      </c>
      <c r="I61" s="2">
        <f>$I51+$R$11*($B61-$B51)</f>
        <v>15.64</v>
      </c>
      <c r="J61" s="2">
        <f>$J51+($R$11/2)*($B54-$B44)*1.05</f>
        <v>8.196</v>
      </c>
      <c r="K61" s="2">
        <f>$K51+$R$11*($B54-$B44)*1.05</f>
        <v>16.392</v>
      </c>
      <c r="L61" s="2">
        <f>$L51+($R$11/2)*($B54-$B44)*1.1</f>
        <v>8.572</v>
      </c>
      <c r="M61" s="2">
        <f>$M51+$R$11*($B54-$B44)*1.1</f>
        <v>17.244</v>
      </c>
      <c r="N61" s="2">
        <f>$N51+($R$11/2)*($B54-$B44)*1.15</f>
        <v>8.948</v>
      </c>
      <c r="O61" s="2">
        <f>$O51+$R$11*($B54-$B44)*1.15</f>
        <v>17.996</v>
      </c>
    </row>
    <row r="62" s="2" customFormat="1" spans="1:15">
      <c r="A62" s="2">
        <v>1009</v>
      </c>
      <c r="B62" s="2">
        <v>25</v>
      </c>
      <c r="C62" s="3">
        <v>12</v>
      </c>
      <c r="D62" s="7" t="str">
        <f t="shared" si="0"/>
        <v>1.564:3.128</v>
      </c>
      <c r="E62" s="7" t="str">
        <f t="shared" si="1"/>
        <v>1.6392:3.2784</v>
      </c>
      <c r="F62" s="7" t="str">
        <f t="shared" si="2"/>
        <v>1.7144:3.4488</v>
      </c>
      <c r="G62" s="7" t="str">
        <f t="shared" si="3"/>
        <v>1.7896:3.5992</v>
      </c>
      <c r="H62" s="2">
        <f>$H52+($R$12/2)*($B62-$B52)</f>
        <v>1.564</v>
      </c>
      <c r="I62" s="2">
        <f>$I52+$R$12*($B62-$B52)</f>
        <v>3.128</v>
      </c>
      <c r="J62" s="2">
        <f>$J52+($R$12/2)*($B54-$B44)*1.05</f>
        <v>1.6392</v>
      </c>
      <c r="K62" s="2">
        <f>$K52+$R$12*($B54-$B44)*1.05</f>
        <v>3.2784</v>
      </c>
      <c r="L62" s="2">
        <f>$L52+($R$12/2)*($B54-$B44)*1.1</f>
        <v>1.7144</v>
      </c>
      <c r="M62" s="2">
        <f>$M52+$R$12*($B54-$B44)*1.1</f>
        <v>3.4488</v>
      </c>
      <c r="N62" s="2">
        <f>$N52+($R$12/2)*($B54-$B44)*1.15</f>
        <v>1.7896</v>
      </c>
      <c r="O62" s="2">
        <f>$O52+$R$12*($B54-$B44)*1.15</f>
        <v>3.5992</v>
      </c>
    </row>
    <row r="63" s="2" customFormat="1" spans="1:15">
      <c r="A63" s="2">
        <v>1010</v>
      </c>
      <c r="B63" s="2">
        <v>25</v>
      </c>
      <c r="C63" s="3">
        <v>13</v>
      </c>
      <c r="D63" s="7" t="str">
        <f t="shared" si="0"/>
        <v>7.82:15.64</v>
      </c>
      <c r="E63" s="7" t="str">
        <f t="shared" si="1"/>
        <v>8.196:16.392</v>
      </c>
      <c r="F63" s="7" t="str">
        <f t="shared" si="2"/>
        <v>8.572:17.244</v>
      </c>
      <c r="G63" s="7" t="str">
        <f t="shared" si="3"/>
        <v>8.948:17.996</v>
      </c>
      <c r="H63" s="2">
        <f>$H53+($R$13/2)*($B63-$B53)</f>
        <v>7.82</v>
      </c>
      <c r="I63" s="2">
        <f>$I53+$R$13*($B63-$B53)</f>
        <v>15.64</v>
      </c>
      <c r="J63" s="2">
        <f>$J53+($R$13/2)*($B54-$B44)*1.05</f>
        <v>8.196</v>
      </c>
      <c r="K63" s="2">
        <f>$K53+$R$13*($B54-$B44)*1.05</f>
        <v>16.392</v>
      </c>
      <c r="L63" s="2">
        <f>$L53+($R$13/2)*($B54-$B44)*1.1</f>
        <v>8.572</v>
      </c>
      <c r="M63" s="2">
        <f>$M53+$R$13*($B54-$B44)*1.1</f>
        <v>17.244</v>
      </c>
      <c r="N63" s="2">
        <f>$N53+($R$13/2)*($B54-$B44)*1.15</f>
        <v>8.948</v>
      </c>
      <c r="O63" s="2">
        <f>$O53+$R$13*($B54-$B44)*1.15</f>
        <v>17.996</v>
      </c>
    </row>
    <row r="64" s="2" customFormat="1" spans="1:15">
      <c r="A64" s="2">
        <v>1001</v>
      </c>
      <c r="B64" s="2">
        <v>30</v>
      </c>
      <c r="C64" s="3">
        <v>1</v>
      </c>
      <c r="D64" s="7" t="str">
        <f t="shared" si="0"/>
        <v>191.1377:382.2754</v>
      </c>
      <c r="E64" s="7" t="str">
        <f t="shared" si="1"/>
        <v>200.744585:401.38917</v>
      </c>
      <c r="F64" s="7" t="str">
        <f t="shared" si="2"/>
        <v>210.25147:420.50294</v>
      </c>
      <c r="G64" s="7" t="str">
        <f t="shared" si="3"/>
        <v>219.858355:439.61671</v>
      </c>
      <c r="H64" s="2">
        <f>$H54+($R$4/2)*($B64-$B54)</f>
        <v>191.1377</v>
      </c>
      <c r="I64" s="2">
        <f>$I54+$R$4*($B64-$B54)</f>
        <v>382.2754</v>
      </c>
      <c r="J64" s="2">
        <f>$J54+($R$4/2)*($B64-$B54)*1.05</f>
        <v>200.744585</v>
      </c>
      <c r="K64" s="2">
        <f>$K54+$R$4*($B64-$B54)*1.05</f>
        <v>401.38917</v>
      </c>
      <c r="L64" s="2">
        <f>$L54+($R$4/2)*($B64-$B54)*1.1</f>
        <v>210.25147</v>
      </c>
      <c r="M64" s="2">
        <f>$M54+$R$4*($B64-$B54)*1.1</f>
        <v>420.50294</v>
      </c>
      <c r="N64" s="2">
        <f>$N54+($R$4/2)*($B64-$B54)*1.15</f>
        <v>219.858355</v>
      </c>
      <c r="O64" s="2">
        <f>$O54+$R$4*($B64-$B54)*1.15</f>
        <v>439.61671</v>
      </c>
    </row>
    <row r="65" s="2" customFormat="1" spans="1:15">
      <c r="A65" s="2">
        <v>1002</v>
      </c>
      <c r="B65" s="2">
        <v>30</v>
      </c>
      <c r="C65" s="3">
        <v>2</v>
      </c>
      <c r="D65" s="7" t="str">
        <f t="shared" si="0"/>
        <v>24.1423:48.2846</v>
      </c>
      <c r="E65" s="7" t="str">
        <f t="shared" si="1"/>
        <v>25.339415:50.67883</v>
      </c>
      <c r="F65" s="7" t="str">
        <f t="shared" si="2"/>
        <v>26.53653:53.07306</v>
      </c>
      <c r="G65" s="7" t="str">
        <f t="shared" si="3"/>
        <v>27.733645:55.46729</v>
      </c>
      <c r="H65" s="2">
        <f>$H55+($R$5/2)*($B65-$B55)</f>
        <v>24.1423</v>
      </c>
      <c r="I65" s="2">
        <f>$I55+$R$5*($B65-$B55)</f>
        <v>48.2846</v>
      </c>
      <c r="J65" s="2">
        <f>$J55+($R$5/2)*($B64-$B54)*1.05</f>
        <v>25.339415</v>
      </c>
      <c r="K65" s="2">
        <f>$K55+$R$5*($B64-$B54)*1.05</f>
        <v>50.67883</v>
      </c>
      <c r="L65" s="2">
        <f>$L55+($R$5/2)*($B64-$B54)*1.1</f>
        <v>26.53653</v>
      </c>
      <c r="M65" s="2">
        <f>$M55+$R$5*($B64-$B54)*1.1</f>
        <v>53.07306</v>
      </c>
      <c r="N65" s="2">
        <f>$N55+($R$5/2)*($B64-$B54)*1.15</f>
        <v>27.733645</v>
      </c>
      <c r="O65" s="2">
        <f>$O55+$R$5*($B64-$B54)*1.15</f>
        <v>55.46729</v>
      </c>
    </row>
    <row r="66" s="2" customFormat="1" spans="1:15">
      <c r="A66" s="2">
        <v>1003</v>
      </c>
      <c r="B66" s="2">
        <v>30</v>
      </c>
      <c r="C66" s="3">
        <v>4</v>
      </c>
      <c r="D66" s="7" t="str">
        <f t="shared" si="0"/>
        <v>15.1723:30.3446</v>
      </c>
      <c r="E66" s="7" t="str">
        <f t="shared" si="1"/>
        <v>15.935915:31.87183</v>
      </c>
      <c r="F66" s="7" t="str">
        <f t="shared" si="2"/>
        <v>16.69953:33.39906</v>
      </c>
      <c r="G66" s="7" t="str">
        <f t="shared" si="3"/>
        <v>17.463145:34.82629</v>
      </c>
      <c r="H66" s="2">
        <f>$H56+($R$6/2)*($B66-$B56)</f>
        <v>15.1723</v>
      </c>
      <c r="I66" s="2">
        <f>$I56+$R$6*($B66-$B56)</f>
        <v>30.3446</v>
      </c>
      <c r="J66" s="2">
        <f>$J56+($R$6/2)*($B64-$B54)*1.05</f>
        <v>15.935915</v>
      </c>
      <c r="K66" s="2">
        <f>$K56+$R$6*($B64-$B54)*1.05</f>
        <v>31.87183</v>
      </c>
      <c r="L66" s="2">
        <f>$L56+($R$6/2)*($B64-$B54)*1.1</f>
        <v>16.69953</v>
      </c>
      <c r="M66" s="2">
        <f>$M56+$R$6*($B64-$B54)*1.1</f>
        <v>33.39906</v>
      </c>
      <c r="N66" s="2">
        <f>$N56+($R$6/2)*($B64-$B54)*1.15</f>
        <v>17.463145</v>
      </c>
      <c r="O66" s="2">
        <f>$O56+$R$6*($B64-$B54)*1.15</f>
        <v>34.82629</v>
      </c>
    </row>
    <row r="67" s="2" customFormat="1" spans="1:15">
      <c r="A67" s="2">
        <v>1004</v>
      </c>
      <c r="B67" s="2">
        <v>30</v>
      </c>
      <c r="C67" s="3">
        <v>3</v>
      </c>
      <c r="D67" s="7" t="str">
        <f t="shared" si="0"/>
        <v>24.1423:48.2846</v>
      </c>
      <c r="E67" s="7" t="str">
        <f t="shared" si="1"/>
        <v>25.339415:50.67883</v>
      </c>
      <c r="F67" s="7" t="str">
        <f t="shared" si="2"/>
        <v>26.53653:53.07306</v>
      </c>
      <c r="G67" s="7" t="str">
        <f t="shared" si="3"/>
        <v>27.733645:55.46729</v>
      </c>
      <c r="H67" s="2">
        <f>$H57+($R$7/2)*($B67-$B57)</f>
        <v>24.1423</v>
      </c>
      <c r="I67" s="2">
        <f>$I57+$R$7*($B67-$B57)</f>
        <v>48.2846</v>
      </c>
      <c r="J67" s="2">
        <f>$J57+($R$7/2)*($B64-$B54)*1.05</f>
        <v>25.339415</v>
      </c>
      <c r="K67" s="2">
        <f>$K57+$R$7*($B64-$B54)*1.05</f>
        <v>50.67883</v>
      </c>
      <c r="L67" s="2">
        <f>$L57+($R$7/2)*($B64-$B54)*1.1</f>
        <v>26.53653</v>
      </c>
      <c r="M67" s="2">
        <f>$M57+$R$7*($B64-$B54)*1.1</f>
        <v>53.07306</v>
      </c>
      <c r="N67" s="2">
        <f>$N57+($R$7/2)*($B64-$B54)*1.15</f>
        <v>27.733645</v>
      </c>
      <c r="O67" s="2">
        <f>$O57+$R$7*($B64-$B54)*1.15</f>
        <v>55.46729</v>
      </c>
    </row>
    <row r="68" s="2" customFormat="1" spans="1:15">
      <c r="A68" s="2">
        <v>1005</v>
      </c>
      <c r="B68" s="2">
        <v>30</v>
      </c>
      <c r="C68" s="3">
        <v>27</v>
      </c>
      <c r="D68" s="7" t="str">
        <f>H68&amp;":"&amp;I68</f>
        <v>15.1723:30.3446</v>
      </c>
      <c r="E68" s="7" t="str">
        <f>J68&amp;":"&amp;K68</f>
        <v>15.935915:31.87183</v>
      </c>
      <c r="F68" s="7" t="str">
        <f>L68&amp;":"&amp;M68</f>
        <v>16.69953:33.39906</v>
      </c>
      <c r="G68" s="7" t="str">
        <f>N68&amp;":"&amp;O68</f>
        <v>17.463145:34.82629</v>
      </c>
      <c r="H68" s="2">
        <f>$H58+($R$8/2)*($B68-$B58)</f>
        <v>15.1723</v>
      </c>
      <c r="I68" s="2">
        <f>$I58+$R$8*($B68-$B58)</f>
        <v>30.3446</v>
      </c>
      <c r="J68" s="2">
        <f>$J58+($R$8/2)*($B64-$B54)*1.05</f>
        <v>15.935915</v>
      </c>
      <c r="K68" s="2">
        <f>$K58+$R$8*($B64-$B54)*1.05</f>
        <v>31.87183</v>
      </c>
      <c r="L68" s="2">
        <f>$L58+($R$8/2)*($B64-$B54)*1.1</f>
        <v>16.69953</v>
      </c>
      <c r="M68" s="2">
        <f>$M58+$R$8*($B64-$B54)*1.1</f>
        <v>33.39906</v>
      </c>
      <c r="N68" s="2">
        <f>$N58+($R$8/2)*($B64-$B54)*1.15</f>
        <v>17.463145</v>
      </c>
      <c r="O68" s="2">
        <f>$O58+$R$8*($B64-$B54)*1.15</f>
        <v>34.82629</v>
      </c>
    </row>
    <row r="69" s="2" customFormat="1" spans="1:15">
      <c r="A69" s="2">
        <v>1006</v>
      </c>
      <c r="B69" s="2">
        <v>30</v>
      </c>
      <c r="C69" s="3">
        <v>28</v>
      </c>
      <c r="D69" s="7" t="str">
        <f>H69&amp;":"&amp;I69</f>
        <v>4.535:8.97</v>
      </c>
      <c r="E69" s="7" t="str">
        <f>J69&amp;":"&amp;K69</f>
        <v>4.70175:9.4035</v>
      </c>
      <c r="F69" s="7" t="str">
        <f>L69&amp;":"&amp;M69</f>
        <v>4.9685:9.837</v>
      </c>
      <c r="G69" s="7" t="str">
        <f>N69&amp;":"&amp;O69</f>
        <v>5.13525:10.2705</v>
      </c>
      <c r="H69" s="2">
        <f>$H59+($R$9/2)*($B69-$B59)</f>
        <v>4.535</v>
      </c>
      <c r="I69" s="2">
        <f>$I59+$R$9*($B69-$B59)</f>
        <v>8.97</v>
      </c>
      <c r="J69" s="2">
        <f>$J59+($R$9/2)*($B64-$B54)*1.05</f>
        <v>4.70175</v>
      </c>
      <c r="K69" s="2">
        <f>$K59+$R$9*($B64-$B54)*1.05</f>
        <v>9.4035</v>
      </c>
      <c r="L69" s="2">
        <f>$L59+($R$9/2)*($B64-$B54)*1.1</f>
        <v>4.9685</v>
      </c>
      <c r="M69" s="2">
        <f>$M59+$R$9*($B64-$B54)*1.1</f>
        <v>9.837</v>
      </c>
      <c r="N69" s="2">
        <f>$N59+($R$9/2)*($B64-$B54)*1.15</f>
        <v>5.13525</v>
      </c>
      <c r="O69" s="2">
        <f>$O59+$R$9*($B64-$B54)*1.15</f>
        <v>10.2705</v>
      </c>
    </row>
    <row r="70" s="2" customFormat="1" spans="1:15">
      <c r="A70" s="2">
        <v>1007</v>
      </c>
      <c r="B70" s="2">
        <v>30</v>
      </c>
      <c r="C70" s="3">
        <v>7</v>
      </c>
      <c r="D70" s="7" t="str">
        <f>H70&amp;":"&amp;I70</f>
        <v>8.97:17.94</v>
      </c>
      <c r="E70" s="7" t="str">
        <f>J70&amp;":"&amp;K70</f>
        <v>9.4035:18.807</v>
      </c>
      <c r="F70" s="7" t="str">
        <f>L70&amp;":"&amp;M70</f>
        <v>9.837:19.774</v>
      </c>
      <c r="G70" s="7" t="str">
        <f>N70&amp;":"&amp;O70</f>
        <v>10.2705:20.641</v>
      </c>
      <c r="H70" s="2">
        <f>$H60+($R$10/2)*($B70-$B60)</f>
        <v>8.97</v>
      </c>
      <c r="I70" s="2">
        <f>$I60+$R$10*($B70-$B60)</f>
        <v>17.94</v>
      </c>
      <c r="J70" s="2">
        <f>$J60+($R$10/2)*($B64-$B54)*1.05</f>
        <v>9.4035</v>
      </c>
      <c r="K70" s="2">
        <f>$K60+$R$10*($B64-$B54)*1.05</f>
        <v>18.807</v>
      </c>
      <c r="L70" s="2">
        <f>$L60+($R$10/2)*($B64-$B54)*1.1</f>
        <v>9.837</v>
      </c>
      <c r="M70" s="2">
        <f>$M60+$R$10*($B64-$B54)*1.1</f>
        <v>19.774</v>
      </c>
      <c r="N70" s="2">
        <f>$N60+($R$10/2)*($B64-$B54)*1.15</f>
        <v>10.2705</v>
      </c>
      <c r="O70" s="2">
        <f>$O60+$R$10*($B64-$B54)*1.15</f>
        <v>20.641</v>
      </c>
    </row>
    <row r="71" s="2" customFormat="1" spans="1:15">
      <c r="A71" s="2">
        <v>1008</v>
      </c>
      <c r="B71" s="2">
        <v>30</v>
      </c>
      <c r="C71" s="3">
        <v>5</v>
      </c>
      <c r="D71" s="7" t="str">
        <f>H71&amp;":"&amp;I71</f>
        <v>8.97:17.94</v>
      </c>
      <c r="E71" s="7" t="str">
        <f>J71&amp;":"&amp;K71</f>
        <v>9.4035:18.807</v>
      </c>
      <c r="F71" s="7" t="str">
        <f>L71&amp;":"&amp;M71</f>
        <v>9.837:19.774</v>
      </c>
      <c r="G71" s="7" t="str">
        <f>N71&amp;":"&amp;O71</f>
        <v>10.2705:20.641</v>
      </c>
      <c r="H71" s="2">
        <f>$H61+($R$11/2)*($B71-$B61)</f>
        <v>8.97</v>
      </c>
      <c r="I71" s="2">
        <f>$I61+$R$11*($B71-$B61)</f>
        <v>17.94</v>
      </c>
      <c r="J71" s="2">
        <f>$J61+($R$11/2)*($B64-$B54)*1.05</f>
        <v>9.4035</v>
      </c>
      <c r="K71" s="2">
        <f>$K61+$R$11*($B64-$B54)*1.05</f>
        <v>18.807</v>
      </c>
      <c r="L71" s="2">
        <f>$L61+($R$11/2)*($B64-$B54)*1.1</f>
        <v>9.837</v>
      </c>
      <c r="M71" s="2">
        <f>$M61+$R$11*($B64-$B54)*1.1</f>
        <v>19.774</v>
      </c>
      <c r="N71" s="2">
        <f>$N61+($R$11/2)*($B64-$B54)*1.15</f>
        <v>10.2705</v>
      </c>
      <c r="O71" s="2">
        <f>$O61+$R$11*($B64-$B54)*1.15</f>
        <v>20.641</v>
      </c>
    </row>
    <row r="72" s="2" customFormat="1" spans="1:15">
      <c r="A72" s="2">
        <v>1009</v>
      </c>
      <c r="B72" s="2">
        <v>30</v>
      </c>
      <c r="C72" s="3">
        <v>12</v>
      </c>
      <c r="D72" s="7" t="str">
        <f>H72&amp;":"&amp;I72</f>
        <v>1.794:3.588</v>
      </c>
      <c r="E72" s="7" t="str">
        <f>J72&amp;":"&amp;K72</f>
        <v>1.8807:3.7614</v>
      </c>
      <c r="F72" s="7" t="str">
        <f>L72&amp;":"&amp;M72</f>
        <v>1.9674:3.9548</v>
      </c>
      <c r="G72" s="7" t="str">
        <f>N72&amp;":"&amp;O72</f>
        <v>2.0541:4.1282</v>
      </c>
      <c r="H72" s="2">
        <f>$H62+($R$12/2)*($B72-$B62)</f>
        <v>1.794</v>
      </c>
      <c r="I72" s="2">
        <f>$I62+$R$12*($B72-$B62)</f>
        <v>3.588</v>
      </c>
      <c r="J72" s="2">
        <f>$J62+($R$12/2)*($B64-$B54)*1.05</f>
        <v>1.8807</v>
      </c>
      <c r="K72" s="2">
        <f>$K62+$R$12*($B64-$B54)*1.05</f>
        <v>3.7614</v>
      </c>
      <c r="L72" s="2">
        <f>$L62+($R$12/2)*($B64-$B54)*1.1</f>
        <v>1.9674</v>
      </c>
      <c r="M72" s="2">
        <f>$M62+$R$12*($B64-$B54)*1.1</f>
        <v>3.9548</v>
      </c>
      <c r="N72" s="2">
        <f>$N62+($R$12/2)*($B64-$B54)*1.15</f>
        <v>2.0541</v>
      </c>
      <c r="O72" s="2">
        <f>$O62+$R$12*($B64-$B54)*1.15</f>
        <v>4.1282</v>
      </c>
    </row>
    <row r="73" s="2" customFormat="1" spans="1:15">
      <c r="A73" s="2">
        <v>1010</v>
      </c>
      <c r="B73" s="2">
        <v>30</v>
      </c>
      <c r="C73" s="3">
        <v>13</v>
      </c>
      <c r="D73" s="7" t="str">
        <f>H73&amp;":"&amp;I73</f>
        <v>8.97:17.94</v>
      </c>
      <c r="E73" s="7" t="str">
        <f>J73&amp;":"&amp;K73</f>
        <v>9.4035:18.807</v>
      </c>
      <c r="F73" s="7" t="str">
        <f>L73&amp;":"&amp;M73</f>
        <v>9.837:19.774</v>
      </c>
      <c r="G73" s="7" t="str">
        <f>N73&amp;":"&amp;O73</f>
        <v>10.2705:20.641</v>
      </c>
      <c r="H73" s="2">
        <f>$H63+($R$13/2)*($B73-$B63)</f>
        <v>8.97</v>
      </c>
      <c r="I73" s="2">
        <f>$I63+$R$13*($B73-$B63)</f>
        <v>17.94</v>
      </c>
      <c r="J73" s="2">
        <f>$J63+($R$13/2)*($B64-$B54)*1.05</f>
        <v>9.4035</v>
      </c>
      <c r="K73" s="2">
        <f>$K63+$R$13*($B64-$B54)*1.05</f>
        <v>18.807</v>
      </c>
      <c r="L73" s="2">
        <f>$L63+($R$13/2)*($B64-$B54)*1.1</f>
        <v>9.837</v>
      </c>
      <c r="M73" s="2">
        <f>$M63+$R$13*($B64-$B54)*1.1</f>
        <v>19.774</v>
      </c>
      <c r="N73" s="2">
        <f>$N63+($R$13/2)*($B64-$B54)*1.15</f>
        <v>10.2705</v>
      </c>
      <c r="O73" s="2">
        <f>$O63+$R$13*($B64-$B54)*1.15</f>
        <v>20.641</v>
      </c>
    </row>
    <row r="74" s="2" customFormat="1" spans="1:15">
      <c r="A74" s="2">
        <v>1011</v>
      </c>
      <c r="B74" s="2">
        <v>35</v>
      </c>
      <c r="C74" s="3">
        <v>1</v>
      </c>
      <c r="D74" s="7" t="str">
        <f t="shared" ref="D74:D93" si="15">H74&amp;":"&amp;I74</f>
        <v>215.6442:431.2884</v>
      </c>
      <c r="E74" s="7" t="str">
        <f t="shared" ref="E74:E93" si="16">J74&amp;":"&amp;K74</f>
        <v>226.47641:452.85282</v>
      </c>
      <c r="F74" s="7" t="str">
        <f t="shared" ref="F74:F93" si="17">L74&amp;":"&amp;M74</f>
        <v>237.20862:474.41724</v>
      </c>
      <c r="G74" s="7" t="str">
        <f t="shared" ref="G74:G93" si="18">N74&amp;":"&amp;O74</f>
        <v>248.04083:495.98166</v>
      </c>
      <c r="H74" s="2">
        <f>$H64+($R$4/2)*($B74-$B64)</f>
        <v>215.6442</v>
      </c>
      <c r="I74" s="2">
        <f>$I64+$R$4*($B74-$B64)</f>
        <v>431.2884</v>
      </c>
      <c r="J74" s="2">
        <f>$J64+($R$4/2)*($B74-$B64)*1.05</f>
        <v>226.47641</v>
      </c>
      <c r="K74" s="2">
        <f>$K64+$R$4*($B74-$B64)*1.05</f>
        <v>452.85282</v>
      </c>
      <c r="L74" s="2">
        <f>$L64+($R$4/2)*($B74-$B64)*1.1</f>
        <v>237.20862</v>
      </c>
      <c r="M74" s="2">
        <f>$M64+$R$4*($B74-$B64)*1.1</f>
        <v>474.41724</v>
      </c>
      <c r="N74" s="2">
        <f>$N64+($R$4/2)*($B74-$B64)*1.15</f>
        <v>248.04083</v>
      </c>
      <c r="O74" s="2">
        <f>$O64+$R$4*($B74-$B64)*1.15</f>
        <v>495.98166</v>
      </c>
    </row>
    <row r="75" s="2" customFormat="1" spans="1:15">
      <c r="A75" s="2">
        <v>1012</v>
      </c>
      <c r="B75" s="2">
        <v>35</v>
      </c>
      <c r="C75" s="3">
        <v>2</v>
      </c>
      <c r="D75" s="7" t="str">
        <f t="shared" si="15"/>
        <v>27.2358:54.4716</v>
      </c>
      <c r="E75" s="7" t="str">
        <f t="shared" si="16"/>
        <v>28.58759:57.17518</v>
      </c>
      <c r="F75" s="7" t="str">
        <f t="shared" si="17"/>
        <v>29.93938:59.87876</v>
      </c>
      <c r="G75" s="7" t="str">
        <f t="shared" si="18"/>
        <v>31.29117:62.58234</v>
      </c>
      <c r="H75" s="2">
        <f>$H65+($R$5/2)*($B75-$B65)</f>
        <v>27.2358</v>
      </c>
      <c r="I75" s="2">
        <f>$I65+$R$5*($B75-$B65)</f>
        <v>54.4716</v>
      </c>
      <c r="J75" s="2">
        <f>$J65+($R$5/2)*($B74-$B64)*1.05</f>
        <v>28.58759</v>
      </c>
      <c r="K75" s="2">
        <f>$K65+$R$5*($B74-$B64)*1.05</f>
        <v>57.17518</v>
      </c>
      <c r="L75" s="2">
        <f>$L65+($R$5/2)*($B74-$B64)*1.1</f>
        <v>29.93938</v>
      </c>
      <c r="M75" s="2">
        <f>$M65+$R$5*($B74-$B64)*1.1</f>
        <v>59.87876</v>
      </c>
      <c r="N75" s="2">
        <f>$N65+($R$5/2)*($B74-$B64)*1.15</f>
        <v>31.29117</v>
      </c>
      <c r="O75" s="2">
        <f>$O65+$R$5*($B74-$B64)*1.15</f>
        <v>62.58234</v>
      </c>
    </row>
    <row r="76" s="2" customFormat="1" spans="1:15">
      <c r="A76" s="2">
        <v>1013</v>
      </c>
      <c r="B76" s="2">
        <v>35</v>
      </c>
      <c r="C76" s="3">
        <v>4</v>
      </c>
      <c r="D76" s="7" t="str">
        <f t="shared" si="15"/>
        <v>17.1158:34.2316</v>
      </c>
      <c r="E76" s="7" t="str">
        <f t="shared" si="16"/>
        <v>17.97659:35.95318</v>
      </c>
      <c r="F76" s="7" t="str">
        <f t="shared" si="17"/>
        <v>18.83738:37.67476</v>
      </c>
      <c r="G76" s="7" t="str">
        <f t="shared" si="18"/>
        <v>19.69817:39.29634</v>
      </c>
      <c r="H76" s="2">
        <f>$H66+($R$6/2)*($B76-$B66)</f>
        <v>17.1158</v>
      </c>
      <c r="I76" s="2">
        <f>$I66+$R$6*($B76-$B66)</f>
        <v>34.2316</v>
      </c>
      <c r="J76" s="2">
        <f>$J66+($R$6/2)*($B74-$B64)*1.05</f>
        <v>17.97659</v>
      </c>
      <c r="K76" s="2">
        <f>$K66+$R$6*($B74-$B64)*1.05</f>
        <v>35.95318</v>
      </c>
      <c r="L76" s="2">
        <f>$L66+($R$6/2)*($B74-$B64)*1.1</f>
        <v>18.83738</v>
      </c>
      <c r="M76" s="2">
        <f>$M66+$R$6*($B74-$B64)*1.1</f>
        <v>37.67476</v>
      </c>
      <c r="N76" s="2">
        <f>$N66+($R$6/2)*($B74-$B64)*1.15</f>
        <v>19.69817</v>
      </c>
      <c r="O76" s="2">
        <f>$O66+$R$6*($B74-$B64)*1.15</f>
        <v>39.29634</v>
      </c>
    </row>
    <row r="77" s="2" customFormat="1" spans="1:15">
      <c r="A77" s="2">
        <v>1014</v>
      </c>
      <c r="B77" s="2">
        <v>35</v>
      </c>
      <c r="C77" s="3">
        <v>3</v>
      </c>
      <c r="D77" s="7" t="str">
        <f t="shared" si="15"/>
        <v>27.2358:54.4716</v>
      </c>
      <c r="E77" s="7" t="str">
        <f t="shared" si="16"/>
        <v>28.58759:57.17518</v>
      </c>
      <c r="F77" s="7" t="str">
        <f t="shared" si="17"/>
        <v>29.93938:59.87876</v>
      </c>
      <c r="G77" s="7" t="str">
        <f t="shared" si="18"/>
        <v>31.29117:62.58234</v>
      </c>
      <c r="H77" s="2">
        <f>$H67+($R$7/2)*($B77-$B67)</f>
        <v>27.2358</v>
      </c>
      <c r="I77" s="2">
        <f>$I67+$R$7*($B77-$B67)</f>
        <v>54.4716</v>
      </c>
      <c r="J77" s="2">
        <f>$J67+($R$7/2)*($B74-$B64)*1.05</f>
        <v>28.58759</v>
      </c>
      <c r="K77" s="2">
        <f>$K67+$R$7*($B74-$B64)*1.05</f>
        <v>57.17518</v>
      </c>
      <c r="L77" s="2">
        <f>$L67+($R$7/2)*($B74-$B64)*1.1</f>
        <v>29.93938</v>
      </c>
      <c r="M77" s="2">
        <f>$M67+$R$7*($B74-$B64)*1.1</f>
        <v>59.87876</v>
      </c>
      <c r="N77" s="2">
        <f>$N67+($R$7/2)*($B74-$B64)*1.15</f>
        <v>31.29117</v>
      </c>
      <c r="O77" s="2">
        <f>$O67+$R$7*($B74-$B64)*1.15</f>
        <v>62.58234</v>
      </c>
    </row>
    <row r="78" s="2" customFormat="1" spans="1:15">
      <c r="A78" s="2">
        <v>1015</v>
      </c>
      <c r="B78" s="2">
        <v>35</v>
      </c>
      <c r="C78" s="3">
        <v>27</v>
      </c>
      <c r="D78" s="7" t="str">
        <f t="shared" si="15"/>
        <v>17.1158:34.2316</v>
      </c>
      <c r="E78" s="7" t="str">
        <f t="shared" si="16"/>
        <v>17.97659:35.95318</v>
      </c>
      <c r="F78" s="7" t="str">
        <f t="shared" si="17"/>
        <v>18.83738:37.67476</v>
      </c>
      <c r="G78" s="7" t="str">
        <f t="shared" si="18"/>
        <v>19.69817:39.29634</v>
      </c>
      <c r="H78" s="2">
        <f>$H68+($R$8/2)*($B78-$B68)</f>
        <v>17.1158</v>
      </c>
      <c r="I78" s="2">
        <f>$I68+$R$8*($B78-$B68)</f>
        <v>34.2316</v>
      </c>
      <c r="J78" s="2">
        <f>$J68+($R$8/2)*($B74-$B64)*1.05</f>
        <v>17.97659</v>
      </c>
      <c r="K78" s="2">
        <f>$K68+$R$8*($B74-$B64)*1.05</f>
        <v>35.95318</v>
      </c>
      <c r="L78" s="2">
        <f>$L68+($R$8/2)*($B74-$B64)*1.1</f>
        <v>18.83738</v>
      </c>
      <c r="M78" s="2">
        <f>$M68+$R$8*($B74-$B64)*1.1</f>
        <v>37.67476</v>
      </c>
      <c r="N78" s="2">
        <f>$N68+($R$8/2)*($B74-$B64)*1.15</f>
        <v>19.69817</v>
      </c>
      <c r="O78" s="2">
        <f>$O68+$R$8*($B74-$B64)*1.15</f>
        <v>39.29634</v>
      </c>
    </row>
    <row r="79" s="2" customFormat="1" spans="1:15">
      <c r="A79" s="2">
        <v>1016</v>
      </c>
      <c r="B79" s="2">
        <v>35</v>
      </c>
      <c r="C79" s="3">
        <v>28</v>
      </c>
      <c r="D79" s="7" t="str">
        <f t="shared" si="15"/>
        <v>5.11:10.12</v>
      </c>
      <c r="E79" s="7" t="str">
        <f t="shared" si="16"/>
        <v>5.3055:10.611</v>
      </c>
      <c r="F79" s="7" t="str">
        <f t="shared" si="17"/>
        <v>5.601:11.102</v>
      </c>
      <c r="G79" s="7" t="str">
        <f t="shared" si="18"/>
        <v>5.7965:11.593</v>
      </c>
      <c r="H79" s="2">
        <f>$H69+($R$9/2)*($B79-$B69)</f>
        <v>5.11</v>
      </c>
      <c r="I79" s="2">
        <f>$I69+$R$9*($B79-$B69)</f>
        <v>10.12</v>
      </c>
      <c r="J79" s="2">
        <f>$J69+($R$9/2)*($B74-$B64)*1.05</f>
        <v>5.3055</v>
      </c>
      <c r="K79" s="2">
        <f>$K69+$R$9*($B74-$B64)*1.05</f>
        <v>10.611</v>
      </c>
      <c r="L79" s="2">
        <f>$L69+($R$9/2)*($B74-$B64)*1.1</f>
        <v>5.601</v>
      </c>
      <c r="M79" s="2">
        <f>$M69+$R$9*($B74-$B64)*1.1</f>
        <v>11.102</v>
      </c>
      <c r="N79" s="2">
        <f>$N69+($R$9/2)*($B74-$B64)*1.15</f>
        <v>5.7965</v>
      </c>
      <c r="O79" s="2">
        <f>$O69+$R$9*($B74-$B64)*1.15</f>
        <v>11.593</v>
      </c>
    </row>
    <row r="80" s="2" customFormat="1" spans="1:15">
      <c r="A80" s="2">
        <v>1017</v>
      </c>
      <c r="B80" s="2">
        <v>35</v>
      </c>
      <c r="C80" s="3">
        <v>7</v>
      </c>
      <c r="D80" s="7" t="str">
        <f t="shared" si="15"/>
        <v>10.12:20.24</v>
      </c>
      <c r="E80" s="7" t="str">
        <f t="shared" si="16"/>
        <v>10.611:21.222</v>
      </c>
      <c r="F80" s="7" t="str">
        <f t="shared" si="17"/>
        <v>11.102:22.304</v>
      </c>
      <c r="G80" s="7" t="str">
        <f t="shared" si="18"/>
        <v>11.593:23.286</v>
      </c>
      <c r="H80" s="2">
        <f>$H70+($R$10/2)*($B80-$B70)</f>
        <v>10.12</v>
      </c>
      <c r="I80" s="2">
        <f>$I70+$R$10*($B80-$B70)</f>
        <v>20.24</v>
      </c>
      <c r="J80" s="2">
        <f>$J70+($R$10/2)*($B74-$B64)*1.05</f>
        <v>10.611</v>
      </c>
      <c r="K80" s="2">
        <f>$K70+$R$10*($B74-$B64)*1.05</f>
        <v>21.222</v>
      </c>
      <c r="L80" s="2">
        <f>$L70+($R$10/2)*($B74-$B64)*1.1</f>
        <v>11.102</v>
      </c>
      <c r="M80" s="2">
        <f>$M70+$R$10*($B74-$B64)*1.1</f>
        <v>22.304</v>
      </c>
      <c r="N80" s="2">
        <f>$N70+($R$10/2)*($B74-$B64)*1.15</f>
        <v>11.593</v>
      </c>
      <c r="O80" s="2">
        <f>$O70+$R$10*($B74-$B64)*1.15</f>
        <v>23.286</v>
      </c>
    </row>
    <row r="81" s="2" customFormat="1" spans="1:15">
      <c r="A81" s="2">
        <v>1018</v>
      </c>
      <c r="B81" s="2">
        <v>35</v>
      </c>
      <c r="C81" s="3">
        <v>5</v>
      </c>
      <c r="D81" s="7" t="str">
        <f t="shared" si="15"/>
        <v>10.12:20.24</v>
      </c>
      <c r="E81" s="7" t="str">
        <f t="shared" si="16"/>
        <v>10.611:21.222</v>
      </c>
      <c r="F81" s="7" t="str">
        <f t="shared" si="17"/>
        <v>11.102:22.304</v>
      </c>
      <c r="G81" s="7" t="str">
        <f t="shared" si="18"/>
        <v>11.593:23.286</v>
      </c>
      <c r="H81" s="2">
        <f>$H71+($R$11/2)*($B81-$B71)</f>
        <v>10.12</v>
      </c>
      <c r="I81" s="2">
        <f>$I71+$R$11*($B81-$B71)</f>
        <v>20.24</v>
      </c>
      <c r="J81" s="2">
        <f>$J71+($R$11/2)*($B74-$B64)*1.05</f>
        <v>10.611</v>
      </c>
      <c r="K81" s="2">
        <f>$K71+$R$11*($B74-$B64)*1.05</f>
        <v>21.222</v>
      </c>
      <c r="L81" s="2">
        <f>$L71+($R$11/2)*($B74-$B64)*1.1</f>
        <v>11.102</v>
      </c>
      <c r="M81" s="2">
        <f>$M71+$R$11*($B74-$B64)*1.1</f>
        <v>22.304</v>
      </c>
      <c r="N81" s="2">
        <f>$N71+($R$11/2)*($B74-$B64)*1.15</f>
        <v>11.593</v>
      </c>
      <c r="O81" s="2">
        <f>$O71+$R$11*($B74-$B64)*1.15</f>
        <v>23.286</v>
      </c>
    </row>
    <row r="82" s="2" customFormat="1" spans="1:15">
      <c r="A82" s="2">
        <v>1019</v>
      </c>
      <c r="B82" s="2">
        <v>35</v>
      </c>
      <c r="C82" s="3">
        <v>12</v>
      </c>
      <c r="D82" s="7" t="str">
        <f t="shared" si="15"/>
        <v>2.024:4.048</v>
      </c>
      <c r="E82" s="7" t="str">
        <f t="shared" si="16"/>
        <v>2.1222:4.2444</v>
      </c>
      <c r="F82" s="7" t="str">
        <f t="shared" si="17"/>
        <v>2.2204:4.4608</v>
      </c>
      <c r="G82" s="7" t="str">
        <f t="shared" si="18"/>
        <v>2.3186:4.6572</v>
      </c>
      <c r="H82" s="2">
        <f>$H72+($R$12/2)*($B82-$B72)</f>
        <v>2.024</v>
      </c>
      <c r="I82" s="2">
        <f>$I72+$R$12*($B82-$B72)</f>
        <v>4.048</v>
      </c>
      <c r="J82" s="2">
        <f>$J72+($R$12/2)*($B74-$B64)*1.05</f>
        <v>2.1222</v>
      </c>
      <c r="K82" s="2">
        <f>$K72+$R$12*($B74-$B64)*1.05</f>
        <v>4.2444</v>
      </c>
      <c r="L82" s="2">
        <f>$L72+($R$12/2)*($B74-$B64)*1.1</f>
        <v>2.2204</v>
      </c>
      <c r="M82" s="2">
        <f>$M72+$R$12*($B74-$B64)*1.1</f>
        <v>4.4608</v>
      </c>
      <c r="N82" s="2">
        <f>$N72+($R$12/2)*($B74-$B64)*1.15</f>
        <v>2.3186</v>
      </c>
      <c r="O82" s="2">
        <f>$O72+$R$12*($B74-$B64)*1.15</f>
        <v>4.6572</v>
      </c>
    </row>
    <row r="83" s="2" customFormat="1" spans="1:15">
      <c r="A83" s="2">
        <v>1020</v>
      </c>
      <c r="B83" s="2">
        <v>35</v>
      </c>
      <c r="C83" s="3">
        <v>13</v>
      </c>
      <c r="D83" s="7" t="str">
        <f t="shared" si="15"/>
        <v>10.12:20.24</v>
      </c>
      <c r="E83" s="7" t="str">
        <f t="shared" si="16"/>
        <v>10.611:21.222</v>
      </c>
      <c r="F83" s="7" t="str">
        <f t="shared" si="17"/>
        <v>11.102:22.304</v>
      </c>
      <c r="G83" s="7" t="str">
        <f t="shared" si="18"/>
        <v>11.593:23.286</v>
      </c>
      <c r="H83" s="2">
        <f>$H73+($R$13/2)*($B83-$B73)</f>
        <v>10.12</v>
      </c>
      <c r="I83" s="2">
        <f>$I73+$R$13*($B83-$B73)</f>
        <v>20.24</v>
      </c>
      <c r="J83" s="2">
        <f>$J73+($R$13/2)*($B74-$B64)*1.05</f>
        <v>10.611</v>
      </c>
      <c r="K83" s="2">
        <f>$K73+$R$13*($B74-$B64)*1.05</f>
        <v>21.222</v>
      </c>
      <c r="L83" s="2">
        <f>$L73+($R$13/2)*($B74-$B64)*1.1</f>
        <v>11.102</v>
      </c>
      <c r="M83" s="2">
        <f>$M73+$R$13*($B74-$B64)*1.1</f>
        <v>22.304</v>
      </c>
      <c r="N83" s="2">
        <f>$N73+($R$13/2)*($B74-$B64)*1.15</f>
        <v>11.593</v>
      </c>
      <c r="O83" s="2">
        <f>$O73+$R$13*($B74-$B64)*1.15</f>
        <v>23.286</v>
      </c>
    </row>
    <row r="84" s="2" customFormat="1" spans="1:15">
      <c r="A84" s="2">
        <v>1021</v>
      </c>
      <c r="B84" s="2">
        <v>40</v>
      </c>
      <c r="C84" s="3">
        <v>1</v>
      </c>
      <c r="D84" s="7" t="str">
        <f t="shared" si="15"/>
        <v>240.1507:480.3014</v>
      </c>
      <c r="E84" s="7" t="str">
        <f t="shared" si="16"/>
        <v>252.208235:504.31647</v>
      </c>
      <c r="F84" s="7" t="str">
        <f t="shared" si="17"/>
        <v>264.16577:528.33154</v>
      </c>
      <c r="G84" s="7" t="str">
        <f t="shared" si="18"/>
        <v>276.223305:552.34661</v>
      </c>
      <c r="H84" s="2">
        <f>$H74+($R$4/2)*($B84-$B74)</f>
        <v>240.1507</v>
      </c>
      <c r="I84" s="2">
        <f>$I74+$R$4*($B84-$B74)</f>
        <v>480.3014</v>
      </c>
      <c r="J84" s="2">
        <f>$J74+($R$4/2)*($B84-$B74)*1.05</f>
        <v>252.208235</v>
      </c>
      <c r="K84" s="2">
        <f>$K74+$R$4*($B84-$B74)*1.05</f>
        <v>504.31647</v>
      </c>
      <c r="L84" s="2">
        <f>$L74+($R$4/2)*($B84-$B74)*1.1</f>
        <v>264.16577</v>
      </c>
      <c r="M84" s="2">
        <f>$M74+$R$4*($B84-$B74)*1.1</f>
        <v>528.33154</v>
      </c>
      <c r="N84" s="2">
        <f>$N74+($R$4/2)*($B84-$B74)*1.15</f>
        <v>276.223305</v>
      </c>
      <c r="O84" s="2">
        <f>$O74+$R$4*($B84-$B74)*1.15</f>
        <v>552.34661</v>
      </c>
    </row>
    <row r="85" s="2" customFormat="1" spans="1:15">
      <c r="A85" s="2">
        <v>1022</v>
      </c>
      <c r="B85" s="2">
        <v>40</v>
      </c>
      <c r="C85" s="3">
        <v>2</v>
      </c>
      <c r="D85" s="7" t="str">
        <f t="shared" si="15"/>
        <v>30.3293:60.6586</v>
      </c>
      <c r="E85" s="7" t="str">
        <f t="shared" si="16"/>
        <v>31.835765:63.67153</v>
      </c>
      <c r="F85" s="7" t="str">
        <f t="shared" si="17"/>
        <v>33.34223:66.68446</v>
      </c>
      <c r="G85" s="7" t="str">
        <f t="shared" si="18"/>
        <v>34.848695:69.69739</v>
      </c>
      <c r="H85" s="2">
        <f>$H75+($R$5/2)*($B85-$B75)</f>
        <v>30.3293</v>
      </c>
      <c r="I85" s="2">
        <f>$I75+$R$5*($B85-$B75)</f>
        <v>60.6586</v>
      </c>
      <c r="J85" s="2">
        <f>$J75+($R$5/2)*($B84-$B74)*1.05</f>
        <v>31.835765</v>
      </c>
      <c r="K85" s="2">
        <f>$K75+$R$5*($B84-$B74)*1.05</f>
        <v>63.67153</v>
      </c>
      <c r="L85" s="2">
        <f>$L75+($R$5/2)*($B84-$B74)*1.1</f>
        <v>33.34223</v>
      </c>
      <c r="M85" s="2">
        <f>$M75+$R$5*($B84-$B74)*1.1</f>
        <v>66.68446</v>
      </c>
      <c r="N85" s="2">
        <f>$N75+($R$5/2)*($B84-$B74)*1.15</f>
        <v>34.848695</v>
      </c>
      <c r="O85" s="2">
        <f>$O75+$R$5*($B84-$B74)*1.15</f>
        <v>69.69739</v>
      </c>
    </row>
    <row r="86" s="2" customFormat="1" spans="1:15">
      <c r="A86" s="2">
        <v>1023</v>
      </c>
      <c r="B86" s="2">
        <v>40</v>
      </c>
      <c r="C86" s="3">
        <v>4</v>
      </c>
      <c r="D86" s="7" t="str">
        <f t="shared" si="15"/>
        <v>19.0593:38.1186</v>
      </c>
      <c r="E86" s="7" t="str">
        <f t="shared" si="16"/>
        <v>20.017265:40.03453</v>
      </c>
      <c r="F86" s="7" t="str">
        <f t="shared" si="17"/>
        <v>20.97523:41.95046</v>
      </c>
      <c r="G86" s="7" t="str">
        <f t="shared" si="18"/>
        <v>21.933195:43.76639</v>
      </c>
      <c r="H86" s="2">
        <f>$H76+($R$6/2)*($B86-$B76)</f>
        <v>19.0593</v>
      </c>
      <c r="I86" s="2">
        <f>$I76+$R$6*($B86-$B76)</f>
        <v>38.1186</v>
      </c>
      <c r="J86" s="2">
        <f>$J76+($R$6/2)*($B84-$B74)*1.05</f>
        <v>20.017265</v>
      </c>
      <c r="K86" s="2">
        <f>$K76+$R$6*($B84-$B74)*1.05</f>
        <v>40.03453</v>
      </c>
      <c r="L86" s="2">
        <f>$L76+($R$6/2)*($B84-$B74)*1.1</f>
        <v>20.97523</v>
      </c>
      <c r="M86" s="2">
        <f>$M76+$R$6*($B84-$B74)*1.1</f>
        <v>41.95046</v>
      </c>
      <c r="N86" s="2">
        <f>$N76+($R$6/2)*($B84-$B74)*1.15</f>
        <v>21.933195</v>
      </c>
      <c r="O86" s="2">
        <f>$O76+$R$6*($B84-$B74)*1.15</f>
        <v>43.76639</v>
      </c>
    </row>
    <row r="87" s="2" customFormat="1" spans="1:15">
      <c r="A87" s="2">
        <v>1024</v>
      </c>
      <c r="B87" s="2">
        <v>40</v>
      </c>
      <c r="C87" s="3">
        <v>3</v>
      </c>
      <c r="D87" s="7" t="str">
        <f t="shared" si="15"/>
        <v>30.3293:60.6586</v>
      </c>
      <c r="E87" s="7" t="str">
        <f t="shared" si="16"/>
        <v>31.835765:63.67153</v>
      </c>
      <c r="F87" s="7" t="str">
        <f t="shared" si="17"/>
        <v>33.34223:66.68446</v>
      </c>
      <c r="G87" s="7" t="str">
        <f t="shared" si="18"/>
        <v>34.848695:69.69739</v>
      </c>
      <c r="H87" s="2">
        <f>$H77+($R$7/2)*($B87-$B77)</f>
        <v>30.3293</v>
      </c>
      <c r="I87" s="2">
        <f>$I77+$R$7*($B87-$B77)</f>
        <v>60.6586</v>
      </c>
      <c r="J87" s="2">
        <f>$J77+($R$7/2)*($B84-$B74)*1.05</f>
        <v>31.835765</v>
      </c>
      <c r="K87" s="2">
        <f>$K77+$R$7*($B84-$B74)*1.05</f>
        <v>63.67153</v>
      </c>
      <c r="L87" s="2">
        <f>$L77+($R$7/2)*($B84-$B74)*1.1</f>
        <v>33.34223</v>
      </c>
      <c r="M87" s="2">
        <f>$M77+$R$7*($B84-$B74)*1.1</f>
        <v>66.68446</v>
      </c>
      <c r="N87" s="2">
        <f>$N77+($R$7/2)*($B84-$B74)*1.15</f>
        <v>34.848695</v>
      </c>
      <c r="O87" s="2">
        <f>$O77+$R$7*($B84-$B74)*1.15</f>
        <v>69.69739</v>
      </c>
    </row>
    <row r="88" s="2" customFormat="1" spans="1:15">
      <c r="A88" s="2">
        <v>1025</v>
      </c>
      <c r="B88" s="2">
        <v>40</v>
      </c>
      <c r="C88" s="3">
        <v>27</v>
      </c>
      <c r="D88" s="7" t="str">
        <f t="shared" si="15"/>
        <v>19.0593:38.1186</v>
      </c>
      <c r="E88" s="7" t="str">
        <f t="shared" si="16"/>
        <v>20.017265:40.03453</v>
      </c>
      <c r="F88" s="7" t="str">
        <f t="shared" si="17"/>
        <v>20.97523:41.95046</v>
      </c>
      <c r="G88" s="7" t="str">
        <f t="shared" si="18"/>
        <v>21.933195:43.76639</v>
      </c>
      <c r="H88" s="2">
        <f>$H78+($R$8/2)*($B88-$B78)</f>
        <v>19.0593</v>
      </c>
      <c r="I88" s="2">
        <f>$I78+$R$8*($B88-$B78)</f>
        <v>38.1186</v>
      </c>
      <c r="J88" s="2">
        <f>$J78+($R$8/2)*($B84-$B74)*1.05</f>
        <v>20.017265</v>
      </c>
      <c r="K88" s="2">
        <f>$K78+$R$8*($B84-$B74)*1.05</f>
        <v>40.03453</v>
      </c>
      <c r="L88" s="2">
        <f>$L78+($R$8/2)*($B84-$B74)*1.1</f>
        <v>20.97523</v>
      </c>
      <c r="M88" s="2">
        <f>$M78+$R$8*($B84-$B74)*1.1</f>
        <v>41.95046</v>
      </c>
      <c r="N88" s="2">
        <f>$N78+($R$8/2)*($B84-$B74)*1.15</f>
        <v>21.933195</v>
      </c>
      <c r="O88" s="2">
        <f>$O78+$R$8*($B84-$B74)*1.15</f>
        <v>43.76639</v>
      </c>
    </row>
    <row r="89" s="2" customFormat="1" spans="1:15">
      <c r="A89" s="2">
        <v>1026</v>
      </c>
      <c r="B89" s="2">
        <v>40</v>
      </c>
      <c r="C89" s="3">
        <v>28</v>
      </c>
      <c r="D89" s="7" t="str">
        <f t="shared" si="15"/>
        <v>5.685:11.27</v>
      </c>
      <c r="E89" s="7" t="str">
        <f t="shared" si="16"/>
        <v>5.90925:11.8185</v>
      </c>
      <c r="F89" s="7" t="str">
        <f t="shared" si="17"/>
        <v>6.2335:12.367</v>
      </c>
      <c r="G89" s="7" t="str">
        <f t="shared" si="18"/>
        <v>6.45775:12.9155</v>
      </c>
      <c r="H89" s="2">
        <f>$H79+($R$9/2)*($B89-$B79)</f>
        <v>5.685</v>
      </c>
      <c r="I89" s="2">
        <f>$I79+$R$9*($B89-$B79)</f>
        <v>11.27</v>
      </c>
      <c r="J89" s="2">
        <f>$J79+($R$9/2)*($B84-$B74)*1.05</f>
        <v>5.90925</v>
      </c>
      <c r="K89" s="2">
        <f>$K79+$R$9*($B84-$B74)*1.05</f>
        <v>11.8185</v>
      </c>
      <c r="L89" s="2">
        <f>$L79+($R$9/2)*($B84-$B74)*1.1</f>
        <v>6.2335</v>
      </c>
      <c r="M89" s="2">
        <f>$M79+$R$9*($B84-$B74)*1.1</f>
        <v>12.367</v>
      </c>
      <c r="N89" s="2">
        <f>$N79+($R$9/2)*($B84-$B74)*1.15</f>
        <v>6.45775</v>
      </c>
      <c r="O89" s="2">
        <f>$O79+$R$9*($B84-$B74)*1.15</f>
        <v>12.9155</v>
      </c>
    </row>
    <row r="90" s="2" customFormat="1" spans="1:15">
      <c r="A90" s="2">
        <v>1027</v>
      </c>
      <c r="B90" s="2">
        <v>40</v>
      </c>
      <c r="C90" s="3">
        <v>7</v>
      </c>
      <c r="D90" s="7" t="str">
        <f t="shared" si="15"/>
        <v>11.27:22.54</v>
      </c>
      <c r="E90" s="7" t="str">
        <f t="shared" si="16"/>
        <v>11.8185:23.637</v>
      </c>
      <c r="F90" s="7" t="str">
        <f t="shared" si="17"/>
        <v>12.367:24.834</v>
      </c>
      <c r="G90" s="7" t="str">
        <f t="shared" si="18"/>
        <v>12.9155:25.931</v>
      </c>
      <c r="H90" s="2">
        <f>$H80+($R$10/2)*($B90-$B80)</f>
        <v>11.27</v>
      </c>
      <c r="I90" s="2">
        <f>$I80+$R$10*($B90-$B80)</f>
        <v>22.54</v>
      </c>
      <c r="J90" s="2">
        <f>$J80+($R$10/2)*($B84-$B74)*1.05</f>
        <v>11.8185</v>
      </c>
      <c r="K90" s="2">
        <f>$K80+$R$10*($B84-$B74)*1.05</f>
        <v>23.637</v>
      </c>
      <c r="L90" s="2">
        <f>$L80+($R$10/2)*($B84-$B74)*1.1</f>
        <v>12.367</v>
      </c>
      <c r="M90" s="2">
        <f>$M80+$R$10*($B84-$B74)*1.1</f>
        <v>24.834</v>
      </c>
      <c r="N90" s="2">
        <f>$N80+($R$10/2)*($B84-$B74)*1.15</f>
        <v>12.9155</v>
      </c>
      <c r="O90" s="2">
        <f>$O80+$R$10*($B84-$B74)*1.15</f>
        <v>25.931</v>
      </c>
    </row>
    <row r="91" s="2" customFormat="1" spans="1:15">
      <c r="A91" s="2">
        <v>1028</v>
      </c>
      <c r="B91" s="2">
        <v>40</v>
      </c>
      <c r="C91" s="3">
        <v>5</v>
      </c>
      <c r="D91" s="7" t="str">
        <f t="shared" si="15"/>
        <v>11.27:22.54</v>
      </c>
      <c r="E91" s="7" t="str">
        <f t="shared" si="16"/>
        <v>11.8185:23.637</v>
      </c>
      <c r="F91" s="7" t="str">
        <f t="shared" si="17"/>
        <v>12.367:24.834</v>
      </c>
      <c r="G91" s="7" t="str">
        <f t="shared" si="18"/>
        <v>12.9155:25.931</v>
      </c>
      <c r="H91" s="2">
        <f>$H81+($R$11/2)*($B91-$B81)</f>
        <v>11.27</v>
      </c>
      <c r="I91" s="2">
        <f>$I81+$R$11*($B91-$B81)</f>
        <v>22.54</v>
      </c>
      <c r="J91" s="2">
        <f>$J81+($R$11/2)*($B84-$B74)*1.05</f>
        <v>11.8185</v>
      </c>
      <c r="K91" s="2">
        <f>$K81+$R$11*($B84-$B74)*1.05</f>
        <v>23.637</v>
      </c>
      <c r="L91" s="2">
        <f>$L81+($R$11/2)*($B84-$B74)*1.1</f>
        <v>12.367</v>
      </c>
      <c r="M91" s="2">
        <f>$M81+$R$11*($B84-$B74)*1.1</f>
        <v>24.834</v>
      </c>
      <c r="N91" s="2">
        <f>$N81+($R$11/2)*($B84-$B74)*1.15</f>
        <v>12.9155</v>
      </c>
      <c r="O91" s="2">
        <f>$O81+$R$11*($B84-$B74)*1.15</f>
        <v>25.931</v>
      </c>
    </row>
    <row r="92" s="2" customFormat="1" spans="1:15">
      <c r="A92" s="2">
        <v>1029</v>
      </c>
      <c r="B92" s="2">
        <v>40</v>
      </c>
      <c r="C92" s="3">
        <v>12</v>
      </c>
      <c r="D92" s="7" t="str">
        <f t="shared" si="15"/>
        <v>2.254:4.508</v>
      </c>
      <c r="E92" s="7" t="str">
        <f t="shared" si="16"/>
        <v>2.3637:4.7274</v>
      </c>
      <c r="F92" s="7" t="str">
        <f t="shared" si="17"/>
        <v>2.4734:4.9668</v>
      </c>
      <c r="G92" s="7" t="str">
        <f t="shared" si="18"/>
        <v>2.5831:5.1862</v>
      </c>
      <c r="H92" s="2">
        <f>$H82+($R$12/2)*($B92-$B82)</f>
        <v>2.254</v>
      </c>
      <c r="I92" s="2">
        <f>$I82+$R$12*($B92-$B82)</f>
        <v>4.508</v>
      </c>
      <c r="J92" s="2">
        <f>$J82+($R$12/2)*($B84-$B74)*1.05</f>
        <v>2.3637</v>
      </c>
      <c r="K92" s="2">
        <f>$K82+$R$12*($B84-$B74)*1.05</f>
        <v>4.7274</v>
      </c>
      <c r="L92" s="2">
        <f>$L82+($R$12/2)*($B84-$B74)*1.1</f>
        <v>2.4734</v>
      </c>
      <c r="M92" s="2">
        <f>$M82+$R$12*($B84-$B74)*1.1</f>
        <v>4.9668</v>
      </c>
      <c r="N92" s="2">
        <f>$N82+($R$12/2)*($B84-$B74)*1.15</f>
        <v>2.5831</v>
      </c>
      <c r="O92" s="2">
        <f>$O82+$R$12*($B84-$B74)*1.15</f>
        <v>5.1862</v>
      </c>
    </row>
    <row r="93" s="2" customFormat="1" spans="1:15">
      <c r="A93" s="2">
        <v>1030</v>
      </c>
      <c r="B93" s="2">
        <v>40</v>
      </c>
      <c r="C93" s="3">
        <v>13</v>
      </c>
      <c r="D93" s="7" t="str">
        <f t="shared" si="15"/>
        <v>11.27:22.54</v>
      </c>
      <c r="E93" s="7" t="str">
        <f t="shared" si="16"/>
        <v>11.8185:23.637</v>
      </c>
      <c r="F93" s="7" t="str">
        <f t="shared" si="17"/>
        <v>12.367:24.834</v>
      </c>
      <c r="G93" s="7" t="str">
        <f t="shared" si="18"/>
        <v>12.9155:25.931</v>
      </c>
      <c r="H93" s="2">
        <f>$H83+($R$13/2)*($B93-$B83)</f>
        <v>11.27</v>
      </c>
      <c r="I93" s="2">
        <f>$I83+$R$13*($B93-$B83)</f>
        <v>22.54</v>
      </c>
      <c r="J93" s="2">
        <f>$J83+($R$13/2)*($B84-$B74)*1.05</f>
        <v>11.8185</v>
      </c>
      <c r="K93" s="2">
        <f>$K83+$R$13*($B84-$B74)*1.05</f>
        <v>23.637</v>
      </c>
      <c r="L93" s="2">
        <f>$L83+($R$13/2)*($B84-$B74)*1.1</f>
        <v>12.367</v>
      </c>
      <c r="M93" s="2">
        <f>$M83+$R$13*($B84-$B74)*1.1</f>
        <v>24.834</v>
      </c>
      <c r="N93" s="2">
        <f>$N83+($R$13/2)*($B84-$B74)*1.15</f>
        <v>12.9155</v>
      </c>
      <c r="O93" s="2">
        <f>$O83+$R$13*($B84-$B74)*1.15</f>
        <v>25.931</v>
      </c>
    </row>
    <row r="94" s="2" customFormat="1" spans="1:15">
      <c r="A94" s="2">
        <v>1031</v>
      </c>
      <c r="B94" s="2">
        <v>45</v>
      </c>
      <c r="C94" s="3">
        <v>1</v>
      </c>
      <c r="D94" s="7" t="str">
        <f t="shared" ref="D94:D151" si="19">H94&amp;":"&amp;I94</f>
        <v>264.6572:529.3144</v>
      </c>
      <c r="E94" s="7" t="str">
        <f t="shared" ref="E94:E151" si="20">J94&amp;":"&amp;K94</f>
        <v>277.94006:555.78012</v>
      </c>
      <c r="F94" s="7" t="str">
        <f t="shared" ref="F94:F151" si="21">L94&amp;":"&amp;M94</f>
        <v>291.12292:582.24584</v>
      </c>
      <c r="G94" s="7" t="str">
        <f t="shared" ref="G94:G151" si="22">N94&amp;":"&amp;O94</f>
        <v>304.40578:608.71156</v>
      </c>
      <c r="H94" s="2">
        <f>$H64+($R$4/2)*($B94-$B64)</f>
        <v>264.6572</v>
      </c>
      <c r="I94" s="2">
        <f>$I64+$R$4*($B94-$B64)</f>
        <v>529.3144</v>
      </c>
      <c r="J94" s="2">
        <f>$J64+($R$4/2)*($B94-$B64)*1.05</f>
        <v>277.94006</v>
      </c>
      <c r="K94" s="2">
        <f>$K64+$R$4*($B94-$B64)*1.05</f>
        <v>555.78012</v>
      </c>
      <c r="L94" s="2">
        <f>$L64+($R$4/2)*($B94-$B64)*1.1</f>
        <v>291.12292</v>
      </c>
      <c r="M94" s="2">
        <f>$M64+$R$4*($B94-$B64)*1.1</f>
        <v>582.24584</v>
      </c>
      <c r="N94" s="2">
        <f>$N64+($R$4/2)*($B94-$B64)*1.15</f>
        <v>304.40578</v>
      </c>
      <c r="O94" s="2">
        <f>$O64+$R$4*($B94-$B64)*1.15</f>
        <v>608.71156</v>
      </c>
    </row>
    <row r="95" s="2" customFormat="1" spans="1:15">
      <c r="A95" s="2">
        <v>1032</v>
      </c>
      <c r="B95" s="2">
        <v>45</v>
      </c>
      <c r="C95" s="3">
        <v>2</v>
      </c>
      <c r="D95" s="7" t="str">
        <f t="shared" si="19"/>
        <v>33.4228:66.8456</v>
      </c>
      <c r="E95" s="7" t="str">
        <f t="shared" si="20"/>
        <v>35.08394:70.16788</v>
      </c>
      <c r="F95" s="7" t="str">
        <f t="shared" si="21"/>
        <v>36.74508:73.49016</v>
      </c>
      <c r="G95" s="7" t="str">
        <f t="shared" si="22"/>
        <v>38.40622:76.81244</v>
      </c>
      <c r="H95" s="2">
        <f>$H65+($R$5/2)*($B95-$B65)</f>
        <v>33.4228</v>
      </c>
      <c r="I95" s="2">
        <f>$I65+$R$5*($B95-$B65)</f>
        <v>66.8456</v>
      </c>
      <c r="J95" s="2">
        <f>$J65+($R$5/2)*($B94-$B64)*1.05</f>
        <v>35.08394</v>
      </c>
      <c r="K95" s="2">
        <f>$K65+$R$5*($B94-$B64)*1.05</f>
        <v>70.16788</v>
      </c>
      <c r="L95" s="2">
        <f>$L65+($R$5/2)*($B94-$B64)*1.1</f>
        <v>36.74508</v>
      </c>
      <c r="M95" s="2">
        <f>$M65+$R$5*($B94-$B64)*1.1</f>
        <v>73.49016</v>
      </c>
      <c r="N95" s="2">
        <f>$N65+($R$5/2)*($B94-$B64)*1.15</f>
        <v>38.40622</v>
      </c>
      <c r="O95" s="2">
        <f>$O65+$R$5*($B94-$B64)*1.15</f>
        <v>76.81244</v>
      </c>
    </row>
    <row r="96" s="2" customFormat="1" spans="1:15">
      <c r="A96" s="2">
        <v>1033</v>
      </c>
      <c r="B96" s="2">
        <v>45</v>
      </c>
      <c r="C96" s="3">
        <v>4</v>
      </c>
      <c r="D96" s="7" t="str">
        <f t="shared" si="19"/>
        <v>21.0028:42.0056</v>
      </c>
      <c r="E96" s="7" t="str">
        <f t="shared" si="20"/>
        <v>22.05794:44.11588</v>
      </c>
      <c r="F96" s="7" t="str">
        <f t="shared" si="21"/>
        <v>23.11308:46.22616</v>
      </c>
      <c r="G96" s="7" t="str">
        <f t="shared" si="22"/>
        <v>24.16822:48.23644</v>
      </c>
      <c r="H96" s="2">
        <f>$H66+($R$6/2)*($B96-$B66)</f>
        <v>21.0028</v>
      </c>
      <c r="I96" s="2">
        <f>$I66+$R$6*($B96-$B66)</f>
        <v>42.0056</v>
      </c>
      <c r="J96" s="2">
        <f>$J66+($R$6/2)*($B94-$B64)*1.05</f>
        <v>22.05794</v>
      </c>
      <c r="K96" s="2">
        <f>$K66+$R$6*($B94-$B64)*1.05</f>
        <v>44.11588</v>
      </c>
      <c r="L96" s="2">
        <f>$L66+($R$6/2)*($B94-$B64)*1.1</f>
        <v>23.11308</v>
      </c>
      <c r="M96" s="2">
        <f>$M66+$R$6*($B94-$B64)*1.1</f>
        <v>46.22616</v>
      </c>
      <c r="N96" s="2">
        <f>$N66+($R$6/2)*($B94-$B64)*1.15</f>
        <v>24.16822</v>
      </c>
      <c r="O96" s="2">
        <f>$O66+$R$6*($B94-$B64)*1.15</f>
        <v>48.23644</v>
      </c>
    </row>
    <row r="97" s="2" customFormat="1" spans="1:15">
      <c r="A97" s="2">
        <v>1034</v>
      </c>
      <c r="B97" s="2">
        <v>45</v>
      </c>
      <c r="C97" s="3">
        <v>3</v>
      </c>
      <c r="D97" s="7" t="str">
        <f t="shared" si="19"/>
        <v>33.4228:66.8456</v>
      </c>
      <c r="E97" s="7" t="str">
        <f t="shared" si="20"/>
        <v>35.08394:70.16788</v>
      </c>
      <c r="F97" s="7" t="str">
        <f t="shared" si="21"/>
        <v>36.74508:73.49016</v>
      </c>
      <c r="G97" s="7" t="str">
        <f t="shared" si="22"/>
        <v>38.40622:76.81244</v>
      </c>
      <c r="H97" s="2">
        <f>$H67+($R$7/2)*($B97-$B67)</f>
        <v>33.4228</v>
      </c>
      <c r="I97" s="2">
        <f>$I67+$R$7*($B97-$B67)</f>
        <v>66.8456</v>
      </c>
      <c r="J97" s="2">
        <f>$J67+($R$7/2)*($B94-$B64)*1.05</f>
        <v>35.08394</v>
      </c>
      <c r="K97" s="2">
        <f>$K67+$R$7*($B94-$B64)*1.05</f>
        <v>70.16788</v>
      </c>
      <c r="L97" s="2">
        <f>$L67+($R$7/2)*($B94-$B64)*1.1</f>
        <v>36.74508</v>
      </c>
      <c r="M97" s="2">
        <f>$M67+$R$7*($B94-$B64)*1.1</f>
        <v>73.49016</v>
      </c>
      <c r="N97" s="2">
        <f>$N67+($R$7/2)*($B94-$B64)*1.15</f>
        <v>38.40622</v>
      </c>
      <c r="O97" s="2">
        <f>$O67+$R$7*($B94-$B64)*1.15</f>
        <v>76.81244</v>
      </c>
    </row>
    <row r="98" s="2" customFormat="1" spans="1:15">
      <c r="A98" s="2">
        <v>1035</v>
      </c>
      <c r="B98" s="2">
        <v>45</v>
      </c>
      <c r="C98" s="3">
        <v>27</v>
      </c>
      <c r="D98" s="7" t="str">
        <f t="shared" si="19"/>
        <v>21.0028:42.0056</v>
      </c>
      <c r="E98" s="7" t="str">
        <f t="shared" si="20"/>
        <v>22.05794:44.11588</v>
      </c>
      <c r="F98" s="7" t="str">
        <f t="shared" si="21"/>
        <v>23.11308:46.22616</v>
      </c>
      <c r="G98" s="7" t="str">
        <f t="shared" si="22"/>
        <v>24.16822:48.23644</v>
      </c>
      <c r="H98" s="2">
        <f>$H68+($R$8/2)*($B98-$B68)</f>
        <v>21.0028</v>
      </c>
      <c r="I98" s="2">
        <f>$I68+$R$8*($B98-$B68)</f>
        <v>42.0056</v>
      </c>
      <c r="J98" s="2">
        <f>$J68+($R$8/2)*($B94-$B64)*1.05</f>
        <v>22.05794</v>
      </c>
      <c r="K98" s="2">
        <f>$K68+$R$8*($B94-$B64)*1.05</f>
        <v>44.11588</v>
      </c>
      <c r="L98" s="2">
        <f>$L68+($R$8/2)*($B94-$B64)*1.1</f>
        <v>23.11308</v>
      </c>
      <c r="M98" s="2">
        <f>$M68+$R$8*($B94-$B64)*1.1</f>
        <v>46.22616</v>
      </c>
      <c r="N98" s="2">
        <f>$N68+($R$8/2)*($B94-$B64)*1.15</f>
        <v>24.16822</v>
      </c>
      <c r="O98" s="2">
        <f>$O68+$R$8*($B94-$B64)*1.15</f>
        <v>48.23644</v>
      </c>
    </row>
    <row r="99" s="2" customFormat="1" spans="1:15">
      <c r="A99" s="2">
        <v>1036</v>
      </c>
      <c r="B99" s="2">
        <v>45</v>
      </c>
      <c r="C99" s="3">
        <v>28</v>
      </c>
      <c r="D99" s="7" t="str">
        <f t="shared" si="19"/>
        <v>6.26:12.42</v>
      </c>
      <c r="E99" s="7" t="str">
        <f t="shared" si="20"/>
        <v>6.513:13.026</v>
      </c>
      <c r="F99" s="7" t="str">
        <f t="shared" si="21"/>
        <v>6.866:13.632</v>
      </c>
      <c r="G99" s="7" t="str">
        <f t="shared" si="22"/>
        <v>7.119:14.238</v>
      </c>
      <c r="H99" s="2">
        <f>$H69+($R$9/2)*($B99-$B69)</f>
        <v>6.26</v>
      </c>
      <c r="I99" s="2">
        <f>$I69+$R$9*($B99-$B69)</f>
        <v>12.42</v>
      </c>
      <c r="J99" s="2">
        <f>$J69+($R$9/2)*($B94-$B64)*1.05</f>
        <v>6.513</v>
      </c>
      <c r="K99" s="2">
        <f>$K69+$R$9*($B94-$B64)*1.05</f>
        <v>13.026</v>
      </c>
      <c r="L99" s="2">
        <f>$L69+($R$9/2)*($B94-$B64)*1.1</f>
        <v>6.866</v>
      </c>
      <c r="M99" s="2">
        <f>$M69+$R$9*($B94-$B64)*1.1</f>
        <v>13.632</v>
      </c>
      <c r="N99" s="2">
        <f>$N69+($R$9/2)*($B94-$B64)*1.15</f>
        <v>7.119</v>
      </c>
      <c r="O99" s="2">
        <f>$O69+$R$9*($B94-$B64)*1.15</f>
        <v>14.238</v>
      </c>
    </row>
    <row r="100" s="2" customFormat="1" spans="1:15">
      <c r="A100" s="2">
        <v>1037</v>
      </c>
      <c r="B100" s="2">
        <v>45</v>
      </c>
      <c r="C100" s="3">
        <v>7</v>
      </c>
      <c r="D100" s="7" t="str">
        <f t="shared" si="19"/>
        <v>12.42:24.84</v>
      </c>
      <c r="E100" s="7" t="str">
        <f t="shared" si="20"/>
        <v>13.026:26.052</v>
      </c>
      <c r="F100" s="7" t="str">
        <f t="shared" si="21"/>
        <v>13.632:27.364</v>
      </c>
      <c r="G100" s="7" t="str">
        <f t="shared" si="22"/>
        <v>14.238:28.576</v>
      </c>
      <c r="H100" s="2">
        <f>$H70+($R$10/2)*($B100-$B70)</f>
        <v>12.42</v>
      </c>
      <c r="I100" s="2">
        <f>$I70+$R$10*($B100-$B70)</f>
        <v>24.84</v>
      </c>
      <c r="J100" s="2">
        <f>$J70+($R$10/2)*($B94-$B64)*1.05</f>
        <v>13.026</v>
      </c>
      <c r="K100" s="2">
        <f>$K70+$R$10*($B94-$B64)*1.05</f>
        <v>26.052</v>
      </c>
      <c r="L100" s="2">
        <f>$L70+($R$10/2)*($B94-$B64)*1.1</f>
        <v>13.632</v>
      </c>
      <c r="M100" s="2">
        <f>$M70+$R$10*($B94-$B64)*1.1</f>
        <v>27.364</v>
      </c>
      <c r="N100" s="2">
        <f>$N70+($R$10/2)*($B94-$B64)*1.15</f>
        <v>14.238</v>
      </c>
      <c r="O100" s="2">
        <f>$O70+$R$10*($B94-$B64)*1.15</f>
        <v>28.576</v>
      </c>
    </row>
    <row r="101" s="2" customFormat="1" spans="1:15">
      <c r="A101" s="2">
        <v>1038</v>
      </c>
      <c r="B101" s="2">
        <v>45</v>
      </c>
      <c r="C101" s="3">
        <v>5</v>
      </c>
      <c r="D101" s="7" t="str">
        <f t="shared" si="19"/>
        <v>12.42:24.84</v>
      </c>
      <c r="E101" s="7" t="str">
        <f t="shared" si="20"/>
        <v>13.026:26.052</v>
      </c>
      <c r="F101" s="7" t="str">
        <f t="shared" si="21"/>
        <v>13.632:27.364</v>
      </c>
      <c r="G101" s="7" t="str">
        <f t="shared" si="22"/>
        <v>14.238:28.576</v>
      </c>
      <c r="H101" s="2">
        <f>$H71+($R$11/2)*($B101-$B71)</f>
        <v>12.42</v>
      </c>
      <c r="I101" s="2">
        <f>$I71+$R$11*($B101-$B71)</f>
        <v>24.84</v>
      </c>
      <c r="J101" s="2">
        <f>$J71+($R$11/2)*($B94-$B64)*1.05</f>
        <v>13.026</v>
      </c>
      <c r="K101" s="2">
        <f>$K71+$R$11*($B94-$B64)*1.05</f>
        <v>26.052</v>
      </c>
      <c r="L101" s="2">
        <f>$L71+($R$11/2)*($B94-$B64)*1.1</f>
        <v>13.632</v>
      </c>
      <c r="M101" s="2">
        <f>$M71+$R$11*($B94-$B64)*1.1</f>
        <v>27.364</v>
      </c>
      <c r="N101" s="2">
        <f>$N71+($R$11/2)*($B94-$B64)*1.15</f>
        <v>14.238</v>
      </c>
      <c r="O101" s="2">
        <f>$O71+$R$11*($B94-$B64)*1.15</f>
        <v>28.576</v>
      </c>
    </row>
    <row r="102" s="2" customFormat="1" spans="1:15">
      <c r="A102" s="2">
        <v>1039</v>
      </c>
      <c r="B102" s="2">
        <v>45</v>
      </c>
      <c r="C102" s="3">
        <v>12</v>
      </c>
      <c r="D102" s="7" t="str">
        <f t="shared" si="19"/>
        <v>2.484:4.968</v>
      </c>
      <c r="E102" s="7" t="str">
        <f t="shared" si="20"/>
        <v>2.6052:5.2104</v>
      </c>
      <c r="F102" s="7" t="str">
        <f t="shared" si="21"/>
        <v>2.7264:5.4728</v>
      </c>
      <c r="G102" s="7" t="str">
        <f t="shared" si="22"/>
        <v>2.8476:5.7152</v>
      </c>
      <c r="H102" s="2">
        <f>$H72+($R$12/2)*($B102-$B72)</f>
        <v>2.484</v>
      </c>
      <c r="I102" s="2">
        <f>$I72+$R$12*($B102-$B72)</f>
        <v>4.968</v>
      </c>
      <c r="J102" s="2">
        <f>$J72+($R$12/2)*($B94-$B64)*1.05</f>
        <v>2.6052</v>
      </c>
      <c r="K102" s="2">
        <f>$K72+$R$12*($B94-$B64)*1.05</f>
        <v>5.2104</v>
      </c>
      <c r="L102" s="2">
        <f>$L72+($R$12/2)*($B94-$B64)*1.1</f>
        <v>2.7264</v>
      </c>
      <c r="M102" s="2">
        <f>$M72+$R$12*($B94-$B64)*1.1</f>
        <v>5.4728</v>
      </c>
      <c r="N102" s="2">
        <f>$N72+($R$12/2)*($B94-$B64)*1.15</f>
        <v>2.8476</v>
      </c>
      <c r="O102" s="2">
        <f>$O72+$R$12*($B94-$B64)*1.15</f>
        <v>5.7152</v>
      </c>
    </row>
    <row r="103" s="2" customFormat="1" spans="1:15">
      <c r="A103" s="2">
        <v>1040</v>
      </c>
      <c r="B103" s="2">
        <v>45</v>
      </c>
      <c r="C103" s="3">
        <v>13</v>
      </c>
      <c r="D103" s="7" t="str">
        <f t="shared" si="19"/>
        <v>12.42:24.84</v>
      </c>
      <c r="E103" s="7" t="str">
        <f t="shared" si="20"/>
        <v>13.026:26.052</v>
      </c>
      <c r="F103" s="7" t="str">
        <f t="shared" si="21"/>
        <v>13.632:27.364</v>
      </c>
      <c r="G103" s="7" t="str">
        <f t="shared" si="22"/>
        <v>14.238:28.576</v>
      </c>
      <c r="H103" s="2">
        <f>$H73+($R$13/2)*($B103-$B73)</f>
        <v>12.42</v>
      </c>
      <c r="I103" s="2">
        <f>$I73+$R$13*($B103-$B73)</f>
        <v>24.84</v>
      </c>
      <c r="J103" s="2">
        <f>$J73+($R$13/2)*($B94-$B64)*1.05</f>
        <v>13.026</v>
      </c>
      <c r="K103" s="2">
        <f>$K73+$R$13*($B94-$B64)*1.05</f>
        <v>26.052</v>
      </c>
      <c r="L103" s="2">
        <f>$L73+($R$13/2)*($B94-$B64)*1.1</f>
        <v>13.632</v>
      </c>
      <c r="M103" s="2">
        <f>$M73+$R$13*($B94-$B64)*1.1</f>
        <v>27.364</v>
      </c>
      <c r="N103" s="2">
        <f>$N73+($R$13/2)*($B94-$B64)*1.15</f>
        <v>14.238</v>
      </c>
      <c r="O103" s="2">
        <f>$O73+$R$13*($B94-$B64)*1.15</f>
        <v>28.576</v>
      </c>
    </row>
    <row r="104" s="2" customFormat="1" spans="1:15">
      <c r="A104" s="2">
        <v>1041</v>
      </c>
      <c r="B104" s="2">
        <v>50</v>
      </c>
      <c r="C104" s="3">
        <v>1</v>
      </c>
      <c r="D104" s="7" t="str">
        <f t="shared" si="19"/>
        <v>289.1637:578.3274</v>
      </c>
      <c r="E104" s="7" t="str">
        <f t="shared" si="20"/>
        <v>303.671885:607.24377</v>
      </c>
      <c r="F104" s="7" t="str">
        <f t="shared" si="21"/>
        <v>318.08007:636.16014</v>
      </c>
      <c r="G104" s="7" t="str">
        <f t="shared" si="22"/>
        <v>332.588255:665.07651</v>
      </c>
      <c r="H104" s="2">
        <f>$H94+($R$4/2)*($B104-$B94)</f>
        <v>289.1637</v>
      </c>
      <c r="I104" s="2">
        <f>$I94+$R$4*($B104-$B94)</f>
        <v>578.3274</v>
      </c>
      <c r="J104" s="2">
        <f>$J94+($R$4/2)*($B104-$B94)*1.05</f>
        <v>303.671885</v>
      </c>
      <c r="K104" s="2">
        <f>$K94+$R$4*($B104-$B94)*1.05</f>
        <v>607.24377</v>
      </c>
      <c r="L104" s="2">
        <f>$L94+($R$4/2)*($B104-$B94)*1.1</f>
        <v>318.08007</v>
      </c>
      <c r="M104" s="2">
        <f>$M94+$R$4*($B104-$B94)*1.1</f>
        <v>636.16014</v>
      </c>
      <c r="N104" s="2">
        <f>$N94+($R$4/2)*($B104-$B94)*1.15</f>
        <v>332.588255</v>
      </c>
      <c r="O104" s="2">
        <f>$O94+$R$4*($B104-$B94)*1.15</f>
        <v>665.07651</v>
      </c>
    </row>
    <row r="105" s="2" customFormat="1" spans="1:15">
      <c r="A105" s="2">
        <v>1042</v>
      </c>
      <c r="B105" s="2">
        <v>50</v>
      </c>
      <c r="C105" s="3">
        <v>2</v>
      </c>
      <c r="D105" s="7" t="str">
        <f t="shared" si="19"/>
        <v>36.5163:73.0326</v>
      </c>
      <c r="E105" s="7" t="str">
        <f t="shared" si="20"/>
        <v>38.332115:76.66423</v>
      </c>
      <c r="F105" s="7" t="str">
        <f t="shared" si="21"/>
        <v>40.14793:80.29586</v>
      </c>
      <c r="G105" s="7" t="str">
        <f t="shared" si="22"/>
        <v>41.963745:83.92749</v>
      </c>
      <c r="H105" s="2">
        <f>$H95+($R$5/2)*($B105-$B95)</f>
        <v>36.5163</v>
      </c>
      <c r="I105" s="2">
        <f>$I95+$R$5*($B105-$B95)</f>
        <v>73.0326</v>
      </c>
      <c r="J105" s="2">
        <f>$J95+($R$5/2)*($B104-$B94)*1.05</f>
        <v>38.332115</v>
      </c>
      <c r="K105" s="2">
        <f>$K95+$R$5*($B104-$B94)*1.05</f>
        <v>76.66423</v>
      </c>
      <c r="L105" s="2">
        <f>$L95+($R$5/2)*($B104-$B94)*1.1</f>
        <v>40.14793</v>
      </c>
      <c r="M105" s="2">
        <f>$M95+$R$5*($B104-$B94)*1.1</f>
        <v>80.29586</v>
      </c>
      <c r="N105" s="2">
        <f>$N95+($R$5/2)*($B104-$B94)*1.15</f>
        <v>41.963745</v>
      </c>
      <c r="O105" s="2">
        <f>$O95+$R$5*($B104-$B94)*1.15</f>
        <v>83.92749</v>
      </c>
    </row>
    <row r="106" s="2" customFormat="1" spans="1:15">
      <c r="A106" s="2">
        <v>1043</v>
      </c>
      <c r="B106" s="2">
        <v>50</v>
      </c>
      <c r="C106" s="3">
        <v>4</v>
      </c>
      <c r="D106" s="7" t="str">
        <f t="shared" si="19"/>
        <v>22.9463:45.8926</v>
      </c>
      <c r="E106" s="7" t="str">
        <f t="shared" si="20"/>
        <v>24.098615:48.19723</v>
      </c>
      <c r="F106" s="7" t="str">
        <f t="shared" si="21"/>
        <v>25.25093:50.50186</v>
      </c>
      <c r="G106" s="7" t="str">
        <f t="shared" si="22"/>
        <v>26.403245:52.70649</v>
      </c>
      <c r="H106" s="2">
        <f>$H96+($R$6/2)*($B106-$B96)</f>
        <v>22.9463</v>
      </c>
      <c r="I106" s="2">
        <f>$I96+$R$6*($B106-$B96)</f>
        <v>45.8926</v>
      </c>
      <c r="J106" s="2">
        <f>$J96+($R$6/2)*($B104-$B94)*1.05</f>
        <v>24.098615</v>
      </c>
      <c r="K106" s="2">
        <f>$K96+$R$6*($B104-$B94)*1.05</f>
        <v>48.19723</v>
      </c>
      <c r="L106" s="2">
        <f>$L96+($R$6/2)*($B104-$B94)*1.1</f>
        <v>25.25093</v>
      </c>
      <c r="M106" s="2">
        <f>$M96+$R$6*($B104-$B94)*1.1</f>
        <v>50.50186</v>
      </c>
      <c r="N106" s="2">
        <f>$N96+($R$6/2)*($B104-$B94)*1.15</f>
        <v>26.403245</v>
      </c>
      <c r="O106" s="2">
        <f>$O96+$R$6*($B104-$B94)*1.15</f>
        <v>52.70649</v>
      </c>
    </row>
    <row r="107" s="2" customFormat="1" spans="1:15">
      <c r="A107" s="2">
        <v>1044</v>
      </c>
      <c r="B107" s="2">
        <v>50</v>
      </c>
      <c r="C107" s="3">
        <v>3</v>
      </c>
      <c r="D107" s="7" t="str">
        <f t="shared" si="19"/>
        <v>36.5163:73.0326</v>
      </c>
      <c r="E107" s="7" t="str">
        <f t="shared" si="20"/>
        <v>38.332115:76.66423</v>
      </c>
      <c r="F107" s="7" t="str">
        <f t="shared" si="21"/>
        <v>40.14793:80.29586</v>
      </c>
      <c r="G107" s="7" t="str">
        <f t="shared" si="22"/>
        <v>41.963745:83.92749</v>
      </c>
      <c r="H107" s="2">
        <f>$H97+($R$7/2)*($B107-$B97)</f>
        <v>36.5163</v>
      </c>
      <c r="I107" s="2">
        <f>$I97+$R$7*($B107-$B97)</f>
        <v>73.0326</v>
      </c>
      <c r="J107" s="2">
        <f>$J97+($R$7/2)*($B104-$B94)*1.05</f>
        <v>38.332115</v>
      </c>
      <c r="K107" s="2">
        <f>$K97+$R$7*($B104-$B94)*1.05</f>
        <v>76.66423</v>
      </c>
      <c r="L107" s="2">
        <f>$L97+($R$7/2)*($B104-$B94)*1.1</f>
        <v>40.14793</v>
      </c>
      <c r="M107" s="2">
        <f>$M97+$R$7*($B104-$B94)*1.1</f>
        <v>80.29586</v>
      </c>
      <c r="N107" s="2">
        <f>$N97+($R$7/2)*($B104-$B94)*1.15</f>
        <v>41.963745</v>
      </c>
      <c r="O107" s="2">
        <f>$O97+$R$7*($B104-$B94)*1.15</f>
        <v>83.92749</v>
      </c>
    </row>
    <row r="108" s="2" customFormat="1" spans="1:15">
      <c r="A108" s="2">
        <v>1045</v>
      </c>
      <c r="B108" s="2">
        <v>50</v>
      </c>
      <c r="C108" s="3">
        <v>27</v>
      </c>
      <c r="D108" s="7" t="str">
        <f t="shared" si="19"/>
        <v>22.9463:45.8926</v>
      </c>
      <c r="E108" s="7" t="str">
        <f t="shared" si="20"/>
        <v>24.098615:48.19723</v>
      </c>
      <c r="F108" s="7" t="str">
        <f t="shared" si="21"/>
        <v>25.25093:50.50186</v>
      </c>
      <c r="G108" s="7" t="str">
        <f t="shared" si="22"/>
        <v>26.403245:52.70649</v>
      </c>
      <c r="H108" s="2">
        <f>$H98+($R$8/2)*($B108-$B98)</f>
        <v>22.9463</v>
      </c>
      <c r="I108" s="2">
        <f>$I98+$R$8*($B108-$B98)</f>
        <v>45.8926</v>
      </c>
      <c r="J108" s="2">
        <f>$J98+($R$8/2)*($B104-$B94)*1.05</f>
        <v>24.098615</v>
      </c>
      <c r="K108" s="2">
        <f>$K98+$R$8*($B104-$B94)*1.05</f>
        <v>48.19723</v>
      </c>
      <c r="L108" s="2">
        <f>$L98+($R$8/2)*($B104-$B94)*1.1</f>
        <v>25.25093</v>
      </c>
      <c r="M108" s="2">
        <f>$M98+$R$8*($B104-$B94)*1.1</f>
        <v>50.50186</v>
      </c>
      <c r="N108" s="2">
        <f>$N98+($R$8/2)*($B104-$B94)*1.15</f>
        <v>26.403245</v>
      </c>
      <c r="O108" s="2">
        <f>$O98+$R$8*($B104-$B94)*1.15</f>
        <v>52.70649</v>
      </c>
    </row>
    <row r="109" s="2" customFormat="1" spans="1:15">
      <c r="A109" s="2">
        <v>1046</v>
      </c>
      <c r="B109" s="2">
        <v>50</v>
      </c>
      <c r="C109" s="3">
        <v>28</v>
      </c>
      <c r="D109" s="7" t="str">
        <f t="shared" si="19"/>
        <v>6.835:13.57</v>
      </c>
      <c r="E109" s="7" t="str">
        <f t="shared" si="20"/>
        <v>7.11675:14.2335</v>
      </c>
      <c r="F109" s="7" t="str">
        <f t="shared" si="21"/>
        <v>7.4985:14.897</v>
      </c>
      <c r="G109" s="7" t="str">
        <f t="shared" si="22"/>
        <v>7.78025:15.5605</v>
      </c>
      <c r="H109" s="2">
        <f>$H99+($R$9/2)*($B109-$B99)</f>
        <v>6.835</v>
      </c>
      <c r="I109" s="2">
        <f>$I99+$R$9*($B109-$B99)</f>
        <v>13.57</v>
      </c>
      <c r="J109" s="2">
        <f>$J99+($R$9/2)*($B104-$B94)*1.05</f>
        <v>7.11675</v>
      </c>
      <c r="K109" s="2">
        <f>$K99+$R$9*($B104-$B94)*1.05</f>
        <v>14.2335</v>
      </c>
      <c r="L109" s="2">
        <f>$L99+($R$9/2)*($B104-$B94)*1.1</f>
        <v>7.4985</v>
      </c>
      <c r="M109" s="2">
        <f>$M99+$R$9*($B104-$B94)*1.1</f>
        <v>14.897</v>
      </c>
      <c r="N109" s="2">
        <f>$N99+($R$9/2)*($B104-$B94)*1.15</f>
        <v>7.78025</v>
      </c>
      <c r="O109" s="2">
        <f>$O99+$R$9*($B104-$B94)*1.15</f>
        <v>15.5605</v>
      </c>
    </row>
    <row r="110" s="2" customFormat="1" spans="1:15">
      <c r="A110" s="2">
        <v>1047</v>
      </c>
      <c r="B110" s="2">
        <v>50</v>
      </c>
      <c r="C110" s="3">
        <v>7</v>
      </c>
      <c r="D110" s="7" t="str">
        <f t="shared" si="19"/>
        <v>13.57:27.14</v>
      </c>
      <c r="E110" s="7" t="str">
        <f t="shared" si="20"/>
        <v>14.2335:28.467</v>
      </c>
      <c r="F110" s="7" t="str">
        <f t="shared" si="21"/>
        <v>14.897:29.894</v>
      </c>
      <c r="G110" s="7" t="str">
        <f t="shared" si="22"/>
        <v>15.5605:31.221</v>
      </c>
      <c r="H110" s="2">
        <f>$H100+($R$10/2)*($B110-$B100)</f>
        <v>13.57</v>
      </c>
      <c r="I110" s="2">
        <f>$I100+$R$10*($B110-$B100)</f>
        <v>27.14</v>
      </c>
      <c r="J110" s="2">
        <f>$J100+($R$10/2)*($B104-$B94)*1.05</f>
        <v>14.2335</v>
      </c>
      <c r="K110" s="2">
        <f>$K100+$R$10*($B104-$B94)*1.05</f>
        <v>28.467</v>
      </c>
      <c r="L110" s="2">
        <f>$L100+($R$10/2)*($B104-$B94)*1.1</f>
        <v>14.897</v>
      </c>
      <c r="M110" s="2">
        <f>$M100+$R$10*($B104-$B94)*1.1</f>
        <v>29.894</v>
      </c>
      <c r="N110" s="2">
        <f>$N100+($R$10/2)*($B104-$B94)*1.15</f>
        <v>15.5605</v>
      </c>
      <c r="O110" s="2">
        <f>$O100+$R$10*($B104-$B94)*1.15</f>
        <v>31.221</v>
      </c>
    </row>
    <row r="111" s="2" customFormat="1" spans="1:15">
      <c r="A111" s="2">
        <v>1048</v>
      </c>
      <c r="B111" s="2">
        <v>50</v>
      </c>
      <c r="C111" s="3">
        <v>5</v>
      </c>
      <c r="D111" s="7" t="str">
        <f t="shared" si="19"/>
        <v>13.57:27.14</v>
      </c>
      <c r="E111" s="7" t="str">
        <f t="shared" si="20"/>
        <v>14.2335:28.467</v>
      </c>
      <c r="F111" s="7" t="str">
        <f t="shared" si="21"/>
        <v>14.897:29.894</v>
      </c>
      <c r="G111" s="7" t="str">
        <f t="shared" si="22"/>
        <v>15.5605:31.221</v>
      </c>
      <c r="H111" s="2">
        <f>$H101+($R$11/2)*($B111-$B101)</f>
        <v>13.57</v>
      </c>
      <c r="I111" s="2">
        <f>$I101+$R$11*($B111-$B101)</f>
        <v>27.14</v>
      </c>
      <c r="J111" s="2">
        <f>$J101+($R$11/2)*($B104-$B94)*1.05</f>
        <v>14.2335</v>
      </c>
      <c r="K111" s="2">
        <f>$K101+$R$11*($B104-$B94)*1.05</f>
        <v>28.467</v>
      </c>
      <c r="L111" s="2">
        <f>$L101+($R$11/2)*($B104-$B94)*1.1</f>
        <v>14.897</v>
      </c>
      <c r="M111" s="2">
        <f>$M101+$R$11*($B104-$B94)*1.1</f>
        <v>29.894</v>
      </c>
      <c r="N111" s="2">
        <f>$N101+($R$11/2)*($B104-$B94)*1.15</f>
        <v>15.5605</v>
      </c>
      <c r="O111" s="2">
        <f>$O101+$R$11*($B104-$B94)*1.15</f>
        <v>31.221</v>
      </c>
    </row>
    <row r="112" s="2" customFormat="1" spans="1:15">
      <c r="A112" s="2">
        <v>1049</v>
      </c>
      <c r="B112" s="2">
        <v>50</v>
      </c>
      <c r="C112" s="3">
        <v>12</v>
      </c>
      <c r="D112" s="7" t="str">
        <f t="shared" si="19"/>
        <v>2.714:5.428</v>
      </c>
      <c r="E112" s="7" t="str">
        <f t="shared" si="20"/>
        <v>2.8467:5.6934</v>
      </c>
      <c r="F112" s="7" t="str">
        <f t="shared" si="21"/>
        <v>2.9794:5.9788</v>
      </c>
      <c r="G112" s="7" t="str">
        <f t="shared" si="22"/>
        <v>3.1121:6.2442</v>
      </c>
      <c r="H112" s="2">
        <f>$H102+($R$12/2)*($B112-$B102)</f>
        <v>2.714</v>
      </c>
      <c r="I112" s="2">
        <f>$I102+$R$12*($B112-$B102)</f>
        <v>5.428</v>
      </c>
      <c r="J112" s="2">
        <f>$J102+($R$12/2)*($B104-$B94)*1.05</f>
        <v>2.8467</v>
      </c>
      <c r="K112" s="2">
        <f>$K102+$R$12*($B104-$B94)*1.05</f>
        <v>5.6934</v>
      </c>
      <c r="L112" s="2">
        <f>$L102+($R$12/2)*($B104-$B94)*1.1</f>
        <v>2.9794</v>
      </c>
      <c r="M112" s="2">
        <f>$M102+$R$12*($B104-$B94)*1.1</f>
        <v>5.9788</v>
      </c>
      <c r="N112" s="2">
        <f>$N102+($R$12/2)*($B104-$B94)*1.15</f>
        <v>3.1121</v>
      </c>
      <c r="O112" s="2">
        <f>$O102+$R$12*($B104-$B94)*1.15</f>
        <v>6.2442</v>
      </c>
    </row>
    <row r="113" s="2" customFormat="1" spans="1:15">
      <c r="A113" s="2">
        <v>1050</v>
      </c>
      <c r="B113" s="2">
        <v>50</v>
      </c>
      <c r="C113" s="3">
        <v>13</v>
      </c>
      <c r="D113" s="7" t="str">
        <f t="shared" si="19"/>
        <v>13.57:27.14</v>
      </c>
      <c r="E113" s="7" t="str">
        <f t="shared" si="20"/>
        <v>14.2335:28.467</v>
      </c>
      <c r="F113" s="7" t="str">
        <f t="shared" si="21"/>
        <v>14.897:29.894</v>
      </c>
      <c r="G113" s="7" t="str">
        <f t="shared" si="22"/>
        <v>15.5605:31.221</v>
      </c>
      <c r="H113" s="2">
        <f>$H103+($R$13/2)*($B113-$B103)</f>
        <v>13.57</v>
      </c>
      <c r="I113" s="2">
        <f>$I103+$R$13*($B113-$B103)</f>
        <v>27.14</v>
      </c>
      <c r="J113" s="2">
        <f>$J103+($R$13/2)*($B104-$B94)*1.05</f>
        <v>14.2335</v>
      </c>
      <c r="K113" s="2">
        <f>$K103+$R$13*($B104-$B94)*1.05</f>
        <v>28.467</v>
      </c>
      <c r="L113" s="2">
        <f>$L103+($R$13/2)*($B104-$B94)*1.1</f>
        <v>14.897</v>
      </c>
      <c r="M113" s="2">
        <f>$M103+$R$13*($B104-$B94)*1.1</f>
        <v>29.894</v>
      </c>
      <c r="N113" s="2">
        <f>$N103+($R$13/2)*($B104-$B94)*1.15</f>
        <v>15.5605</v>
      </c>
      <c r="O113" s="2">
        <f>$O103+$R$13*($B104-$B94)*1.15</f>
        <v>31.221</v>
      </c>
    </row>
    <row r="114" s="2" customFormat="1" spans="1:15">
      <c r="A114" s="2">
        <v>1051</v>
      </c>
      <c r="B114" s="2">
        <v>55</v>
      </c>
      <c r="C114" s="3">
        <v>1</v>
      </c>
      <c r="D114" s="7" t="str">
        <f t="shared" si="19"/>
        <v>313.6702:627.3404</v>
      </c>
      <c r="E114" s="7" t="str">
        <f t="shared" si="20"/>
        <v>329.40371:658.70742</v>
      </c>
      <c r="F114" s="7" t="str">
        <f t="shared" si="21"/>
        <v>345.03722:690.07444</v>
      </c>
      <c r="G114" s="7" t="str">
        <f t="shared" si="22"/>
        <v>360.77073:721.44146</v>
      </c>
      <c r="H114" s="2">
        <f>$H104+($R$4/2)*($B114-$B104)</f>
        <v>313.6702</v>
      </c>
      <c r="I114" s="2">
        <f>$I104+$R$4*($B114-$B104)</f>
        <v>627.3404</v>
      </c>
      <c r="J114" s="2">
        <f>$J104+($R$4/2)*($B114-$B104)*1.05</f>
        <v>329.40371</v>
      </c>
      <c r="K114" s="2">
        <f>$K104+$R$4*($B114-$B104)*1.05</f>
        <v>658.70742</v>
      </c>
      <c r="L114" s="2">
        <f>$L104+($R$4/2)*($B114-$B104)*1.1</f>
        <v>345.03722</v>
      </c>
      <c r="M114" s="2">
        <f>$M104+$R$4*($B114-$B104)*1.1</f>
        <v>690.07444</v>
      </c>
      <c r="N114" s="2">
        <f>$N104+($R$4/2)*($B114-$B104)*1.15</f>
        <v>360.77073</v>
      </c>
      <c r="O114" s="2">
        <f>$O104+$R$4*($B114-$B104)*1.15</f>
        <v>721.44146</v>
      </c>
    </row>
    <row r="115" s="2" customFormat="1" spans="1:15">
      <c r="A115" s="2">
        <v>1052</v>
      </c>
      <c r="B115" s="2">
        <v>55</v>
      </c>
      <c r="C115" s="3">
        <v>2</v>
      </c>
      <c r="D115" s="7" t="str">
        <f t="shared" si="19"/>
        <v>39.6098:79.2196</v>
      </c>
      <c r="E115" s="7" t="str">
        <f t="shared" si="20"/>
        <v>41.58029:83.16058</v>
      </c>
      <c r="F115" s="7" t="str">
        <f t="shared" si="21"/>
        <v>43.55078:87.10156</v>
      </c>
      <c r="G115" s="7" t="str">
        <f t="shared" si="22"/>
        <v>45.52127:91.04254</v>
      </c>
      <c r="H115" s="2">
        <f>$H105+($R$5/2)*($B115-$B105)</f>
        <v>39.6098</v>
      </c>
      <c r="I115" s="2">
        <f>$I105+$R$5*($B115-$B105)</f>
        <v>79.2196</v>
      </c>
      <c r="J115" s="2">
        <f>$J105+($R$5/2)*($B114-$B104)*1.05</f>
        <v>41.58029</v>
      </c>
      <c r="K115" s="2">
        <f>$K105+$R$5*($B114-$B104)*1.05</f>
        <v>83.16058</v>
      </c>
      <c r="L115" s="2">
        <f>$L105+($R$5/2)*($B114-$B104)*1.1</f>
        <v>43.55078</v>
      </c>
      <c r="M115" s="2">
        <f>$M105+$R$5*($B114-$B104)*1.1</f>
        <v>87.10156</v>
      </c>
      <c r="N115" s="2">
        <f>$N105+($R$5/2)*($B114-$B104)*1.15</f>
        <v>45.52127</v>
      </c>
      <c r="O115" s="2">
        <f>$O105+$R$5*($B114-$B104)*1.15</f>
        <v>91.04254</v>
      </c>
    </row>
    <row r="116" s="2" customFormat="1" spans="1:15">
      <c r="A116" s="2">
        <v>1053</v>
      </c>
      <c r="B116" s="2">
        <v>55</v>
      </c>
      <c r="C116" s="3">
        <v>4</v>
      </c>
      <c r="D116" s="7" t="str">
        <f t="shared" si="19"/>
        <v>24.8898:49.7796</v>
      </c>
      <c r="E116" s="7" t="str">
        <f t="shared" si="20"/>
        <v>26.13929:52.27858</v>
      </c>
      <c r="F116" s="7" t="str">
        <f t="shared" si="21"/>
        <v>27.38878:54.77756</v>
      </c>
      <c r="G116" s="7" t="str">
        <f t="shared" si="22"/>
        <v>28.63827:57.17654</v>
      </c>
      <c r="H116" s="2">
        <f>$H106+($R$6/2)*($B116-$B106)</f>
        <v>24.8898</v>
      </c>
      <c r="I116" s="2">
        <f>$I106+$R$6*($B116-$B106)</f>
        <v>49.7796</v>
      </c>
      <c r="J116" s="2">
        <f>$J106+($R$6/2)*($B114-$B104)*1.05</f>
        <v>26.13929</v>
      </c>
      <c r="K116" s="2">
        <f>$K106+$R$6*($B114-$B104)*1.05</f>
        <v>52.27858</v>
      </c>
      <c r="L116" s="2">
        <f>$L106+($R$6/2)*($B114-$B104)*1.1</f>
        <v>27.38878</v>
      </c>
      <c r="M116" s="2">
        <f>$M106+$R$6*($B114-$B104)*1.1</f>
        <v>54.77756</v>
      </c>
      <c r="N116" s="2">
        <f>$N106+($R$6/2)*($B114-$B104)*1.15</f>
        <v>28.63827</v>
      </c>
      <c r="O116" s="2">
        <f>$O106+$R$6*($B114-$B104)*1.15</f>
        <v>57.17654</v>
      </c>
    </row>
    <row r="117" s="2" customFormat="1" spans="1:15">
      <c r="A117" s="2">
        <v>1054</v>
      </c>
      <c r="B117" s="2">
        <v>55</v>
      </c>
      <c r="C117" s="3">
        <v>3</v>
      </c>
      <c r="D117" s="7" t="str">
        <f t="shared" si="19"/>
        <v>39.6098:79.2196</v>
      </c>
      <c r="E117" s="7" t="str">
        <f t="shared" si="20"/>
        <v>41.58029:83.16058</v>
      </c>
      <c r="F117" s="7" t="str">
        <f t="shared" si="21"/>
        <v>43.55078:87.10156</v>
      </c>
      <c r="G117" s="7" t="str">
        <f t="shared" si="22"/>
        <v>45.52127:91.04254</v>
      </c>
      <c r="H117" s="2">
        <f>$H107+($R$7/2)*($B117-$B107)</f>
        <v>39.6098</v>
      </c>
      <c r="I117" s="2">
        <f>$I107+$R$7*($B117-$B107)</f>
        <v>79.2196</v>
      </c>
      <c r="J117" s="2">
        <f>$J107+($R$7/2)*($B114-$B104)*1.05</f>
        <v>41.58029</v>
      </c>
      <c r="K117" s="2">
        <f>$K107+$R$7*($B114-$B104)*1.05</f>
        <v>83.16058</v>
      </c>
      <c r="L117" s="2">
        <f>$L107+($R$7/2)*($B114-$B104)*1.1</f>
        <v>43.55078</v>
      </c>
      <c r="M117" s="2">
        <f>$M107+$R$7*($B114-$B104)*1.1</f>
        <v>87.10156</v>
      </c>
      <c r="N117" s="2">
        <f>$N107+($R$7/2)*($B114-$B104)*1.15</f>
        <v>45.52127</v>
      </c>
      <c r="O117" s="2">
        <f>$O107+$R$7*($B114-$B104)*1.15</f>
        <v>91.04254</v>
      </c>
    </row>
    <row r="118" s="2" customFormat="1" spans="1:15">
      <c r="A118" s="2">
        <v>1055</v>
      </c>
      <c r="B118" s="2">
        <v>55</v>
      </c>
      <c r="C118" s="3">
        <v>27</v>
      </c>
      <c r="D118" s="7" t="str">
        <f t="shared" si="19"/>
        <v>24.8898:49.7796</v>
      </c>
      <c r="E118" s="7" t="str">
        <f t="shared" si="20"/>
        <v>26.13929:52.27858</v>
      </c>
      <c r="F118" s="7" t="str">
        <f t="shared" si="21"/>
        <v>27.38878:54.77756</v>
      </c>
      <c r="G118" s="7" t="str">
        <f t="shared" si="22"/>
        <v>28.63827:57.17654</v>
      </c>
      <c r="H118" s="2">
        <f>$H108+($R$8/2)*($B118-$B108)</f>
        <v>24.8898</v>
      </c>
      <c r="I118" s="2">
        <f>$I108+$R$8*($B118-$B108)</f>
        <v>49.7796</v>
      </c>
      <c r="J118" s="2">
        <f>$J108+($R$8/2)*($B114-$B104)*1.05</f>
        <v>26.13929</v>
      </c>
      <c r="K118" s="2">
        <f>$K108+$R$8*($B114-$B104)*1.05</f>
        <v>52.27858</v>
      </c>
      <c r="L118" s="2">
        <f>$L108+($R$8/2)*($B114-$B104)*1.1</f>
        <v>27.38878</v>
      </c>
      <c r="M118" s="2">
        <f>$M108+$R$8*($B114-$B104)*1.1</f>
        <v>54.77756</v>
      </c>
      <c r="N118" s="2">
        <f>$N108+($R$8/2)*($B114-$B104)*1.15</f>
        <v>28.63827</v>
      </c>
      <c r="O118" s="2">
        <f>$O108+$R$8*($B114-$B104)*1.15</f>
        <v>57.17654</v>
      </c>
    </row>
    <row r="119" s="2" customFormat="1" spans="1:15">
      <c r="A119" s="2">
        <v>1056</v>
      </c>
      <c r="B119" s="2">
        <v>55</v>
      </c>
      <c r="C119" s="3">
        <v>28</v>
      </c>
      <c r="D119" s="7" t="str">
        <f t="shared" si="19"/>
        <v>7.41:14.72</v>
      </c>
      <c r="E119" s="7" t="str">
        <f t="shared" si="20"/>
        <v>7.7205:15.441</v>
      </c>
      <c r="F119" s="7" t="str">
        <f t="shared" si="21"/>
        <v>8.131:16.162</v>
      </c>
      <c r="G119" s="7" t="str">
        <f t="shared" si="22"/>
        <v>8.4415:16.883</v>
      </c>
      <c r="H119" s="2">
        <f>$H109+($R$9/2)*($B119-$B109)</f>
        <v>7.41</v>
      </c>
      <c r="I119" s="2">
        <f>$I109+$R$9*($B119-$B109)</f>
        <v>14.72</v>
      </c>
      <c r="J119" s="2">
        <f>$J109+($R$9/2)*($B114-$B104)*1.05</f>
        <v>7.7205</v>
      </c>
      <c r="K119" s="2">
        <f>$K109+$R$9*($B114-$B104)*1.05</f>
        <v>15.441</v>
      </c>
      <c r="L119" s="2">
        <f>$L109+($R$9/2)*($B114-$B104)*1.1</f>
        <v>8.131</v>
      </c>
      <c r="M119" s="2">
        <f>$M109+$R$9*($B114-$B104)*1.1</f>
        <v>16.162</v>
      </c>
      <c r="N119" s="2">
        <f>$N109+($R$9/2)*($B114-$B104)*1.15</f>
        <v>8.4415</v>
      </c>
      <c r="O119" s="2">
        <f>$O109+$R$9*($B114-$B104)*1.15</f>
        <v>16.883</v>
      </c>
    </row>
    <row r="120" s="2" customFormat="1" spans="1:15">
      <c r="A120" s="2">
        <v>1057</v>
      </c>
      <c r="B120" s="2">
        <v>55</v>
      </c>
      <c r="C120" s="3">
        <v>7</v>
      </c>
      <c r="D120" s="7" t="str">
        <f t="shared" si="19"/>
        <v>14.72:29.44</v>
      </c>
      <c r="E120" s="7" t="str">
        <f t="shared" si="20"/>
        <v>15.441:30.882</v>
      </c>
      <c r="F120" s="7" t="str">
        <f t="shared" si="21"/>
        <v>16.162:32.424</v>
      </c>
      <c r="G120" s="7" t="str">
        <f t="shared" si="22"/>
        <v>16.883:33.866</v>
      </c>
      <c r="H120" s="2">
        <f>$H110+($R$10/2)*($B120-$B110)</f>
        <v>14.72</v>
      </c>
      <c r="I120" s="2">
        <f>$I110+$R$10*($B120-$B110)</f>
        <v>29.44</v>
      </c>
      <c r="J120" s="2">
        <f>$J110+($R$10/2)*($B114-$B104)*1.05</f>
        <v>15.441</v>
      </c>
      <c r="K120" s="2">
        <f>$K110+$R$10*($B114-$B104)*1.05</f>
        <v>30.882</v>
      </c>
      <c r="L120" s="2">
        <f>$L110+($R$10/2)*($B114-$B104)*1.1</f>
        <v>16.162</v>
      </c>
      <c r="M120" s="2">
        <f>$M110+$R$10*($B114-$B104)*1.1</f>
        <v>32.424</v>
      </c>
      <c r="N120" s="2">
        <f>$N110+($R$10/2)*($B114-$B104)*1.15</f>
        <v>16.883</v>
      </c>
      <c r="O120" s="2">
        <f>$O110+$R$10*($B114-$B104)*1.15</f>
        <v>33.866</v>
      </c>
    </row>
    <row r="121" s="2" customFormat="1" spans="1:15">
      <c r="A121" s="2">
        <v>1058</v>
      </c>
      <c r="B121" s="2">
        <v>55</v>
      </c>
      <c r="C121" s="3">
        <v>5</v>
      </c>
      <c r="D121" s="7" t="str">
        <f t="shared" si="19"/>
        <v>14.72:29.44</v>
      </c>
      <c r="E121" s="7" t="str">
        <f t="shared" si="20"/>
        <v>15.441:30.882</v>
      </c>
      <c r="F121" s="7" t="str">
        <f t="shared" si="21"/>
        <v>16.162:32.424</v>
      </c>
      <c r="G121" s="7" t="str">
        <f t="shared" si="22"/>
        <v>16.883:33.866</v>
      </c>
      <c r="H121" s="2">
        <f>$H111+($R$11/2)*($B121-$B111)</f>
        <v>14.72</v>
      </c>
      <c r="I121" s="2">
        <f>$I111+$R$11*($B121-$B111)</f>
        <v>29.44</v>
      </c>
      <c r="J121" s="2">
        <f>$J111+($R$11/2)*($B114-$B104)*1.05</f>
        <v>15.441</v>
      </c>
      <c r="K121" s="2">
        <f>$K111+$R$11*($B114-$B104)*1.05</f>
        <v>30.882</v>
      </c>
      <c r="L121" s="2">
        <f>$L111+($R$11/2)*($B114-$B104)*1.1</f>
        <v>16.162</v>
      </c>
      <c r="M121" s="2">
        <f>$M111+$R$11*($B114-$B104)*1.1</f>
        <v>32.424</v>
      </c>
      <c r="N121" s="2">
        <f>$N111+($R$11/2)*($B114-$B104)*1.15</f>
        <v>16.883</v>
      </c>
      <c r="O121" s="2">
        <f>$O111+$R$11*($B114-$B104)*1.15</f>
        <v>33.866</v>
      </c>
    </row>
    <row r="122" s="2" customFormat="1" spans="1:15">
      <c r="A122" s="2">
        <v>1059</v>
      </c>
      <c r="B122" s="2">
        <v>55</v>
      </c>
      <c r="C122" s="3">
        <v>12</v>
      </c>
      <c r="D122" s="7" t="str">
        <f t="shared" si="19"/>
        <v>2.944:5.888</v>
      </c>
      <c r="E122" s="7" t="str">
        <f t="shared" si="20"/>
        <v>3.0882:6.1764</v>
      </c>
      <c r="F122" s="7" t="str">
        <f t="shared" si="21"/>
        <v>3.2324:6.4848</v>
      </c>
      <c r="G122" s="7" t="str">
        <f t="shared" si="22"/>
        <v>3.3766:6.7732</v>
      </c>
      <c r="H122" s="2">
        <f>$H112+($R$12/2)*($B122-$B112)</f>
        <v>2.944</v>
      </c>
      <c r="I122" s="2">
        <f>$I112+$R$12*($B122-$B112)</f>
        <v>5.888</v>
      </c>
      <c r="J122" s="2">
        <f>$J112+($R$12/2)*($B114-$B104)*1.05</f>
        <v>3.0882</v>
      </c>
      <c r="K122" s="2">
        <f>$K112+$R$12*($B114-$B104)*1.05</f>
        <v>6.1764</v>
      </c>
      <c r="L122" s="2">
        <f>$L112+($R$12/2)*($B114-$B104)*1.1</f>
        <v>3.2324</v>
      </c>
      <c r="M122" s="2">
        <f>$M112+$R$12*($B114-$B104)*1.1</f>
        <v>6.4848</v>
      </c>
      <c r="N122" s="2">
        <f>$N112+($R$12/2)*($B114-$B104)*1.15</f>
        <v>3.3766</v>
      </c>
      <c r="O122" s="2">
        <f>$O112+$R$12*($B114-$B104)*1.15</f>
        <v>6.7732</v>
      </c>
    </row>
    <row r="123" s="2" customFormat="1" spans="1:15">
      <c r="A123" s="2">
        <v>1060</v>
      </c>
      <c r="B123" s="2">
        <v>55</v>
      </c>
      <c r="C123" s="3">
        <v>13</v>
      </c>
      <c r="D123" s="7" t="str">
        <f t="shared" si="19"/>
        <v>14.72:29.44</v>
      </c>
      <c r="E123" s="7" t="str">
        <f t="shared" si="20"/>
        <v>15.441:30.882</v>
      </c>
      <c r="F123" s="7" t="str">
        <f t="shared" si="21"/>
        <v>16.162:32.424</v>
      </c>
      <c r="G123" s="7" t="str">
        <f t="shared" si="22"/>
        <v>16.883:33.866</v>
      </c>
      <c r="H123" s="2">
        <f>$H113+($R$13/2)*($B123-$B113)</f>
        <v>14.72</v>
      </c>
      <c r="I123" s="2">
        <f>$I113+$R$13*($B123-$B113)</f>
        <v>29.44</v>
      </c>
      <c r="J123" s="2">
        <f>$J113+($R$13/2)*($B114-$B104)*1.05</f>
        <v>15.441</v>
      </c>
      <c r="K123" s="2">
        <f>$K113+$R$13*($B114-$B104)*1.05</f>
        <v>30.882</v>
      </c>
      <c r="L123" s="2">
        <f>$L113+($R$13/2)*($B114-$B104)*1.1</f>
        <v>16.162</v>
      </c>
      <c r="M123" s="2">
        <f>$M113+$R$13*($B114-$B104)*1.1</f>
        <v>32.424</v>
      </c>
      <c r="N123" s="2">
        <f>$N113+($R$13/2)*($B114-$B104)*1.15</f>
        <v>16.883</v>
      </c>
      <c r="O123" s="2">
        <f>$O113+$R$13*($B114-$B104)*1.15</f>
        <v>33.866</v>
      </c>
    </row>
    <row r="124" s="2" customFormat="1" spans="1:15">
      <c r="A124" s="2">
        <v>1061</v>
      </c>
      <c r="B124" s="2">
        <v>60</v>
      </c>
      <c r="C124" s="3">
        <v>1</v>
      </c>
      <c r="D124" s="7" t="str">
        <f t="shared" si="19"/>
        <v>338.1767:676.3534</v>
      </c>
      <c r="E124" s="7" t="str">
        <f t="shared" si="20"/>
        <v>355.135535:710.17107</v>
      </c>
      <c r="F124" s="7" t="str">
        <f t="shared" si="21"/>
        <v>371.99437:743.98874</v>
      </c>
      <c r="G124" s="7" t="str">
        <f t="shared" si="22"/>
        <v>388.953205:777.80641</v>
      </c>
      <c r="H124" s="2">
        <f>$H114+($R$4/2)*($B124-$B114)</f>
        <v>338.1767</v>
      </c>
      <c r="I124" s="2">
        <f>$I114+$R$4*($B124-$B114)</f>
        <v>676.3534</v>
      </c>
      <c r="J124" s="2">
        <f>$J114+($R$4/2)*($B124-$B114)*1.05</f>
        <v>355.135535</v>
      </c>
      <c r="K124" s="2">
        <f>$K114+$R$4*($B124-$B114)*1.05</f>
        <v>710.17107</v>
      </c>
      <c r="L124" s="2">
        <f>$L114+($R$4/2)*($B124-$B114)*1.1</f>
        <v>371.99437</v>
      </c>
      <c r="M124" s="2">
        <f>$M114+$R$4*($B124-$B114)*1.1</f>
        <v>743.98874</v>
      </c>
      <c r="N124" s="2">
        <f>$N114+($R$4/2)*($B124-$B114)*1.15</f>
        <v>388.953205</v>
      </c>
      <c r="O124" s="2">
        <f>$O114+$R$4*($B124-$B114)*1.15</f>
        <v>777.80641</v>
      </c>
    </row>
    <row r="125" s="2" customFormat="1" spans="1:15">
      <c r="A125" s="2">
        <v>1062</v>
      </c>
      <c r="B125" s="2">
        <v>60</v>
      </c>
      <c r="C125" s="3">
        <v>2</v>
      </c>
      <c r="D125" s="7" t="str">
        <f t="shared" si="19"/>
        <v>42.7033:85.4066</v>
      </c>
      <c r="E125" s="7" t="str">
        <f t="shared" si="20"/>
        <v>44.828465:89.65693</v>
      </c>
      <c r="F125" s="7" t="str">
        <f t="shared" si="21"/>
        <v>46.95363:93.90726</v>
      </c>
      <c r="G125" s="7" t="str">
        <f t="shared" si="22"/>
        <v>49.078795:98.15759</v>
      </c>
      <c r="H125" s="2">
        <f>$H115+($R$5/2)*($B125-$B115)</f>
        <v>42.7033</v>
      </c>
      <c r="I125" s="2">
        <f>$I115+$R$5*($B125-$B115)</f>
        <v>85.4066</v>
      </c>
      <c r="J125" s="2">
        <f>$J115+($R$5/2)*($B124-$B114)*1.05</f>
        <v>44.828465</v>
      </c>
      <c r="K125" s="2">
        <f>$K115+$R$5*($B124-$B114)*1.05</f>
        <v>89.65693</v>
      </c>
      <c r="L125" s="2">
        <f>$L115+($R$5/2)*($B124-$B114)*1.1</f>
        <v>46.95363</v>
      </c>
      <c r="M125" s="2">
        <f>$M115+$R$5*($B124-$B114)*1.1</f>
        <v>93.90726</v>
      </c>
      <c r="N125" s="2">
        <f>$N115+($R$5/2)*($B124-$B114)*1.15</f>
        <v>49.078795</v>
      </c>
      <c r="O125" s="2">
        <f>$O115+$R$5*($B124-$B114)*1.15</f>
        <v>98.15759</v>
      </c>
    </row>
    <row r="126" s="2" customFormat="1" spans="1:15">
      <c r="A126" s="2">
        <v>1063</v>
      </c>
      <c r="B126" s="2">
        <v>60</v>
      </c>
      <c r="C126" s="3">
        <v>4</v>
      </c>
      <c r="D126" s="7" t="str">
        <f t="shared" si="19"/>
        <v>26.8333:53.6666</v>
      </c>
      <c r="E126" s="7" t="str">
        <f t="shared" si="20"/>
        <v>28.179965:56.35993</v>
      </c>
      <c r="F126" s="7" t="str">
        <f t="shared" si="21"/>
        <v>29.52663:59.05326</v>
      </c>
      <c r="G126" s="7" t="str">
        <f t="shared" si="22"/>
        <v>30.873295:61.64659</v>
      </c>
      <c r="H126" s="2">
        <f>$H116+($R$6/2)*($B126-$B116)</f>
        <v>26.8333</v>
      </c>
      <c r="I126" s="2">
        <f>$I116+$R$6*($B126-$B116)</f>
        <v>53.6666</v>
      </c>
      <c r="J126" s="2">
        <f>$J116+($R$6/2)*($B124-$B114)*1.05</f>
        <v>28.179965</v>
      </c>
      <c r="K126" s="2">
        <f>$K116+$R$6*($B124-$B114)*1.05</f>
        <v>56.35993</v>
      </c>
      <c r="L126" s="2">
        <f>$L116+($R$6/2)*($B124-$B114)*1.1</f>
        <v>29.52663</v>
      </c>
      <c r="M126" s="2">
        <f>$M116+$R$6*($B124-$B114)*1.1</f>
        <v>59.05326</v>
      </c>
      <c r="N126" s="2">
        <f>$N116+($R$6/2)*($B124-$B114)*1.15</f>
        <v>30.873295</v>
      </c>
      <c r="O126" s="2">
        <f>$O116+$R$6*($B124-$B114)*1.15</f>
        <v>61.64659</v>
      </c>
    </row>
    <row r="127" s="2" customFormat="1" spans="1:15">
      <c r="A127" s="2">
        <v>1064</v>
      </c>
      <c r="B127" s="2">
        <v>60</v>
      </c>
      <c r="C127" s="3">
        <v>3</v>
      </c>
      <c r="D127" s="7" t="str">
        <f t="shared" si="19"/>
        <v>42.7033:85.4066</v>
      </c>
      <c r="E127" s="7" t="str">
        <f t="shared" si="20"/>
        <v>44.828465:89.65693</v>
      </c>
      <c r="F127" s="7" t="str">
        <f t="shared" si="21"/>
        <v>46.95363:93.90726</v>
      </c>
      <c r="G127" s="7" t="str">
        <f t="shared" si="22"/>
        <v>49.078795:98.15759</v>
      </c>
      <c r="H127" s="2">
        <f>$H117+($R$7/2)*($B127-$B117)</f>
        <v>42.7033</v>
      </c>
      <c r="I127" s="2">
        <f>$I117+$R$7*($B127-$B117)</f>
        <v>85.4066</v>
      </c>
      <c r="J127" s="2">
        <f>$J117+($R$7/2)*($B124-$B114)*1.05</f>
        <v>44.828465</v>
      </c>
      <c r="K127" s="2">
        <f>$K117+$R$7*($B124-$B114)*1.05</f>
        <v>89.65693</v>
      </c>
      <c r="L127" s="2">
        <f>$L117+($R$7/2)*($B124-$B114)*1.1</f>
        <v>46.95363</v>
      </c>
      <c r="M127" s="2">
        <f>$M117+$R$7*($B124-$B114)*1.1</f>
        <v>93.90726</v>
      </c>
      <c r="N127" s="2">
        <f>$N117+($R$7/2)*($B124-$B114)*1.15</f>
        <v>49.078795</v>
      </c>
      <c r="O127" s="2">
        <f>$O117+$R$7*($B124-$B114)*1.15</f>
        <v>98.15759</v>
      </c>
    </row>
    <row r="128" s="2" customFormat="1" spans="1:15">
      <c r="A128" s="2">
        <v>1065</v>
      </c>
      <c r="B128" s="2">
        <v>60</v>
      </c>
      <c r="C128" s="3">
        <v>27</v>
      </c>
      <c r="D128" s="7" t="str">
        <f t="shared" si="19"/>
        <v>26.8333:53.6666</v>
      </c>
      <c r="E128" s="7" t="str">
        <f t="shared" si="20"/>
        <v>28.179965:56.35993</v>
      </c>
      <c r="F128" s="7" t="str">
        <f t="shared" si="21"/>
        <v>29.52663:59.05326</v>
      </c>
      <c r="G128" s="7" t="str">
        <f t="shared" si="22"/>
        <v>30.873295:61.64659</v>
      </c>
      <c r="H128" s="2">
        <f>$H118+($R$8/2)*($B128-$B118)</f>
        <v>26.8333</v>
      </c>
      <c r="I128" s="2">
        <f>$I118+$R$8*($B128-$B118)</f>
        <v>53.6666</v>
      </c>
      <c r="J128" s="2">
        <f>$J118+($R$8/2)*($B124-$B114)*1.05</f>
        <v>28.179965</v>
      </c>
      <c r="K128" s="2">
        <f>$K118+$R$8*($B124-$B114)*1.05</f>
        <v>56.35993</v>
      </c>
      <c r="L128" s="2">
        <f>$L118+($R$8/2)*($B124-$B114)*1.1</f>
        <v>29.52663</v>
      </c>
      <c r="M128" s="2">
        <f>$M118+$R$8*($B124-$B114)*1.1</f>
        <v>59.05326</v>
      </c>
      <c r="N128" s="2">
        <f>$N118+($R$8/2)*($B124-$B114)*1.15</f>
        <v>30.873295</v>
      </c>
      <c r="O128" s="2">
        <f>$O118+$R$8*($B124-$B114)*1.15</f>
        <v>61.64659</v>
      </c>
    </row>
    <row r="129" s="2" customFormat="1" spans="1:15">
      <c r="A129" s="2">
        <v>1066</v>
      </c>
      <c r="B129" s="2">
        <v>60</v>
      </c>
      <c r="C129" s="3">
        <v>28</v>
      </c>
      <c r="D129" s="7" t="str">
        <f t="shared" si="19"/>
        <v>7.985:15.87</v>
      </c>
      <c r="E129" s="7" t="str">
        <f t="shared" si="20"/>
        <v>8.32425:16.6485</v>
      </c>
      <c r="F129" s="7" t="str">
        <f t="shared" si="21"/>
        <v>8.7635:17.427</v>
      </c>
      <c r="G129" s="7" t="str">
        <f t="shared" si="22"/>
        <v>9.10275:18.2055</v>
      </c>
      <c r="H129" s="2">
        <f>$H119+($R$9/2)*($B129-$B119)</f>
        <v>7.985</v>
      </c>
      <c r="I129" s="2">
        <f>$I119+$R$9*($B129-$B119)</f>
        <v>15.87</v>
      </c>
      <c r="J129" s="2">
        <f>$J119+($R$9/2)*($B124-$B114)*1.05</f>
        <v>8.32425</v>
      </c>
      <c r="K129" s="2">
        <f>$K119+$R$9*($B124-$B114)*1.05</f>
        <v>16.6485</v>
      </c>
      <c r="L129" s="2">
        <f>$L119+($R$9/2)*($B124-$B114)*1.1</f>
        <v>8.7635</v>
      </c>
      <c r="M129" s="2">
        <f>$M119+$R$9*($B124-$B114)*1.1</f>
        <v>17.427</v>
      </c>
      <c r="N129" s="2">
        <f>$N119+($R$9/2)*($B124-$B114)*1.15</f>
        <v>9.10275</v>
      </c>
      <c r="O129" s="2">
        <f>$O119+$R$9*($B124-$B114)*1.15</f>
        <v>18.2055</v>
      </c>
    </row>
    <row r="130" s="2" customFormat="1" spans="1:15">
      <c r="A130" s="2">
        <v>1067</v>
      </c>
      <c r="B130" s="2">
        <v>60</v>
      </c>
      <c r="C130" s="3">
        <v>7</v>
      </c>
      <c r="D130" s="7" t="str">
        <f t="shared" si="19"/>
        <v>15.87:31.74</v>
      </c>
      <c r="E130" s="7" t="str">
        <f t="shared" si="20"/>
        <v>16.6485:33.297</v>
      </c>
      <c r="F130" s="7" t="str">
        <f t="shared" si="21"/>
        <v>17.427:34.954</v>
      </c>
      <c r="G130" s="7" t="str">
        <f t="shared" si="22"/>
        <v>18.2055:36.511</v>
      </c>
      <c r="H130" s="2">
        <f>$H120+($R$10/2)*($B130-$B120)</f>
        <v>15.87</v>
      </c>
      <c r="I130" s="2">
        <f>$I120+$R$10*($B130-$B120)</f>
        <v>31.74</v>
      </c>
      <c r="J130" s="2">
        <f>$J120+($R$10/2)*($B124-$B114)*1.05</f>
        <v>16.6485</v>
      </c>
      <c r="K130" s="2">
        <f>$K120+$R$10*($B124-$B114)*1.05</f>
        <v>33.297</v>
      </c>
      <c r="L130" s="2">
        <f>$L120+($R$10/2)*($B124-$B114)*1.1</f>
        <v>17.427</v>
      </c>
      <c r="M130" s="2">
        <f>$M120+$R$10*($B124-$B114)*1.1</f>
        <v>34.954</v>
      </c>
      <c r="N130" s="2">
        <f>$N120+($R$10/2)*($B124-$B114)*1.15</f>
        <v>18.2055</v>
      </c>
      <c r="O130" s="2">
        <f>$O120+$R$10*($B124-$B114)*1.15</f>
        <v>36.511</v>
      </c>
    </row>
    <row r="131" s="2" customFormat="1" spans="1:15">
      <c r="A131" s="2">
        <v>1068</v>
      </c>
      <c r="B131" s="2">
        <v>60</v>
      </c>
      <c r="C131" s="3">
        <v>5</v>
      </c>
      <c r="D131" s="7" t="str">
        <f t="shared" si="19"/>
        <v>15.87:31.74</v>
      </c>
      <c r="E131" s="7" t="str">
        <f t="shared" si="20"/>
        <v>16.6485:33.297</v>
      </c>
      <c r="F131" s="7" t="str">
        <f t="shared" si="21"/>
        <v>17.427:34.954</v>
      </c>
      <c r="G131" s="7" t="str">
        <f t="shared" si="22"/>
        <v>18.2055:36.511</v>
      </c>
      <c r="H131" s="2">
        <f>$H121+($R$11/2)*($B131-$B121)</f>
        <v>15.87</v>
      </c>
      <c r="I131" s="2">
        <f>$I121+$R$11*($B131-$B121)</f>
        <v>31.74</v>
      </c>
      <c r="J131" s="2">
        <f>$J121+($R$11/2)*($B124-$B114)*1.05</f>
        <v>16.6485</v>
      </c>
      <c r="K131" s="2">
        <f>$K121+$R$11*($B124-$B114)*1.05</f>
        <v>33.297</v>
      </c>
      <c r="L131" s="2">
        <f>$L121+($R$11/2)*($B124-$B114)*1.1</f>
        <v>17.427</v>
      </c>
      <c r="M131" s="2">
        <f>$M121+$R$11*($B124-$B114)*1.1</f>
        <v>34.954</v>
      </c>
      <c r="N131" s="2">
        <f>$N121+($R$11/2)*($B124-$B114)*1.15</f>
        <v>18.2055</v>
      </c>
      <c r="O131" s="2">
        <f>$O121+$R$11*($B124-$B114)*1.15</f>
        <v>36.511</v>
      </c>
    </row>
    <row r="132" s="2" customFormat="1" spans="1:15">
      <c r="A132" s="2">
        <v>1069</v>
      </c>
      <c r="B132" s="2">
        <v>60</v>
      </c>
      <c r="C132" s="3">
        <v>12</v>
      </c>
      <c r="D132" s="7" t="str">
        <f t="shared" si="19"/>
        <v>3.174:6.348</v>
      </c>
      <c r="E132" s="7" t="str">
        <f t="shared" si="20"/>
        <v>3.3297:6.6594</v>
      </c>
      <c r="F132" s="7" t="str">
        <f t="shared" si="21"/>
        <v>3.4854:6.9908</v>
      </c>
      <c r="G132" s="7" t="str">
        <f t="shared" si="22"/>
        <v>3.6411:7.3022</v>
      </c>
      <c r="H132" s="2">
        <f>$H122+($R$12/2)*($B132-$B122)</f>
        <v>3.174</v>
      </c>
      <c r="I132" s="2">
        <f>$I122+$R$12*($B132-$B122)</f>
        <v>6.348</v>
      </c>
      <c r="J132" s="2">
        <f>$J122+($R$12/2)*($B124-$B114)*1.05</f>
        <v>3.3297</v>
      </c>
      <c r="K132" s="2">
        <f>$K122+$R$12*($B124-$B114)*1.05</f>
        <v>6.6594</v>
      </c>
      <c r="L132" s="2">
        <f>$L122+($R$12/2)*($B124-$B114)*1.1</f>
        <v>3.4854</v>
      </c>
      <c r="M132" s="2">
        <f>$M122+$R$12*($B124-$B114)*1.1</f>
        <v>6.9908</v>
      </c>
      <c r="N132" s="2">
        <f>$N122+($R$12/2)*($B124-$B114)*1.15</f>
        <v>3.6411</v>
      </c>
      <c r="O132" s="2">
        <f>$O122+$R$12*($B124-$B114)*1.15</f>
        <v>7.3022</v>
      </c>
    </row>
    <row r="133" s="2" customFormat="1" spans="1:15">
      <c r="A133" s="2">
        <v>1070</v>
      </c>
      <c r="B133" s="2">
        <v>60</v>
      </c>
      <c r="C133" s="3">
        <v>13</v>
      </c>
      <c r="D133" s="7" t="str">
        <f t="shared" si="19"/>
        <v>15.87:31.74</v>
      </c>
      <c r="E133" s="7" t="str">
        <f t="shared" si="20"/>
        <v>16.6485:33.297</v>
      </c>
      <c r="F133" s="7" t="str">
        <f t="shared" si="21"/>
        <v>17.427:34.954</v>
      </c>
      <c r="G133" s="7" t="str">
        <f t="shared" si="22"/>
        <v>18.2055:36.511</v>
      </c>
      <c r="H133" s="2">
        <f>$H123+($R$13/2)*($B133-$B123)</f>
        <v>15.87</v>
      </c>
      <c r="I133" s="2">
        <f>$I123+$R$13*($B133-$B123)</f>
        <v>31.74</v>
      </c>
      <c r="J133" s="2">
        <f>$J123+($R$13/2)*($B124-$B114)*1.05</f>
        <v>16.6485</v>
      </c>
      <c r="K133" s="2">
        <f>$K123+$R$13*($B124-$B114)*1.05</f>
        <v>33.297</v>
      </c>
      <c r="L133" s="2">
        <f>$L123+($R$13/2)*($B124-$B114)*1.1</f>
        <v>17.427</v>
      </c>
      <c r="M133" s="2">
        <f>$M123+$R$13*($B124-$B114)*1.1</f>
        <v>34.954</v>
      </c>
      <c r="N133" s="2">
        <f>$N123+($R$13/2)*($B124-$B114)*1.15</f>
        <v>18.2055</v>
      </c>
      <c r="O133" s="2">
        <f>$O123+$R$13*($B124-$B114)*1.15</f>
        <v>36.511</v>
      </c>
    </row>
    <row r="134" s="2" customFormat="1" spans="1:15">
      <c r="A134" s="2">
        <v>1071</v>
      </c>
      <c r="B134" s="2">
        <v>65</v>
      </c>
      <c r="C134" s="3">
        <v>1</v>
      </c>
      <c r="D134" s="7" t="str">
        <f t="shared" si="19"/>
        <v>362.6832:725.3664</v>
      </c>
      <c r="E134" s="7" t="str">
        <f t="shared" si="20"/>
        <v>380.86736:761.63472</v>
      </c>
      <c r="F134" s="7" t="str">
        <f t="shared" si="21"/>
        <v>398.95152:797.90304</v>
      </c>
      <c r="G134" s="7" t="str">
        <f t="shared" si="22"/>
        <v>417.13568:834.17136</v>
      </c>
      <c r="H134" s="2">
        <f>$H124+($R$4/2)*($B134-$B124)</f>
        <v>362.6832</v>
      </c>
      <c r="I134" s="2">
        <f>$I124+$R$4*($B134-$B124)</f>
        <v>725.3664</v>
      </c>
      <c r="J134" s="2">
        <f>$J124+($R$4/2)*($B134-$B124)*1.05</f>
        <v>380.86736</v>
      </c>
      <c r="K134" s="2">
        <f>$K124+$R$4*($B134-$B124)*1.05</f>
        <v>761.63472</v>
      </c>
      <c r="L134" s="2">
        <f>$L124+($R$4/2)*($B134-$B124)*1.1</f>
        <v>398.95152</v>
      </c>
      <c r="M134" s="2">
        <f>$M124+$R$4*($B134-$B124)*1.1</f>
        <v>797.90304</v>
      </c>
      <c r="N134" s="2">
        <f>$N124+($R$4/2)*($B134-$B124)*1.15</f>
        <v>417.13568</v>
      </c>
      <c r="O134" s="2">
        <f>$O124+$R$4*($B134-$B124)*1.15</f>
        <v>834.17136</v>
      </c>
    </row>
    <row r="135" s="2" customFormat="1" spans="1:15">
      <c r="A135" s="2">
        <v>1072</v>
      </c>
      <c r="B135" s="2">
        <v>65</v>
      </c>
      <c r="C135" s="3">
        <v>2</v>
      </c>
      <c r="D135" s="7" t="str">
        <f t="shared" si="19"/>
        <v>45.7968:91.5936</v>
      </c>
      <c r="E135" s="7" t="str">
        <f t="shared" si="20"/>
        <v>48.07664:96.15328</v>
      </c>
      <c r="F135" s="7" t="str">
        <f t="shared" si="21"/>
        <v>50.35648:100.71296</v>
      </c>
      <c r="G135" s="7" t="str">
        <f t="shared" si="22"/>
        <v>52.63632:105.27264</v>
      </c>
      <c r="H135" s="2">
        <f>$H125+($R$5/2)*($B135-$B125)</f>
        <v>45.7968</v>
      </c>
      <c r="I135" s="2">
        <f>$I125+$R$5*($B135-$B125)</f>
        <v>91.5936</v>
      </c>
      <c r="J135" s="2">
        <f>$J125+($R$5/2)*($B134-$B124)*1.05</f>
        <v>48.07664</v>
      </c>
      <c r="K135" s="2">
        <f>$K125+$R$5*($B134-$B124)*1.05</f>
        <v>96.15328</v>
      </c>
      <c r="L135" s="2">
        <f>$L125+($R$5/2)*($B134-$B124)*1.1</f>
        <v>50.35648</v>
      </c>
      <c r="M135" s="2">
        <f>$M125+$R$5*($B134-$B124)*1.1</f>
        <v>100.71296</v>
      </c>
      <c r="N135" s="2">
        <f>$N125+($R$5/2)*($B134-$B124)*1.15</f>
        <v>52.63632</v>
      </c>
      <c r="O135" s="2">
        <f>$O125+$R$5*($B134-$B124)*1.15</f>
        <v>105.27264</v>
      </c>
    </row>
    <row r="136" s="2" customFormat="1" spans="1:15">
      <c r="A136" s="2">
        <v>1073</v>
      </c>
      <c r="B136" s="2">
        <v>65</v>
      </c>
      <c r="C136" s="3">
        <v>4</v>
      </c>
      <c r="D136" s="7" t="str">
        <f t="shared" si="19"/>
        <v>28.7768:57.5536</v>
      </c>
      <c r="E136" s="7" t="str">
        <f t="shared" si="20"/>
        <v>30.22064:60.44128</v>
      </c>
      <c r="F136" s="7" t="str">
        <f t="shared" si="21"/>
        <v>31.66448:63.32896</v>
      </c>
      <c r="G136" s="7" t="str">
        <f t="shared" si="22"/>
        <v>33.10832:66.11664</v>
      </c>
      <c r="H136" s="2">
        <f>$H126+($R$6/2)*($B136-$B126)</f>
        <v>28.7768</v>
      </c>
      <c r="I136" s="2">
        <f>$I126+$R$6*($B136-$B126)</f>
        <v>57.5536</v>
      </c>
      <c r="J136" s="2">
        <f>$J126+($R$6/2)*($B134-$B124)*1.05</f>
        <v>30.22064</v>
      </c>
      <c r="K136" s="2">
        <f>$K126+$R$6*($B134-$B124)*1.05</f>
        <v>60.44128</v>
      </c>
      <c r="L136" s="2">
        <f>$L126+($R$6/2)*($B134-$B124)*1.1</f>
        <v>31.66448</v>
      </c>
      <c r="M136" s="2">
        <f>$M126+$R$6*($B134-$B124)*1.1</f>
        <v>63.32896</v>
      </c>
      <c r="N136" s="2">
        <f>$N126+($R$6/2)*($B134-$B124)*1.15</f>
        <v>33.10832</v>
      </c>
      <c r="O136" s="2">
        <f>$O126+$R$6*($B134-$B124)*1.15</f>
        <v>66.11664</v>
      </c>
    </row>
    <row r="137" s="2" customFormat="1" spans="1:15">
      <c r="A137" s="2">
        <v>1074</v>
      </c>
      <c r="B137" s="2">
        <v>65</v>
      </c>
      <c r="C137" s="3">
        <v>3</v>
      </c>
      <c r="D137" s="7" t="str">
        <f t="shared" si="19"/>
        <v>45.7968:91.5936</v>
      </c>
      <c r="E137" s="7" t="str">
        <f t="shared" si="20"/>
        <v>48.07664:96.15328</v>
      </c>
      <c r="F137" s="7" t="str">
        <f t="shared" si="21"/>
        <v>50.35648:100.71296</v>
      </c>
      <c r="G137" s="7" t="str">
        <f t="shared" si="22"/>
        <v>52.63632:105.27264</v>
      </c>
      <c r="H137" s="2">
        <f>$H127+($R$7/2)*($B137-$B127)</f>
        <v>45.7968</v>
      </c>
      <c r="I137" s="2">
        <f>$I127+$R$7*($B137-$B127)</f>
        <v>91.5936</v>
      </c>
      <c r="J137" s="2">
        <f>$J127+($R$7/2)*($B134-$B124)*1.05</f>
        <v>48.07664</v>
      </c>
      <c r="K137" s="2">
        <f>$K127+$R$7*($B134-$B124)*1.05</f>
        <v>96.15328</v>
      </c>
      <c r="L137" s="2">
        <f>$L127+($R$7/2)*($B134-$B124)*1.1</f>
        <v>50.35648</v>
      </c>
      <c r="M137" s="2">
        <f>$M127+$R$7*($B134-$B124)*1.1</f>
        <v>100.71296</v>
      </c>
      <c r="N137" s="2">
        <f>$N127+($R$7/2)*($B134-$B124)*1.15</f>
        <v>52.63632</v>
      </c>
      <c r="O137" s="2">
        <f>$O127+$R$7*($B134-$B124)*1.15</f>
        <v>105.27264</v>
      </c>
    </row>
    <row r="138" s="2" customFormat="1" spans="1:15">
      <c r="A138" s="2">
        <v>1075</v>
      </c>
      <c r="B138" s="2">
        <v>65</v>
      </c>
      <c r="C138" s="3">
        <v>27</v>
      </c>
      <c r="D138" s="7" t="str">
        <f t="shared" si="19"/>
        <v>28.7768:57.5536</v>
      </c>
      <c r="E138" s="7" t="str">
        <f t="shared" si="20"/>
        <v>30.22064:60.44128</v>
      </c>
      <c r="F138" s="7" t="str">
        <f t="shared" si="21"/>
        <v>31.66448:63.32896</v>
      </c>
      <c r="G138" s="7" t="str">
        <f t="shared" si="22"/>
        <v>33.10832:66.11664</v>
      </c>
      <c r="H138" s="2">
        <f>$H128+($R$8/2)*($B138-$B128)</f>
        <v>28.7768</v>
      </c>
      <c r="I138" s="2">
        <f>$I128+$R$8*($B138-$B128)</f>
        <v>57.5536</v>
      </c>
      <c r="J138" s="2">
        <f>$J128+($R$8/2)*($B134-$B124)*1.05</f>
        <v>30.22064</v>
      </c>
      <c r="K138" s="2">
        <f>$K128+$R$8*($B134-$B124)*1.05</f>
        <v>60.44128</v>
      </c>
      <c r="L138" s="2">
        <f>$L128+($R$8/2)*($B134-$B124)*1.1</f>
        <v>31.66448</v>
      </c>
      <c r="M138" s="2">
        <f>$M128+$R$8*($B134-$B124)*1.1</f>
        <v>63.32896</v>
      </c>
      <c r="N138" s="2">
        <f>$N128+($R$8/2)*($B134-$B124)*1.15</f>
        <v>33.10832</v>
      </c>
      <c r="O138" s="2">
        <f>$O128+$R$8*($B134-$B124)*1.15</f>
        <v>66.11664</v>
      </c>
    </row>
    <row r="139" s="2" customFormat="1" spans="1:15">
      <c r="A139" s="2">
        <v>1076</v>
      </c>
      <c r="B139" s="2">
        <v>65</v>
      </c>
      <c r="C139" s="3">
        <v>28</v>
      </c>
      <c r="D139" s="7" t="str">
        <f t="shared" si="19"/>
        <v>8.56:17.02</v>
      </c>
      <c r="E139" s="7" t="str">
        <f t="shared" si="20"/>
        <v>8.928:17.856</v>
      </c>
      <c r="F139" s="7" t="str">
        <f t="shared" si="21"/>
        <v>9.396:18.692</v>
      </c>
      <c r="G139" s="7" t="str">
        <f t="shared" si="22"/>
        <v>9.764:19.528</v>
      </c>
      <c r="H139" s="2">
        <f>$H129+($R$9/2)*($B139-$B129)</f>
        <v>8.56</v>
      </c>
      <c r="I139" s="2">
        <f>$I129+$R$9*($B139-$B129)</f>
        <v>17.02</v>
      </c>
      <c r="J139" s="2">
        <f>$J129+($R$9/2)*($B134-$B124)*1.05</f>
        <v>8.928</v>
      </c>
      <c r="K139" s="2">
        <f>$K129+$R$9*($B134-$B124)*1.05</f>
        <v>17.856</v>
      </c>
      <c r="L139" s="2">
        <f>$L129+($R$9/2)*($B134-$B124)*1.1</f>
        <v>9.396</v>
      </c>
      <c r="M139" s="2">
        <f>$M129+$R$9*($B134-$B124)*1.1</f>
        <v>18.692</v>
      </c>
      <c r="N139" s="2">
        <f>$N129+($R$9/2)*($B134-$B124)*1.15</f>
        <v>9.764</v>
      </c>
      <c r="O139" s="2">
        <f>$O129+$R$9*($B134-$B124)*1.15</f>
        <v>19.528</v>
      </c>
    </row>
    <row r="140" s="2" customFormat="1" spans="1:15">
      <c r="A140" s="2">
        <v>1077</v>
      </c>
      <c r="B140" s="2">
        <v>65</v>
      </c>
      <c r="C140" s="3">
        <v>7</v>
      </c>
      <c r="D140" s="7" t="str">
        <f t="shared" si="19"/>
        <v>17.02:34.04</v>
      </c>
      <c r="E140" s="7" t="str">
        <f t="shared" si="20"/>
        <v>17.856:35.712</v>
      </c>
      <c r="F140" s="7" t="str">
        <f t="shared" si="21"/>
        <v>18.692:37.484</v>
      </c>
      <c r="G140" s="7" t="str">
        <f t="shared" si="22"/>
        <v>19.528:39.156</v>
      </c>
      <c r="H140" s="2">
        <f>$H130+($R$10/2)*($B140-$B130)</f>
        <v>17.02</v>
      </c>
      <c r="I140" s="2">
        <f>$I130+$R$10*($B140-$B130)</f>
        <v>34.04</v>
      </c>
      <c r="J140" s="2">
        <f>$J130+($R$10/2)*($B134-$B124)*1.05</f>
        <v>17.856</v>
      </c>
      <c r="K140" s="2">
        <f>$K130+$R$10*($B134-$B124)*1.05</f>
        <v>35.712</v>
      </c>
      <c r="L140" s="2">
        <f>$L130+($R$10/2)*($B134-$B124)*1.1</f>
        <v>18.692</v>
      </c>
      <c r="M140" s="2">
        <f>$M130+$R$10*($B134-$B124)*1.1</f>
        <v>37.484</v>
      </c>
      <c r="N140" s="2">
        <f>$N130+($R$10/2)*($B134-$B124)*1.15</f>
        <v>19.528</v>
      </c>
      <c r="O140" s="2">
        <f>$O130+$R$10*($B134-$B124)*1.15</f>
        <v>39.156</v>
      </c>
    </row>
    <row r="141" s="2" customFormat="1" spans="1:15">
      <c r="A141" s="2">
        <v>1078</v>
      </c>
      <c r="B141" s="2">
        <v>65</v>
      </c>
      <c r="C141" s="3">
        <v>5</v>
      </c>
      <c r="D141" s="7" t="str">
        <f t="shared" si="19"/>
        <v>17.02:34.04</v>
      </c>
      <c r="E141" s="7" t="str">
        <f t="shared" si="20"/>
        <v>17.856:35.712</v>
      </c>
      <c r="F141" s="7" t="str">
        <f t="shared" si="21"/>
        <v>18.692:37.484</v>
      </c>
      <c r="G141" s="7" t="str">
        <f t="shared" si="22"/>
        <v>19.528:39.156</v>
      </c>
      <c r="H141" s="2">
        <f>$H131+($R$11/2)*($B141-$B131)</f>
        <v>17.02</v>
      </c>
      <c r="I141" s="2">
        <f>$I131+$R$11*($B141-$B131)</f>
        <v>34.04</v>
      </c>
      <c r="J141" s="2">
        <f>$J131+($R$11/2)*($B134-$B124)*1.05</f>
        <v>17.856</v>
      </c>
      <c r="K141" s="2">
        <f>$K131+$R$11*($B134-$B124)*1.05</f>
        <v>35.712</v>
      </c>
      <c r="L141" s="2">
        <f>$L131+($R$11/2)*($B134-$B124)*1.1</f>
        <v>18.692</v>
      </c>
      <c r="M141" s="2">
        <f>$M131+$R$11*($B134-$B124)*1.1</f>
        <v>37.484</v>
      </c>
      <c r="N141" s="2">
        <f>$N131+($R$11/2)*($B134-$B124)*1.15</f>
        <v>19.528</v>
      </c>
      <c r="O141" s="2">
        <f>$O131+$R$11*($B134-$B124)*1.15</f>
        <v>39.156</v>
      </c>
    </row>
    <row r="142" s="2" customFormat="1" spans="1:15">
      <c r="A142" s="2">
        <v>1079</v>
      </c>
      <c r="B142" s="2">
        <v>65</v>
      </c>
      <c r="C142" s="3">
        <v>12</v>
      </c>
      <c r="D142" s="7" t="str">
        <f t="shared" si="19"/>
        <v>3.404:6.808</v>
      </c>
      <c r="E142" s="7" t="str">
        <f t="shared" si="20"/>
        <v>3.5712:7.1424</v>
      </c>
      <c r="F142" s="7" t="str">
        <f t="shared" si="21"/>
        <v>3.7384:7.4968</v>
      </c>
      <c r="G142" s="7" t="str">
        <f t="shared" si="22"/>
        <v>3.9056:7.8312</v>
      </c>
      <c r="H142" s="2">
        <f>$H132+($R$12/2)*($B142-$B132)</f>
        <v>3.404</v>
      </c>
      <c r="I142" s="2">
        <f>$I132+$R$12*($B142-$B132)</f>
        <v>6.808</v>
      </c>
      <c r="J142" s="2">
        <f>$J132+($R$12/2)*($B134-$B124)*1.05</f>
        <v>3.5712</v>
      </c>
      <c r="K142" s="2">
        <f>$K132+$R$12*($B134-$B124)*1.05</f>
        <v>7.1424</v>
      </c>
      <c r="L142" s="2">
        <f>$L132+($R$12/2)*($B134-$B124)*1.1</f>
        <v>3.7384</v>
      </c>
      <c r="M142" s="2">
        <f>$M132+$R$12*($B134-$B124)*1.1</f>
        <v>7.4968</v>
      </c>
      <c r="N142" s="2">
        <f>$N132+($R$12/2)*($B134-$B124)*1.15</f>
        <v>3.9056</v>
      </c>
      <c r="O142" s="2">
        <f>$O132+$R$12*($B134-$B124)*1.15</f>
        <v>7.8312</v>
      </c>
    </row>
    <row r="143" s="2" customFormat="1" spans="1:15">
      <c r="A143" s="2">
        <v>1080</v>
      </c>
      <c r="B143" s="2">
        <v>65</v>
      </c>
      <c r="C143" s="3">
        <v>13</v>
      </c>
      <c r="D143" s="7" t="str">
        <f t="shared" si="19"/>
        <v>17.02:34.04</v>
      </c>
      <c r="E143" s="7" t="str">
        <f t="shared" si="20"/>
        <v>17.856:35.712</v>
      </c>
      <c r="F143" s="7" t="str">
        <f t="shared" si="21"/>
        <v>18.692:37.484</v>
      </c>
      <c r="G143" s="7" t="str">
        <f t="shared" si="22"/>
        <v>19.528:39.156</v>
      </c>
      <c r="H143" s="2">
        <f>$H133+($R$13/2)*($B143-$B133)</f>
        <v>17.02</v>
      </c>
      <c r="I143" s="2">
        <f>$I133+$R$13*($B143-$B133)</f>
        <v>34.04</v>
      </c>
      <c r="J143" s="2">
        <f>$J133+($R$13/2)*($B134-$B124)*1.05</f>
        <v>17.856</v>
      </c>
      <c r="K143" s="2">
        <f>$K133+$R$13*($B134-$B124)*1.05</f>
        <v>35.712</v>
      </c>
      <c r="L143" s="2">
        <f>$L133+($R$13/2)*($B134-$B124)*1.1</f>
        <v>18.692</v>
      </c>
      <c r="M143" s="2">
        <f>$M133+$R$13*($B134-$B124)*1.1</f>
        <v>37.484</v>
      </c>
      <c r="N143" s="2">
        <f>$N133+($R$13/2)*($B134-$B124)*1.15</f>
        <v>19.528</v>
      </c>
      <c r="O143" s="2">
        <f>$O133+$R$13*($B134-$B124)*1.15</f>
        <v>39.156</v>
      </c>
    </row>
    <row r="144" s="2" customFormat="1" spans="1:15">
      <c r="A144" s="2">
        <v>1081</v>
      </c>
      <c r="B144" s="2">
        <v>70</v>
      </c>
      <c r="C144" s="3">
        <v>1</v>
      </c>
      <c r="D144" s="7" t="str">
        <f t="shared" si="19"/>
        <v>387.1897:774.3794</v>
      </c>
      <c r="E144" s="7" t="str">
        <f t="shared" si="20"/>
        <v>406.599185:813.09837</v>
      </c>
      <c r="F144" s="7" t="str">
        <f t="shared" si="21"/>
        <v>425.90867:851.81734</v>
      </c>
      <c r="G144" s="7" t="str">
        <f t="shared" si="22"/>
        <v>445.318155:890.53631</v>
      </c>
      <c r="H144" s="2">
        <f>$H134+($R$4/2)*($B144-$B134)</f>
        <v>387.1897</v>
      </c>
      <c r="I144" s="2">
        <f>$I134+$R$4*($B144-$B134)</f>
        <v>774.3794</v>
      </c>
      <c r="J144" s="2">
        <f>$J134+($R$4/2)*($B144-$B134)*1.05</f>
        <v>406.599185</v>
      </c>
      <c r="K144" s="2">
        <f>$K134+$R$4*($B144-$B134)*1.05</f>
        <v>813.09837</v>
      </c>
      <c r="L144" s="2">
        <f>$L134+($R$4/2)*($B144-$B134)*1.1</f>
        <v>425.90867</v>
      </c>
      <c r="M144" s="2">
        <f>$M134+$R$4*($B144-$B134)*1.1</f>
        <v>851.81734</v>
      </c>
      <c r="N144" s="2">
        <f>$N134+($R$4/2)*($B144-$B134)*1.15</f>
        <v>445.318155</v>
      </c>
      <c r="O144" s="2">
        <f>$O134+$R$4*($B144-$B134)*1.15</f>
        <v>890.53631</v>
      </c>
    </row>
    <row r="145" s="2" customFormat="1" spans="1:15">
      <c r="A145" s="2">
        <v>1082</v>
      </c>
      <c r="B145" s="2">
        <v>70</v>
      </c>
      <c r="C145" s="3">
        <v>2</v>
      </c>
      <c r="D145" s="7" t="str">
        <f t="shared" si="19"/>
        <v>48.8903:97.7806</v>
      </c>
      <c r="E145" s="7" t="str">
        <f t="shared" si="20"/>
        <v>51.324815:102.64963</v>
      </c>
      <c r="F145" s="7" t="str">
        <f t="shared" si="21"/>
        <v>53.75933:107.51866</v>
      </c>
      <c r="G145" s="7" t="str">
        <f t="shared" si="22"/>
        <v>56.193845:112.38769</v>
      </c>
      <c r="H145" s="2">
        <f>$H135+($R$5/2)*($B145-$B135)</f>
        <v>48.8903</v>
      </c>
      <c r="I145" s="2">
        <f>$I135+$R$5*($B145-$B135)</f>
        <v>97.7806</v>
      </c>
      <c r="J145" s="2">
        <f>$J135+($R$5/2)*($B144-$B134)*1.05</f>
        <v>51.324815</v>
      </c>
      <c r="K145" s="2">
        <f>$K135+$R$5*($B144-$B134)*1.05</f>
        <v>102.64963</v>
      </c>
      <c r="L145" s="2">
        <f>$L135+($R$5/2)*($B144-$B134)*1.1</f>
        <v>53.75933</v>
      </c>
      <c r="M145" s="2">
        <f>$M135+$R$5*($B144-$B134)*1.1</f>
        <v>107.51866</v>
      </c>
      <c r="N145" s="2">
        <f>$N135+($R$5/2)*($B144-$B134)*1.15</f>
        <v>56.193845</v>
      </c>
      <c r="O145" s="2">
        <f>$O135+$R$5*($B144-$B134)*1.15</f>
        <v>112.38769</v>
      </c>
    </row>
    <row r="146" s="2" customFormat="1" spans="1:15">
      <c r="A146" s="2">
        <v>1083</v>
      </c>
      <c r="B146" s="2">
        <v>70</v>
      </c>
      <c r="C146" s="3">
        <v>4</v>
      </c>
      <c r="D146" s="7" t="str">
        <f t="shared" si="19"/>
        <v>30.7203:61.4406</v>
      </c>
      <c r="E146" s="7" t="str">
        <f t="shared" si="20"/>
        <v>32.261315:64.52263</v>
      </c>
      <c r="F146" s="7" t="str">
        <f t="shared" si="21"/>
        <v>33.80233:67.60466</v>
      </c>
      <c r="G146" s="7" t="str">
        <f t="shared" si="22"/>
        <v>35.343345:70.58669</v>
      </c>
      <c r="H146" s="2">
        <f>$H136+($R$6/2)*($B146-$B136)</f>
        <v>30.7203</v>
      </c>
      <c r="I146" s="2">
        <f>$I136+$R$6*($B146-$B136)</f>
        <v>61.4406</v>
      </c>
      <c r="J146" s="2">
        <f>$J136+($R$6/2)*($B144-$B134)*1.05</f>
        <v>32.261315</v>
      </c>
      <c r="K146" s="2">
        <f>$K136+$R$6*($B144-$B134)*1.05</f>
        <v>64.52263</v>
      </c>
      <c r="L146" s="2">
        <f>$L136+($R$6/2)*($B144-$B134)*1.1</f>
        <v>33.80233</v>
      </c>
      <c r="M146" s="2">
        <f>$M136+$R$6*($B144-$B134)*1.1</f>
        <v>67.60466</v>
      </c>
      <c r="N146" s="2">
        <f>$N136+($R$6/2)*($B144-$B134)*1.15</f>
        <v>35.343345</v>
      </c>
      <c r="O146" s="2">
        <f>$O136+$R$6*($B144-$B134)*1.15</f>
        <v>70.58669</v>
      </c>
    </row>
    <row r="147" s="2" customFormat="1" spans="1:15">
      <c r="A147" s="2">
        <v>1084</v>
      </c>
      <c r="B147" s="2">
        <v>70</v>
      </c>
      <c r="C147" s="3">
        <v>3</v>
      </c>
      <c r="D147" s="7" t="str">
        <f t="shared" si="19"/>
        <v>48.8903:97.7806</v>
      </c>
      <c r="E147" s="7" t="str">
        <f t="shared" si="20"/>
        <v>51.324815:102.64963</v>
      </c>
      <c r="F147" s="7" t="str">
        <f t="shared" si="21"/>
        <v>53.75933:107.51866</v>
      </c>
      <c r="G147" s="7" t="str">
        <f t="shared" si="22"/>
        <v>56.193845:112.38769</v>
      </c>
      <c r="H147" s="2">
        <f>$H137+($R$7/2)*($B147-$B137)</f>
        <v>48.8903</v>
      </c>
      <c r="I147" s="2">
        <f>$I137+$R$7*($B147-$B137)</f>
        <v>97.7806</v>
      </c>
      <c r="J147" s="2">
        <f>$J137+($R$7/2)*($B144-$B134)*1.05</f>
        <v>51.324815</v>
      </c>
      <c r="K147" s="2">
        <f>$K137+$R$7*($B144-$B134)*1.05</f>
        <v>102.64963</v>
      </c>
      <c r="L147" s="2">
        <f>$L137+($R$7/2)*($B144-$B134)*1.1</f>
        <v>53.75933</v>
      </c>
      <c r="M147" s="2">
        <f>$M137+$R$7*($B144-$B134)*1.1</f>
        <v>107.51866</v>
      </c>
      <c r="N147" s="2">
        <f>$N137+($R$7/2)*($B144-$B134)*1.15</f>
        <v>56.193845</v>
      </c>
      <c r="O147" s="2">
        <f>$O137+$R$7*($B144-$B134)*1.15</f>
        <v>112.38769</v>
      </c>
    </row>
    <row r="148" s="2" customFormat="1" spans="1:15">
      <c r="A148" s="2">
        <v>1085</v>
      </c>
      <c r="B148" s="2">
        <v>70</v>
      </c>
      <c r="C148" s="3">
        <v>27</v>
      </c>
      <c r="D148" s="7" t="str">
        <f t="shared" si="19"/>
        <v>30.7203:61.4406</v>
      </c>
      <c r="E148" s="7" t="str">
        <f t="shared" si="20"/>
        <v>32.261315:64.52263</v>
      </c>
      <c r="F148" s="7" t="str">
        <f t="shared" si="21"/>
        <v>33.80233:67.60466</v>
      </c>
      <c r="G148" s="7" t="str">
        <f t="shared" si="22"/>
        <v>35.343345:70.58669</v>
      </c>
      <c r="H148" s="2">
        <f>$H138+($R$8/2)*($B148-$B138)</f>
        <v>30.7203</v>
      </c>
      <c r="I148" s="2">
        <f>$I138+$R$8*($B148-$B138)</f>
        <v>61.4406</v>
      </c>
      <c r="J148" s="2">
        <f>$J138+($R$8/2)*($B144-$B134)*1.05</f>
        <v>32.261315</v>
      </c>
      <c r="K148" s="2">
        <f>$K138+$R$8*($B144-$B134)*1.05</f>
        <v>64.52263</v>
      </c>
      <c r="L148" s="2">
        <f>$L138+($R$8/2)*($B144-$B134)*1.1</f>
        <v>33.80233</v>
      </c>
      <c r="M148" s="2">
        <f>$M138+$R$8*($B144-$B134)*1.1</f>
        <v>67.60466</v>
      </c>
      <c r="N148" s="2">
        <f>$N138+($R$8/2)*($B144-$B134)*1.15</f>
        <v>35.343345</v>
      </c>
      <c r="O148" s="2">
        <f>$O138+$R$8*($B144-$B134)*1.15</f>
        <v>70.58669</v>
      </c>
    </row>
    <row r="149" s="2" customFormat="1" spans="1:15">
      <c r="A149" s="2">
        <v>1086</v>
      </c>
      <c r="B149" s="2">
        <v>70</v>
      </c>
      <c r="C149" s="3">
        <v>28</v>
      </c>
      <c r="D149" s="7" t="str">
        <f t="shared" si="19"/>
        <v>9.135:18.17</v>
      </c>
      <c r="E149" s="7" t="str">
        <f t="shared" si="20"/>
        <v>9.53175:19.0635</v>
      </c>
      <c r="F149" s="7" t="str">
        <f t="shared" si="21"/>
        <v>10.0285:19.957</v>
      </c>
      <c r="G149" s="7" t="str">
        <f t="shared" si="22"/>
        <v>10.42525:20.8505</v>
      </c>
      <c r="H149" s="2">
        <f>$H139+($R$9/2)*($B149-$B139)</f>
        <v>9.135</v>
      </c>
      <c r="I149" s="2">
        <f>$I139+$R$9*($B149-$B139)</f>
        <v>18.17</v>
      </c>
      <c r="J149" s="2">
        <f>$J139+($R$9/2)*($B144-$B134)*1.05</f>
        <v>9.53175</v>
      </c>
      <c r="K149" s="2">
        <f>$K139+$R$9*($B144-$B134)*1.05</f>
        <v>19.0635</v>
      </c>
      <c r="L149" s="2">
        <f>$L139+($R$9/2)*($B144-$B134)*1.1</f>
        <v>10.0285</v>
      </c>
      <c r="M149" s="2">
        <f>$M139+$R$9*($B144-$B134)*1.1</f>
        <v>19.957</v>
      </c>
      <c r="N149" s="2">
        <f>$N139+($R$9/2)*($B144-$B134)*1.15</f>
        <v>10.42525</v>
      </c>
      <c r="O149" s="2">
        <f>$O139+$R$9*($B144-$B134)*1.15</f>
        <v>20.8505</v>
      </c>
    </row>
    <row r="150" s="2" customFormat="1" spans="1:15">
      <c r="A150" s="2">
        <v>1087</v>
      </c>
      <c r="B150" s="2">
        <v>70</v>
      </c>
      <c r="C150" s="3">
        <v>7</v>
      </c>
      <c r="D150" s="7" t="str">
        <f t="shared" si="19"/>
        <v>18.17:36.34</v>
      </c>
      <c r="E150" s="7" t="str">
        <f t="shared" si="20"/>
        <v>19.0635:38.127</v>
      </c>
      <c r="F150" s="7" t="str">
        <f t="shared" si="21"/>
        <v>19.957:40.014</v>
      </c>
      <c r="G150" s="7" t="str">
        <f t="shared" si="22"/>
        <v>20.8505:41.801</v>
      </c>
      <c r="H150" s="2">
        <f>$H140+($R$10/2)*($B150-$B140)</f>
        <v>18.17</v>
      </c>
      <c r="I150" s="2">
        <f>$I140+$R$10*($B150-$B140)</f>
        <v>36.34</v>
      </c>
      <c r="J150" s="2">
        <f>$J140+($R$10/2)*($B144-$B134)*1.05</f>
        <v>19.0635</v>
      </c>
      <c r="K150" s="2">
        <f>$K140+$R$10*($B144-$B134)*1.05</f>
        <v>38.127</v>
      </c>
      <c r="L150" s="2">
        <f>$L140+($R$10/2)*($B144-$B134)*1.1</f>
        <v>19.957</v>
      </c>
      <c r="M150" s="2">
        <f>$M140+$R$10*($B144-$B134)*1.1</f>
        <v>40.014</v>
      </c>
      <c r="N150" s="2">
        <f>$N140+($R$10/2)*($B144-$B134)*1.15</f>
        <v>20.8505</v>
      </c>
      <c r="O150" s="2">
        <f>$O140+$R$10*($B144-$B134)*1.15</f>
        <v>41.801</v>
      </c>
    </row>
    <row r="151" s="2" customFormat="1" spans="1:15">
      <c r="A151" s="2">
        <v>1088</v>
      </c>
      <c r="B151" s="2">
        <v>70</v>
      </c>
      <c r="C151" s="3">
        <v>5</v>
      </c>
      <c r="D151" s="7" t="str">
        <f t="shared" si="19"/>
        <v>18.17:36.34</v>
      </c>
      <c r="E151" s="7" t="str">
        <f t="shared" si="20"/>
        <v>19.0635:38.127</v>
      </c>
      <c r="F151" s="7" t="str">
        <f t="shared" si="21"/>
        <v>19.957:40.014</v>
      </c>
      <c r="G151" s="7" t="str">
        <f t="shared" si="22"/>
        <v>20.8505:41.801</v>
      </c>
      <c r="H151" s="2">
        <f>$H141+($R$11/2)*($B151-$B141)</f>
        <v>18.17</v>
      </c>
      <c r="I151" s="2">
        <f>$I141+$R$11*($B151-$B141)</f>
        <v>36.34</v>
      </c>
      <c r="J151" s="2">
        <f>$J141+($R$11/2)*($B144-$B134)*1.05</f>
        <v>19.0635</v>
      </c>
      <c r="K151" s="2">
        <f>$K141+$R$11*($B144-$B134)*1.05</f>
        <v>38.127</v>
      </c>
      <c r="L151" s="2">
        <f>$L141+($R$11/2)*($B144-$B134)*1.1</f>
        <v>19.957</v>
      </c>
      <c r="M151" s="2">
        <f>$M141+$R$11*($B144-$B134)*1.1</f>
        <v>40.014</v>
      </c>
      <c r="N151" s="2">
        <f>$N141+($R$11/2)*($B144-$B134)*1.15</f>
        <v>20.8505</v>
      </c>
      <c r="O151" s="2">
        <f>$O141+$R$11*($B144-$B134)*1.15</f>
        <v>41.801</v>
      </c>
    </row>
    <row r="152" s="2" customFormat="1" spans="1:15">
      <c r="A152" s="2">
        <v>1089</v>
      </c>
      <c r="B152" s="2">
        <v>70</v>
      </c>
      <c r="C152" s="3">
        <v>12</v>
      </c>
      <c r="D152" s="7" t="str">
        <f>H152&amp;":"&amp;I152</f>
        <v>3.634:7.268</v>
      </c>
      <c r="E152" s="7" t="str">
        <f>J152&amp;":"&amp;K152</f>
        <v>3.8127:7.6254</v>
      </c>
      <c r="F152" s="7" t="str">
        <f>L152&amp;":"&amp;M152</f>
        <v>3.9914:8.0028</v>
      </c>
      <c r="G152" s="7" t="str">
        <f>N152&amp;":"&amp;O152</f>
        <v>4.1701:8.3602</v>
      </c>
      <c r="H152" s="2">
        <f>$H142+($R$12/2)*($B152-$B142)</f>
        <v>3.634</v>
      </c>
      <c r="I152" s="2">
        <f>$I142+$R$12*($B152-$B142)</f>
        <v>7.268</v>
      </c>
      <c r="J152" s="2">
        <f>$J142+($R$12/2)*($B144-$B134)*1.05</f>
        <v>3.8127</v>
      </c>
      <c r="K152" s="2">
        <f>$K142+$R$12*($B144-$B134)*1.05</f>
        <v>7.6254</v>
      </c>
      <c r="L152" s="2">
        <f>$L142+($R$12/2)*($B144-$B134)*1.1</f>
        <v>3.9914</v>
      </c>
      <c r="M152" s="2">
        <f>$M142+$R$12*($B144-$B134)*1.1</f>
        <v>8.0028</v>
      </c>
      <c r="N152" s="2">
        <f>$N142+($R$12/2)*($B144-$B134)*1.15</f>
        <v>4.1701</v>
      </c>
      <c r="O152" s="2">
        <f>$O142+$R$12*($B144-$B134)*1.15</f>
        <v>8.3602</v>
      </c>
    </row>
    <row r="153" s="2" customFormat="1" spans="1:15">
      <c r="A153" s="2">
        <v>1090</v>
      </c>
      <c r="B153" s="2">
        <v>70</v>
      </c>
      <c r="C153" s="3">
        <v>13</v>
      </c>
      <c r="D153" s="7" t="str">
        <f>H153&amp;":"&amp;I153</f>
        <v>18.17:36.34</v>
      </c>
      <c r="E153" s="7" t="str">
        <f>J153&amp;":"&amp;K153</f>
        <v>19.0635:38.127</v>
      </c>
      <c r="F153" s="7" t="str">
        <f>L153&amp;":"&amp;M153</f>
        <v>19.957:40.014</v>
      </c>
      <c r="G153" s="7" t="str">
        <f>N153&amp;":"&amp;O153</f>
        <v>20.8505:41.801</v>
      </c>
      <c r="H153" s="2">
        <f>$H143+($R$13/2)*($B153-$B143)</f>
        <v>18.17</v>
      </c>
      <c r="I153" s="2">
        <f>$I143+$R$13*($B153-$B143)</f>
        <v>36.34</v>
      </c>
      <c r="J153" s="2">
        <f>$J143+($R$13/2)*($B144-$B134)*1.05</f>
        <v>19.0635</v>
      </c>
      <c r="K153" s="2">
        <f>$K143+$R$13*($B144-$B134)*1.05</f>
        <v>38.127</v>
      </c>
      <c r="L153" s="2">
        <f>$L143+($R$13/2)*($B144-$B134)*1.1</f>
        <v>19.957</v>
      </c>
      <c r="M153" s="2">
        <f>$M143+$R$13*($B144-$B134)*1.1</f>
        <v>40.014</v>
      </c>
      <c r="N153" s="2">
        <f>$N143+($R$13/2)*($B144-$B134)*1.15</f>
        <v>20.8505</v>
      </c>
      <c r="O153" s="2">
        <f>$O143+$R$13*($B144-$B134)*1.15</f>
        <v>41.801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workbookViewId="0">
      <selection activeCell="S1" sqref="S$1:S$1048576"/>
    </sheetView>
  </sheetViews>
  <sheetFormatPr defaultColWidth="9" defaultRowHeight="16.5"/>
  <cols>
    <col min="8" max="10" width="9.375" style="1"/>
    <col min="11" max="11" width="11.5" style="1"/>
    <col min="12" max="12" width="10.375" style="1"/>
    <col min="13" max="13" width="9.375" style="1"/>
    <col min="14" max="15" width="10.375" style="1"/>
    <col min="16" max="16" width="9.375" style="1"/>
    <col min="17" max="17" width="11.5" style="1"/>
    <col min="18" max="18" width="10.375" style="1"/>
    <col min="19" max="19" width="9.375" style="1"/>
  </cols>
  <sheetData>
    <row r="1" spans="1:19">
      <c r="A1">
        <v>51.5</v>
      </c>
      <c r="B1">
        <v>102.9</v>
      </c>
      <c r="C1">
        <f>A1*10</f>
        <v>515</v>
      </c>
      <c r="D1">
        <f>B1*10</f>
        <v>1029</v>
      </c>
      <c r="E1" t="str">
        <f>C1&amp;":"&amp;D1</f>
        <v>515:1029</v>
      </c>
      <c r="H1" s="1" t="s">
        <v>333</v>
      </c>
      <c r="I1" s="1" t="s">
        <v>334</v>
      </c>
      <c r="J1" t="str">
        <f>H1&amp;":"&amp;I1</f>
        <v>490:980</v>
      </c>
      <c r="K1" s="1" t="s">
        <v>335</v>
      </c>
      <c r="L1" s="1" t="s">
        <v>336</v>
      </c>
      <c r="M1" t="str">
        <f t="shared" ref="M1:M64" si="0">K1&amp;":"&amp;L1</f>
        <v>515:1029</v>
      </c>
      <c r="N1" s="1" t="s">
        <v>337</v>
      </c>
      <c r="O1" s="1" t="s">
        <v>338</v>
      </c>
      <c r="P1" t="str">
        <f t="shared" ref="P1:P64" si="1">N1&amp;":"&amp;O1</f>
        <v>539:1078</v>
      </c>
      <c r="Q1" s="1" t="s">
        <v>339</v>
      </c>
      <c r="R1" s="1" t="s">
        <v>340</v>
      </c>
      <c r="S1" t="str">
        <f t="shared" ref="S1:S64" si="2">Q1&amp;":"&amp;R1</f>
        <v>564:1127</v>
      </c>
    </row>
    <row r="2" spans="1:19">
      <c r="A2">
        <v>6.5</v>
      </c>
      <c r="B2">
        <v>13</v>
      </c>
      <c r="C2">
        <f t="shared" ref="C2:C33" si="3">A2*10</f>
        <v>65</v>
      </c>
      <c r="D2">
        <f t="shared" ref="D2:D33" si="4">B2*10</f>
        <v>130</v>
      </c>
      <c r="E2" t="str">
        <f t="shared" ref="E2:E33" si="5">C2&amp;":"&amp;D2</f>
        <v>65:130</v>
      </c>
      <c r="H2" s="1" t="s">
        <v>341</v>
      </c>
      <c r="I2" s="1" t="s">
        <v>342</v>
      </c>
      <c r="J2" t="str">
        <f t="shared" ref="J2:J33" si="6">H2&amp;":"&amp;I2</f>
        <v>62:124</v>
      </c>
      <c r="K2" s="1" t="s">
        <v>343</v>
      </c>
      <c r="L2" s="1" t="s">
        <v>344</v>
      </c>
      <c r="M2" t="str">
        <f t="shared" si="0"/>
        <v>65:130</v>
      </c>
      <c r="N2" s="1" t="s">
        <v>345</v>
      </c>
      <c r="O2" s="1" t="s">
        <v>346</v>
      </c>
      <c r="P2" t="str">
        <f t="shared" si="1"/>
        <v>68:136</v>
      </c>
      <c r="Q2" s="1" t="s">
        <v>347</v>
      </c>
      <c r="R2" s="1" t="s">
        <v>348</v>
      </c>
      <c r="S2" t="str">
        <f t="shared" si="2"/>
        <v>71:142</v>
      </c>
    </row>
    <row r="3" spans="1:19">
      <c r="A3">
        <v>4.1</v>
      </c>
      <c r="B3">
        <v>8.2</v>
      </c>
      <c r="C3">
        <f t="shared" si="3"/>
        <v>41</v>
      </c>
      <c r="D3">
        <f t="shared" si="4"/>
        <v>82</v>
      </c>
      <c r="E3" t="str">
        <f t="shared" si="5"/>
        <v>41:82</v>
      </c>
      <c r="H3" s="1" t="s">
        <v>349</v>
      </c>
      <c r="I3" s="1" t="s">
        <v>350</v>
      </c>
      <c r="J3" t="str">
        <f t="shared" si="6"/>
        <v>39:78</v>
      </c>
      <c r="K3" s="1" t="s">
        <v>351</v>
      </c>
      <c r="L3" s="1" t="s">
        <v>352</v>
      </c>
      <c r="M3" t="str">
        <f t="shared" si="0"/>
        <v>41:82</v>
      </c>
      <c r="N3" s="1" t="s">
        <v>353</v>
      </c>
      <c r="O3" s="1" t="s">
        <v>354</v>
      </c>
      <c r="P3" t="str">
        <f t="shared" si="1"/>
        <v>43:86</v>
      </c>
      <c r="Q3" s="1" t="s">
        <v>355</v>
      </c>
      <c r="R3" s="1" t="s">
        <v>356</v>
      </c>
      <c r="S3" t="str">
        <f t="shared" si="2"/>
        <v>45:89</v>
      </c>
    </row>
    <row r="4" spans="1:19">
      <c r="A4">
        <v>6.5</v>
      </c>
      <c r="B4">
        <v>13</v>
      </c>
      <c r="C4">
        <f t="shared" si="3"/>
        <v>65</v>
      </c>
      <c r="D4">
        <f t="shared" si="4"/>
        <v>130</v>
      </c>
      <c r="E4" t="str">
        <f t="shared" si="5"/>
        <v>65:130</v>
      </c>
      <c r="H4" s="1" t="s">
        <v>341</v>
      </c>
      <c r="I4" s="1" t="s">
        <v>342</v>
      </c>
      <c r="J4" t="str">
        <f t="shared" si="6"/>
        <v>62:124</v>
      </c>
      <c r="K4" s="1" t="s">
        <v>343</v>
      </c>
      <c r="L4" s="1" t="s">
        <v>344</v>
      </c>
      <c r="M4" t="str">
        <f t="shared" si="0"/>
        <v>65:130</v>
      </c>
      <c r="N4" s="1" t="s">
        <v>345</v>
      </c>
      <c r="O4" s="1" t="s">
        <v>346</v>
      </c>
      <c r="P4" t="str">
        <f t="shared" si="1"/>
        <v>68:136</v>
      </c>
      <c r="Q4" s="1" t="s">
        <v>347</v>
      </c>
      <c r="R4" s="1" t="s">
        <v>348</v>
      </c>
      <c r="S4" t="str">
        <f t="shared" si="2"/>
        <v>71:142</v>
      </c>
    </row>
    <row r="5" spans="1:19">
      <c r="A5">
        <v>4.1</v>
      </c>
      <c r="B5">
        <v>8.2</v>
      </c>
      <c r="C5">
        <f t="shared" si="3"/>
        <v>41</v>
      </c>
      <c r="D5">
        <f t="shared" si="4"/>
        <v>82</v>
      </c>
      <c r="E5" t="str">
        <f t="shared" si="5"/>
        <v>41:82</v>
      </c>
      <c r="H5" s="1" t="s">
        <v>349</v>
      </c>
      <c r="I5" s="1" t="s">
        <v>350</v>
      </c>
      <c r="J5" t="str">
        <f t="shared" si="6"/>
        <v>39:78</v>
      </c>
      <c r="K5" s="1" t="s">
        <v>351</v>
      </c>
      <c r="L5" s="1" t="s">
        <v>352</v>
      </c>
      <c r="M5" t="str">
        <f t="shared" si="0"/>
        <v>41:82</v>
      </c>
      <c r="N5" s="1" t="s">
        <v>353</v>
      </c>
      <c r="O5" s="1" t="s">
        <v>354</v>
      </c>
      <c r="P5" t="str">
        <f t="shared" si="1"/>
        <v>43:86</v>
      </c>
      <c r="Q5" s="1" t="s">
        <v>355</v>
      </c>
      <c r="R5" s="1" t="s">
        <v>356</v>
      </c>
      <c r="S5" t="str">
        <f t="shared" si="2"/>
        <v>45:89</v>
      </c>
    </row>
    <row r="6" spans="1:19">
      <c r="A6">
        <v>1.2</v>
      </c>
      <c r="B6">
        <v>2.4</v>
      </c>
      <c r="C6">
        <f t="shared" si="3"/>
        <v>12</v>
      </c>
      <c r="D6">
        <f t="shared" si="4"/>
        <v>24</v>
      </c>
      <c r="E6" t="str">
        <f t="shared" si="5"/>
        <v>12:24</v>
      </c>
      <c r="H6" s="1" t="s">
        <v>357</v>
      </c>
      <c r="I6" s="1" t="s">
        <v>358</v>
      </c>
      <c r="J6" t="str">
        <f t="shared" si="6"/>
        <v>12:23</v>
      </c>
      <c r="K6" s="1" t="s">
        <v>357</v>
      </c>
      <c r="L6" s="1" t="s">
        <v>359</v>
      </c>
      <c r="M6" t="str">
        <f t="shared" si="0"/>
        <v>12:24</v>
      </c>
      <c r="N6" s="1" t="s">
        <v>360</v>
      </c>
      <c r="O6" s="1" t="s">
        <v>361</v>
      </c>
      <c r="P6" t="str">
        <f t="shared" si="1"/>
        <v>13:25</v>
      </c>
      <c r="Q6" s="1" t="s">
        <v>360</v>
      </c>
      <c r="R6" s="1" t="s">
        <v>362</v>
      </c>
      <c r="S6" t="str">
        <f t="shared" si="2"/>
        <v>13:26</v>
      </c>
    </row>
    <row r="7" spans="1:19">
      <c r="A7">
        <v>2.4</v>
      </c>
      <c r="B7">
        <v>4.8</v>
      </c>
      <c r="C7">
        <f t="shared" si="3"/>
        <v>24</v>
      </c>
      <c r="D7">
        <f t="shared" si="4"/>
        <v>48</v>
      </c>
      <c r="E7" t="str">
        <f t="shared" si="5"/>
        <v>24:48</v>
      </c>
      <c r="H7" s="1" t="s">
        <v>358</v>
      </c>
      <c r="I7" s="1" t="s">
        <v>363</v>
      </c>
      <c r="J7" t="str">
        <f t="shared" si="6"/>
        <v>23:46</v>
      </c>
      <c r="K7" s="1" t="s">
        <v>359</v>
      </c>
      <c r="L7" s="1" t="s">
        <v>364</v>
      </c>
      <c r="M7" t="str">
        <f t="shared" si="0"/>
        <v>24:48</v>
      </c>
      <c r="N7" s="1" t="s">
        <v>361</v>
      </c>
      <c r="O7" s="1" t="s">
        <v>365</v>
      </c>
      <c r="P7" t="str">
        <f t="shared" si="1"/>
        <v>25:51</v>
      </c>
      <c r="Q7" s="1" t="s">
        <v>362</v>
      </c>
      <c r="R7" s="1" t="s">
        <v>366</v>
      </c>
      <c r="S7" t="str">
        <f t="shared" si="2"/>
        <v>26:53</v>
      </c>
    </row>
    <row r="8" spans="1:19">
      <c r="A8">
        <v>2.4</v>
      </c>
      <c r="B8">
        <v>4.8</v>
      </c>
      <c r="C8">
        <f t="shared" si="3"/>
        <v>24</v>
      </c>
      <c r="D8">
        <f t="shared" si="4"/>
        <v>48</v>
      </c>
      <c r="E8" t="str">
        <f t="shared" si="5"/>
        <v>24:48</v>
      </c>
      <c r="H8" s="1" t="s">
        <v>358</v>
      </c>
      <c r="I8" s="1" t="s">
        <v>363</v>
      </c>
      <c r="J8" t="str">
        <f t="shared" si="6"/>
        <v>23:46</v>
      </c>
      <c r="K8" s="1" t="s">
        <v>359</v>
      </c>
      <c r="L8" s="1" t="s">
        <v>364</v>
      </c>
      <c r="M8" t="str">
        <f t="shared" si="0"/>
        <v>24:48</v>
      </c>
      <c r="N8" s="1" t="s">
        <v>361</v>
      </c>
      <c r="O8" s="1" t="s">
        <v>365</v>
      </c>
      <c r="P8" t="str">
        <f t="shared" si="1"/>
        <v>25:51</v>
      </c>
      <c r="Q8" s="1" t="s">
        <v>362</v>
      </c>
      <c r="R8" s="1" t="s">
        <v>366</v>
      </c>
      <c r="S8" t="str">
        <f t="shared" si="2"/>
        <v>26:53</v>
      </c>
    </row>
    <row r="9" spans="1:19">
      <c r="A9">
        <v>0.5</v>
      </c>
      <c r="B9">
        <v>1</v>
      </c>
      <c r="C9">
        <f t="shared" si="3"/>
        <v>5</v>
      </c>
      <c r="D9">
        <f t="shared" si="4"/>
        <v>10</v>
      </c>
      <c r="E9" t="str">
        <f t="shared" si="5"/>
        <v>5:10</v>
      </c>
      <c r="H9" s="1" t="s">
        <v>367</v>
      </c>
      <c r="I9" s="1" t="s">
        <v>368</v>
      </c>
      <c r="J9" t="str">
        <f t="shared" si="6"/>
        <v>5:9</v>
      </c>
      <c r="K9" s="1" t="s">
        <v>367</v>
      </c>
      <c r="L9" s="1" t="s">
        <v>369</v>
      </c>
      <c r="M9" t="str">
        <f t="shared" si="0"/>
        <v>5:10</v>
      </c>
      <c r="N9" s="1" t="s">
        <v>367</v>
      </c>
      <c r="O9" s="1" t="s">
        <v>369</v>
      </c>
      <c r="P9" t="str">
        <f t="shared" si="1"/>
        <v>5:10</v>
      </c>
      <c r="Q9" s="1" t="s">
        <v>367</v>
      </c>
      <c r="R9" s="1" t="s">
        <v>370</v>
      </c>
      <c r="S9" t="str">
        <f t="shared" si="2"/>
        <v>5:11</v>
      </c>
    </row>
    <row r="10" spans="1:19">
      <c r="A10">
        <v>2.4</v>
      </c>
      <c r="B10">
        <v>4.8</v>
      </c>
      <c r="C10">
        <f t="shared" si="3"/>
        <v>24</v>
      </c>
      <c r="D10">
        <f t="shared" si="4"/>
        <v>48</v>
      </c>
      <c r="E10" t="str">
        <f t="shared" si="5"/>
        <v>24:48</v>
      </c>
      <c r="H10" s="1" t="s">
        <v>358</v>
      </c>
      <c r="I10" s="1" t="s">
        <v>363</v>
      </c>
      <c r="J10" t="str">
        <f t="shared" si="6"/>
        <v>23:46</v>
      </c>
      <c r="K10" s="1" t="s">
        <v>359</v>
      </c>
      <c r="L10" s="1" t="s">
        <v>364</v>
      </c>
      <c r="M10" t="str">
        <f t="shared" si="0"/>
        <v>24:48</v>
      </c>
      <c r="N10" s="1" t="s">
        <v>361</v>
      </c>
      <c r="O10" s="1" t="s">
        <v>365</v>
      </c>
      <c r="P10" t="str">
        <f t="shared" si="1"/>
        <v>25:51</v>
      </c>
      <c r="Q10" s="1" t="s">
        <v>362</v>
      </c>
      <c r="R10" s="1" t="s">
        <v>366</v>
      </c>
      <c r="S10" t="str">
        <f t="shared" si="2"/>
        <v>26:53</v>
      </c>
    </row>
    <row r="11" spans="1:19">
      <c r="A11">
        <v>72.1</v>
      </c>
      <c r="B11">
        <v>144.1</v>
      </c>
      <c r="C11">
        <f t="shared" si="3"/>
        <v>721</v>
      </c>
      <c r="D11">
        <f t="shared" si="4"/>
        <v>1441</v>
      </c>
      <c r="E11" t="str">
        <f t="shared" si="5"/>
        <v>721:1441</v>
      </c>
      <c r="H11" s="1" t="s">
        <v>371</v>
      </c>
      <c r="I11" s="1" t="s">
        <v>372</v>
      </c>
      <c r="J11" t="str">
        <f t="shared" si="6"/>
        <v>686:1372</v>
      </c>
      <c r="K11" s="1" t="s">
        <v>373</v>
      </c>
      <c r="L11" s="1" t="s">
        <v>374</v>
      </c>
      <c r="M11" t="str">
        <f t="shared" si="0"/>
        <v>721:1441</v>
      </c>
      <c r="N11" s="1" t="s">
        <v>375</v>
      </c>
      <c r="O11" s="1" t="s">
        <v>376</v>
      </c>
      <c r="P11" t="str">
        <f t="shared" si="1"/>
        <v>755:1509</v>
      </c>
      <c r="Q11" s="1" t="s">
        <v>377</v>
      </c>
      <c r="R11" s="1" t="s">
        <v>378</v>
      </c>
      <c r="S11" t="str">
        <f t="shared" si="2"/>
        <v>789:1578</v>
      </c>
    </row>
    <row r="12" spans="1:19">
      <c r="A12">
        <v>9.1</v>
      </c>
      <c r="B12">
        <v>18.2</v>
      </c>
      <c r="C12">
        <f t="shared" si="3"/>
        <v>91</v>
      </c>
      <c r="D12">
        <f t="shared" si="4"/>
        <v>182</v>
      </c>
      <c r="E12" t="str">
        <f t="shared" si="5"/>
        <v>91:182</v>
      </c>
      <c r="H12" s="1" t="s">
        <v>379</v>
      </c>
      <c r="I12" s="1" t="s">
        <v>380</v>
      </c>
      <c r="J12" t="str">
        <f t="shared" si="6"/>
        <v>87:173</v>
      </c>
      <c r="K12" s="1" t="s">
        <v>381</v>
      </c>
      <c r="L12" s="1" t="s">
        <v>382</v>
      </c>
      <c r="M12" t="str">
        <f t="shared" si="0"/>
        <v>91:182</v>
      </c>
      <c r="N12" s="1" t="s">
        <v>383</v>
      </c>
      <c r="O12" s="1" t="s">
        <v>384</v>
      </c>
      <c r="P12" t="str">
        <f t="shared" si="1"/>
        <v>95:190</v>
      </c>
      <c r="Q12" s="1" t="s">
        <v>385</v>
      </c>
      <c r="R12" s="1" t="s">
        <v>386</v>
      </c>
      <c r="S12" t="str">
        <f t="shared" si="2"/>
        <v>99:199</v>
      </c>
    </row>
    <row r="13" spans="1:19">
      <c r="A13">
        <v>5.7</v>
      </c>
      <c r="B13">
        <v>11.5</v>
      </c>
      <c r="C13">
        <f t="shared" si="3"/>
        <v>57</v>
      </c>
      <c r="D13">
        <f t="shared" si="4"/>
        <v>115</v>
      </c>
      <c r="E13" t="str">
        <f t="shared" si="5"/>
        <v>57:115</v>
      </c>
      <c r="H13" s="1" t="s">
        <v>387</v>
      </c>
      <c r="I13" s="1" t="s">
        <v>388</v>
      </c>
      <c r="J13" t="str">
        <f t="shared" si="6"/>
        <v>55:109</v>
      </c>
      <c r="K13" s="1" t="s">
        <v>389</v>
      </c>
      <c r="L13" s="1" t="s">
        <v>390</v>
      </c>
      <c r="M13" t="str">
        <f t="shared" si="0"/>
        <v>57:115</v>
      </c>
      <c r="N13" s="1" t="s">
        <v>391</v>
      </c>
      <c r="O13" s="1" t="s">
        <v>392</v>
      </c>
      <c r="P13" t="str">
        <f t="shared" si="1"/>
        <v>60:120</v>
      </c>
      <c r="Q13" s="1" t="s">
        <v>393</v>
      </c>
      <c r="R13" s="1" t="s">
        <v>394</v>
      </c>
      <c r="S13" t="str">
        <f t="shared" si="2"/>
        <v>63:125</v>
      </c>
    </row>
    <row r="14" spans="1:19">
      <c r="A14">
        <v>9.1</v>
      </c>
      <c r="B14">
        <v>18.2</v>
      </c>
      <c r="C14">
        <f t="shared" si="3"/>
        <v>91</v>
      </c>
      <c r="D14">
        <f t="shared" si="4"/>
        <v>182</v>
      </c>
      <c r="E14" t="str">
        <f t="shared" si="5"/>
        <v>91:182</v>
      </c>
      <c r="H14" s="1" t="s">
        <v>379</v>
      </c>
      <c r="I14" s="1" t="s">
        <v>380</v>
      </c>
      <c r="J14" t="str">
        <f t="shared" si="6"/>
        <v>87:173</v>
      </c>
      <c r="K14" s="1" t="s">
        <v>381</v>
      </c>
      <c r="L14" s="1" t="s">
        <v>382</v>
      </c>
      <c r="M14" t="str">
        <f t="shared" si="0"/>
        <v>91:182</v>
      </c>
      <c r="N14" s="1" t="s">
        <v>383</v>
      </c>
      <c r="O14" s="1" t="s">
        <v>384</v>
      </c>
      <c r="P14" t="str">
        <f t="shared" si="1"/>
        <v>95:190</v>
      </c>
      <c r="Q14" s="1" t="s">
        <v>385</v>
      </c>
      <c r="R14" s="1" t="s">
        <v>386</v>
      </c>
      <c r="S14" t="str">
        <f t="shared" si="2"/>
        <v>99:199</v>
      </c>
    </row>
    <row r="15" spans="1:19">
      <c r="A15">
        <v>5.7</v>
      </c>
      <c r="B15">
        <v>11.5</v>
      </c>
      <c r="C15">
        <f t="shared" si="3"/>
        <v>57</v>
      </c>
      <c r="D15">
        <f t="shared" si="4"/>
        <v>115</v>
      </c>
      <c r="E15" t="str">
        <f t="shared" si="5"/>
        <v>57:115</v>
      </c>
      <c r="H15" s="1" t="s">
        <v>387</v>
      </c>
      <c r="I15" s="1" t="s">
        <v>388</v>
      </c>
      <c r="J15" t="str">
        <f t="shared" si="6"/>
        <v>55:109</v>
      </c>
      <c r="K15" s="1" t="s">
        <v>389</v>
      </c>
      <c r="L15" s="1" t="s">
        <v>390</v>
      </c>
      <c r="M15" t="str">
        <f t="shared" si="0"/>
        <v>57:115</v>
      </c>
      <c r="N15" s="1" t="s">
        <v>391</v>
      </c>
      <c r="O15" s="1" t="s">
        <v>392</v>
      </c>
      <c r="P15" t="str">
        <f t="shared" si="1"/>
        <v>60:120</v>
      </c>
      <c r="Q15" s="1" t="s">
        <v>393</v>
      </c>
      <c r="R15" s="1" t="s">
        <v>394</v>
      </c>
      <c r="S15" t="str">
        <f t="shared" si="2"/>
        <v>63:125</v>
      </c>
    </row>
    <row r="16" spans="1:19">
      <c r="A16">
        <v>1.7</v>
      </c>
      <c r="B16">
        <v>3.4</v>
      </c>
      <c r="C16">
        <f t="shared" si="3"/>
        <v>17</v>
      </c>
      <c r="D16">
        <f t="shared" si="4"/>
        <v>34</v>
      </c>
      <c r="E16" t="str">
        <f t="shared" si="5"/>
        <v>17:34</v>
      </c>
      <c r="H16" s="1" t="s">
        <v>395</v>
      </c>
      <c r="I16" s="1" t="s">
        <v>396</v>
      </c>
      <c r="J16" t="str">
        <f t="shared" si="6"/>
        <v>17:32</v>
      </c>
      <c r="K16" s="1" t="s">
        <v>395</v>
      </c>
      <c r="L16" s="1" t="s">
        <v>397</v>
      </c>
      <c r="M16" t="str">
        <f t="shared" si="0"/>
        <v>17:34</v>
      </c>
      <c r="N16" s="1" t="s">
        <v>398</v>
      </c>
      <c r="O16" s="1" t="s">
        <v>399</v>
      </c>
      <c r="P16" t="str">
        <f t="shared" si="1"/>
        <v>18:35</v>
      </c>
      <c r="Q16" s="1" t="s">
        <v>398</v>
      </c>
      <c r="R16" s="1" t="s">
        <v>400</v>
      </c>
      <c r="S16" t="str">
        <f t="shared" si="2"/>
        <v>18:37</v>
      </c>
    </row>
    <row r="17" spans="1:19">
      <c r="A17">
        <v>3.4</v>
      </c>
      <c r="B17">
        <v>6.7</v>
      </c>
      <c r="C17">
        <f t="shared" si="3"/>
        <v>34</v>
      </c>
      <c r="D17">
        <f t="shared" si="4"/>
        <v>67</v>
      </c>
      <c r="E17" t="str">
        <f t="shared" si="5"/>
        <v>34:67</v>
      </c>
      <c r="H17" s="1" t="s">
        <v>396</v>
      </c>
      <c r="I17" s="1" t="s">
        <v>401</v>
      </c>
      <c r="J17" t="str">
        <f t="shared" si="6"/>
        <v>32:64</v>
      </c>
      <c r="K17" s="1" t="s">
        <v>397</v>
      </c>
      <c r="L17" s="1" t="s">
        <v>402</v>
      </c>
      <c r="M17" t="str">
        <f t="shared" si="0"/>
        <v>34:67</v>
      </c>
      <c r="N17" s="1" t="s">
        <v>399</v>
      </c>
      <c r="O17" s="1" t="s">
        <v>347</v>
      </c>
      <c r="P17" t="str">
        <f t="shared" si="1"/>
        <v>35:71</v>
      </c>
      <c r="Q17" s="1" t="s">
        <v>400</v>
      </c>
      <c r="R17" s="1" t="s">
        <v>403</v>
      </c>
      <c r="S17" t="str">
        <f t="shared" si="2"/>
        <v>37:74</v>
      </c>
    </row>
    <row r="18" spans="1:19">
      <c r="A18">
        <v>3.4</v>
      </c>
      <c r="B18">
        <v>6.7</v>
      </c>
      <c r="C18">
        <f t="shared" si="3"/>
        <v>34</v>
      </c>
      <c r="D18">
        <f t="shared" si="4"/>
        <v>67</v>
      </c>
      <c r="E18" t="str">
        <f t="shared" si="5"/>
        <v>34:67</v>
      </c>
      <c r="H18" s="1" t="s">
        <v>396</v>
      </c>
      <c r="I18" s="1" t="s">
        <v>401</v>
      </c>
      <c r="J18" t="str">
        <f t="shared" si="6"/>
        <v>32:64</v>
      </c>
      <c r="K18" s="1" t="s">
        <v>397</v>
      </c>
      <c r="L18" s="1" t="s">
        <v>402</v>
      </c>
      <c r="M18" t="str">
        <f t="shared" si="0"/>
        <v>34:67</v>
      </c>
      <c r="N18" s="1" t="s">
        <v>399</v>
      </c>
      <c r="O18" s="1" t="s">
        <v>347</v>
      </c>
      <c r="P18" t="str">
        <f t="shared" si="1"/>
        <v>35:71</v>
      </c>
      <c r="Q18" s="1" t="s">
        <v>400</v>
      </c>
      <c r="R18" s="1" t="s">
        <v>403</v>
      </c>
      <c r="S18" t="str">
        <f t="shared" si="2"/>
        <v>37:74</v>
      </c>
    </row>
    <row r="19" spans="1:19">
      <c r="A19">
        <v>0.7</v>
      </c>
      <c r="B19">
        <v>1.3</v>
      </c>
      <c r="C19">
        <f t="shared" si="3"/>
        <v>7</v>
      </c>
      <c r="D19">
        <f t="shared" si="4"/>
        <v>13</v>
      </c>
      <c r="E19" t="str">
        <f t="shared" si="5"/>
        <v>7:13</v>
      </c>
      <c r="H19" s="1" t="s">
        <v>404</v>
      </c>
      <c r="I19" s="1" t="s">
        <v>360</v>
      </c>
      <c r="J19" t="str">
        <f t="shared" si="6"/>
        <v>6:13</v>
      </c>
      <c r="K19" s="1" t="s">
        <v>405</v>
      </c>
      <c r="L19" s="1" t="s">
        <v>360</v>
      </c>
      <c r="M19" t="str">
        <f t="shared" si="0"/>
        <v>7:13</v>
      </c>
      <c r="N19" s="1" t="s">
        <v>405</v>
      </c>
      <c r="O19" s="1" t="s">
        <v>406</v>
      </c>
      <c r="P19" t="str">
        <f t="shared" si="1"/>
        <v>7:14</v>
      </c>
      <c r="Q19" s="1" t="s">
        <v>405</v>
      </c>
      <c r="R19" s="1" t="s">
        <v>407</v>
      </c>
      <c r="S19" t="str">
        <f t="shared" si="2"/>
        <v>7:15</v>
      </c>
    </row>
    <row r="20" spans="1:19">
      <c r="A20">
        <v>3.4</v>
      </c>
      <c r="B20">
        <v>6.7</v>
      </c>
      <c r="C20">
        <f t="shared" si="3"/>
        <v>34</v>
      </c>
      <c r="D20">
        <f t="shared" si="4"/>
        <v>67</v>
      </c>
      <c r="E20" t="str">
        <f t="shared" si="5"/>
        <v>34:67</v>
      </c>
      <c r="H20" s="1" t="s">
        <v>396</v>
      </c>
      <c r="I20" s="1" t="s">
        <v>401</v>
      </c>
      <c r="J20" t="str">
        <f t="shared" si="6"/>
        <v>32:64</v>
      </c>
      <c r="K20" s="1" t="s">
        <v>397</v>
      </c>
      <c r="L20" s="1" t="s">
        <v>402</v>
      </c>
      <c r="M20" t="str">
        <f t="shared" si="0"/>
        <v>34:67</v>
      </c>
      <c r="N20" s="1" t="s">
        <v>399</v>
      </c>
      <c r="O20" s="1" t="s">
        <v>347</v>
      </c>
      <c r="P20" t="str">
        <f t="shared" si="1"/>
        <v>35:71</v>
      </c>
      <c r="Q20" s="1" t="s">
        <v>400</v>
      </c>
      <c r="R20" s="1" t="s">
        <v>403</v>
      </c>
      <c r="S20" t="str">
        <f t="shared" si="2"/>
        <v>37:74</v>
      </c>
    </row>
    <row r="21" spans="1:19">
      <c r="A21">
        <v>97.8</v>
      </c>
      <c r="B21">
        <v>195.5</v>
      </c>
      <c r="C21">
        <f t="shared" si="3"/>
        <v>978</v>
      </c>
      <c r="D21">
        <f t="shared" si="4"/>
        <v>1955</v>
      </c>
      <c r="E21" t="str">
        <f t="shared" si="5"/>
        <v>978:1955</v>
      </c>
      <c r="H21" s="1" t="s">
        <v>408</v>
      </c>
      <c r="I21" s="1" t="s">
        <v>409</v>
      </c>
      <c r="J21" t="str">
        <f t="shared" si="6"/>
        <v>931:1862</v>
      </c>
      <c r="K21" s="1" t="s">
        <v>410</v>
      </c>
      <c r="L21" s="1" t="s">
        <v>411</v>
      </c>
      <c r="M21" t="str">
        <f t="shared" si="0"/>
        <v>978:1955</v>
      </c>
      <c r="N21" s="1" t="s">
        <v>412</v>
      </c>
      <c r="O21" s="1" t="s">
        <v>413</v>
      </c>
      <c r="P21" t="str">
        <f t="shared" si="1"/>
        <v>1024:2048</v>
      </c>
      <c r="Q21" s="1" t="s">
        <v>414</v>
      </c>
      <c r="R21" s="1" t="s">
        <v>415</v>
      </c>
      <c r="S21" t="str">
        <f t="shared" si="2"/>
        <v>1071:2142</v>
      </c>
    </row>
    <row r="22" spans="1:19">
      <c r="A22">
        <v>12.3</v>
      </c>
      <c r="B22">
        <v>24.7</v>
      </c>
      <c r="C22">
        <f t="shared" si="3"/>
        <v>123</v>
      </c>
      <c r="D22">
        <f t="shared" si="4"/>
        <v>247</v>
      </c>
      <c r="E22" t="str">
        <f t="shared" si="5"/>
        <v>123:247</v>
      </c>
      <c r="H22" s="1" t="s">
        <v>416</v>
      </c>
      <c r="I22" s="1" t="s">
        <v>417</v>
      </c>
      <c r="J22" t="str">
        <f t="shared" si="6"/>
        <v>118:235</v>
      </c>
      <c r="K22" s="1" t="s">
        <v>418</v>
      </c>
      <c r="L22" s="1" t="s">
        <v>419</v>
      </c>
      <c r="M22" t="str">
        <f t="shared" si="0"/>
        <v>123:247</v>
      </c>
      <c r="N22" s="1" t="s">
        <v>420</v>
      </c>
      <c r="O22" s="1" t="s">
        <v>421</v>
      </c>
      <c r="P22" t="str">
        <f t="shared" si="1"/>
        <v>129:259</v>
      </c>
      <c r="Q22" s="1" t="s">
        <v>422</v>
      </c>
      <c r="R22" s="1" t="s">
        <v>423</v>
      </c>
      <c r="S22" t="str">
        <f t="shared" si="2"/>
        <v>135:270</v>
      </c>
    </row>
    <row r="23" spans="1:19">
      <c r="A23">
        <v>7.8</v>
      </c>
      <c r="B23">
        <v>15.5</v>
      </c>
      <c r="C23">
        <f t="shared" si="3"/>
        <v>78</v>
      </c>
      <c r="D23">
        <f t="shared" si="4"/>
        <v>155</v>
      </c>
      <c r="E23" t="str">
        <f t="shared" si="5"/>
        <v>78:155</v>
      </c>
      <c r="H23" s="1" t="s">
        <v>403</v>
      </c>
      <c r="I23" s="1" t="s">
        <v>424</v>
      </c>
      <c r="J23" t="str">
        <f t="shared" si="6"/>
        <v>74:148</v>
      </c>
      <c r="K23" s="1" t="s">
        <v>350</v>
      </c>
      <c r="L23" s="1" t="s">
        <v>425</v>
      </c>
      <c r="M23" t="str">
        <f t="shared" si="0"/>
        <v>78:155</v>
      </c>
      <c r="N23" s="1" t="s">
        <v>426</v>
      </c>
      <c r="O23" s="1" t="s">
        <v>427</v>
      </c>
      <c r="P23" t="str">
        <f t="shared" si="1"/>
        <v>81:163</v>
      </c>
      <c r="Q23" s="1" t="s">
        <v>428</v>
      </c>
      <c r="R23" s="1" t="s">
        <v>429</v>
      </c>
      <c r="S23" t="str">
        <f t="shared" si="2"/>
        <v>85:169</v>
      </c>
    </row>
    <row r="24" spans="1:19">
      <c r="A24">
        <v>12.3</v>
      </c>
      <c r="B24">
        <v>24.7</v>
      </c>
      <c r="C24">
        <f t="shared" si="3"/>
        <v>123</v>
      </c>
      <c r="D24">
        <f t="shared" si="4"/>
        <v>247</v>
      </c>
      <c r="E24" t="str">
        <f t="shared" si="5"/>
        <v>123:247</v>
      </c>
      <c r="H24" s="1" t="s">
        <v>416</v>
      </c>
      <c r="I24" s="1" t="s">
        <v>417</v>
      </c>
      <c r="J24" t="str">
        <f t="shared" si="6"/>
        <v>118:235</v>
      </c>
      <c r="K24" s="1" t="s">
        <v>418</v>
      </c>
      <c r="L24" s="1" t="s">
        <v>419</v>
      </c>
      <c r="M24" t="str">
        <f t="shared" si="0"/>
        <v>123:247</v>
      </c>
      <c r="N24" s="1" t="s">
        <v>420</v>
      </c>
      <c r="O24" s="1" t="s">
        <v>421</v>
      </c>
      <c r="P24" t="str">
        <f t="shared" si="1"/>
        <v>129:259</v>
      </c>
      <c r="Q24" s="1" t="s">
        <v>422</v>
      </c>
      <c r="R24" s="1" t="s">
        <v>423</v>
      </c>
      <c r="S24" t="str">
        <f t="shared" si="2"/>
        <v>135:270</v>
      </c>
    </row>
    <row r="25" spans="1:19">
      <c r="A25">
        <v>7.8</v>
      </c>
      <c r="B25">
        <v>15.5</v>
      </c>
      <c r="C25">
        <f t="shared" si="3"/>
        <v>78</v>
      </c>
      <c r="D25">
        <f t="shared" si="4"/>
        <v>155</v>
      </c>
      <c r="E25" t="str">
        <f t="shared" si="5"/>
        <v>78:155</v>
      </c>
      <c r="H25" s="1" t="s">
        <v>403</v>
      </c>
      <c r="I25" s="1" t="s">
        <v>424</v>
      </c>
      <c r="J25" t="str">
        <f t="shared" si="6"/>
        <v>74:148</v>
      </c>
      <c r="K25" s="1" t="s">
        <v>350</v>
      </c>
      <c r="L25" s="1" t="s">
        <v>425</v>
      </c>
      <c r="M25" t="str">
        <f t="shared" si="0"/>
        <v>78:155</v>
      </c>
      <c r="N25" s="1" t="s">
        <v>426</v>
      </c>
      <c r="O25" s="1" t="s">
        <v>427</v>
      </c>
      <c r="P25" t="str">
        <f t="shared" si="1"/>
        <v>81:163</v>
      </c>
      <c r="Q25" s="1" t="s">
        <v>428</v>
      </c>
      <c r="R25" s="1" t="s">
        <v>429</v>
      </c>
      <c r="S25" t="str">
        <f t="shared" si="2"/>
        <v>85:169</v>
      </c>
    </row>
    <row r="26" spans="1:19">
      <c r="A26">
        <v>2.3</v>
      </c>
      <c r="B26">
        <v>4.6</v>
      </c>
      <c r="C26">
        <f t="shared" si="3"/>
        <v>23</v>
      </c>
      <c r="D26">
        <f t="shared" si="4"/>
        <v>46</v>
      </c>
      <c r="E26" t="str">
        <f t="shared" si="5"/>
        <v>23:46</v>
      </c>
      <c r="H26" s="1" t="s">
        <v>430</v>
      </c>
      <c r="I26" s="1" t="s">
        <v>431</v>
      </c>
      <c r="J26" t="str">
        <f t="shared" si="6"/>
        <v>22:44</v>
      </c>
      <c r="K26" s="1" t="s">
        <v>358</v>
      </c>
      <c r="L26" s="1" t="s">
        <v>363</v>
      </c>
      <c r="M26" t="str">
        <f t="shared" si="0"/>
        <v>23:46</v>
      </c>
      <c r="N26" s="1" t="s">
        <v>359</v>
      </c>
      <c r="O26" s="1" t="s">
        <v>364</v>
      </c>
      <c r="P26" t="str">
        <f t="shared" si="1"/>
        <v>24:48</v>
      </c>
      <c r="Q26" s="1" t="s">
        <v>361</v>
      </c>
      <c r="R26" s="1" t="s">
        <v>432</v>
      </c>
      <c r="S26" t="str">
        <f t="shared" si="2"/>
        <v>25:50</v>
      </c>
    </row>
    <row r="27" spans="1:19">
      <c r="A27">
        <v>4.6</v>
      </c>
      <c r="B27">
        <v>9.1</v>
      </c>
      <c r="C27">
        <f t="shared" si="3"/>
        <v>46</v>
      </c>
      <c r="D27">
        <f t="shared" si="4"/>
        <v>91</v>
      </c>
      <c r="E27" t="str">
        <f t="shared" si="5"/>
        <v>46:91</v>
      </c>
      <c r="H27" s="1" t="s">
        <v>431</v>
      </c>
      <c r="I27" s="1" t="s">
        <v>379</v>
      </c>
      <c r="J27" t="str">
        <f t="shared" si="6"/>
        <v>44:87</v>
      </c>
      <c r="K27" s="1" t="s">
        <v>363</v>
      </c>
      <c r="L27" s="1" t="s">
        <v>381</v>
      </c>
      <c r="M27" t="str">
        <f t="shared" si="0"/>
        <v>46:91</v>
      </c>
      <c r="N27" s="1" t="s">
        <v>364</v>
      </c>
      <c r="O27" s="1" t="s">
        <v>433</v>
      </c>
      <c r="P27" t="str">
        <f t="shared" si="1"/>
        <v>48:97</v>
      </c>
      <c r="Q27" s="1" t="s">
        <v>432</v>
      </c>
      <c r="R27" s="1" t="s">
        <v>434</v>
      </c>
      <c r="S27" t="str">
        <f t="shared" si="2"/>
        <v>50:101</v>
      </c>
    </row>
    <row r="28" spans="1:19">
      <c r="A28">
        <v>4.6</v>
      </c>
      <c r="B28">
        <v>9.1</v>
      </c>
      <c r="C28">
        <f t="shared" si="3"/>
        <v>46</v>
      </c>
      <c r="D28">
        <f t="shared" si="4"/>
        <v>91</v>
      </c>
      <c r="E28" t="str">
        <f t="shared" si="5"/>
        <v>46:91</v>
      </c>
      <c r="H28" s="1" t="s">
        <v>431</v>
      </c>
      <c r="I28" s="1" t="s">
        <v>379</v>
      </c>
      <c r="J28" t="str">
        <f t="shared" si="6"/>
        <v>44:87</v>
      </c>
      <c r="K28" s="1" t="s">
        <v>363</v>
      </c>
      <c r="L28" s="1" t="s">
        <v>381</v>
      </c>
      <c r="M28" t="str">
        <f t="shared" si="0"/>
        <v>46:91</v>
      </c>
      <c r="N28" s="1" t="s">
        <v>364</v>
      </c>
      <c r="O28" s="1" t="s">
        <v>433</v>
      </c>
      <c r="P28" t="str">
        <f t="shared" si="1"/>
        <v>48:97</v>
      </c>
      <c r="Q28" s="1" t="s">
        <v>432</v>
      </c>
      <c r="R28" s="1" t="s">
        <v>434</v>
      </c>
      <c r="S28" t="str">
        <f t="shared" si="2"/>
        <v>50:101</v>
      </c>
    </row>
    <row r="29" spans="1:19">
      <c r="A29">
        <v>0.9</v>
      </c>
      <c r="B29">
        <v>1.8</v>
      </c>
      <c r="C29">
        <f t="shared" si="3"/>
        <v>9</v>
      </c>
      <c r="D29">
        <f t="shared" si="4"/>
        <v>18</v>
      </c>
      <c r="E29" t="str">
        <f t="shared" si="5"/>
        <v>9:18</v>
      </c>
      <c r="H29" s="1" t="s">
        <v>368</v>
      </c>
      <c r="I29" s="1" t="s">
        <v>395</v>
      </c>
      <c r="J29" t="str">
        <f t="shared" si="6"/>
        <v>9:17</v>
      </c>
      <c r="K29" s="1" t="s">
        <v>368</v>
      </c>
      <c r="L29" s="1" t="s">
        <v>398</v>
      </c>
      <c r="M29" t="str">
        <f t="shared" si="0"/>
        <v>9:18</v>
      </c>
      <c r="N29" s="1" t="s">
        <v>369</v>
      </c>
      <c r="O29" s="1" t="s">
        <v>435</v>
      </c>
      <c r="P29" t="str">
        <f t="shared" si="1"/>
        <v>10:19</v>
      </c>
      <c r="Q29" s="1" t="s">
        <v>369</v>
      </c>
      <c r="R29" s="1" t="s">
        <v>436</v>
      </c>
      <c r="S29" t="str">
        <f t="shared" si="2"/>
        <v>10:20</v>
      </c>
    </row>
    <row r="30" spans="1:19">
      <c r="A30">
        <v>4.6</v>
      </c>
      <c r="B30">
        <v>9.1</v>
      </c>
      <c r="C30">
        <f t="shared" si="3"/>
        <v>46</v>
      </c>
      <c r="D30">
        <f t="shared" si="4"/>
        <v>91</v>
      </c>
      <c r="E30" t="str">
        <f t="shared" si="5"/>
        <v>46:91</v>
      </c>
      <c r="H30" s="1" t="s">
        <v>431</v>
      </c>
      <c r="I30" s="1" t="s">
        <v>379</v>
      </c>
      <c r="J30" t="str">
        <f t="shared" si="6"/>
        <v>44:87</v>
      </c>
      <c r="K30" s="1" t="s">
        <v>363</v>
      </c>
      <c r="L30" s="1" t="s">
        <v>381</v>
      </c>
      <c r="M30" t="str">
        <f t="shared" si="0"/>
        <v>46:91</v>
      </c>
      <c r="N30" s="1" t="s">
        <v>364</v>
      </c>
      <c r="O30" s="1" t="s">
        <v>433</v>
      </c>
      <c r="P30" t="str">
        <f t="shared" si="1"/>
        <v>48:97</v>
      </c>
      <c r="Q30" s="1" t="s">
        <v>432</v>
      </c>
      <c r="R30" s="1" t="s">
        <v>434</v>
      </c>
      <c r="S30" t="str">
        <f t="shared" si="2"/>
        <v>50:101</v>
      </c>
    </row>
    <row r="31" spans="1:19">
      <c r="A31">
        <v>123.5</v>
      </c>
      <c r="B31">
        <v>247</v>
      </c>
      <c r="C31">
        <f t="shared" si="3"/>
        <v>1235</v>
      </c>
      <c r="D31">
        <f t="shared" si="4"/>
        <v>2470</v>
      </c>
      <c r="E31" t="str">
        <f t="shared" si="5"/>
        <v>1235:2470</v>
      </c>
      <c r="H31" s="1" t="s">
        <v>437</v>
      </c>
      <c r="I31" s="1" t="s">
        <v>438</v>
      </c>
      <c r="J31" t="str">
        <f t="shared" si="6"/>
        <v>1176:2352</v>
      </c>
      <c r="K31" s="1" t="s">
        <v>439</v>
      </c>
      <c r="L31" s="1" t="s">
        <v>440</v>
      </c>
      <c r="M31" t="str">
        <f t="shared" si="0"/>
        <v>1235:2470</v>
      </c>
      <c r="N31" s="1" t="s">
        <v>441</v>
      </c>
      <c r="O31" s="1" t="s">
        <v>442</v>
      </c>
      <c r="P31" t="str">
        <f t="shared" si="1"/>
        <v>1294:2588</v>
      </c>
      <c r="Q31" s="1" t="s">
        <v>443</v>
      </c>
      <c r="R31" s="1" t="s">
        <v>444</v>
      </c>
      <c r="S31" t="str">
        <f t="shared" si="2"/>
        <v>1353:2705</v>
      </c>
    </row>
    <row r="32" spans="1:19">
      <c r="A32">
        <v>15.6</v>
      </c>
      <c r="B32">
        <v>31.2</v>
      </c>
      <c r="C32">
        <f t="shared" si="3"/>
        <v>156</v>
      </c>
      <c r="D32">
        <f t="shared" si="4"/>
        <v>312</v>
      </c>
      <c r="E32" t="str">
        <f t="shared" si="5"/>
        <v>156:312</v>
      </c>
      <c r="H32" s="1" t="s">
        <v>445</v>
      </c>
      <c r="I32" s="1" t="s">
        <v>446</v>
      </c>
      <c r="J32" t="str">
        <f t="shared" si="6"/>
        <v>149:297</v>
      </c>
      <c r="K32" s="1" t="s">
        <v>447</v>
      </c>
      <c r="L32" s="1" t="s">
        <v>448</v>
      </c>
      <c r="M32" t="str">
        <f t="shared" si="0"/>
        <v>156:312</v>
      </c>
      <c r="N32" s="1" t="s">
        <v>427</v>
      </c>
      <c r="O32" s="1" t="s">
        <v>449</v>
      </c>
      <c r="P32" t="str">
        <f t="shared" si="1"/>
        <v>163:327</v>
      </c>
      <c r="Q32" s="1" t="s">
        <v>450</v>
      </c>
      <c r="R32" s="1" t="s">
        <v>451</v>
      </c>
      <c r="S32" t="str">
        <f t="shared" si="2"/>
        <v>171:341</v>
      </c>
    </row>
    <row r="33" spans="1:19">
      <c r="A33">
        <v>9.8</v>
      </c>
      <c r="B33">
        <v>19.6</v>
      </c>
      <c r="C33">
        <f t="shared" si="3"/>
        <v>98</v>
      </c>
      <c r="D33">
        <f t="shared" si="4"/>
        <v>196</v>
      </c>
      <c r="E33" t="str">
        <f t="shared" si="5"/>
        <v>98:196</v>
      </c>
      <c r="H33" s="1" t="s">
        <v>452</v>
      </c>
      <c r="I33" s="1" t="s">
        <v>453</v>
      </c>
      <c r="J33" t="str">
        <f t="shared" si="6"/>
        <v>93:187</v>
      </c>
      <c r="K33" s="1" t="s">
        <v>454</v>
      </c>
      <c r="L33" s="1" t="s">
        <v>455</v>
      </c>
      <c r="M33" t="str">
        <f t="shared" si="0"/>
        <v>98:196</v>
      </c>
      <c r="N33" s="1" t="s">
        <v>456</v>
      </c>
      <c r="O33" s="1" t="s">
        <v>457</v>
      </c>
      <c r="P33" t="str">
        <f t="shared" si="1"/>
        <v>103:206</v>
      </c>
      <c r="Q33" s="1" t="s">
        <v>458</v>
      </c>
      <c r="R33" s="1" t="s">
        <v>459</v>
      </c>
      <c r="S33" t="str">
        <f t="shared" si="2"/>
        <v>108:214</v>
      </c>
    </row>
    <row r="34" spans="1:19">
      <c r="A34">
        <v>15.6</v>
      </c>
      <c r="B34">
        <v>31.2</v>
      </c>
      <c r="C34">
        <f t="shared" ref="C34:C65" si="7">A34*10</f>
        <v>156</v>
      </c>
      <c r="D34">
        <f t="shared" ref="D34:D65" si="8">B34*10</f>
        <v>312</v>
      </c>
      <c r="E34" t="str">
        <f t="shared" ref="E34:E65" si="9">C34&amp;":"&amp;D34</f>
        <v>156:312</v>
      </c>
      <c r="H34" s="1" t="s">
        <v>445</v>
      </c>
      <c r="I34" s="1" t="s">
        <v>446</v>
      </c>
      <c r="J34" t="str">
        <f t="shared" ref="J34:J65" si="10">H34&amp;":"&amp;I34</f>
        <v>149:297</v>
      </c>
      <c r="K34" s="1" t="s">
        <v>447</v>
      </c>
      <c r="L34" s="1" t="s">
        <v>448</v>
      </c>
      <c r="M34" t="str">
        <f t="shared" si="0"/>
        <v>156:312</v>
      </c>
      <c r="N34" s="1" t="s">
        <v>427</v>
      </c>
      <c r="O34" s="1" t="s">
        <v>449</v>
      </c>
      <c r="P34" t="str">
        <f t="shared" si="1"/>
        <v>163:327</v>
      </c>
      <c r="Q34" s="1" t="s">
        <v>450</v>
      </c>
      <c r="R34" s="1" t="s">
        <v>451</v>
      </c>
      <c r="S34" t="str">
        <f t="shared" si="2"/>
        <v>171:341</v>
      </c>
    </row>
    <row r="35" spans="1:19">
      <c r="A35">
        <v>9.8</v>
      </c>
      <c r="B35">
        <v>19.6</v>
      </c>
      <c r="C35">
        <f t="shared" si="7"/>
        <v>98</v>
      </c>
      <c r="D35">
        <f t="shared" si="8"/>
        <v>196</v>
      </c>
      <c r="E35" t="str">
        <f t="shared" si="9"/>
        <v>98:196</v>
      </c>
      <c r="H35" s="1" t="s">
        <v>452</v>
      </c>
      <c r="I35" s="1" t="s">
        <v>453</v>
      </c>
      <c r="J35" t="str">
        <f t="shared" si="10"/>
        <v>93:187</v>
      </c>
      <c r="K35" s="1" t="s">
        <v>454</v>
      </c>
      <c r="L35" s="1" t="s">
        <v>455</v>
      </c>
      <c r="M35" t="str">
        <f t="shared" si="0"/>
        <v>98:196</v>
      </c>
      <c r="N35" s="1" t="s">
        <v>456</v>
      </c>
      <c r="O35" s="1" t="s">
        <v>457</v>
      </c>
      <c r="P35" t="str">
        <f t="shared" si="1"/>
        <v>103:206</v>
      </c>
      <c r="Q35" s="1" t="s">
        <v>458</v>
      </c>
      <c r="R35" s="1" t="s">
        <v>459</v>
      </c>
      <c r="S35" t="str">
        <f t="shared" si="2"/>
        <v>108:214</v>
      </c>
    </row>
    <row r="36" spans="1:19">
      <c r="A36">
        <v>2.9</v>
      </c>
      <c r="B36">
        <v>5.8</v>
      </c>
      <c r="C36">
        <f t="shared" si="7"/>
        <v>29</v>
      </c>
      <c r="D36">
        <f t="shared" si="8"/>
        <v>58</v>
      </c>
      <c r="E36" t="str">
        <f t="shared" si="9"/>
        <v>29:58</v>
      </c>
      <c r="H36" s="1" t="s">
        <v>460</v>
      </c>
      <c r="I36" s="1" t="s">
        <v>387</v>
      </c>
      <c r="J36" t="str">
        <f t="shared" si="10"/>
        <v>28:55</v>
      </c>
      <c r="K36" s="1" t="s">
        <v>461</v>
      </c>
      <c r="L36" s="1" t="s">
        <v>462</v>
      </c>
      <c r="M36" t="str">
        <f t="shared" si="0"/>
        <v>29:58</v>
      </c>
      <c r="N36" s="1" t="s">
        <v>463</v>
      </c>
      <c r="O36" s="1" t="s">
        <v>391</v>
      </c>
      <c r="P36" t="str">
        <f t="shared" si="1"/>
        <v>31:60</v>
      </c>
      <c r="Q36" s="1" t="s">
        <v>396</v>
      </c>
      <c r="R36" s="1" t="s">
        <v>393</v>
      </c>
      <c r="S36" t="str">
        <f t="shared" si="2"/>
        <v>32:63</v>
      </c>
    </row>
    <row r="37" spans="1:19">
      <c r="A37">
        <v>5.8</v>
      </c>
      <c r="B37">
        <v>11.6</v>
      </c>
      <c r="C37">
        <f t="shared" si="7"/>
        <v>58</v>
      </c>
      <c r="D37">
        <f t="shared" si="8"/>
        <v>116</v>
      </c>
      <c r="E37" t="str">
        <f t="shared" si="9"/>
        <v>58:116</v>
      </c>
      <c r="H37" s="1" t="s">
        <v>387</v>
      </c>
      <c r="I37" s="1" t="s">
        <v>464</v>
      </c>
      <c r="J37" t="str">
        <f t="shared" si="10"/>
        <v>55:110</v>
      </c>
      <c r="K37" s="1" t="s">
        <v>462</v>
      </c>
      <c r="L37" s="1" t="s">
        <v>465</v>
      </c>
      <c r="M37" t="str">
        <f t="shared" si="0"/>
        <v>58:116</v>
      </c>
      <c r="N37" s="1" t="s">
        <v>391</v>
      </c>
      <c r="O37" s="1" t="s">
        <v>466</v>
      </c>
      <c r="P37" t="str">
        <f t="shared" si="1"/>
        <v>60:122</v>
      </c>
      <c r="Q37" s="1" t="s">
        <v>393</v>
      </c>
      <c r="R37" s="1" t="s">
        <v>467</v>
      </c>
      <c r="S37" t="str">
        <f t="shared" si="2"/>
        <v>63:127</v>
      </c>
    </row>
    <row r="38" spans="1:19">
      <c r="A38">
        <v>5.8</v>
      </c>
      <c r="B38">
        <v>11.6</v>
      </c>
      <c r="C38">
        <f t="shared" si="7"/>
        <v>58</v>
      </c>
      <c r="D38">
        <f t="shared" si="8"/>
        <v>116</v>
      </c>
      <c r="E38" t="str">
        <f t="shared" si="9"/>
        <v>58:116</v>
      </c>
      <c r="H38" s="1" t="s">
        <v>387</v>
      </c>
      <c r="I38" s="1" t="s">
        <v>464</v>
      </c>
      <c r="J38" t="str">
        <f t="shared" si="10"/>
        <v>55:110</v>
      </c>
      <c r="K38" s="1" t="s">
        <v>462</v>
      </c>
      <c r="L38" s="1" t="s">
        <v>465</v>
      </c>
      <c r="M38" t="str">
        <f t="shared" si="0"/>
        <v>58:116</v>
      </c>
      <c r="N38" s="1" t="s">
        <v>391</v>
      </c>
      <c r="O38" s="1" t="s">
        <v>466</v>
      </c>
      <c r="P38" t="str">
        <f t="shared" si="1"/>
        <v>60:122</v>
      </c>
      <c r="Q38" s="1" t="s">
        <v>393</v>
      </c>
      <c r="R38" s="1" t="s">
        <v>467</v>
      </c>
      <c r="S38" t="str">
        <f t="shared" si="2"/>
        <v>63:127</v>
      </c>
    </row>
    <row r="39" spans="1:19">
      <c r="A39">
        <v>1.2</v>
      </c>
      <c r="B39">
        <v>2.3</v>
      </c>
      <c r="C39">
        <f t="shared" si="7"/>
        <v>12</v>
      </c>
      <c r="D39">
        <f t="shared" si="8"/>
        <v>23</v>
      </c>
      <c r="E39" t="str">
        <f t="shared" si="9"/>
        <v>12:23</v>
      </c>
      <c r="H39" s="1" t="s">
        <v>370</v>
      </c>
      <c r="I39" s="1" t="s">
        <v>430</v>
      </c>
      <c r="J39" t="str">
        <f t="shared" si="10"/>
        <v>11:22</v>
      </c>
      <c r="K39" s="1" t="s">
        <v>357</v>
      </c>
      <c r="L39" s="1" t="s">
        <v>358</v>
      </c>
      <c r="M39" t="str">
        <f t="shared" si="0"/>
        <v>12:23</v>
      </c>
      <c r="N39" s="1" t="s">
        <v>357</v>
      </c>
      <c r="O39" s="1" t="s">
        <v>359</v>
      </c>
      <c r="P39" t="str">
        <f t="shared" si="1"/>
        <v>12:24</v>
      </c>
      <c r="Q39" s="1" t="s">
        <v>360</v>
      </c>
      <c r="R39" s="1" t="s">
        <v>361</v>
      </c>
      <c r="S39" t="str">
        <f t="shared" si="2"/>
        <v>13:25</v>
      </c>
    </row>
    <row r="40" spans="1:19">
      <c r="A40">
        <v>5.8</v>
      </c>
      <c r="B40">
        <v>11.6</v>
      </c>
      <c r="C40">
        <f t="shared" si="7"/>
        <v>58</v>
      </c>
      <c r="D40">
        <f t="shared" si="8"/>
        <v>116</v>
      </c>
      <c r="E40" t="str">
        <f t="shared" si="9"/>
        <v>58:116</v>
      </c>
      <c r="H40" s="1" t="s">
        <v>387</v>
      </c>
      <c r="I40" s="1" t="s">
        <v>464</v>
      </c>
      <c r="J40" t="str">
        <f t="shared" si="10"/>
        <v>55:110</v>
      </c>
      <c r="K40" s="1" t="s">
        <v>462</v>
      </c>
      <c r="L40" s="1" t="s">
        <v>465</v>
      </c>
      <c r="M40" t="str">
        <f t="shared" si="0"/>
        <v>58:116</v>
      </c>
      <c r="N40" s="1" t="s">
        <v>391</v>
      </c>
      <c r="O40" s="1" t="s">
        <v>466</v>
      </c>
      <c r="P40" t="str">
        <f t="shared" si="1"/>
        <v>60:122</v>
      </c>
      <c r="Q40" s="1" t="s">
        <v>393</v>
      </c>
      <c r="R40" s="1" t="s">
        <v>467</v>
      </c>
      <c r="S40" t="str">
        <f t="shared" si="2"/>
        <v>63:127</v>
      </c>
    </row>
    <row r="41" spans="1:19">
      <c r="A41">
        <v>149.3</v>
      </c>
      <c r="B41">
        <v>298.5</v>
      </c>
      <c r="C41">
        <f t="shared" si="7"/>
        <v>1493</v>
      </c>
      <c r="D41">
        <f t="shared" si="8"/>
        <v>2985</v>
      </c>
      <c r="E41" t="str">
        <f t="shared" si="9"/>
        <v>1493:2985</v>
      </c>
      <c r="H41" s="1" t="s">
        <v>468</v>
      </c>
      <c r="I41" s="1" t="s">
        <v>469</v>
      </c>
      <c r="J41" t="str">
        <f t="shared" si="10"/>
        <v>1421:2842</v>
      </c>
      <c r="K41" s="1" t="s">
        <v>470</v>
      </c>
      <c r="L41" s="1" t="s">
        <v>471</v>
      </c>
      <c r="M41" t="str">
        <f t="shared" si="0"/>
        <v>1493:2985</v>
      </c>
      <c r="N41" s="1" t="s">
        <v>472</v>
      </c>
      <c r="O41" s="1" t="s">
        <v>473</v>
      </c>
      <c r="P41" t="str">
        <f t="shared" si="1"/>
        <v>1563:3127</v>
      </c>
      <c r="Q41" s="1" t="s">
        <v>474</v>
      </c>
      <c r="R41" s="1" t="s">
        <v>475</v>
      </c>
      <c r="S41" t="str">
        <f t="shared" si="2"/>
        <v>1635:3269</v>
      </c>
    </row>
    <row r="42" spans="1:19">
      <c r="A42">
        <v>18.8</v>
      </c>
      <c r="B42">
        <v>37.7</v>
      </c>
      <c r="C42">
        <f t="shared" si="7"/>
        <v>188</v>
      </c>
      <c r="D42">
        <f t="shared" si="8"/>
        <v>377</v>
      </c>
      <c r="E42" t="str">
        <f t="shared" si="9"/>
        <v>188:377</v>
      </c>
      <c r="H42" s="1" t="s">
        <v>476</v>
      </c>
      <c r="I42" s="1" t="s">
        <v>477</v>
      </c>
      <c r="J42" t="str">
        <f t="shared" si="10"/>
        <v>180:359</v>
      </c>
      <c r="K42" s="1" t="s">
        <v>478</v>
      </c>
      <c r="L42" s="1" t="s">
        <v>479</v>
      </c>
      <c r="M42" t="str">
        <f t="shared" si="0"/>
        <v>188:377</v>
      </c>
      <c r="N42" s="1" t="s">
        <v>480</v>
      </c>
      <c r="O42" s="1" t="s">
        <v>481</v>
      </c>
      <c r="P42" t="str">
        <f t="shared" si="1"/>
        <v>197:395</v>
      </c>
      <c r="Q42" s="1" t="s">
        <v>457</v>
      </c>
      <c r="R42" s="1" t="s">
        <v>482</v>
      </c>
      <c r="S42" t="str">
        <f t="shared" si="2"/>
        <v>206:412</v>
      </c>
    </row>
    <row r="43" spans="1:19">
      <c r="A43">
        <v>11.9</v>
      </c>
      <c r="B43">
        <v>23.7</v>
      </c>
      <c r="C43">
        <f t="shared" si="7"/>
        <v>119</v>
      </c>
      <c r="D43">
        <f t="shared" si="8"/>
        <v>237</v>
      </c>
      <c r="E43" t="str">
        <f t="shared" si="9"/>
        <v>119:237</v>
      </c>
      <c r="H43" s="1" t="s">
        <v>483</v>
      </c>
      <c r="I43" s="1" t="s">
        <v>484</v>
      </c>
      <c r="J43" t="str">
        <f t="shared" si="10"/>
        <v>113:226</v>
      </c>
      <c r="K43" s="1" t="s">
        <v>485</v>
      </c>
      <c r="L43" s="1" t="s">
        <v>486</v>
      </c>
      <c r="M43" t="str">
        <f t="shared" si="0"/>
        <v>119:237</v>
      </c>
      <c r="N43" s="1" t="s">
        <v>342</v>
      </c>
      <c r="O43" s="1" t="s">
        <v>487</v>
      </c>
      <c r="P43" t="str">
        <f t="shared" si="1"/>
        <v>124:248</v>
      </c>
      <c r="Q43" s="1" t="s">
        <v>344</v>
      </c>
      <c r="R43" s="1" t="s">
        <v>421</v>
      </c>
      <c r="S43" t="str">
        <f t="shared" si="2"/>
        <v>130:259</v>
      </c>
    </row>
    <row r="44" spans="1:19">
      <c r="A44">
        <v>18.8</v>
      </c>
      <c r="B44">
        <v>37.7</v>
      </c>
      <c r="C44">
        <f t="shared" si="7"/>
        <v>188</v>
      </c>
      <c r="D44">
        <f t="shared" si="8"/>
        <v>377</v>
      </c>
      <c r="E44" t="str">
        <f t="shared" si="9"/>
        <v>188:377</v>
      </c>
      <c r="H44" s="1" t="s">
        <v>476</v>
      </c>
      <c r="I44" s="1" t="s">
        <v>477</v>
      </c>
      <c r="J44" t="str">
        <f t="shared" si="10"/>
        <v>180:359</v>
      </c>
      <c r="K44" s="1" t="s">
        <v>478</v>
      </c>
      <c r="L44" s="1" t="s">
        <v>479</v>
      </c>
      <c r="M44" t="str">
        <f t="shared" si="0"/>
        <v>188:377</v>
      </c>
      <c r="N44" s="1" t="s">
        <v>480</v>
      </c>
      <c r="O44" s="1" t="s">
        <v>481</v>
      </c>
      <c r="P44" t="str">
        <f t="shared" si="1"/>
        <v>197:395</v>
      </c>
      <c r="Q44" s="1" t="s">
        <v>457</v>
      </c>
      <c r="R44" s="1" t="s">
        <v>482</v>
      </c>
      <c r="S44" t="str">
        <f t="shared" si="2"/>
        <v>206:412</v>
      </c>
    </row>
    <row r="45" spans="1:19">
      <c r="A45">
        <v>11.9</v>
      </c>
      <c r="B45">
        <v>23.7</v>
      </c>
      <c r="C45">
        <f t="shared" si="7"/>
        <v>119</v>
      </c>
      <c r="D45">
        <f t="shared" si="8"/>
        <v>237</v>
      </c>
      <c r="E45" t="str">
        <f t="shared" si="9"/>
        <v>119:237</v>
      </c>
      <c r="H45" s="1" t="s">
        <v>483</v>
      </c>
      <c r="I45" s="1" t="s">
        <v>484</v>
      </c>
      <c r="J45" t="str">
        <f t="shared" si="10"/>
        <v>113:226</v>
      </c>
      <c r="K45" s="1" t="s">
        <v>485</v>
      </c>
      <c r="L45" s="1" t="s">
        <v>486</v>
      </c>
      <c r="M45" t="str">
        <f t="shared" si="0"/>
        <v>119:237</v>
      </c>
      <c r="N45" s="1" t="s">
        <v>342</v>
      </c>
      <c r="O45" s="1" t="s">
        <v>487</v>
      </c>
      <c r="P45" t="str">
        <f t="shared" si="1"/>
        <v>124:248</v>
      </c>
      <c r="Q45" s="1" t="s">
        <v>344</v>
      </c>
      <c r="R45" s="1" t="s">
        <v>421</v>
      </c>
      <c r="S45" t="str">
        <f t="shared" si="2"/>
        <v>130:259</v>
      </c>
    </row>
    <row r="46" spans="1:19">
      <c r="A46">
        <v>3.5</v>
      </c>
      <c r="B46">
        <v>7</v>
      </c>
      <c r="C46">
        <f t="shared" si="7"/>
        <v>35</v>
      </c>
      <c r="D46">
        <f t="shared" si="8"/>
        <v>70</v>
      </c>
      <c r="E46" t="str">
        <f t="shared" si="9"/>
        <v>35:70</v>
      </c>
      <c r="H46" s="1" t="s">
        <v>397</v>
      </c>
      <c r="I46" s="1" t="s">
        <v>402</v>
      </c>
      <c r="J46" t="str">
        <f t="shared" si="10"/>
        <v>34:67</v>
      </c>
      <c r="K46" s="1" t="s">
        <v>399</v>
      </c>
      <c r="L46" s="1" t="s">
        <v>488</v>
      </c>
      <c r="M46" t="str">
        <f t="shared" si="0"/>
        <v>35:70</v>
      </c>
      <c r="N46" s="1" t="s">
        <v>400</v>
      </c>
      <c r="O46" s="1" t="s">
        <v>489</v>
      </c>
      <c r="P46" t="str">
        <f t="shared" si="1"/>
        <v>37:73</v>
      </c>
      <c r="Q46" s="1" t="s">
        <v>490</v>
      </c>
      <c r="R46" s="1" t="s">
        <v>491</v>
      </c>
      <c r="S46" t="str">
        <f t="shared" si="2"/>
        <v>38:76</v>
      </c>
    </row>
    <row r="47" spans="1:19">
      <c r="A47">
        <v>7</v>
      </c>
      <c r="B47">
        <v>14</v>
      </c>
      <c r="C47">
        <f t="shared" si="7"/>
        <v>70</v>
      </c>
      <c r="D47">
        <f t="shared" si="8"/>
        <v>140</v>
      </c>
      <c r="E47" t="str">
        <f t="shared" si="9"/>
        <v>70:140</v>
      </c>
      <c r="H47" s="1" t="s">
        <v>402</v>
      </c>
      <c r="I47" s="1" t="s">
        <v>492</v>
      </c>
      <c r="J47" t="str">
        <f t="shared" si="10"/>
        <v>67:133</v>
      </c>
      <c r="K47" s="1" t="s">
        <v>488</v>
      </c>
      <c r="L47" s="1" t="s">
        <v>493</v>
      </c>
      <c r="M47" t="str">
        <f t="shared" si="0"/>
        <v>70:140</v>
      </c>
      <c r="N47" s="1" t="s">
        <v>489</v>
      </c>
      <c r="O47" s="1" t="s">
        <v>494</v>
      </c>
      <c r="P47" t="str">
        <f t="shared" si="1"/>
        <v>73:147</v>
      </c>
      <c r="Q47" s="1" t="s">
        <v>491</v>
      </c>
      <c r="R47" s="1" t="s">
        <v>495</v>
      </c>
      <c r="S47" t="str">
        <f t="shared" si="2"/>
        <v>76:154</v>
      </c>
    </row>
    <row r="48" spans="1:19">
      <c r="A48">
        <v>7</v>
      </c>
      <c r="B48">
        <v>14</v>
      </c>
      <c r="C48">
        <f t="shared" si="7"/>
        <v>70</v>
      </c>
      <c r="D48">
        <f t="shared" si="8"/>
        <v>140</v>
      </c>
      <c r="E48" t="str">
        <f t="shared" si="9"/>
        <v>70:140</v>
      </c>
      <c r="H48" s="1" t="s">
        <v>402</v>
      </c>
      <c r="I48" s="1" t="s">
        <v>492</v>
      </c>
      <c r="J48" t="str">
        <f t="shared" si="10"/>
        <v>67:133</v>
      </c>
      <c r="K48" s="1" t="s">
        <v>488</v>
      </c>
      <c r="L48" s="1" t="s">
        <v>493</v>
      </c>
      <c r="M48" t="str">
        <f t="shared" si="0"/>
        <v>70:140</v>
      </c>
      <c r="N48" s="1" t="s">
        <v>489</v>
      </c>
      <c r="O48" s="1" t="s">
        <v>494</v>
      </c>
      <c r="P48" t="str">
        <f t="shared" si="1"/>
        <v>73:147</v>
      </c>
      <c r="Q48" s="1" t="s">
        <v>491</v>
      </c>
      <c r="R48" s="1" t="s">
        <v>495</v>
      </c>
      <c r="S48" t="str">
        <f t="shared" si="2"/>
        <v>76:154</v>
      </c>
    </row>
    <row r="49" spans="1:19">
      <c r="A49">
        <v>1.4</v>
      </c>
      <c r="B49">
        <v>2.8</v>
      </c>
      <c r="C49">
        <f t="shared" si="7"/>
        <v>14</v>
      </c>
      <c r="D49">
        <f t="shared" si="8"/>
        <v>28</v>
      </c>
      <c r="E49" t="str">
        <f t="shared" si="9"/>
        <v>14:28</v>
      </c>
      <c r="H49" s="1" t="s">
        <v>360</v>
      </c>
      <c r="I49" s="1" t="s">
        <v>496</v>
      </c>
      <c r="J49" t="str">
        <f t="shared" si="10"/>
        <v>13:27</v>
      </c>
      <c r="K49" s="1" t="s">
        <v>406</v>
      </c>
      <c r="L49" s="1" t="s">
        <v>460</v>
      </c>
      <c r="M49" t="str">
        <f t="shared" si="0"/>
        <v>14:28</v>
      </c>
      <c r="N49" s="1" t="s">
        <v>407</v>
      </c>
      <c r="O49" s="1" t="s">
        <v>461</v>
      </c>
      <c r="P49" t="str">
        <f t="shared" si="1"/>
        <v>15:29</v>
      </c>
      <c r="Q49" s="1" t="s">
        <v>407</v>
      </c>
      <c r="R49" s="1" t="s">
        <v>463</v>
      </c>
      <c r="S49" t="str">
        <f t="shared" si="2"/>
        <v>15:31</v>
      </c>
    </row>
    <row r="50" spans="1:19">
      <c r="A50">
        <v>7</v>
      </c>
      <c r="B50">
        <v>14</v>
      </c>
      <c r="C50">
        <f t="shared" si="7"/>
        <v>70</v>
      </c>
      <c r="D50">
        <f t="shared" si="8"/>
        <v>140</v>
      </c>
      <c r="E50" t="str">
        <f t="shared" si="9"/>
        <v>70:140</v>
      </c>
      <c r="H50" s="1" t="s">
        <v>402</v>
      </c>
      <c r="I50" s="1" t="s">
        <v>492</v>
      </c>
      <c r="J50" t="str">
        <f t="shared" si="10"/>
        <v>67:133</v>
      </c>
      <c r="K50" s="1" t="s">
        <v>488</v>
      </c>
      <c r="L50" s="1" t="s">
        <v>493</v>
      </c>
      <c r="M50" t="str">
        <f t="shared" si="0"/>
        <v>70:140</v>
      </c>
      <c r="N50" s="1" t="s">
        <v>489</v>
      </c>
      <c r="O50" s="1" t="s">
        <v>494</v>
      </c>
      <c r="P50" t="str">
        <f t="shared" si="1"/>
        <v>73:147</v>
      </c>
      <c r="Q50" s="1" t="s">
        <v>491</v>
      </c>
      <c r="R50" s="1" t="s">
        <v>495</v>
      </c>
      <c r="S50" t="str">
        <f t="shared" si="2"/>
        <v>76:154</v>
      </c>
    </row>
    <row r="51" spans="1:19">
      <c r="A51">
        <v>175</v>
      </c>
      <c r="B51">
        <v>349.9</v>
      </c>
      <c r="C51">
        <f t="shared" si="7"/>
        <v>1750</v>
      </c>
      <c r="D51">
        <f t="shared" si="8"/>
        <v>3499</v>
      </c>
      <c r="E51" t="str">
        <f t="shared" si="9"/>
        <v>1750:3499</v>
      </c>
      <c r="H51" s="1" t="s">
        <v>497</v>
      </c>
      <c r="I51" s="1" t="s">
        <v>498</v>
      </c>
      <c r="J51" t="str">
        <f t="shared" si="10"/>
        <v>1666:3333</v>
      </c>
      <c r="K51" s="1" t="s">
        <v>499</v>
      </c>
      <c r="L51" s="1" t="s">
        <v>500</v>
      </c>
      <c r="M51" t="str">
        <f t="shared" si="0"/>
        <v>1750:3499</v>
      </c>
      <c r="N51" s="1" t="s">
        <v>501</v>
      </c>
      <c r="O51" s="1" t="s">
        <v>502</v>
      </c>
      <c r="P51" t="str">
        <f t="shared" si="1"/>
        <v>1833:3666</v>
      </c>
      <c r="Q51" s="1" t="s">
        <v>503</v>
      </c>
      <c r="R51" s="1" t="s">
        <v>504</v>
      </c>
      <c r="S51" t="str">
        <f t="shared" si="2"/>
        <v>1917:3833</v>
      </c>
    </row>
    <row r="52" spans="1:19">
      <c r="A52">
        <v>22.1</v>
      </c>
      <c r="B52">
        <v>44.2</v>
      </c>
      <c r="C52">
        <f t="shared" si="7"/>
        <v>221</v>
      </c>
      <c r="D52">
        <f t="shared" si="8"/>
        <v>442</v>
      </c>
      <c r="E52" t="str">
        <f t="shared" si="9"/>
        <v>221:442</v>
      </c>
      <c r="H52" s="1" t="s">
        <v>505</v>
      </c>
      <c r="I52" s="1" t="s">
        <v>506</v>
      </c>
      <c r="J52" t="str">
        <f t="shared" si="10"/>
        <v>210:421</v>
      </c>
      <c r="K52" s="1" t="s">
        <v>507</v>
      </c>
      <c r="L52" s="1" t="s">
        <v>508</v>
      </c>
      <c r="M52" t="str">
        <f t="shared" si="0"/>
        <v>221:442</v>
      </c>
      <c r="N52" s="1" t="s">
        <v>509</v>
      </c>
      <c r="O52" s="1" t="s">
        <v>510</v>
      </c>
      <c r="P52" t="str">
        <f t="shared" si="1"/>
        <v>231:463</v>
      </c>
      <c r="Q52" s="1" t="s">
        <v>511</v>
      </c>
      <c r="R52" s="1" t="s">
        <v>512</v>
      </c>
      <c r="S52" t="str">
        <f t="shared" si="2"/>
        <v>242:484</v>
      </c>
    </row>
    <row r="53" spans="1:19">
      <c r="A53">
        <v>13.9</v>
      </c>
      <c r="B53">
        <v>27.8</v>
      </c>
      <c r="C53">
        <f t="shared" si="7"/>
        <v>139</v>
      </c>
      <c r="D53">
        <f t="shared" si="8"/>
        <v>278</v>
      </c>
      <c r="E53" t="str">
        <f t="shared" si="9"/>
        <v>139:278</v>
      </c>
      <c r="H53" s="1" t="s">
        <v>513</v>
      </c>
      <c r="I53" s="1" t="s">
        <v>514</v>
      </c>
      <c r="J53" t="str">
        <f t="shared" si="10"/>
        <v>132:265</v>
      </c>
      <c r="K53" s="1" t="s">
        <v>515</v>
      </c>
      <c r="L53" s="1" t="s">
        <v>516</v>
      </c>
      <c r="M53" t="str">
        <f t="shared" si="0"/>
        <v>139:278</v>
      </c>
      <c r="N53" s="1" t="s">
        <v>517</v>
      </c>
      <c r="O53" s="1" t="s">
        <v>518</v>
      </c>
      <c r="P53" t="str">
        <f t="shared" si="1"/>
        <v>146:291</v>
      </c>
      <c r="Q53" s="1" t="s">
        <v>519</v>
      </c>
      <c r="R53" s="1" t="s">
        <v>520</v>
      </c>
      <c r="S53" t="str">
        <f t="shared" si="2"/>
        <v>152:304</v>
      </c>
    </row>
    <row r="54" spans="1:19">
      <c r="A54">
        <v>22.1</v>
      </c>
      <c r="B54">
        <v>44.2</v>
      </c>
      <c r="C54">
        <f t="shared" si="7"/>
        <v>221</v>
      </c>
      <c r="D54">
        <f t="shared" si="8"/>
        <v>442</v>
      </c>
      <c r="E54" t="str">
        <f t="shared" si="9"/>
        <v>221:442</v>
      </c>
      <c r="H54" s="1" t="s">
        <v>505</v>
      </c>
      <c r="I54" s="1" t="s">
        <v>506</v>
      </c>
      <c r="J54" t="str">
        <f t="shared" si="10"/>
        <v>210:421</v>
      </c>
      <c r="K54" s="1" t="s">
        <v>507</v>
      </c>
      <c r="L54" s="1" t="s">
        <v>508</v>
      </c>
      <c r="M54" t="str">
        <f t="shared" si="0"/>
        <v>221:442</v>
      </c>
      <c r="N54" s="1" t="s">
        <v>509</v>
      </c>
      <c r="O54" s="1" t="s">
        <v>510</v>
      </c>
      <c r="P54" t="str">
        <f t="shared" si="1"/>
        <v>231:463</v>
      </c>
      <c r="Q54" s="1" t="s">
        <v>511</v>
      </c>
      <c r="R54" s="1" t="s">
        <v>512</v>
      </c>
      <c r="S54" t="str">
        <f t="shared" si="2"/>
        <v>242:484</v>
      </c>
    </row>
    <row r="55" spans="1:19">
      <c r="A55">
        <v>13.9</v>
      </c>
      <c r="B55">
        <v>27.8</v>
      </c>
      <c r="C55">
        <f t="shared" si="7"/>
        <v>139</v>
      </c>
      <c r="D55">
        <f t="shared" si="8"/>
        <v>278</v>
      </c>
      <c r="E55" t="str">
        <f t="shared" si="9"/>
        <v>139:278</v>
      </c>
      <c r="H55" s="1" t="s">
        <v>513</v>
      </c>
      <c r="I55" s="1" t="s">
        <v>514</v>
      </c>
      <c r="J55" t="str">
        <f t="shared" si="10"/>
        <v>132:265</v>
      </c>
      <c r="K55" s="1" t="s">
        <v>515</v>
      </c>
      <c r="L55" s="1" t="s">
        <v>516</v>
      </c>
      <c r="M55" t="str">
        <f t="shared" si="0"/>
        <v>139:278</v>
      </c>
      <c r="N55" s="1" t="s">
        <v>517</v>
      </c>
      <c r="O55" s="1" t="s">
        <v>518</v>
      </c>
      <c r="P55" t="str">
        <f t="shared" si="1"/>
        <v>146:291</v>
      </c>
      <c r="Q55" s="1" t="s">
        <v>519</v>
      </c>
      <c r="R55" s="1" t="s">
        <v>520</v>
      </c>
      <c r="S55" t="str">
        <f t="shared" si="2"/>
        <v>152:304</v>
      </c>
    </row>
    <row r="56" spans="1:19">
      <c r="A56">
        <v>4.1</v>
      </c>
      <c r="B56">
        <v>8.2</v>
      </c>
      <c r="C56">
        <f t="shared" si="7"/>
        <v>41</v>
      </c>
      <c r="D56">
        <f t="shared" si="8"/>
        <v>82</v>
      </c>
      <c r="E56" t="str">
        <f t="shared" si="9"/>
        <v>41:82</v>
      </c>
      <c r="H56" s="1" t="s">
        <v>521</v>
      </c>
      <c r="I56" s="1" t="s">
        <v>350</v>
      </c>
      <c r="J56" t="str">
        <f t="shared" si="10"/>
        <v>40:78</v>
      </c>
      <c r="K56" s="1" t="s">
        <v>351</v>
      </c>
      <c r="L56" s="1" t="s">
        <v>352</v>
      </c>
      <c r="M56" t="str">
        <f t="shared" si="0"/>
        <v>41:82</v>
      </c>
      <c r="N56" s="1" t="s">
        <v>353</v>
      </c>
      <c r="O56" s="1" t="s">
        <v>354</v>
      </c>
      <c r="P56" t="str">
        <f t="shared" si="1"/>
        <v>43:86</v>
      </c>
      <c r="Q56" s="1" t="s">
        <v>355</v>
      </c>
      <c r="R56" s="1" t="s">
        <v>356</v>
      </c>
      <c r="S56" t="str">
        <f t="shared" si="2"/>
        <v>45:89</v>
      </c>
    </row>
    <row r="57" spans="1:19">
      <c r="A57">
        <v>8.2</v>
      </c>
      <c r="B57">
        <v>16.4</v>
      </c>
      <c r="C57">
        <f t="shared" si="7"/>
        <v>82</v>
      </c>
      <c r="D57">
        <f t="shared" si="8"/>
        <v>164</v>
      </c>
      <c r="E57" t="str">
        <f t="shared" si="9"/>
        <v>82:164</v>
      </c>
      <c r="H57" s="1" t="s">
        <v>350</v>
      </c>
      <c r="I57" s="1" t="s">
        <v>447</v>
      </c>
      <c r="J57" t="str">
        <f t="shared" si="10"/>
        <v>78:156</v>
      </c>
      <c r="K57" s="1" t="s">
        <v>352</v>
      </c>
      <c r="L57" s="1" t="s">
        <v>522</v>
      </c>
      <c r="M57" t="str">
        <f t="shared" si="0"/>
        <v>82:164</v>
      </c>
      <c r="N57" s="1" t="s">
        <v>354</v>
      </c>
      <c r="O57" s="1" t="s">
        <v>523</v>
      </c>
      <c r="P57" t="str">
        <f t="shared" si="1"/>
        <v>86:172</v>
      </c>
      <c r="Q57" s="1" t="s">
        <v>356</v>
      </c>
      <c r="R57" s="1" t="s">
        <v>476</v>
      </c>
      <c r="S57" t="str">
        <f t="shared" si="2"/>
        <v>89:180</v>
      </c>
    </row>
    <row r="58" spans="1:19">
      <c r="A58">
        <v>8.2</v>
      </c>
      <c r="B58">
        <v>16.4</v>
      </c>
      <c r="C58">
        <f t="shared" si="7"/>
        <v>82</v>
      </c>
      <c r="D58">
        <f t="shared" si="8"/>
        <v>164</v>
      </c>
      <c r="E58" t="str">
        <f t="shared" si="9"/>
        <v>82:164</v>
      </c>
      <c r="H58" s="1" t="s">
        <v>350</v>
      </c>
      <c r="I58" s="1" t="s">
        <v>447</v>
      </c>
      <c r="J58" t="str">
        <f t="shared" si="10"/>
        <v>78:156</v>
      </c>
      <c r="K58" s="1" t="s">
        <v>352</v>
      </c>
      <c r="L58" s="1" t="s">
        <v>522</v>
      </c>
      <c r="M58" t="str">
        <f t="shared" si="0"/>
        <v>82:164</v>
      </c>
      <c r="N58" s="1" t="s">
        <v>354</v>
      </c>
      <c r="O58" s="1" t="s">
        <v>523</v>
      </c>
      <c r="P58" t="str">
        <f t="shared" si="1"/>
        <v>86:172</v>
      </c>
      <c r="Q58" s="1" t="s">
        <v>356</v>
      </c>
      <c r="R58" s="1" t="s">
        <v>476</v>
      </c>
      <c r="S58" t="str">
        <f t="shared" si="2"/>
        <v>89:180</v>
      </c>
    </row>
    <row r="59" spans="1:19">
      <c r="A59">
        <v>1.6</v>
      </c>
      <c r="B59">
        <v>3.3</v>
      </c>
      <c r="C59">
        <f t="shared" si="7"/>
        <v>16</v>
      </c>
      <c r="D59">
        <f t="shared" si="8"/>
        <v>33</v>
      </c>
      <c r="E59" t="str">
        <f t="shared" si="9"/>
        <v>16:33</v>
      </c>
      <c r="H59" s="1" t="s">
        <v>524</v>
      </c>
      <c r="I59" s="1" t="s">
        <v>463</v>
      </c>
      <c r="J59" t="str">
        <f t="shared" si="10"/>
        <v>16:31</v>
      </c>
      <c r="K59" s="1" t="s">
        <v>524</v>
      </c>
      <c r="L59" s="1" t="s">
        <v>525</v>
      </c>
      <c r="M59" t="str">
        <f t="shared" si="0"/>
        <v>16:33</v>
      </c>
      <c r="N59" s="1" t="s">
        <v>395</v>
      </c>
      <c r="O59" s="1" t="s">
        <v>397</v>
      </c>
      <c r="P59" t="str">
        <f t="shared" si="1"/>
        <v>17:34</v>
      </c>
      <c r="Q59" s="1" t="s">
        <v>398</v>
      </c>
      <c r="R59" s="1" t="s">
        <v>526</v>
      </c>
      <c r="S59" t="str">
        <f t="shared" si="2"/>
        <v>18:36</v>
      </c>
    </row>
    <row r="60" spans="1:19">
      <c r="A60">
        <v>8.2</v>
      </c>
      <c r="B60">
        <v>16.4</v>
      </c>
      <c r="C60">
        <f t="shared" si="7"/>
        <v>82</v>
      </c>
      <c r="D60">
        <f t="shared" si="8"/>
        <v>164</v>
      </c>
      <c r="E60" t="str">
        <f t="shared" si="9"/>
        <v>82:164</v>
      </c>
      <c r="H60" s="1" t="s">
        <v>350</v>
      </c>
      <c r="I60" s="1" t="s">
        <v>447</v>
      </c>
      <c r="J60" t="str">
        <f t="shared" si="10"/>
        <v>78:156</v>
      </c>
      <c r="K60" s="1" t="s">
        <v>352</v>
      </c>
      <c r="L60" s="1" t="s">
        <v>522</v>
      </c>
      <c r="M60" t="str">
        <f t="shared" si="0"/>
        <v>82:164</v>
      </c>
      <c r="N60" s="1" t="s">
        <v>354</v>
      </c>
      <c r="O60" s="1" t="s">
        <v>523</v>
      </c>
      <c r="P60" t="str">
        <f t="shared" si="1"/>
        <v>86:172</v>
      </c>
      <c r="Q60" s="1" t="s">
        <v>356</v>
      </c>
      <c r="R60" s="1" t="s">
        <v>476</v>
      </c>
      <c r="S60" t="str">
        <f t="shared" si="2"/>
        <v>89:180</v>
      </c>
    </row>
    <row r="61" spans="1:19">
      <c r="A61">
        <v>200.7</v>
      </c>
      <c r="B61">
        <v>401.4</v>
      </c>
      <c r="C61">
        <f t="shared" si="7"/>
        <v>2007</v>
      </c>
      <c r="D61">
        <f t="shared" si="8"/>
        <v>4014</v>
      </c>
      <c r="E61" t="str">
        <f t="shared" si="9"/>
        <v>2007:4014</v>
      </c>
      <c r="H61" s="1" t="s">
        <v>527</v>
      </c>
      <c r="I61" s="1" t="s">
        <v>528</v>
      </c>
      <c r="J61" t="str">
        <f t="shared" si="10"/>
        <v>1911:3823</v>
      </c>
      <c r="K61" s="1" t="s">
        <v>529</v>
      </c>
      <c r="L61" s="1" t="s">
        <v>530</v>
      </c>
      <c r="M61" t="str">
        <f t="shared" si="0"/>
        <v>2007:4014</v>
      </c>
      <c r="N61" s="1" t="s">
        <v>531</v>
      </c>
      <c r="O61" s="1" t="s">
        <v>532</v>
      </c>
      <c r="P61" t="str">
        <f t="shared" si="1"/>
        <v>2103:4205</v>
      </c>
      <c r="Q61" s="1" t="s">
        <v>533</v>
      </c>
      <c r="R61" s="1" t="s">
        <v>534</v>
      </c>
      <c r="S61" t="str">
        <f t="shared" si="2"/>
        <v>2199:4396</v>
      </c>
    </row>
    <row r="62" spans="1:19">
      <c r="A62">
        <v>25.3</v>
      </c>
      <c r="B62">
        <v>50.7</v>
      </c>
      <c r="C62">
        <f t="shared" si="7"/>
        <v>253</v>
      </c>
      <c r="D62">
        <f t="shared" si="8"/>
        <v>507</v>
      </c>
      <c r="E62" t="str">
        <f t="shared" si="9"/>
        <v>253:507</v>
      </c>
      <c r="H62" s="1" t="s">
        <v>535</v>
      </c>
      <c r="I62" s="1" t="s">
        <v>536</v>
      </c>
      <c r="J62" t="str">
        <f t="shared" si="10"/>
        <v>241:483</v>
      </c>
      <c r="K62" s="1" t="s">
        <v>537</v>
      </c>
      <c r="L62" s="1" t="s">
        <v>538</v>
      </c>
      <c r="M62" t="str">
        <f t="shared" si="0"/>
        <v>253:507</v>
      </c>
      <c r="N62" s="1" t="s">
        <v>514</v>
      </c>
      <c r="O62" s="1" t="s">
        <v>539</v>
      </c>
      <c r="P62" t="str">
        <f t="shared" si="1"/>
        <v>265:531</v>
      </c>
      <c r="Q62" s="1" t="s">
        <v>540</v>
      </c>
      <c r="R62" s="1" t="s">
        <v>541</v>
      </c>
      <c r="S62" t="str">
        <f t="shared" si="2"/>
        <v>277:555</v>
      </c>
    </row>
    <row r="63" spans="1:19">
      <c r="A63">
        <v>15.9</v>
      </c>
      <c r="B63">
        <v>31.9</v>
      </c>
      <c r="C63">
        <f t="shared" si="7"/>
        <v>159</v>
      </c>
      <c r="D63">
        <f t="shared" si="8"/>
        <v>319</v>
      </c>
      <c r="E63" t="str">
        <f t="shared" si="9"/>
        <v>159:319</v>
      </c>
      <c r="H63" s="1" t="s">
        <v>519</v>
      </c>
      <c r="I63" s="1" t="s">
        <v>542</v>
      </c>
      <c r="J63" t="str">
        <f t="shared" si="10"/>
        <v>152:303</v>
      </c>
      <c r="K63" s="1" t="s">
        <v>543</v>
      </c>
      <c r="L63" s="1" t="s">
        <v>544</v>
      </c>
      <c r="M63" t="str">
        <f t="shared" si="0"/>
        <v>159:319</v>
      </c>
      <c r="N63" s="1" t="s">
        <v>545</v>
      </c>
      <c r="O63" s="1" t="s">
        <v>546</v>
      </c>
      <c r="P63" t="str">
        <f t="shared" si="1"/>
        <v>167:334</v>
      </c>
      <c r="Q63" s="1" t="s">
        <v>547</v>
      </c>
      <c r="R63" s="1" t="s">
        <v>548</v>
      </c>
      <c r="S63" t="str">
        <f t="shared" si="2"/>
        <v>175:348</v>
      </c>
    </row>
    <row r="64" spans="1:19">
      <c r="A64">
        <v>25.3</v>
      </c>
      <c r="B64">
        <v>50.7</v>
      </c>
      <c r="C64">
        <f t="shared" si="7"/>
        <v>253</v>
      </c>
      <c r="D64">
        <f t="shared" si="8"/>
        <v>507</v>
      </c>
      <c r="E64" t="str">
        <f t="shared" si="9"/>
        <v>253:507</v>
      </c>
      <c r="H64" s="1" t="s">
        <v>535</v>
      </c>
      <c r="I64" s="1" t="s">
        <v>536</v>
      </c>
      <c r="J64" t="str">
        <f t="shared" si="10"/>
        <v>241:483</v>
      </c>
      <c r="K64" s="1" t="s">
        <v>537</v>
      </c>
      <c r="L64" s="1" t="s">
        <v>538</v>
      </c>
      <c r="M64" t="str">
        <f t="shared" si="0"/>
        <v>253:507</v>
      </c>
      <c r="N64" s="1" t="s">
        <v>514</v>
      </c>
      <c r="O64" s="1" t="s">
        <v>539</v>
      </c>
      <c r="P64" t="str">
        <f t="shared" si="1"/>
        <v>265:531</v>
      </c>
      <c r="Q64" s="1" t="s">
        <v>540</v>
      </c>
      <c r="R64" s="1" t="s">
        <v>541</v>
      </c>
      <c r="S64" t="str">
        <f t="shared" si="2"/>
        <v>277:555</v>
      </c>
    </row>
    <row r="65" spans="1:19">
      <c r="A65">
        <v>15.9</v>
      </c>
      <c r="B65">
        <v>31.9</v>
      </c>
      <c r="C65">
        <f t="shared" si="7"/>
        <v>159</v>
      </c>
      <c r="D65">
        <f t="shared" si="8"/>
        <v>319</v>
      </c>
      <c r="E65" t="str">
        <f t="shared" si="9"/>
        <v>159:319</v>
      </c>
      <c r="H65" s="1" t="s">
        <v>519</v>
      </c>
      <c r="I65" s="1" t="s">
        <v>542</v>
      </c>
      <c r="J65" t="str">
        <f t="shared" si="10"/>
        <v>152:303</v>
      </c>
      <c r="K65" s="1" t="s">
        <v>543</v>
      </c>
      <c r="L65" s="1" t="s">
        <v>544</v>
      </c>
      <c r="M65" t="str">
        <f t="shared" ref="M65:M128" si="11">K65&amp;":"&amp;L65</f>
        <v>159:319</v>
      </c>
      <c r="N65" s="1" t="s">
        <v>545</v>
      </c>
      <c r="O65" s="1" t="s">
        <v>546</v>
      </c>
      <c r="P65" t="str">
        <f t="shared" ref="P65:P128" si="12">N65&amp;":"&amp;O65</f>
        <v>167:334</v>
      </c>
      <c r="Q65" s="1" t="s">
        <v>547</v>
      </c>
      <c r="R65" s="1" t="s">
        <v>548</v>
      </c>
      <c r="S65" t="str">
        <f t="shared" ref="S65:S128" si="13">Q65&amp;":"&amp;R65</f>
        <v>175:348</v>
      </c>
    </row>
    <row r="66" spans="1:19">
      <c r="A66">
        <v>4.7</v>
      </c>
      <c r="B66">
        <v>9.4</v>
      </c>
      <c r="C66">
        <f t="shared" ref="C66:C97" si="14">A66*10</f>
        <v>47</v>
      </c>
      <c r="D66">
        <f t="shared" ref="D66:D97" si="15">B66*10</f>
        <v>94</v>
      </c>
      <c r="E66" t="str">
        <f t="shared" ref="E66:E97" si="16">C66&amp;":"&amp;D66</f>
        <v>47:94</v>
      </c>
      <c r="H66" s="1" t="s">
        <v>355</v>
      </c>
      <c r="I66" s="1" t="s">
        <v>549</v>
      </c>
      <c r="J66" t="str">
        <f t="shared" ref="J66:J97" si="17">H66&amp;":"&amp;I66</f>
        <v>45:90</v>
      </c>
      <c r="K66" s="1" t="s">
        <v>550</v>
      </c>
      <c r="L66" s="1" t="s">
        <v>551</v>
      </c>
      <c r="M66" t="str">
        <f t="shared" si="11"/>
        <v>47:94</v>
      </c>
      <c r="N66" s="1" t="s">
        <v>432</v>
      </c>
      <c r="O66" s="1" t="s">
        <v>454</v>
      </c>
      <c r="P66" t="str">
        <f t="shared" si="12"/>
        <v>50:98</v>
      </c>
      <c r="Q66" s="1" t="s">
        <v>365</v>
      </c>
      <c r="R66" s="1" t="s">
        <v>456</v>
      </c>
      <c r="S66" t="str">
        <f t="shared" si="13"/>
        <v>51:103</v>
      </c>
    </row>
    <row r="67" spans="1:19">
      <c r="A67">
        <v>9.4</v>
      </c>
      <c r="B67">
        <v>18.8</v>
      </c>
      <c r="C67">
        <f t="shared" si="14"/>
        <v>94</v>
      </c>
      <c r="D67">
        <f t="shared" si="15"/>
        <v>188</v>
      </c>
      <c r="E67" t="str">
        <f t="shared" si="16"/>
        <v>94:188</v>
      </c>
      <c r="H67" s="1" t="s">
        <v>549</v>
      </c>
      <c r="I67" s="1" t="s">
        <v>552</v>
      </c>
      <c r="J67" t="str">
        <f t="shared" si="17"/>
        <v>90:179</v>
      </c>
      <c r="K67" s="1" t="s">
        <v>551</v>
      </c>
      <c r="L67" s="1" t="s">
        <v>478</v>
      </c>
      <c r="M67" t="str">
        <f t="shared" si="11"/>
        <v>94:188</v>
      </c>
      <c r="N67" s="1" t="s">
        <v>454</v>
      </c>
      <c r="O67" s="1" t="s">
        <v>553</v>
      </c>
      <c r="P67" t="str">
        <f t="shared" si="12"/>
        <v>98:198</v>
      </c>
      <c r="Q67" s="1" t="s">
        <v>456</v>
      </c>
      <c r="R67" s="1" t="s">
        <v>457</v>
      </c>
      <c r="S67" t="str">
        <f t="shared" si="13"/>
        <v>103:206</v>
      </c>
    </row>
    <row r="68" spans="1:19">
      <c r="A68">
        <v>9.4</v>
      </c>
      <c r="B68">
        <v>18.8</v>
      </c>
      <c r="C68">
        <f t="shared" si="14"/>
        <v>94</v>
      </c>
      <c r="D68">
        <f t="shared" si="15"/>
        <v>188</v>
      </c>
      <c r="E68" t="str">
        <f t="shared" si="16"/>
        <v>94:188</v>
      </c>
      <c r="H68" s="1" t="s">
        <v>549</v>
      </c>
      <c r="I68" s="1" t="s">
        <v>552</v>
      </c>
      <c r="J68" t="str">
        <f t="shared" si="17"/>
        <v>90:179</v>
      </c>
      <c r="K68" s="1" t="s">
        <v>551</v>
      </c>
      <c r="L68" s="1" t="s">
        <v>478</v>
      </c>
      <c r="M68" t="str">
        <f t="shared" si="11"/>
        <v>94:188</v>
      </c>
      <c r="N68" s="1" t="s">
        <v>454</v>
      </c>
      <c r="O68" s="1" t="s">
        <v>553</v>
      </c>
      <c r="P68" t="str">
        <f t="shared" si="12"/>
        <v>98:198</v>
      </c>
      <c r="Q68" s="1" t="s">
        <v>456</v>
      </c>
      <c r="R68" s="1" t="s">
        <v>457</v>
      </c>
      <c r="S68" t="str">
        <f t="shared" si="13"/>
        <v>103:206</v>
      </c>
    </row>
    <row r="69" spans="1:19">
      <c r="A69">
        <v>1.9</v>
      </c>
      <c r="B69">
        <v>3.8</v>
      </c>
      <c r="C69">
        <f t="shared" si="14"/>
        <v>19</v>
      </c>
      <c r="D69">
        <f t="shared" si="15"/>
        <v>38</v>
      </c>
      <c r="E69" t="str">
        <f t="shared" si="16"/>
        <v>19:38</v>
      </c>
      <c r="H69" s="1" t="s">
        <v>398</v>
      </c>
      <c r="I69" s="1" t="s">
        <v>526</v>
      </c>
      <c r="J69" t="str">
        <f t="shared" si="17"/>
        <v>18:36</v>
      </c>
      <c r="K69" s="1" t="s">
        <v>435</v>
      </c>
      <c r="L69" s="1" t="s">
        <v>490</v>
      </c>
      <c r="M69" t="str">
        <f t="shared" si="11"/>
        <v>19:38</v>
      </c>
      <c r="N69" s="1" t="s">
        <v>436</v>
      </c>
      <c r="O69" s="1" t="s">
        <v>521</v>
      </c>
      <c r="P69" t="str">
        <f t="shared" si="12"/>
        <v>20:40</v>
      </c>
      <c r="Q69" s="1" t="s">
        <v>554</v>
      </c>
      <c r="R69" s="1" t="s">
        <v>351</v>
      </c>
      <c r="S69" t="str">
        <f t="shared" si="13"/>
        <v>21:41</v>
      </c>
    </row>
    <row r="70" spans="1:19">
      <c r="A70">
        <v>9.4</v>
      </c>
      <c r="B70">
        <v>18.8</v>
      </c>
      <c r="C70">
        <f t="shared" si="14"/>
        <v>94</v>
      </c>
      <c r="D70">
        <f t="shared" si="15"/>
        <v>188</v>
      </c>
      <c r="E70" t="str">
        <f t="shared" si="16"/>
        <v>94:188</v>
      </c>
      <c r="H70" s="1" t="s">
        <v>549</v>
      </c>
      <c r="I70" s="1" t="s">
        <v>552</v>
      </c>
      <c r="J70" t="str">
        <f t="shared" si="17"/>
        <v>90:179</v>
      </c>
      <c r="K70" s="1" t="s">
        <v>551</v>
      </c>
      <c r="L70" s="1" t="s">
        <v>478</v>
      </c>
      <c r="M70" t="str">
        <f t="shared" si="11"/>
        <v>94:188</v>
      </c>
      <c r="N70" s="1" t="s">
        <v>454</v>
      </c>
      <c r="O70" s="1" t="s">
        <v>553</v>
      </c>
      <c r="P70" t="str">
        <f t="shared" si="12"/>
        <v>98:198</v>
      </c>
      <c r="Q70" s="1" t="s">
        <v>456</v>
      </c>
      <c r="R70" s="1" t="s">
        <v>457</v>
      </c>
      <c r="S70" t="str">
        <f t="shared" si="13"/>
        <v>103:206</v>
      </c>
    </row>
    <row r="71" spans="1:19">
      <c r="A71">
        <v>277.9</v>
      </c>
      <c r="B71">
        <v>555.8</v>
      </c>
      <c r="C71">
        <f t="shared" si="14"/>
        <v>2779</v>
      </c>
      <c r="D71">
        <f t="shared" si="15"/>
        <v>5558</v>
      </c>
      <c r="E71" t="str">
        <f t="shared" si="16"/>
        <v>2779:5558</v>
      </c>
      <c r="H71" s="1" t="s">
        <v>555</v>
      </c>
      <c r="I71" s="1" t="s">
        <v>556</v>
      </c>
      <c r="J71" t="str">
        <f t="shared" si="17"/>
        <v>2156:4313</v>
      </c>
      <c r="K71" s="1" t="s">
        <v>557</v>
      </c>
      <c r="L71" s="1" t="s">
        <v>558</v>
      </c>
      <c r="M71" t="str">
        <f t="shared" si="11"/>
        <v>2265:4529</v>
      </c>
      <c r="N71" s="1" t="s">
        <v>559</v>
      </c>
      <c r="O71" s="1" t="s">
        <v>560</v>
      </c>
      <c r="P71" t="str">
        <f t="shared" si="12"/>
        <v>2372:4744</v>
      </c>
      <c r="Q71" s="1" t="s">
        <v>561</v>
      </c>
      <c r="R71" s="1" t="s">
        <v>562</v>
      </c>
      <c r="S71" t="str">
        <f t="shared" si="13"/>
        <v>2480:4960</v>
      </c>
    </row>
    <row r="72" spans="1:19">
      <c r="A72">
        <v>35.1</v>
      </c>
      <c r="B72">
        <v>70.2</v>
      </c>
      <c r="C72">
        <f t="shared" si="14"/>
        <v>351</v>
      </c>
      <c r="D72">
        <f t="shared" si="15"/>
        <v>702</v>
      </c>
      <c r="E72" t="str">
        <f t="shared" si="16"/>
        <v>351:702</v>
      </c>
      <c r="H72" s="1" t="s">
        <v>563</v>
      </c>
      <c r="I72" s="1" t="s">
        <v>564</v>
      </c>
      <c r="J72" t="str">
        <f t="shared" si="17"/>
        <v>272:545</v>
      </c>
      <c r="K72" s="1" t="s">
        <v>565</v>
      </c>
      <c r="L72" s="1" t="s">
        <v>566</v>
      </c>
      <c r="M72" t="str">
        <f t="shared" si="11"/>
        <v>286:572</v>
      </c>
      <c r="N72" s="1" t="s">
        <v>567</v>
      </c>
      <c r="O72" s="1" t="s">
        <v>568</v>
      </c>
      <c r="P72" t="str">
        <f t="shared" si="12"/>
        <v>299:599</v>
      </c>
      <c r="Q72" s="1" t="s">
        <v>569</v>
      </c>
      <c r="R72" s="1" t="s">
        <v>570</v>
      </c>
      <c r="S72" t="str">
        <f t="shared" si="13"/>
        <v>313:626</v>
      </c>
    </row>
    <row r="73" spans="1:19">
      <c r="A73">
        <v>22.1</v>
      </c>
      <c r="B73">
        <v>44.1</v>
      </c>
      <c r="C73">
        <f t="shared" si="14"/>
        <v>221</v>
      </c>
      <c r="D73">
        <f t="shared" si="15"/>
        <v>441</v>
      </c>
      <c r="E73" t="str">
        <f t="shared" si="16"/>
        <v>221:441</v>
      </c>
      <c r="H73" s="1" t="s">
        <v>450</v>
      </c>
      <c r="I73" s="1" t="s">
        <v>571</v>
      </c>
      <c r="J73" t="str">
        <f t="shared" si="17"/>
        <v>171:342</v>
      </c>
      <c r="K73" s="1" t="s">
        <v>476</v>
      </c>
      <c r="L73" s="1" t="s">
        <v>572</v>
      </c>
      <c r="M73" t="str">
        <f t="shared" si="11"/>
        <v>180:360</v>
      </c>
      <c r="N73" s="1" t="s">
        <v>478</v>
      </c>
      <c r="O73" s="1" t="s">
        <v>479</v>
      </c>
      <c r="P73" t="str">
        <f t="shared" si="12"/>
        <v>188:377</v>
      </c>
      <c r="Q73" s="1" t="s">
        <v>480</v>
      </c>
      <c r="R73" s="1" t="s">
        <v>573</v>
      </c>
      <c r="S73" t="str">
        <f t="shared" si="13"/>
        <v>197:393</v>
      </c>
    </row>
    <row r="74" spans="1:19">
      <c r="A74">
        <v>35.1</v>
      </c>
      <c r="B74">
        <v>70.2</v>
      </c>
      <c r="C74">
        <f t="shared" si="14"/>
        <v>351</v>
      </c>
      <c r="D74">
        <f t="shared" si="15"/>
        <v>702</v>
      </c>
      <c r="E74" t="str">
        <f t="shared" si="16"/>
        <v>351:702</v>
      </c>
      <c r="H74" s="1" t="s">
        <v>563</v>
      </c>
      <c r="I74" s="1" t="s">
        <v>564</v>
      </c>
      <c r="J74" t="str">
        <f t="shared" si="17"/>
        <v>272:545</v>
      </c>
      <c r="K74" s="1" t="s">
        <v>565</v>
      </c>
      <c r="L74" s="1" t="s">
        <v>566</v>
      </c>
      <c r="M74" t="str">
        <f t="shared" si="11"/>
        <v>286:572</v>
      </c>
      <c r="N74" s="1" t="s">
        <v>567</v>
      </c>
      <c r="O74" s="1" t="s">
        <v>568</v>
      </c>
      <c r="P74" t="str">
        <f t="shared" si="12"/>
        <v>299:599</v>
      </c>
      <c r="Q74" s="1" t="s">
        <v>569</v>
      </c>
      <c r="R74" s="1" t="s">
        <v>570</v>
      </c>
      <c r="S74" t="str">
        <f t="shared" si="13"/>
        <v>313:626</v>
      </c>
    </row>
    <row r="75" spans="1:19">
      <c r="A75">
        <v>22.1</v>
      </c>
      <c r="B75">
        <v>44.1</v>
      </c>
      <c r="C75">
        <f t="shared" si="14"/>
        <v>221</v>
      </c>
      <c r="D75">
        <f t="shared" si="15"/>
        <v>441</v>
      </c>
      <c r="E75" t="str">
        <f t="shared" si="16"/>
        <v>221:441</v>
      </c>
      <c r="H75" s="1" t="s">
        <v>450</v>
      </c>
      <c r="I75" s="1" t="s">
        <v>571</v>
      </c>
      <c r="J75" t="str">
        <f t="shared" si="17"/>
        <v>171:342</v>
      </c>
      <c r="K75" s="1" t="s">
        <v>476</v>
      </c>
      <c r="L75" s="1" t="s">
        <v>572</v>
      </c>
      <c r="M75" t="str">
        <f t="shared" si="11"/>
        <v>180:360</v>
      </c>
      <c r="N75" s="1" t="s">
        <v>478</v>
      </c>
      <c r="O75" s="1" t="s">
        <v>479</v>
      </c>
      <c r="P75" t="str">
        <f t="shared" si="12"/>
        <v>188:377</v>
      </c>
      <c r="Q75" s="1" t="s">
        <v>480</v>
      </c>
      <c r="R75" s="1" t="s">
        <v>573</v>
      </c>
      <c r="S75" t="str">
        <f t="shared" si="13"/>
        <v>197:393</v>
      </c>
    </row>
    <row r="76" spans="1:19">
      <c r="A76">
        <v>6.5</v>
      </c>
      <c r="B76">
        <v>13</v>
      </c>
      <c r="C76">
        <f t="shared" si="14"/>
        <v>65</v>
      </c>
      <c r="D76">
        <f t="shared" si="15"/>
        <v>130</v>
      </c>
      <c r="E76" t="str">
        <f t="shared" si="16"/>
        <v>65:130</v>
      </c>
      <c r="H76" s="1" t="s">
        <v>365</v>
      </c>
      <c r="I76" s="1" t="s">
        <v>434</v>
      </c>
      <c r="J76" t="str">
        <f t="shared" si="17"/>
        <v>51:101</v>
      </c>
      <c r="K76" s="1" t="s">
        <v>366</v>
      </c>
      <c r="L76" s="1" t="s">
        <v>574</v>
      </c>
      <c r="M76" t="str">
        <f t="shared" si="11"/>
        <v>53:106</v>
      </c>
      <c r="N76" s="1" t="s">
        <v>575</v>
      </c>
      <c r="O76" s="1" t="s">
        <v>576</v>
      </c>
      <c r="P76" t="str">
        <f t="shared" si="12"/>
        <v>56:111</v>
      </c>
      <c r="Q76" s="1" t="s">
        <v>462</v>
      </c>
      <c r="R76" s="1" t="s">
        <v>465</v>
      </c>
      <c r="S76" t="str">
        <f t="shared" si="13"/>
        <v>58:116</v>
      </c>
    </row>
    <row r="77" spans="1:19">
      <c r="A77">
        <v>13</v>
      </c>
      <c r="B77">
        <v>26.1</v>
      </c>
      <c r="C77">
        <f t="shared" si="14"/>
        <v>130</v>
      </c>
      <c r="D77">
        <f t="shared" si="15"/>
        <v>261</v>
      </c>
      <c r="E77" t="str">
        <f t="shared" si="16"/>
        <v>130:261</v>
      </c>
      <c r="H77" s="1" t="s">
        <v>434</v>
      </c>
      <c r="I77" s="1" t="s">
        <v>577</v>
      </c>
      <c r="J77" t="str">
        <f t="shared" si="17"/>
        <v>101:202</v>
      </c>
      <c r="K77" s="1" t="s">
        <v>574</v>
      </c>
      <c r="L77" s="1" t="s">
        <v>578</v>
      </c>
      <c r="M77" t="str">
        <f t="shared" si="11"/>
        <v>106:212</v>
      </c>
      <c r="N77" s="1" t="s">
        <v>576</v>
      </c>
      <c r="O77" s="1" t="s">
        <v>579</v>
      </c>
      <c r="P77" t="str">
        <f t="shared" si="12"/>
        <v>111:223</v>
      </c>
      <c r="Q77" s="1" t="s">
        <v>465</v>
      </c>
      <c r="R77" s="1" t="s">
        <v>580</v>
      </c>
      <c r="S77" t="str">
        <f t="shared" si="13"/>
        <v>116:233</v>
      </c>
    </row>
    <row r="78" spans="1:19">
      <c r="A78">
        <v>13</v>
      </c>
      <c r="B78">
        <v>26.1</v>
      </c>
      <c r="C78">
        <f t="shared" si="14"/>
        <v>130</v>
      </c>
      <c r="D78">
        <f t="shared" si="15"/>
        <v>261</v>
      </c>
      <c r="E78" t="str">
        <f t="shared" si="16"/>
        <v>130:261</v>
      </c>
      <c r="H78" s="1" t="s">
        <v>434</v>
      </c>
      <c r="I78" s="1" t="s">
        <v>577</v>
      </c>
      <c r="J78" t="str">
        <f t="shared" si="17"/>
        <v>101:202</v>
      </c>
      <c r="K78" s="1" t="s">
        <v>574</v>
      </c>
      <c r="L78" s="1" t="s">
        <v>578</v>
      </c>
      <c r="M78" t="str">
        <f t="shared" si="11"/>
        <v>106:212</v>
      </c>
      <c r="N78" s="1" t="s">
        <v>576</v>
      </c>
      <c r="O78" s="1" t="s">
        <v>579</v>
      </c>
      <c r="P78" t="str">
        <f t="shared" si="12"/>
        <v>111:223</v>
      </c>
      <c r="Q78" s="1" t="s">
        <v>465</v>
      </c>
      <c r="R78" s="1" t="s">
        <v>580</v>
      </c>
      <c r="S78" t="str">
        <f t="shared" si="13"/>
        <v>116:233</v>
      </c>
    </row>
    <row r="79" spans="1:19">
      <c r="A79">
        <v>2.6</v>
      </c>
      <c r="B79">
        <v>5.2</v>
      </c>
      <c r="C79">
        <f t="shared" si="14"/>
        <v>26</v>
      </c>
      <c r="D79">
        <f t="shared" si="15"/>
        <v>52</v>
      </c>
      <c r="E79" t="str">
        <f t="shared" si="16"/>
        <v>26:52</v>
      </c>
      <c r="H79" s="1" t="s">
        <v>436</v>
      </c>
      <c r="I79" s="1" t="s">
        <v>521</v>
      </c>
      <c r="J79" t="str">
        <f t="shared" si="17"/>
        <v>20:40</v>
      </c>
      <c r="K79" s="1" t="s">
        <v>554</v>
      </c>
      <c r="L79" s="1" t="s">
        <v>581</v>
      </c>
      <c r="M79" t="str">
        <f t="shared" si="11"/>
        <v>21:42</v>
      </c>
      <c r="N79" s="1" t="s">
        <v>430</v>
      </c>
      <c r="O79" s="1" t="s">
        <v>355</v>
      </c>
      <c r="P79" t="str">
        <f t="shared" si="12"/>
        <v>22:45</v>
      </c>
      <c r="Q79" s="1" t="s">
        <v>358</v>
      </c>
      <c r="R79" s="1" t="s">
        <v>550</v>
      </c>
      <c r="S79" t="str">
        <f t="shared" si="13"/>
        <v>23:47</v>
      </c>
    </row>
    <row r="80" spans="1:19">
      <c r="A80">
        <v>13</v>
      </c>
      <c r="B80">
        <v>26.1</v>
      </c>
      <c r="C80">
        <f t="shared" si="14"/>
        <v>130</v>
      </c>
      <c r="D80">
        <f t="shared" si="15"/>
        <v>261</v>
      </c>
      <c r="E80" t="str">
        <f t="shared" si="16"/>
        <v>130:261</v>
      </c>
      <c r="H80" s="1" t="s">
        <v>434</v>
      </c>
      <c r="I80" s="1" t="s">
        <v>577</v>
      </c>
      <c r="J80" t="str">
        <f t="shared" si="17"/>
        <v>101:202</v>
      </c>
      <c r="K80" s="1" t="s">
        <v>574</v>
      </c>
      <c r="L80" s="1" t="s">
        <v>578</v>
      </c>
      <c r="M80" t="str">
        <f t="shared" si="11"/>
        <v>106:212</v>
      </c>
      <c r="N80" s="1" t="s">
        <v>576</v>
      </c>
      <c r="O80" s="1" t="s">
        <v>579</v>
      </c>
      <c r="P80" t="str">
        <f t="shared" si="12"/>
        <v>111:223</v>
      </c>
      <c r="Q80" s="1" t="s">
        <v>465</v>
      </c>
      <c r="R80" s="1" t="s">
        <v>580</v>
      </c>
      <c r="S80" t="str">
        <f t="shared" si="13"/>
        <v>116:233</v>
      </c>
    </row>
    <row r="81" spans="1:19">
      <c r="A81">
        <v>303.7</v>
      </c>
      <c r="B81">
        <v>607.2</v>
      </c>
      <c r="C81">
        <f t="shared" si="14"/>
        <v>3037</v>
      </c>
      <c r="D81">
        <f t="shared" si="15"/>
        <v>6072</v>
      </c>
      <c r="E81" t="str">
        <f t="shared" si="16"/>
        <v>3037:6072</v>
      </c>
      <c r="H81" s="1" t="s">
        <v>582</v>
      </c>
      <c r="I81" s="1" t="s">
        <v>583</v>
      </c>
      <c r="J81" t="str">
        <f t="shared" si="17"/>
        <v>2402:4803</v>
      </c>
      <c r="K81" s="1" t="s">
        <v>584</v>
      </c>
      <c r="L81" s="1" t="s">
        <v>585</v>
      </c>
      <c r="M81" t="str">
        <f t="shared" si="11"/>
        <v>2522:5043</v>
      </c>
      <c r="N81" s="1" t="s">
        <v>586</v>
      </c>
      <c r="O81" s="1" t="s">
        <v>587</v>
      </c>
      <c r="P81" t="str">
        <f t="shared" si="12"/>
        <v>2642:5283</v>
      </c>
      <c r="Q81" s="1" t="s">
        <v>588</v>
      </c>
      <c r="R81" s="1" t="s">
        <v>589</v>
      </c>
      <c r="S81" t="str">
        <f t="shared" si="13"/>
        <v>2762:5523</v>
      </c>
    </row>
    <row r="82" spans="1:19">
      <c r="A82">
        <v>38.3</v>
      </c>
      <c r="B82">
        <v>76.7</v>
      </c>
      <c r="C82">
        <f t="shared" si="14"/>
        <v>383</v>
      </c>
      <c r="D82">
        <f t="shared" si="15"/>
        <v>767</v>
      </c>
      <c r="E82" t="str">
        <f t="shared" si="16"/>
        <v>383:767</v>
      </c>
      <c r="H82" s="1" t="s">
        <v>542</v>
      </c>
      <c r="I82" s="1" t="s">
        <v>590</v>
      </c>
      <c r="J82" t="str">
        <f t="shared" si="17"/>
        <v>303:607</v>
      </c>
      <c r="K82" s="1" t="s">
        <v>591</v>
      </c>
      <c r="L82" s="1" t="s">
        <v>592</v>
      </c>
      <c r="M82" t="str">
        <f t="shared" si="11"/>
        <v>318:637</v>
      </c>
      <c r="N82" s="1" t="s">
        <v>593</v>
      </c>
      <c r="O82" s="1" t="s">
        <v>594</v>
      </c>
      <c r="P82" t="str">
        <f t="shared" si="12"/>
        <v>333:667</v>
      </c>
      <c r="Q82" s="1" t="s">
        <v>548</v>
      </c>
      <c r="R82" s="1" t="s">
        <v>595</v>
      </c>
      <c r="S82" t="str">
        <f t="shared" si="13"/>
        <v>348:697</v>
      </c>
    </row>
    <row r="83" spans="1:19">
      <c r="A83">
        <v>24.1</v>
      </c>
      <c r="B83">
        <v>48.2</v>
      </c>
      <c r="C83">
        <f t="shared" si="14"/>
        <v>241</v>
      </c>
      <c r="D83">
        <f t="shared" si="15"/>
        <v>482</v>
      </c>
      <c r="E83" t="str">
        <f t="shared" si="16"/>
        <v>241:482</v>
      </c>
      <c r="H83" s="1" t="s">
        <v>596</v>
      </c>
      <c r="I83" s="1" t="s">
        <v>597</v>
      </c>
      <c r="J83" t="str">
        <f t="shared" si="17"/>
        <v>191:381</v>
      </c>
      <c r="K83" s="1" t="s">
        <v>598</v>
      </c>
      <c r="L83" s="1" t="s">
        <v>599</v>
      </c>
      <c r="M83" t="str">
        <f t="shared" si="11"/>
        <v>200:400</v>
      </c>
      <c r="N83" s="1" t="s">
        <v>505</v>
      </c>
      <c r="O83" s="1" t="s">
        <v>600</v>
      </c>
      <c r="P83" t="str">
        <f t="shared" si="12"/>
        <v>210:420</v>
      </c>
      <c r="Q83" s="1" t="s">
        <v>601</v>
      </c>
      <c r="R83" s="1" t="s">
        <v>602</v>
      </c>
      <c r="S83" t="str">
        <f t="shared" si="13"/>
        <v>219:438</v>
      </c>
    </row>
    <row r="84" spans="1:19">
      <c r="A84">
        <v>38.3</v>
      </c>
      <c r="B84">
        <v>76.7</v>
      </c>
      <c r="C84">
        <f t="shared" si="14"/>
        <v>383</v>
      </c>
      <c r="D84">
        <f t="shared" si="15"/>
        <v>767</v>
      </c>
      <c r="E84" t="str">
        <f t="shared" si="16"/>
        <v>383:767</v>
      </c>
      <c r="H84" s="1" t="s">
        <v>542</v>
      </c>
      <c r="I84" s="1" t="s">
        <v>590</v>
      </c>
      <c r="J84" t="str">
        <f t="shared" si="17"/>
        <v>303:607</v>
      </c>
      <c r="K84" s="1" t="s">
        <v>591</v>
      </c>
      <c r="L84" s="1" t="s">
        <v>592</v>
      </c>
      <c r="M84" t="str">
        <f t="shared" si="11"/>
        <v>318:637</v>
      </c>
      <c r="N84" s="1" t="s">
        <v>593</v>
      </c>
      <c r="O84" s="1" t="s">
        <v>594</v>
      </c>
      <c r="P84" t="str">
        <f t="shared" si="12"/>
        <v>333:667</v>
      </c>
      <c r="Q84" s="1" t="s">
        <v>548</v>
      </c>
      <c r="R84" s="1" t="s">
        <v>595</v>
      </c>
      <c r="S84" t="str">
        <f t="shared" si="13"/>
        <v>348:697</v>
      </c>
    </row>
    <row r="85" spans="1:19">
      <c r="A85">
        <v>24.1</v>
      </c>
      <c r="B85">
        <v>48.2</v>
      </c>
      <c r="C85">
        <f t="shared" si="14"/>
        <v>241</v>
      </c>
      <c r="D85">
        <f t="shared" si="15"/>
        <v>482</v>
      </c>
      <c r="E85" t="str">
        <f t="shared" si="16"/>
        <v>241:482</v>
      </c>
      <c r="H85" s="1" t="s">
        <v>596</v>
      </c>
      <c r="I85" s="1" t="s">
        <v>597</v>
      </c>
      <c r="J85" t="str">
        <f t="shared" si="17"/>
        <v>191:381</v>
      </c>
      <c r="K85" s="1" t="s">
        <v>598</v>
      </c>
      <c r="L85" s="1" t="s">
        <v>599</v>
      </c>
      <c r="M85" t="str">
        <f t="shared" si="11"/>
        <v>200:400</v>
      </c>
      <c r="N85" s="1" t="s">
        <v>505</v>
      </c>
      <c r="O85" s="1" t="s">
        <v>600</v>
      </c>
      <c r="P85" t="str">
        <f t="shared" si="12"/>
        <v>210:420</v>
      </c>
      <c r="Q85" s="1" t="s">
        <v>601</v>
      </c>
      <c r="R85" s="1" t="s">
        <v>602</v>
      </c>
      <c r="S85" t="str">
        <f t="shared" si="13"/>
        <v>219:438</v>
      </c>
    </row>
    <row r="86" spans="1:19">
      <c r="A86">
        <v>7.1</v>
      </c>
      <c r="B86">
        <v>14.2</v>
      </c>
      <c r="C86">
        <f t="shared" si="14"/>
        <v>71</v>
      </c>
      <c r="D86">
        <f t="shared" si="15"/>
        <v>142</v>
      </c>
      <c r="E86" t="str">
        <f t="shared" si="16"/>
        <v>71:142</v>
      </c>
      <c r="H86" s="1" t="s">
        <v>389</v>
      </c>
      <c r="I86" s="1" t="s">
        <v>483</v>
      </c>
      <c r="J86" t="str">
        <f t="shared" si="17"/>
        <v>57:113</v>
      </c>
      <c r="K86" s="1" t="s">
        <v>603</v>
      </c>
      <c r="L86" s="1" t="s">
        <v>416</v>
      </c>
      <c r="M86" t="str">
        <f t="shared" si="11"/>
        <v>59:118</v>
      </c>
      <c r="N86" s="1" t="s">
        <v>341</v>
      </c>
      <c r="O86" s="1" t="s">
        <v>342</v>
      </c>
      <c r="P86" t="str">
        <f t="shared" si="12"/>
        <v>62:124</v>
      </c>
      <c r="Q86" s="1" t="s">
        <v>343</v>
      </c>
      <c r="R86" s="1" t="s">
        <v>420</v>
      </c>
      <c r="S86" t="str">
        <f t="shared" si="13"/>
        <v>65:129</v>
      </c>
    </row>
    <row r="87" spans="1:19">
      <c r="A87">
        <v>14.2</v>
      </c>
      <c r="B87">
        <v>28.5</v>
      </c>
      <c r="C87">
        <f t="shared" si="14"/>
        <v>142</v>
      </c>
      <c r="D87">
        <f t="shared" si="15"/>
        <v>285</v>
      </c>
      <c r="E87" t="str">
        <f t="shared" si="16"/>
        <v>142:285</v>
      </c>
      <c r="H87" s="1" t="s">
        <v>483</v>
      </c>
      <c r="I87" s="1" t="s">
        <v>604</v>
      </c>
      <c r="J87" t="str">
        <f t="shared" si="17"/>
        <v>113:225</v>
      </c>
      <c r="K87" s="1" t="s">
        <v>416</v>
      </c>
      <c r="L87" s="1" t="s">
        <v>605</v>
      </c>
      <c r="M87" t="str">
        <f t="shared" si="11"/>
        <v>118:236</v>
      </c>
      <c r="N87" s="1" t="s">
        <v>342</v>
      </c>
      <c r="O87" s="1" t="s">
        <v>487</v>
      </c>
      <c r="P87" t="str">
        <f t="shared" si="12"/>
        <v>124:248</v>
      </c>
      <c r="Q87" s="1" t="s">
        <v>420</v>
      </c>
      <c r="R87" s="1" t="s">
        <v>421</v>
      </c>
      <c r="S87" t="str">
        <f t="shared" si="13"/>
        <v>129:259</v>
      </c>
    </row>
    <row r="88" spans="1:19">
      <c r="A88">
        <v>14.2</v>
      </c>
      <c r="B88">
        <v>28.5</v>
      </c>
      <c r="C88">
        <f t="shared" si="14"/>
        <v>142</v>
      </c>
      <c r="D88">
        <f t="shared" si="15"/>
        <v>285</v>
      </c>
      <c r="E88" t="str">
        <f t="shared" si="16"/>
        <v>142:285</v>
      </c>
      <c r="H88" s="1" t="s">
        <v>483</v>
      </c>
      <c r="I88" s="1" t="s">
        <v>604</v>
      </c>
      <c r="J88" t="str">
        <f t="shared" si="17"/>
        <v>113:225</v>
      </c>
      <c r="K88" s="1" t="s">
        <v>416</v>
      </c>
      <c r="L88" s="1" t="s">
        <v>605</v>
      </c>
      <c r="M88" t="str">
        <f t="shared" si="11"/>
        <v>118:236</v>
      </c>
      <c r="N88" s="1" t="s">
        <v>342</v>
      </c>
      <c r="O88" s="1" t="s">
        <v>487</v>
      </c>
      <c r="P88" t="str">
        <f t="shared" si="12"/>
        <v>124:248</v>
      </c>
      <c r="Q88" s="1" t="s">
        <v>420</v>
      </c>
      <c r="R88" s="1" t="s">
        <v>421</v>
      </c>
      <c r="S88" t="str">
        <f t="shared" si="13"/>
        <v>129:259</v>
      </c>
    </row>
    <row r="89" spans="1:19">
      <c r="A89">
        <v>2.8</v>
      </c>
      <c r="B89">
        <v>5.7</v>
      </c>
      <c r="C89">
        <f t="shared" si="14"/>
        <v>28</v>
      </c>
      <c r="D89">
        <f t="shared" si="15"/>
        <v>57</v>
      </c>
      <c r="E89" t="str">
        <f t="shared" si="16"/>
        <v>28:57</v>
      </c>
      <c r="H89" s="1" t="s">
        <v>358</v>
      </c>
      <c r="I89" s="1" t="s">
        <v>355</v>
      </c>
      <c r="J89" t="str">
        <f t="shared" si="17"/>
        <v>23:45</v>
      </c>
      <c r="K89" s="1" t="s">
        <v>359</v>
      </c>
      <c r="L89" s="1" t="s">
        <v>550</v>
      </c>
      <c r="M89" t="str">
        <f t="shared" si="11"/>
        <v>24:47</v>
      </c>
      <c r="N89" s="1" t="s">
        <v>361</v>
      </c>
      <c r="O89" s="1" t="s">
        <v>432</v>
      </c>
      <c r="P89" t="str">
        <f t="shared" si="12"/>
        <v>25:50</v>
      </c>
      <c r="Q89" s="1" t="s">
        <v>362</v>
      </c>
      <c r="R89" s="1" t="s">
        <v>606</v>
      </c>
      <c r="S89" t="str">
        <f t="shared" si="13"/>
        <v>26:52</v>
      </c>
    </row>
    <row r="90" spans="1:19">
      <c r="A90">
        <v>14.2</v>
      </c>
      <c r="B90">
        <v>28.5</v>
      </c>
      <c r="C90">
        <f t="shared" si="14"/>
        <v>142</v>
      </c>
      <c r="D90">
        <f t="shared" si="15"/>
        <v>285</v>
      </c>
      <c r="E90" t="str">
        <f t="shared" si="16"/>
        <v>142:285</v>
      </c>
      <c r="H90" s="1" t="s">
        <v>483</v>
      </c>
      <c r="I90" s="1" t="s">
        <v>604</v>
      </c>
      <c r="J90" t="str">
        <f t="shared" si="17"/>
        <v>113:225</v>
      </c>
      <c r="K90" s="1" t="s">
        <v>416</v>
      </c>
      <c r="L90" s="1" t="s">
        <v>605</v>
      </c>
      <c r="M90" t="str">
        <f t="shared" si="11"/>
        <v>118:236</v>
      </c>
      <c r="N90" s="1" t="s">
        <v>342</v>
      </c>
      <c r="O90" s="1" t="s">
        <v>487</v>
      </c>
      <c r="P90" t="str">
        <f t="shared" si="12"/>
        <v>124:248</v>
      </c>
      <c r="Q90" s="1" t="s">
        <v>420</v>
      </c>
      <c r="R90" s="1" t="s">
        <v>421</v>
      </c>
      <c r="S90" t="str">
        <f t="shared" si="13"/>
        <v>129:259</v>
      </c>
    </row>
    <row r="91" spans="1:19">
      <c r="A91">
        <v>329.4</v>
      </c>
      <c r="B91">
        <v>658.7</v>
      </c>
      <c r="C91">
        <f t="shared" si="14"/>
        <v>3294</v>
      </c>
      <c r="D91">
        <f t="shared" si="15"/>
        <v>6587</v>
      </c>
      <c r="E91" t="str">
        <f t="shared" si="16"/>
        <v>3294:6587</v>
      </c>
      <c r="H91" s="1" t="s">
        <v>607</v>
      </c>
      <c r="I91" s="1" t="s">
        <v>608</v>
      </c>
      <c r="J91" t="str">
        <f t="shared" si="17"/>
        <v>2647:5293</v>
      </c>
      <c r="K91" s="1" t="s">
        <v>609</v>
      </c>
      <c r="L91" s="1" t="s">
        <v>610</v>
      </c>
      <c r="M91" t="str">
        <f t="shared" si="11"/>
        <v>2779:5558</v>
      </c>
      <c r="N91" s="1" t="s">
        <v>611</v>
      </c>
      <c r="O91" s="1" t="s">
        <v>612</v>
      </c>
      <c r="P91" t="str">
        <f t="shared" si="12"/>
        <v>2911:5822</v>
      </c>
      <c r="Q91" s="1" t="s">
        <v>613</v>
      </c>
      <c r="R91" s="1" t="s">
        <v>614</v>
      </c>
      <c r="S91" t="str">
        <f t="shared" si="13"/>
        <v>3044:6087</v>
      </c>
    </row>
    <row r="92" spans="1:19">
      <c r="A92">
        <v>41.6</v>
      </c>
      <c r="B92">
        <v>83.2</v>
      </c>
      <c r="C92">
        <f t="shared" si="14"/>
        <v>416</v>
      </c>
      <c r="D92">
        <f t="shared" si="15"/>
        <v>832</v>
      </c>
      <c r="E92" t="str">
        <f t="shared" si="16"/>
        <v>416:832</v>
      </c>
      <c r="H92" s="1" t="s">
        <v>546</v>
      </c>
      <c r="I92" s="1" t="s">
        <v>615</v>
      </c>
      <c r="J92" t="str">
        <f t="shared" si="17"/>
        <v>334:668</v>
      </c>
      <c r="K92" s="1" t="s">
        <v>616</v>
      </c>
      <c r="L92" s="1" t="s">
        <v>617</v>
      </c>
      <c r="M92" t="str">
        <f t="shared" si="11"/>
        <v>351:702</v>
      </c>
      <c r="N92" s="1" t="s">
        <v>618</v>
      </c>
      <c r="O92" s="1" t="s">
        <v>619</v>
      </c>
      <c r="P92" t="str">
        <f t="shared" si="12"/>
        <v>367:735</v>
      </c>
      <c r="Q92" s="1" t="s">
        <v>620</v>
      </c>
      <c r="R92" s="1" t="s">
        <v>621</v>
      </c>
      <c r="S92" t="str">
        <f t="shared" si="13"/>
        <v>384:768</v>
      </c>
    </row>
    <row r="93" spans="1:19">
      <c r="A93">
        <v>26.1</v>
      </c>
      <c r="B93">
        <v>52.3</v>
      </c>
      <c r="C93">
        <f t="shared" si="14"/>
        <v>261</v>
      </c>
      <c r="D93">
        <f t="shared" si="15"/>
        <v>523</v>
      </c>
      <c r="E93" t="str">
        <f t="shared" si="16"/>
        <v>261:523</v>
      </c>
      <c r="H93" s="1" t="s">
        <v>505</v>
      </c>
      <c r="I93" s="1" t="s">
        <v>600</v>
      </c>
      <c r="J93" t="str">
        <f t="shared" si="17"/>
        <v>210:420</v>
      </c>
      <c r="K93" s="1" t="s">
        <v>507</v>
      </c>
      <c r="L93" s="1" t="s">
        <v>622</v>
      </c>
      <c r="M93" t="str">
        <f t="shared" si="11"/>
        <v>221:441</v>
      </c>
      <c r="N93" s="1" t="s">
        <v>509</v>
      </c>
      <c r="O93" s="1" t="s">
        <v>623</v>
      </c>
      <c r="P93" t="str">
        <f t="shared" si="12"/>
        <v>231:462</v>
      </c>
      <c r="Q93" s="1" t="s">
        <v>511</v>
      </c>
      <c r="R93" s="1" t="s">
        <v>624</v>
      </c>
      <c r="S93" t="str">
        <f t="shared" si="13"/>
        <v>242:482</v>
      </c>
    </row>
    <row r="94" spans="1:19">
      <c r="A94">
        <v>41.6</v>
      </c>
      <c r="B94">
        <v>83.2</v>
      </c>
      <c r="C94">
        <f t="shared" si="14"/>
        <v>416</v>
      </c>
      <c r="D94">
        <f t="shared" si="15"/>
        <v>832</v>
      </c>
      <c r="E94" t="str">
        <f t="shared" si="16"/>
        <v>416:832</v>
      </c>
      <c r="H94" s="1" t="s">
        <v>546</v>
      </c>
      <c r="I94" s="1" t="s">
        <v>615</v>
      </c>
      <c r="J94" t="str">
        <f t="shared" si="17"/>
        <v>334:668</v>
      </c>
      <c r="K94" s="1" t="s">
        <v>616</v>
      </c>
      <c r="L94" s="1" t="s">
        <v>617</v>
      </c>
      <c r="M94" t="str">
        <f t="shared" si="11"/>
        <v>351:702</v>
      </c>
      <c r="N94" s="1" t="s">
        <v>618</v>
      </c>
      <c r="O94" s="1" t="s">
        <v>619</v>
      </c>
      <c r="P94" t="str">
        <f t="shared" si="12"/>
        <v>367:735</v>
      </c>
      <c r="Q94" s="1" t="s">
        <v>620</v>
      </c>
      <c r="R94" s="1" t="s">
        <v>621</v>
      </c>
      <c r="S94" t="str">
        <f t="shared" si="13"/>
        <v>384:768</v>
      </c>
    </row>
    <row r="95" spans="1:19">
      <c r="A95">
        <v>26.1</v>
      </c>
      <c r="B95">
        <v>52.3</v>
      </c>
      <c r="C95">
        <f t="shared" si="14"/>
        <v>261</v>
      </c>
      <c r="D95">
        <f t="shared" si="15"/>
        <v>523</v>
      </c>
      <c r="E95" t="str">
        <f t="shared" si="16"/>
        <v>261:523</v>
      </c>
      <c r="H95" s="1" t="s">
        <v>505</v>
      </c>
      <c r="I95" s="1" t="s">
        <v>600</v>
      </c>
      <c r="J95" t="str">
        <f t="shared" si="17"/>
        <v>210:420</v>
      </c>
      <c r="K95" s="1" t="s">
        <v>507</v>
      </c>
      <c r="L95" s="1" t="s">
        <v>622</v>
      </c>
      <c r="M95" t="str">
        <f t="shared" si="11"/>
        <v>221:441</v>
      </c>
      <c r="N95" s="1" t="s">
        <v>509</v>
      </c>
      <c r="O95" s="1" t="s">
        <v>623</v>
      </c>
      <c r="P95" t="str">
        <f t="shared" si="12"/>
        <v>231:462</v>
      </c>
      <c r="Q95" s="1" t="s">
        <v>511</v>
      </c>
      <c r="R95" s="1" t="s">
        <v>624</v>
      </c>
      <c r="S95" t="str">
        <f t="shared" si="13"/>
        <v>242:482</v>
      </c>
    </row>
    <row r="96" spans="1:19">
      <c r="A96">
        <v>7.7</v>
      </c>
      <c r="B96">
        <v>15.4</v>
      </c>
      <c r="C96">
        <f t="shared" si="14"/>
        <v>77</v>
      </c>
      <c r="D96">
        <f t="shared" si="15"/>
        <v>154</v>
      </c>
      <c r="E96" t="str">
        <f t="shared" si="16"/>
        <v>77:154</v>
      </c>
      <c r="H96" s="1" t="s">
        <v>393</v>
      </c>
      <c r="I96" s="1" t="s">
        <v>342</v>
      </c>
      <c r="J96" t="str">
        <f t="shared" si="17"/>
        <v>63:124</v>
      </c>
      <c r="K96" s="1" t="s">
        <v>343</v>
      </c>
      <c r="L96" s="1" t="s">
        <v>344</v>
      </c>
      <c r="M96" t="str">
        <f t="shared" si="11"/>
        <v>65:130</v>
      </c>
      <c r="N96" s="1" t="s">
        <v>625</v>
      </c>
      <c r="O96" s="1" t="s">
        <v>346</v>
      </c>
      <c r="P96" t="str">
        <f t="shared" si="12"/>
        <v>69:136</v>
      </c>
      <c r="Q96" s="1" t="s">
        <v>347</v>
      </c>
      <c r="R96" s="1" t="s">
        <v>348</v>
      </c>
      <c r="S96" t="str">
        <f t="shared" si="13"/>
        <v>71:142</v>
      </c>
    </row>
    <row r="97" spans="1:19">
      <c r="A97">
        <v>15.4</v>
      </c>
      <c r="B97">
        <v>30.9</v>
      </c>
      <c r="C97">
        <f t="shared" si="14"/>
        <v>154</v>
      </c>
      <c r="D97">
        <f t="shared" si="15"/>
        <v>309</v>
      </c>
      <c r="E97" t="str">
        <f t="shared" si="16"/>
        <v>154:309</v>
      </c>
      <c r="H97" s="1" t="s">
        <v>342</v>
      </c>
      <c r="I97" s="1" t="s">
        <v>487</v>
      </c>
      <c r="J97" t="str">
        <f t="shared" si="17"/>
        <v>124:248</v>
      </c>
      <c r="K97" s="1" t="s">
        <v>344</v>
      </c>
      <c r="L97" s="1" t="s">
        <v>626</v>
      </c>
      <c r="M97" t="str">
        <f t="shared" si="11"/>
        <v>130:261</v>
      </c>
      <c r="N97" s="1" t="s">
        <v>346</v>
      </c>
      <c r="O97" s="1" t="s">
        <v>627</v>
      </c>
      <c r="P97" t="str">
        <f t="shared" si="12"/>
        <v>136:274</v>
      </c>
      <c r="Q97" s="1" t="s">
        <v>348</v>
      </c>
      <c r="R97" s="1" t="s">
        <v>565</v>
      </c>
      <c r="S97" t="str">
        <f t="shared" si="13"/>
        <v>142:286</v>
      </c>
    </row>
    <row r="98" spans="1:19">
      <c r="A98">
        <v>15.4</v>
      </c>
      <c r="B98">
        <v>30.9</v>
      </c>
      <c r="C98">
        <f t="shared" ref="C98:C130" si="18">A98*10</f>
        <v>154</v>
      </c>
      <c r="D98">
        <f t="shared" ref="D98:D130" si="19">B98*10</f>
        <v>309</v>
      </c>
      <c r="E98" t="str">
        <f t="shared" ref="E98:E130" si="20">C98&amp;":"&amp;D98</f>
        <v>154:309</v>
      </c>
      <c r="H98" s="1" t="s">
        <v>342</v>
      </c>
      <c r="I98" s="1" t="s">
        <v>487</v>
      </c>
      <c r="J98" t="str">
        <f t="shared" ref="J98:J129" si="21">H98&amp;":"&amp;I98</f>
        <v>124:248</v>
      </c>
      <c r="K98" s="1" t="s">
        <v>344</v>
      </c>
      <c r="L98" s="1" t="s">
        <v>626</v>
      </c>
      <c r="M98" t="str">
        <f t="shared" si="11"/>
        <v>130:261</v>
      </c>
      <c r="N98" s="1" t="s">
        <v>346</v>
      </c>
      <c r="O98" s="1" t="s">
        <v>627</v>
      </c>
      <c r="P98" t="str">
        <f t="shared" si="12"/>
        <v>136:274</v>
      </c>
      <c r="Q98" s="1" t="s">
        <v>348</v>
      </c>
      <c r="R98" s="1" t="s">
        <v>565</v>
      </c>
      <c r="S98" t="str">
        <f t="shared" si="13"/>
        <v>142:286</v>
      </c>
    </row>
    <row r="99" spans="1:19">
      <c r="A99">
        <v>3.1</v>
      </c>
      <c r="B99">
        <v>6.2</v>
      </c>
      <c r="C99">
        <f t="shared" si="18"/>
        <v>31</v>
      </c>
      <c r="D99">
        <f t="shared" si="19"/>
        <v>62</v>
      </c>
      <c r="E99" t="str">
        <f t="shared" si="20"/>
        <v>31:62</v>
      </c>
      <c r="H99" s="1" t="s">
        <v>361</v>
      </c>
      <c r="I99" s="1" t="s">
        <v>432</v>
      </c>
      <c r="J99" t="str">
        <f t="shared" si="21"/>
        <v>25:50</v>
      </c>
      <c r="K99" s="1" t="s">
        <v>362</v>
      </c>
      <c r="L99" s="1" t="s">
        <v>606</v>
      </c>
      <c r="M99" t="str">
        <f t="shared" si="11"/>
        <v>26:52</v>
      </c>
      <c r="N99" s="1" t="s">
        <v>496</v>
      </c>
      <c r="O99" s="1" t="s">
        <v>387</v>
      </c>
      <c r="P99" t="str">
        <f t="shared" si="12"/>
        <v>27:55</v>
      </c>
      <c r="Q99" s="1" t="s">
        <v>460</v>
      </c>
      <c r="R99" s="1" t="s">
        <v>389</v>
      </c>
      <c r="S99" t="str">
        <f t="shared" si="13"/>
        <v>28:57</v>
      </c>
    </row>
    <row r="100" spans="1:19">
      <c r="A100">
        <v>15.4</v>
      </c>
      <c r="B100">
        <v>30.9</v>
      </c>
      <c r="C100">
        <f t="shared" si="18"/>
        <v>154</v>
      </c>
      <c r="D100">
        <f t="shared" si="19"/>
        <v>309</v>
      </c>
      <c r="E100" t="str">
        <f t="shared" si="20"/>
        <v>154:309</v>
      </c>
      <c r="H100" s="1" t="s">
        <v>342</v>
      </c>
      <c r="I100" s="1" t="s">
        <v>487</v>
      </c>
      <c r="J100" t="str">
        <f t="shared" si="21"/>
        <v>124:248</v>
      </c>
      <c r="K100" s="1" t="s">
        <v>344</v>
      </c>
      <c r="L100" s="1" t="s">
        <v>626</v>
      </c>
      <c r="M100" t="str">
        <f t="shared" si="11"/>
        <v>130:261</v>
      </c>
      <c r="N100" s="1" t="s">
        <v>346</v>
      </c>
      <c r="O100" s="1" t="s">
        <v>627</v>
      </c>
      <c r="P100" t="str">
        <f t="shared" si="12"/>
        <v>136:274</v>
      </c>
      <c r="Q100" s="1" t="s">
        <v>348</v>
      </c>
      <c r="R100" s="1" t="s">
        <v>565</v>
      </c>
      <c r="S100" t="str">
        <f t="shared" si="13"/>
        <v>142:286</v>
      </c>
    </row>
    <row r="101" spans="1:19">
      <c r="A101">
        <v>355.1</v>
      </c>
      <c r="B101">
        <v>710.2</v>
      </c>
      <c r="C101">
        <f t="shared" si="18"/>
        <v>3551</v>
      </c>
      <c r="D101">
        <f t="shared" si="19"/>
        <v>7102</v>
      </c>
      <c r="E101" t="str">
        <f t="shared" si="20"/>
        <v>3551:7102</v>
      </c>
      <c r="H101" s="1" t="s">
        <v>628</v>
      </c>
      <c r="I101" s="1" t="s">
        <v>629</v>
      </c>
      <c r="J101" t="str">
        <f t="shared" si="21"/>
        <v>2892:5783</v>
      </c>
      <c r="K101" s="1" t="s">
        <v>630</v>
      </c>
      <c r="L101" s="1" t="s">
        <v>631</v>
      </c>
      <c r="M101" t="str">
        <f t="shared" si="11"/>
        <v>3037:6072</v>
      </c>
      <c r="N101" s="1" t="s">
        <v>632</v>
      </c>
      <c r="O101" s="1" t="s">
        <v>633</v>
      </c>
      <c r="P101" t="str">
        <f t="shared" si="12"/>
        <v>3181:6362</v>
      </c>
      <c r="Q101" s="1" t="s">
        <v>634</v>
      </c>
      <c r="R101" s="1" t="s">
        <v>635</v>
      </c>
      <c r="S101" t="str">
        <f t="shared" si="13"/>
        <v>3326:6651</v>
      </c>
    </row>
    <row r="102" spans="1:19">
      <c r="A102">
        <v>44.8</v>
      </c>
      <c r="B102">
        <v>89.7</v>
      </c>
      <c r="C102">
        <f t="shared" si="18"/>
        <v>448</v>
      </c>
      <c r="D102">
        <f t="shared" si="19"/>
        <v>897</v>
      </c>
      <c r="E102" t="str">
        <f t="shared" si="20"/>
        <v>448:897</v>
      </c>
      <c r="H102" s="1" t="s">
        <v>636</v>
      </c>
      <c r="I102" s="1" t="s">
        <v>637</v>
      </c>
      <c r="J102" t="str">
        <f t="shared" si="21"/>
        <v>365:730</v>
      </c>
      <c r="K102" s="1" t="s">
        <v>638</v>
      </c>
      <c r="L102" s="1" t="s">
        <v>639</v>
      </c>
      <c r="M102" t="str">
        <f t="shared" si="11"/>
        <v>383:767</v>
      </c>
      <c r="N102" s="1" t="s">
        <v>640</v>
      </c>
      <c r="O102" s="1" t="s">
        <v>641</v>
      </c>
      <c r="P102" t="str">
        <f t="shared" si="12"/>
        <v>401:803</v>
      </c>
      <c r="Q102" s="1" t="s">
        <v>600</v>
      </c>
      <c r="R102" s="1" t="s">
        <v>642</v>
      </c>
      <c r="S102" t="str">
        <f t="shared" si="13"/>
        <v>420:839</v>
      </c>
    </row>
    <row r="103" spans="1:19">
      <c r="A103">
        <v>28.2</v>
      </c>
      <c r="B103">
        <v>56.4</v>
      </c>
      <c r="C103">
        <f t="shared" si="18"/>
        <v>282</v>
      </c>
      <c r="D103">
        <f t="shared" si="19"/>
        <v>564</v>
      </c>
      <c r="E103" t="str">
        <f t="shared" si="20"/>
        <v>282:564</v>
      </c>
      <c r="H103" s="1" t="s">
        <v>643</v>
      </c>
      <c r="I103" s="1" t="s">
        <v>644</v>
      </c>
      <c r="J103" t="str">
        <f t="shared" si="21"/>
        <v>229:459</v>
      </c>
      <c r="K103" s="1" t="s">
        <v>535</v>
      </c>
      <c r="L103" s="1" t="s">
        <v>624</v>
      </c>
      <c r="M103" t="str">
        <f t="shared" si="11"/>
        <v>241:482</v>
      </c>
      <c r="N103" s="1" t="s">
        <v>537</v>
      </c>
      <c r="O103" s="1" t="s">
        <v>645</v>
      </c>
      <c r="P103" t="str">
        <f t="shared" si="12"/>
        <v>253:505</v>
      </c>
      <c r="Q103" s="1" t="s">
        <v>646</v>
      </c>
      <c r="R103" s="1" t="s">
        <v>647</v>
      </c>
      <c r="S103" t="str">
        <f t="shared" si="13"/>
        <v>264:527</v>
      </c>
    </row>
    <row r="104" spans="1:19">
      <c r="A104">
        <v>44.8</v>
      </c>
      <c r="B104">
        <v>89.7</v>
      </c>
      <c r="C104">
        <f t="shared" si="18"/>
        <v>448</v>
      </c>
      <c r="D104">
        <f t="shared" si="19"/>
        <v>897</v>
      </c>
      <c r="E104" t="str">
        <f t="shared" si="20"/>
        <v>448:897</v>
      </c>
      <c r="H104" s="1" t="s">
        <v>636</v>
      </c>
      <c r="I104" s="1" t="s">
        <v>637</v>
      </c>
      <c r="J104" t="str">
        <f t="shared" si="21"/>
        <v>365:730</v>
      </c>
      <c r="K104" s="1" t="s">
        <v>638</v>
      </c>
      <c r="L104" s="1" t="s">
        <v>639</v>
      </c>
      <c r="M104" t="str">
        <f t="shared" si="11"/>
        <v>383:767</v>
      </c>
      <c r="N104" s="1" t="s">
        <v>640</v>
      </c>
      <c r="O104" s="1" t="s">
        <v>641</v>
      </c>
      <c r="P104" t="str">
        <f t="shared" si="12"/>
        <v>401:803</v>
      </c>
      <c r="Q104" s="1" t="s">
        <v>600</v>
      </c>
      <c r="R104" s="1" t="s">
        <v>642</v>
      </c>
      <c r="S104" t="str">
        <f t="shared" si="13"/>
        <v>420:839</v>
      </c>
    </row>
    <row r="105" spans="1:19">
      <c r="A105">
        <v>28.2</v>
      </c>
      <c r="B105">
        <v>56.4</v>
      </c>
      <c r="C105">
        <f t="shared" si="18"/>
        <v>282</v>
      </c>
      <c r="D105">
        <f t="shared" si="19"/>
        <v>564</v>
      </c>
      <c r="E105" t="str">
        <f t="shared" si="20"/>
        <v>282:564</v>
      </c>
      <c r="H105" s="1" t="s">
        <v>643</v>
      </c>
      <c r="I105" s="1" t="s">
        <v>644</v>
      </c>
      <c r="J105" t="str">
        <f t="shared" si="21"/>
        <v>229:459</v>
      </c>
      <c r="K105" s="1" t="s">
        <v>535</v>
      </c>
      <c r="L105" s="1" t="s">
        <v>624</v>
      </c>
      <c r="M105" t="str">
        <f t="shared" si="11"/>
        <v>241:482</v>
      </c>
      <c r="N105" s="1" t="s">
        <v>537</v>
      </c>
      <c r="O105" s="1" t="s">
        <v>645</v>
      </c>
      <c r="P105" t="str">
        <f t="shared" si="12"/>
        <v>253:505</v>
      </c>
      <c r="Q105" s="1" t="s">
        <v>646</v>
      </c>
      <c r="R105" s="1" t="s">
        <v>647</v>
      </c>
      <c r="S105" t="str">
        <f t="shared" si="13"/>
        <v>264:527</v>
      </c>
    </row>
    <row r="106" spans="1:19">
      <c r="A106">
        <v>8.3</v>
      </c>
      <c r="B106">
        <v>16.6</v>
      </c>
      <c r="C106">
        <f t="shared" si="18"/>
        <v>83</v>
      </c>
      <c r="D106">
        <f t="shared" si="19"/>
        <v>166</v>
      </c>
      <c r="E106" t="str">
        <f t="shared" si="20"/>
        <v>83:166</v>
      </c>
      <c r="H106" s="1" t="s">
        <v>345</v>
      </c>
      <c r="I106" s="1" t="s">
        <v>346</v>
      </c>
      <c r="J106" t="str">
        <f t="shared" si="21"/>
        <v>68:136</v>
      </c>
      <c r="K106" s="1" t="s">
        <v>347</v>
      </c>
      <c r="L106" s="1" t="s">
        <v>348</v>
      </c>
      <c r="M106" t="str">
        <f t="shared" si="11"/>
        <v>71:142</v>
      </c>
      <c r="N106" s="1" t="s">
        <v>648</v>
      </c>
      <c r="O106" s="1" t="s">
        <v>445</v>
      </c>
      <c r="P106" t="str">
        <f t="shared" si="12"/>
        <v>75:149</v>
      </c>
      <c r="Q106" s="1" t="s">
        <v>350</v>
      </c>
      <c r="R106" s="1" t="s">
        <v>447</v>
      </c>
      <c r="S106" t="str">
        <f t="shared" si="13"/>
        <v>78:156</v>
      </c>
    </row>
    <row r="107" spans="1:19">
      <c r="A107">
        <v>16.6</v>
      </c>
      <c r="B107">
        <v>33.3</v>
      </c>
      <c r="C107">
        <f t="shared" si="18"/>
        <v>166</v>
      </c>
      <c r="D107">
        <f t="shared" si="19"/>
        <v>333</v>
      </c>
      <c r="E107" t="str">
        <f t="shared" si="20"/>
        <v>166:333</v>
      </c>
      <c r="H107" s="1" t="s">
        <v>346</v>
      </c>
      <c r="I107" s="1" t="s">
        <v>649</v>
      </c>
      <c r="J107" t="str">
        <f t="shared" si="21"/>
        <v>136:271</v>
      </c>
      <c r="K107" s="1" t="s">
        <v>348</v>
      </c>
      <c r="L107" s="1" t="s">
        <v>650</v>
      </c>
      <c r="M107" t="str">
        <f t="shared" si="11"/>
        <v>142:285</v>
      </c>
      <c r="N107" s="1" t="s">
        <v>445</v>
      </c>
      <c r="O107" s="1" t="s">
        <v>567</v>
      </c>
      <c r="P107" t="str">
        <f t="shared" si="12"/>
        <v>149:299</v>
      </c>
      <c r="Q107" s="1" t="s">
        <v>447</v>
      </c>
      <c r="R107" s="1" t="s">
        <v>448</v>
      </c>
      <c r="S107" t="str">
        <f t="shared" si="13"/>
        <v>156:312</v>
      </c>
    </row>
    <row r="108" spans="1:19">
      <c r="A108">
        <v>16.6</v>
      </c>
      <c r="B108">
        <v>33.3</v>
      </c>
      <c r="C108">
        <f t="shared" si="18"/>
        <v>166</v>
      </c>
      <c r="D108">
        <f t="shared" si="19"/>
        <v>333</v>
      </c>
      <c r="E108" t="str">
        <f t="shared" si="20"/>
        <v>166:333</v>
      </c>
      <c r="H108" s="1" t="s">
        <v>346</v>
      </c>
      <c r="I108" s="1" t="s">
        <v>649</v>
      </c>
      <c r="J108" t="str">
        <f t="shared" si="21"/>
        <v>136:271</v>
      </c>
      <c r="K108" s="1" t="s">
        <v>348</v>
      </c>
      <c r="L108" s="1" t="s">
        <v>650</v>
      </c>
      <c r="M108" t="str">
        <f t="shared" si="11"/>
        <v>142:285</v>
      </c>
      <c r="N108" s="1" t="s">
        <v>445</v>
      </c>
      <c r="O108" s="1" t="s">
        <v>567</v>
      </c>
      <c r="P108" t="str">
        <f t="shared" si="12"/>
        <v>149:299</v>
      </c>
      <c r="Q108" s="1" t="s">
        <v>447</v>
      </c>
      <c r="R108" s="1" t="s">
        <v>448</v>
      </c>
      <c r="S108" t="str">
        <f t="shared" si="13"/>
        <v>156:312</v>
      </c>
    </row>
    <row r="109" spans="1:19">
      <c r="A109">
        <v>3.3</v>
      </c>
      <c r="B109">
        <v>6.7</v>
      </c>
      <c r="C109">
        <f t="shared" si="18"/>
        <v>33</v>
      </c>
      <c r="D109">
        <f t="shared" si="19"/>
        <v>67</v>
      </c>
      <c r="E109" t="str">
        <f t="shared" si="20"/>
        <v>33:67</v>
      </c>
      <c r="H109" s="1" t="s">
        <v>496</v>
      </c>
      <c r="I109" s="1" t="s">
        <v>651</v>
      </c>
      <c r="J109" t="str">
        <f t="shared" si="21"/>
        <v>27:54</v>
      </c>
      <c r="K109" s="1" t="s">
        <v>460</v>
      </c>
      <c r="L109" s="1" t="s">
        <v>389</v>
      </c>
      <c r="M109" t="str">
        <f t="shared" si="11"/>
        <v>28:57</v>
      </c>
      <c r="N109" s="1" t="s">
        <v>652</v>
      </c>
      <c r="O109" s="1" t="s">
        <v>391</v>
      </c>
      <c r="P109" t="str">
        <f t="shared" si="12"/>
        <v>30:60</v>
      </c>
      <c r="Q109" s="1" t="s">
        <v>463</v>
      </c>
      <c r="R109" s="1" t="s">
        <v>341</v>
      </c>
      <c r="S109" t="str">
        <f t="shared" si="13"/>
        <v>31:62</v>
      </c>
    </row>
    <row r="110" spans="1:19">
      <c r="A110">
        <v>16.6</v>
      </c>
      <c r="B110">
        <v>33.3</v>
      </c>
      <c r="C110">
        <f t="shared" si="18"/>
        <v>166</v>
      </c>
      <c r="D110">
        <f t="shared" si="19"/>
        <v>333</v>
      </c>
      <c r="E110" t="str">
        <f t="shared" si="20"/>
        <v>166:333</v>
      </c>
      <c r="H110" s="1" t="s">
        <v>346</v>
      </c>
      <c r="I110" s="1" t="s">
        <v>649</v>
      </c>
      <c r="J110" t="str">
        <f t="shared" si="21"/>
        <v>136:271</v>
      </c>
      <c r="K110" s="1" t="s">
        <v>348</v>
      </c>
      <c r="L110" s="1" t="s">
        <v>650</v>
      </c>
      <c r="M110" t="str">
        <f t="shared" si="11"/>
        <v>142:285</v>
      </c>
      <c r="N110" s="1" t="s">
        <v>445</v>
      </c>
      <c r="O110" s="1" t="s">
        <v>567</v>
      </c>
      <c r="P110" t="str">
        <f t="shared" si="12"/>
        <v>149:299</v>
      </c>
      <c r="Q110" s="1" t="s">
        <v>447</v>
      </c>
      <c r="R110" s="1" t="s">
        <v>448</v>
      </c>
      <c r="S110" t="str">
        <f t="shared" si="13"/>
        <v>156:312</v>
      </c>
    </row>
    <row r="111" spans="1:19">
      <c r="A111">
        <v>380.9</v>
      </c>
      <c r="B111">
        <v>761.6</v>
      </c>
      <c r="C111">
        <f t="shared" si="18"/>
        <v>3809</v>
      </c>
      <c r="D111">
        <f t="shared" si="19"/>
        <v>7616</v>
      </c>
      <c r="E111" t="str">
        <f t="shared" si="20"/>
        <v>3809:7616</v>
      </c>
      <c r="H111" s="1" t="s">
        <v>653</v>
      </c>
      <c r="I111" s="1" t="s">
        <v>654</v>
      </c>
      <c r="J111" t="str">
        <f t="shared" si="21"/>
        <v>3137:6273</v>
      </c>
      <c r="K111" s="1" t="s">
        <v>655</v>
      </c>
      <c r="L111" s="1" t="s">
        <v>656</v>
      </c>
      <c r="M111" t="str">
        <f t="shared" si="11"/>
        <v>3294:6587</v>
      </c>
      <c r="N111" s="1" t="s">
        <v>657</v>
      </c>
      <c r="O111" s="1" t="s">
        <v>658</v>
      </c>
      <c r="P111" t="str">
        <f t="shared" si="12"/>
        <v>3450:6901</v>
      </c>
      <c r="Q111" s="1" t="s">
        <v>659</v>
      </c>
      <c r="R111" s="1" t="s">
        <v>660</v>
      </c>
      <c r="S111" t="str">
        <f t="shared" si="13"/>
        <v>3608:7214</v>
      </c>
    </row>
    <row r="112" spans="1:19">
      <c r="A112">
        <v>48.1</v>
      </c>
      <c r="B112">
        <v>96.2</v>
      </c>
      <c r="C112">
        <f t="shared" si="18"/>
        <v>481</v>
      </c>
      <c r="D112">
        <f t="shared" si="19"/>
        <v>962</v>
      </c>
      <c r="E112" t="str">
        <f t="shared" si="20"/>
        <v>481:962</v>
      </c>
      <c r="H112" s="1" t="s">
        <v>661</v>
      </c>
      <c r="I112" s="1" t="s">
        <v>662</v>
      </c>
      <c r="J112" t="str">
        <f t="shared" si="21"/>
        <v>396:792</v>
      </c>
      <c r="K112" s="1" t="s">
        <v>663</v>
      </c>
      <c r="L112" s="1" t="s">
        <v>664</v>
      </c>
      <c r="M112" t="str">
        <f t="shared" si="11"/>
        <v>416:832</v>
      </c>
      <c r="N112" s="1" t="s">
        <v>665</v>
      </c>
      <c r="O112" s="1" t="s">
        <v>666</v>
      </c>
      <c r="P112" t="str">
        <f t="shared" si="12"/>
        <v>436:871</v>
      </c>
      <c r="Q112" s="1" t="s">
        <v>667</v>
      </c>
      <c r="R112" s="1" t="s">
        <v>668</v>
      </c>
      <c r="S112" t="str">
        <f t="shared" si="13"/>
        <v>455:910</v>
      </c>
    </row>
    <row r="113" spans="1:19">
      <c r="A113">
        <v>30.2</v>
      </c>
      <c r="B113">
        <v>60.4</v>
      </c>
      <c r="C113">
        <f t="shared" si="18"/>
        <v>302</v>
      </c>
      <c r="D113">
        <f t="shared" si="19"/>
        <v>604</v>
      </c>
      <c r="E113" t="str">
        <f t="shared" si="20"/>
        <v>302:604</v>
      </c>
      <c r="H113" s="1" t="s">
        <v>669</v>
      </c>
      <c r="I113" s="1" t="s">
        <v>670</v>
      </c>
      <c r="J113" t="str">
        <f t="shared" si="21"/>
        <v>249:498</v>
      </c>
      <c r="K113" s="1" t="s">
        <v>626</v>
      </c>
      <c r="L113" s="1" t="s">
        <v>671</v>
      </c>
      <c r="M113" t="str">
        <f t="shared" si="11"/>
        <v>261:523</v>
      </c>
      <c r="N113" s="1" t="s">
        <v>627</v>
      </c>
      <c r="O113" s="1" t="s">
        <v>672</v>
      </c>
      <c r="P113" t="str">
        <f t="shared" si="12"/>
        <v>274:548</v>
      </c>
      <c r="Q113" s="1" t="s">
        <v>565</v>
      </c>
      <c r="R113" s="1" t="s">
        <v>566</v>
      </c>
      <c r="S113" t="str">
        <f t="shared" si="13"/>
        <v>286:572</v>
      </c>
    </row>
    <row r="114" spans="1:19">
      <c r="A114">
        <v>48.1</v>
      </c>
      <c r="B114">
        <v>96.2</v>
      </c>
      <c r="C114">
        <f t="shared" si="18"/>
        <v>481</v>
      </c>
      <c r="D114">
        <f t="shared" si="19"/>
        <v>962</v>
      </c>
      <c r="E114" t="str">
        <f t="shared" si="20"/>
        <v>481:962</v>
      </c>
      <c r="H114" s="1" t="s">
        <v>661</v>
      </c>
      <c r="I114" s="1" t="s">
        <v>662</v>
      </c>
      <c r="J114" t="str">
        <f t="shared" si="21"/>
        <v>396:792</v>
      </c>
      <c r="K114" s="1" t="s">
        <v>663</v>
      </c>
      <c r="L114" s="1" t="s">
        <v>664</v>
      </c>
      <c r="M114" t="str">
        <f t="shared" si="11"/>
        <v>416:832</v>
      </c>
      <c r="N114" s="1" t="s">
        <v>665</v>
      </c>
      <c r="O114" s="1" t="s">
        <v>666</v>
      </c>
      <c r="P114" t="str">
        <f t="shared" si="12"/>
        <v>436:871</v>
      </c>
      <c r="Q114" s="1" t="s">
        <v>667</v>
      </c>
      <c r="R114" s="1" t="s">
        <v>668</v>
      </c>
      <c r="S114" t="str">
        <f t="shared" si="13"/>
        <v>455:910</v>
      </c>
    </row>
    <row r="115" spans="1:19">
      <c r="A115">
        <v>30.2</v>
      </c>
      <c r="B115">
        <v>60.4</v>
      </c>
      <c r="C115">
        <f t="shared" si="18"/>
        <v>302</v>
      </c>
      <c r="D115">
        <f t="shared" si="19"/>
        <v>604</v>
      </c>
      <c r="E115" t="str">
        <f t="shared" si="20"/>
        <v>302:604</v>
      </c>
      <c r="H115" s="1" t="s">
        <v>669</v>
      </c>
      <c r="I115" s="1" t="s">
        <v>670</v>
      </c>
      <c r="J115" t="str">
        <f t="shared" si="21"/>
        <v>249:498</v>
      </c>
      <c r="K115" s="1" t="s">
        <v>626</v>
      </c>
      <c r="L115" s="1" t="s">
        <v>671</v>
      </c>
      <c r="M115" t="str">
        <f t="shared" si="11"/>
        <v>261:523</v>
      </c>
      <c r="N115" s="1" t="s">
        <v>627</v>
      </c>
      <c r="O115" s="1" t="s">
        <v>672</v>
      </c>
      <c r="P115" t="str">
        <f t="shared" si="12"/>
        <v>274:548</v>
      </c>
      <c r="Q115" s="1" t="s">
        <v>565</v>
      </c>
      <c r="R115" s="1" t="s">
        <v>566</v>
      </c>
      <c r="S115" t="str">
        <f t="shared" si="13"/>
        <v>286:572</v>
      </c>
    </row>
    <row r="116" spans="1:19">
      <c r="A116">
        <v>8.9</v>
      </c>
      <c r="B116">
        <v>17.9</v>
      </c>
      <c r="C116">
        <f t="shared" si="18"/>
        <v>89</v>
      </c>
      <c r="D116">
        <f t="shared" si="19"/>
        <v>179</v>
      </c>
      <c r="E116" t="str">
        <f t="shared" si="20"/>
        <v>89:179</v>
      </c>
      <c r="H116" s="1" t="s">
        <v>403</v>
      </c>
      <c r="I116" s="1" t="s">
        <v>494</v>
      </c>
      <c r="J116" t="str">
        <f t="shared" si="21"/>
        <v>74:147</v>
      </c>
      <c r="K116" s="1" t="s">
        <v>673</v>
      </c>
      <c r="L116" s="1" t="s">
        <v>495</v>
      </c>
      <c r="M116" t="str">
        <f t="shared" si="11"/>
        <v>77:154</v>
      </c>
      <c r="N116" s="1" t="s">
        <v>426</v>
      </c>
      <c r="O116" s="1" t="s">
        <v>674</v>
      </c>
      <c r="P116" t="str">
        <f t="shared" si="12"/>
        <v>81:162</v>
      </c>
      <c r="Q116" s="1" t="s">
        <v>675</v>
      </c>
      <c r="R116" s="1" t="s">
        <v>429</v>
      </c>
      <c r="S116" t="str">
        <f t="shared" si="13"/>
        <v>84:169</v>
      </c>
    </row>
    <row r="117" spans="1:19">
      <c r="A117">
        <v>17.9</v>
      </c>
      <c r="B117">
        <v>35.7</v>
      </c>
      <c r="C117">
        <f t="shared" si="18"/>
        <v>179</v>
      </c>
      <c r="D117">
        <f t="shared" si="19"/>
        <v>357</v>
      </c>
      <c r="E117" t="str">
        <f t="shared" si="20"/>
        <v>179:357</v>
      </c>
      <c r="H117" s="1" t="s">
        <v>494</v>
      </c>
      <c r="I117" s="1" t="s">
        <v>676</v>
      </c>
      <c r="J117" t="str">
        <f t="shared" si="21"/>
        <v>147:294</v>
      </c>
      <c r="K117" s="1" t="s">
        <v>495</v>
      </c>
      <c r="L117" s="1" t="s">
        <v>677</v>
      </c>
      <c r="M117" t="str">
        <f t="shared" si="11"/>
        <v>154:309</v>
      </c>
      <c r="N117" s="1" t="s">
        <v>674</v>
      </c>
      <c r="O117" s="1" t="s">
        <v>678</v>
      </c>
      <c r="P117" t="str">
        <f t="shared" si="12"/>
        <v>162:324</v>
      </c>
      <c r="Q117" s="1" t="s">
        <v>429</v>
      </c>
      <c r="R117" s="1" t="s">
        <v>679</v>
      </c>
      <c r="S117" t="str">
        <f t="shared" si="13"/>
        <v>169:339</v>
      </c>
    </row>
    <row r="118" spans="1:19">
      <c r="A118">
        <v>17.9</v>
      </c>
      <c r="B118">
        <v>35.7</v>
      </c>
      <c r="C118">
        <f t="shared" si="18"/>
        <v>179</v>
      </c>
      <c r="D118">
        <f t="shared" si="19"/>
        <v>357</v>
      </c>
      <c r="E118" t="str">
        <f t="shared" si="20"/>
        <v>179:357</v>
      </c>
      <c r="H118" s="1" t="s">
        <v>494</v>
      </c>
      <c r="I118" s="1" t="s">
        <v>676</v>
      </c>
      <c r="J118" t="str">
        <f t="shared" si="21"/>
        <v>147:294</v>
      </c>
      <c r="K118" s="1" t="s">
        <v>495</v>
      </c>
      <c r="L118" s="1" t="s">
        <v>677</v>
      </c>
      <c r="M118" t="str">
        <f t="shared" si="11"/>
        <v>154:309</v>
      </c>
      <c r="N118" s="1" t="s">
        <v>674</v>
      </c>
      <c r="O118" s="1" t="s">
        <v>678</v>
      </c>
      <c r="P118" t="str">
        <f t="shared" si="12"/>
        <v>162:324</v>
      </c>
      <c r="Q118" s="1" t="s">
        <v>429</v>
      </c>
      <c r="R118" s="1" t="s">
        <v>679</v>
      </c>
      <c r="S118" t="str">
        <f t="shared" si="13"/>
        <v>169:339</v>
      </c>
    </row>
    <row r="119" spans="1:19">
      <c r="A119">
        <v>3.6</v>
      </c>
      <c r="B119">
        <v>7.1</v>
      </c>
      <c r="C119">
        <f t="shared" si="18"/>
        <v>36</v>
      </c>
      <c r="D119">
        <f t="shared" si="19"/>
        <v>71</v>
      </c>
      <c r="E119" t="str">
        <f t="shared" si="20"/>
        <v>36:71</v>
      </c>
      <c r="H119" s="1" t="s">
        <v>461</v>
      </c>
      <c r="I119" s="1" t="s">
        <v>603</v>
      </c>
      <c r="J119" t="str">
        <f t="shared" si="21"/>
        <v>29:59</v>
      </c>
      <c r="K119" s="1" t="s">
        <v>463</v>
      </c>
      <c r="L119" s="1" t="s">
        <v>341</v>
      </c>
      <c r="M119" t="str">
        <f t="shared" si="11"/>
        <v>31:62</v>
      </c>
      <c r="N119" s="1" t="s">
        <v>396</v>
      </c>
      <c r="O119" s="1" t="s">
        <v>343</v>
      </c>
      <c r="P119" t="str">
        <f t="shared" si="12"/>
        <v>32:65</v>
      </c>
      <c r="Q119" s="1" t="s">
        <v>397</v>
      </c>
      <c r="R119" s="1" t="s">
        <v>345</v>
      </c>
      <c r="S119" t="str">
        <f t="shared" si="13"/>
        <v>34:68</v>
      </c>
    </row>
    <row r="120" spans="1:19">
      <c r="A120">
        <v>17.9</v>
      </c>
      <c r="B120">
        <v>35.7</v>
      </c>
      <c r="C120">
        <f t="shared" si="18"/>
        <v>179</v>
      </c>
      <c r="D120">
        <f t="shared" si="19"/>
        <v>357</v>
      </c>
      <c r="E120" t="str">
        <f t="shared" si="20"/>
        <v>179:357</v>
      </c>
      <c r="H120" s="1" t="s">
        <v>494</v>
      </c>
      <c r="I120" s="1" t="s">
        <v>676</v>
      </c>
      <c r="J120" t="str">
        <f t="shared" si="21"/>
        <v>147:294</v>
      </c>
      <c r="K120" s="1" t="s">
        <v>495</v>
      </c>
      <c r="L120" s="1" t="s">
        <v>677</v>
      </c>
      <c r="M120" t="str">
        <f t="shared" si="11"/>
        <v>154:309</v>
      </c>
      <c r="N120" s="1" t="s">
        <v>674</v>
      </c>
      <c r="O120" s="1" t="s">
        <v>678</v>
      </c>
      <c r="P120" t="str">
        <f t="shared" si="12"/>
        <v>162:324</v>
      </c>
      <c r="Q120" s="1" t="s">
        <v>429</v>
      </c>
      <c r="R120" s="1" t="s">
        <v>679</v>
      </c>
      <c r="S120" t="str">
        <f t="shared" si="13"/>
        <v>169:339</v>
      </c>
    </row>
    <row r="121" spans="1:19">
      <c r="A121">
        <v>406.6</v>
      </c>
      <c r="B121">
        <v>813.1</v>
      </c>
      <c r="C121">
        <f t="shared" si="18"/>
        <v>4066</v>
      </c>
      <c r="D121">
        <f t="shared" si="19"/>
        <v>8131</v>
      </c>
      <c r="E121" t="str">
        <f t="shared" si="20"/>
        <v>4066:8131</v>
      </c>
      <c r="H121" s="1" t="s">
        <v>680</v>
      </c>
      <c r="I121" s="1" t="s">
        <v>681</v>
      </c>
      <c r="J121" t="str">
        <f t="shared" si="21"/>
        <v>3382:6764</v>
      </c>
      <c r="K121" s="1" t="s">
        <v>682</v>
      </c>
      <c r="L121" s="1" t="s">
        <v>683</v>
      </c>
      <c r="M121" t="str">
        <f t="shared" si="11"/>
        <v>3551:7102</v>
      </c>
      <c r="N121" s="1" t="s">
        <v>684</v>
      </c>
      <c r="O121" s="1" t="s">
        <v>685</v>
      </c>
      <c r="P121" t="str">
        <f t="shared" si="12"/>
        <v>3720:7440</v>
      </c>
      <c r="Q121" s="1" t="s">
        <v>686</v>
      </c>
      <c r="R121" s="1" t="s">
        <v>687</v>
      </c>
      <c r="S121" t="str">
        <f t="shared" si="13"/>
        <v>3890:7778</v>
      </c>
    </row>
    <row r="122" spans="1:19">
      <c r="A122">
        <v>51.3</v>
      </c>
      <c r="B122">
        <v>102.6</v>
      </c>
      <c r="C122">
        <f t="shared" si="18"/>
        <v>513</v>
      </c>
      <c r="D122">
        <f t="shared" si="19"/>
        <v>1026</v>
      </c>
      <c r="E122" t="str">
        <f t="shared" si="20"/>
        <v>513:1026</v>
      </c>
      <c r="H122" s="1" t="s">
        <v>688</v>
      </c>
      <c r="I122" s="1" t="s">
        <v>689</v>
      </c>
      <c r="J122" t="str">
        <f t="shared" si="21"/>
        <v>427:854</v>
      </c>
      <c r="K122" s="1" t="s">
        <v>690</v>
      </c>
      <c r="L122" s="1" t="s">
        <v>691</v>
      </c>
      <c r="M122" t="str">
        <f t="shared" si="11"/>
        <v>448:897</v>
      </c>
      <c r="N122" s="1" t="s">
        <v>692</v>
      </c>
      <c r="O122" s="1" t="s">
        <v>693</v>
      </c>
      <c r="P122" t="str">
        <f t="shared" si="12"/>
        <v>470:939</v>
      </c>
      <c r="Q122" s="1" t="s">
        <v>694</v>
      </c>
      <c r="R122" s="1" t="s">
        <v>695</v>
      </c>
      <c r="S122" t="str">
        <f t="shared" si="13"/>
        <v>491:982</v>
      </c>
    </row>
    <row r="123" spans="1:19">
      <c r="A123">
        <v>32.3</v>
      </c>
      <c r="B123">
        <v>64.5</v>
      </c>
      <c r="C123">
        <f t="shared" si="18"/>
        <v>323</v>
      </c>
      <c r="D123">
        <f t="shared" si="19"/>
        <v>645</v>
      </c>
      <c r="E123" t="str">
        <f t="shared" si="20"/>
        <v>323:645</v>
      </c>
      <c r="H123" s="1" t="s">
        <v>696</v>
      </c>
      <c r="I123" s="1" t="s">
        <v>697</v>
      </c>
      <c r="J123" t="str">
        <f t="shared" si="21"/>
        <v>268:537</v>
      </c>
      <c r="K123" s="1" t="s">
        <v>698</v>
      </c>
      <c r="L123" s="1" t="s">
        <v>339</v>
      </c>
      <c r="M123" t="str">
        <f t="shared" si="11"/>
        <v>282:564</v>
      </c>
      <c r="N123" s="1" t="s">
        <v>699</v>
      </c>
      <c r="O123" s="1" t="s">
        <v>700</v>
      </c>
      <c r="P123" t="str">
        <f t="shared" si="12"/>
        <v>295:591</v>
      </c>
      <c r="Q123" s="1" t="s">
        <v>677</v>
      </c>
      <c r="R123" s="1" t="s">
        <v>701</v>
      </c>
      <c r="S123" t="str">
        <f t="shared" si="13"/>
        <v>309:616</v>
      </c>
    </row>
    <row r="124" spans="1:19">
      <c r="A124">
        <v>51.3</v>
      </c>
      <c r="B124">
        <v>102.6</v>
      </c>
      <c r="C124">
        <f t="shared" si="18"/>
        <v>513</v>
      </c>
      <c r="D124">
        <f t="shared" si="19"/>
        <v>1026</v>
      </c>
      <c r="E124" t="str">
        <f t="shared" si="20"/>
        <v>513:1026</v>
      </c>
      <c r="H124" s="1" t="s">
        <v>688</v>
      </c>
      <c r="I124" s="1" t="s">
        <v>689</v>
      </c>
      <c r="J124" t="str">
        <f t="shared" si="21"/>
        <v>427:854</v>
      </c>
      <c r="K124" s="1" t="s">
        <v>690</v>
      </c>
      <c r="L124" s="1" t="s">
        <v>691</v>
      </c>
      <c r="M124" t="str">
        <f t="shared" si="11"/>
        <v>448:897</v>
      </c>
      <c r="N124" s="1" t="s">
        <v>692</v>
      </c>
      <c r="O124" s="1" t="s">
        <v>693</v>
      </c>
      <c r="P124" t="str">
        <f t="shared" si="12"/>
        <v>470:939</v>
      </c>
      <c r="Q124" s="1" t="s">
        <v>694</v>
      </c>
      <c r="R124" s="1" t="s">
        <v>695</v>
      </c>
      <c r="S124" t="str">
        <f t="shared" si="13"/>
        <v>491:982</v>
      </c>
    </row>
    <row r="125" spans="1:19">
      <c r="A125">
        <v>32.3</v>
      </c>
      <c r="B125">
        <v>64.5</v>
      </c>
      <c r="C125">
        <f t="shared" si="18"/>
        <v>323</v>
      </c>
      <c r="D125">
        <f t="shared" si="19"/>
        <v>645</v>
      </c>
      <c r="E125" t="str">
        <f t="shared" si="20"/>
        <v>323:645</v>
      </c>
      <c r="H125" s="1" t="s">
        <v>696</v>
      </c>
      <c r="I125" s="1" t="s">
        <v>697</v>
      </c>
      <c r="J125" t="str">
        <f t="shared" si="21"/>
        <v>268:537</v>
      </c>
      <c r="K125" s="1" t="s">
        <v>698</v>
      </c>
      <c r="L125" s="1" t="s">
        <v>339</v>
      </c>
      <c r="M125" t="str">
        <f t="shared" si="11"/>
        <v>282:564</v>
      </c>
      <c r="N125" s="1" t="s">
        <v>699</v>
      </c>
      <c r="O125" s="1" t="s">
        <v>700</v>
      </c>
      <c r="P125" t="str">
        <f t="shared" si="12"/>
        <v>295:591</v>
      </c>
      <c r="Q125" s="1" t="s">
        <v>677</v>
      </c>
      <c r="R125" s="1" t="s">
        <v>701</v>
      </c>
      <c r="S125" t="str">
        <f t="shared" si="13"/>
        <v>309:616</v>
      </c>
    </row>
    <row r="126" spans="1:19">
      <c r="A126">
        <v>9.5</v>
      </c>
      <c r="B126">
        <v>19.1</v>
      </c>
      <c r="C126">
        <f t="shared" si="18"/>
        <v>95</v>
      </c>
      <c r="D126">
        <f t="shared" si="19"/>
        <v>191</v>
      </c>
      <c r="E126" t="str">
        <f t="shared" si="20"/>
        <v>95:191</v>
      </c>
      <c r="H126" s="1" t="s">
        <v>702</v>
      </c>
      <c r="I126" s="1" t="s">
        <v>543</v>
      </c>
      <c r="J126" t="str">
        <f t="shared" si="21"/>
        <v>80:159</v>
      </c>
      <c r="K126" s="1" t="s">
        <v>703</v>
      </c>
      <c r="L126" s="1" t="s">
        <v>704</v>
      </c>
      <c r="M126" t="str">
        <f t="shared" si="11"/>
        <v>83:166</v>
      </c>
      <c r="N126" s="1" t="s">
        <v>705</v>
      </c>
      <c r="O126" s="1" t="s">
        <v>706</v>
      </c>
      <c r="P126" t="str">
        <f t="shared" si="12"/>
        <v>88:174</v>
      </c>
      <c r="Q126" s="1" t="s">
        <v>381</v>
      </c>
      <c r="R126" s="1" t="s">
        <v>382</v>
      </c>
      <c r="S126" t="str">
        <f t="shared" si="13"/>
        <v>91:182</v>
      </c>
    </row>
    <row r="127" spans="1:19">
      <c r="A127">
        <v>19.1</v>
      </c>
      <c r="B127">
        <v>38.1</v>
      </c>
      <c r="C127">
        <f t="shared" si="18"/>
        <v>191</v>
      </c>
      <c r="D127">
        <f t="shared" si="19"/>
        <v>381</v>
      </c>
      <c r="E127" t="str">
        <f t="shared" si="20"/>
        <v>191:381</v>
      </c>
      <c r="H127" s="1" t="s">
        <v>543</v>
      </c>
      <c r="I127" s="1" t="s">
        <v>707</v>
      </c>
      <c r="J127" t="str">
        <f t="shared" si="21"/>
        <v>159:317</v>
      </c>
      <c r="K127" s="1" t="s">
        <v>704</v>
      </c>
      <c r="L127" s="1" t="s">
        <v>593</v>
      </c>
      <c r="M127" t="str">
        <f t="shared" si="11"/>
        <v>166:333</v>
      </c>
      <c r="N127" s="1" t="s">
        <v>706</v>
      </c>
      <c r="O127" s="1" t="s">
        <v>708</v>
      </c>
      <c r="P127" t="str">
        <f t="shared" si="12"/>
        <v>174:350</v>
      </c>
      <c r="Q127" s="1" t="s">
        <v>382</v>
      </c>
      <c r="R127" s="1" t="s">
        <v>636</v>
      </c>
      <c r="S127" t="str">
        <f t="shared" si="13"/>
        <v>182:365</v>
      </c>
    </row>
    <row r="128" spans="1:19">
      <c r="A128">
        <v>19.1</v>
      </c>
      <c r="B128">
        <v>38.1</v>
      </c>
      <c r="C128">
        <f t="shared" si="18"/>
        <v>191</v>
      </c>
      <c r="D128">
        <f t="shared" si="19"/>
        <v>381</v>
      </c>
      <c r="E128" t="str">
        <f t="shared" si="20"/>
        <v>191:381</v>
      </c>
      <c r="H128" s="1" t="s">
        <v>543</v>
      </c>
      <c r="I128" s="1" t="s">
        <v>707</v>
      </c>
      <c r="J128" t="str">
        <f t="shared" si="21"/>
        <v>159:317</v>
      </c>
      <c r="K128" s="1" t="s">
        <v>704</v>
      </c>
      <c r="L128" s="1" t="s">
        <v>593</v>
      </c>
      <c r="M128" t="str">
        <f t="shared" si="11"/>
        <v>166:333</v>
      </c>
      <c r="N128" s="1" t="s">
        <v>706</v>
      </c>
      <c r="O128" s="1" t="s">
        <v>708</v>
      </c>
      <c r="P128" t="str">
        <f t="shared" si="12"/>
        <v>174:350</v>
      </c>
      <c r="Q128" s="1" t="s">
        <v>382</v>
      </c>
      <c r="R128" s="1" t="s">
        <v>636</v>
      </c>
      <c r="S128" t="str">
        <f t="shared" si="13"/>
        <v>182:365</v>
      </c>
    </row>
    <row r="129" spans="1:19">
      <c r="A129">
        <v>3.8</v>
      </c>
      <c r="B129">
        <v>7.6</v>
      </c>
      <c r="C129">
        <f t="shared" si="18"/>
        <v>38</v>
      </c>
      <c r="D129">
        <f t="shared" si="19"/>
        <v>76</v>
      </c>
      <c r="E129" t="str">
        <f t="shared" si="20"/>
        <v>38:76</v>
      </c>
      <c r="H129" s="1" t="s">
        <v>396</v>
      </c>
      <c r="I129" s="1" t="s">
        <v>393</v>
      </c>
      <c r="J129" t="str">
        <f t="shared" si="21"/>
        <v>32:63</v>
      </c>
      <c r="K129" s="1" t="s">
        <v>525</v>
      </c>
      <c r="L129" s="1" t="s">
        <v>402</v>
      </c>
      <c r="M129" t="str">
        <f t="shared" ref="M129:M150" si="22">K129&amp;":"&amp;L129</f>
        <v>33:67</v>
      </c>
      <c r="N129" s="1" t="s">
        <v>399</v>
      </c>
      <c r="O129" s="1" t="s">
        <v>488</v>
      </c>
      <c r="P129" t="str">
        <f t="shared" ref="P129:P150" si="23">N129&amp;":"&amp;O129</f>
        <v>35:70</v>
      </c>
      <c r="Q129" s="1" t="s">
        <v>526</v>
      </c>
      <c r="R129" s="1" t="s">
        <v>489</v>
      </c>
      <c r="S129" t="str">
        <f t="shared" ref="S129:S150" si="24">Q129&amp;":"&amp;R129</f>
        <v>36:73</v>
      </c>
    </row>
    <row r="130" spans="1:19">
      <c r="A130">
        <v>19.1</v>
      </c>
      <c r="B130">
        <v>38.1</v>
      </c>
      <c r="C130">
        <f t="shared" si="18"/>
        <v>191</v>
      </c>
      <c r="D130">
        <f t="shared" si="19"/>
        <v>381</v>
      </c>
      <c r="E130" t="str">
        <f t="shared" si="20"/>
        <v>191:381</v>
      </c>
      <c r="H130" s="1" t="s">
        <v>543</v>
      </c>
      <c r="I130" s="1" t="s">
        <v>707</v>
      </c>
      <c r="J130" t="str">
        <f t="shared" ref="J130:J150" si="25">H130&amp;":"&amp;I130</f>
        <v>159:317</v>
      </c>
      <c r="K130" s="1" t="s">
        <v>704</v>
      </c>
      <c r="L130" s="1" t="s">
        <v>593</v>
      </c>
      <c r="M130" t="str">
        <f t="shared" si="22"/>
        <v>166:333</v>
      </c>
      <c r="N130" s="1" t="s">
        <v>706</v>
      </c>
      <c r="O130" s="1" t="s">
        <v>708</v>
      </c>
      <c r="P130" t="str">
        <f t="shared" si="23"/>
        <v>174:350</v>
      </c>
      <c r="Q130" s="1" t="s">
        <v>382</v>
      </c>
      <c r="R130" s="1" t="s">
        <v>636</v>
      </c>
      <c r="S130" t="str">
        <f t="shared" si="24"/>
        <v>182:365</v>
      </c>
    </row>
    <row r="131" spans="8:19">
      <c r="H131" s="1" t="s">
        <v>709</v>
      </c>
      <c r="I131" s="1" t="s">
        <v>710</v>
      </c>
      <c r="J131" t="str">
        <f t="shared" si="25"/>
        <v>3627:7254</v>
      </c>
      <c r="K131" s="1" t="s">
        <v>711</v>
      </c>
      <c r="L131" s="1" t="s">
        <v>712</v>
      </c>
      <c r="M131" t="str">
        <f t="shared" si="22"/>
        <v>3809:7616</v>
      </c>
      <c r="N131" s="1" t="s">
        <v>713</v>
      </c>
      <c r="O131" s="1" t="s">
        <v>714</v>
      </c>
      <c r="P131" t="str">
        <f t="shared" si="23"/>
        <v>3990:7979</v>
      </c>
      <c r="Q131" s="1" t="s">
        <v>715</v>
      </c>
      <c r="R131" s="1" t="s">
        <v>716</v>
      </c>
      <c r="S131" t="str">
        <f t="shared" si="24"/>
        <v>4171:8342</v>
      </c>
    </row>
    <row r="132" spans="8:19">
      <c r="H132" s="1" t="s">
        <v>717</v>
      </c>
      <c r="I132" s="1" t="s">
        <v>718</v>
      </c>
      <c r="J132" t="str">
        <f t="shared" si="25"/>
        <v>458:916</v>
      </c>
      <c r="K132" s="1" t="s">
        <v>719</v>
      </c>
      <c r="L132" s="1" t="s">
        <v>720</v>
      </c>
      <c r="M132" t="str">
        <f t="shared" si="22"/>
        <v>481:962</v>
      </c>
      <c r="N132" s="1" t="s">
        <v>721</v>
      </c>
      <c r="O132" s="1" t="s">
        <v>722</v>
      </c>
      <c r="P132" t="str">
        <f t="shared" si="23"/>
        <v>504:1007</v>
      </c>
      <c r="Q132" s="1" t="s">
        <v>723</v>
      </c>
      <c r="R132" s="1" t="s">
        <v>724</v>
      </c>
      <c r="S132" t="str">
        <f t="shared" si="24"/>
        <v>526:1053</v>
      </c>
    </row>
    <row r="133" spans="8:19">
      <c r="H133" s="1" t="s">
        <v>725</v>
      </c>
      <c r="I133" s="1" t="s">
        <v>726</v>
      </c>
      <c r="J133" t="str">
        <f t="shared" si="25"/>
        <v>288:576</v>
      </c>
      <c r="K133" s="1" t="s">
        <v>727</v>
      </c>
      <c r="L133" s="1" t="s">
        <v>728</v>
      </c>
      <c r="M133" t="str">
        <f t="shared" si="22"/>
        <v>302:604</v>
      </c>
      <c r="N133" s="1" t="s">
        <v>707</v>
      </c>
      <c r="O133" s="1" t="s">
        <v>729</v>
      </c>
      <c r="P133" t="str">
        <f t="shared" si="23"/>
        <v>317:633</v>
      </c>
      <c r="Q133" s="1" t="s">
        <v>730</v>
      </c>
      <c r="R133" s="1" t="s">
        <v>731</v>
      </c>
      <c r="S133" t="str">
        <f t="shared" si="24"/>
        <v>331:661</v>
      </c>
    </row>
    <row r="134" spans="8:19">
      <c r="H134" s="1" t="s">
        <v>717</v>
      </c>
      <c r="I134" s="1" t="s">
        <v>718</v>
      </c>
      <c r="J134" t="str">
        <f t="shared" si="25"/>
        <v>458:916</v>
      </c>
      <c r="K134" s="1" t="s">
        <v>719</v>
      </c>
      <c r="L134" s="1" t="s">
        <v>720</v>
      </c>
      <c r="M134" t="str">
        <f t="shared" si="22"/>
        <v>481:962</v>
      </c>
      <c r="N134" s="1" t="s">
        <v>721</v>
      </c>
      <c r="O134" s="1" t="s">
        <v>722</v>
      </c>
      <c r="P134" t="str">
        <f t="shared" si="23"/>
        <v>504:1007</v>
      </c>
      <c r="Q134" s="1" t="s">
        <v>723</v>
      </c>
      <c r="R134" s="1" t="s">
        <v>724</v>
      </c>
      <c r="S134" t="str">
        <f t="shared" si="24"/>
        <v>526:1053</v>
      </c>
    </row>
    <row r="135" spans="8:19">
      <c r="H135" s="1" t="s">
        <v>725</v>
      </c>
      <c r="I135" s="1" t="s">
        <v>726</v>
      </c>
      <c r="J135" t="str">
        <f t="shared" si="25"/>
        <v>288:576</v>
      </c>
      <c r="K135" s="1" t="s">
        <v>727</v>
      </c>
      <c r="L135" s="1" t="s">
        <v>728</v>
      </c>
      <c r="M135" t="str">
        <f t="shared" si="22"/>
        <v>302:604</v>
      </c>
      <c r="N135" s="1" t="s">
        <v>707</v>
      </c>
      <c r="O135" s="1" t="s">
        <v>729</v>
      </c>
      <c r="P135" t="str">
        <f t="shared" si="23"/>
        <v>317:633</v>
      </c>
      <c r="Q135" s="1" t="s">
        <v>730</v>
      </c>
      <c r="R135" s="1" t="s">
        <v>731</v>
      </c>
      <c r="S135" t="str">
        <f t="shared" si="24"/>
        <v>331:661</v>
      </c>
    </row>
    <row r="136" spans="8:19">
      <c r="H136" s="1" t="s">
        <v>354</v>
      </c>
      <c r="I136" s="1" t="s">
        <v>732</v>
      </c>
      <c r="J136" t="str">
        <f t="shared" si="25"/>
        <v>86:170</v>
      </c>
      <c r="K136" s="1" t="s">
        <v>356</v>
      </c>
      <c r="L136" s="1" t="s">
        <v>552</v>
      </c>
      <c r="M136" t="str">
        <f t="shared" si="22"/>
        <v>89:179</v>
      </c>
      <c r="N136" s="1" t="s">
        <v>551</v>
      </c>
      <c r="O136" s="1" t="s">
        <v>453</v>
      </c>
      <c r="P136" t="str">
        <f t="shared" si="23"/>
        <v>94:187</v>
      </c>
      <c r="Q136" s="1" t="s">
        <v>454</v>
      </c>
      <c r="R136" s="1" t="s">
        <v>733</v>
      </c>
      <c r="S136" t="str">
        <f t="shared" si="24"/>
        <v>98:195</v>
      </c>
    </row>
    <row r="137" spans="8:19">
      <c r="H137" s="1" t="s">
        <v>732</v>
      </c>
      <c r="I137" s="1" t="s">
        <v>734</v>
      </c>
      <c r="J137" t="str">
        <f t="shared" si="25"/>
        <v>170:340</v>
      </c>
      <c r="K137" s="1" t="s">
        <v>552</v>
      </c>
      <c r="L137" s="1" t="s">
        <v>735</v>
      </c>
      <c r="M137" t="str">
        <f t="shared" si="22"/>
        <v>179:357</v>
      </c>
      <c r="N137" s="1" t="s">
        <v>453</v>
      </c>
      <c r="O137" s="1" t="s">
        <v>736</v>
      </c>
      <c r="P137" t="str">
        <f t="shared" si="23"/>
        <v>187:375</v>
      </c>
      <c r="Q137" s="1" t="s">
        <v>733</v>
      </c>
      <c r="R137" s="1" t="s">
        <v>737</v>
      </c>
      <c r="S137" t="str">
        <f t="shared" si="24"/>
        <v>195:392</v>
      </c>
    </row>
    <row r="138" spans="8:19">
      <c r="H138" s="1" t="s">
        <v>732</v>
      </c>
      <c r="I138" s="1" t="s">
        <v>734</v>
      </c>
      <c r="J138" t="str">
        <f t="shared" si="25"/>
        <v>170:340</v>
      </c>
      <c r="K138" s="1" t="s">
        <v>552</v>
      </c>
      <c r="L138" s="1" t="s">
        <v>735</v>
      </c>
      <c r="M138" t="str">
        <f t="shared" si="22"/>
        <v>179:357</v>
      </c>
      <c r="N138" s="1" t="s">
        <v>453</v>
      </c>
      <c r="O138" s="1" t="s">
        <v>736</v>
      </c>
      <c r="P138" t="str">
        <f t="shared" si="23"/>
        <v>187:375</v>
      </c>
      <c r="Q138" s="1" t="s">
        <v>733</v>
      </c>
      <c r="R138" s="1" t="s">
        <v>737</v>
      </c>
      <c r="S138" t="str">
        <f t="shared" si="24"/>
        <v>195:392</v>
      </c>
    </row>
    <row r="139" spans="8:19">
      <c r="H139" s="1" t="s">
        <v>397</v>
      </c>
      <c r="I139" s="1" t="s">
        <v>345</v>
      </c>
      <c r="J139" t="str">
        <f t="shared" si="25"/>
        <v>34:68</v>
      </c>
      <c r="K139" s="1" t="s">
        <v>526</v>
      </c>
      <c r="L139" s="1" t="s">
        <v>347</v>
      </c>
      <c r="M139" t="str">
        <f t="shared" si="22"/>
        <v>36:71</v>
      </c>
      <c r="N139" s="1" t="s">
        <v>400</v>
      </c>
      <c r="O139" s="1" t="s">
        <v>648</v>
      </c>
      <c r="P139" t="str">
        <f t="shared" si="23"/>
        <v>37:75</v>
      </c>
      <c r="Q139" s="1" t="s">
        <v>349</v>
      </c>
      <c r="R139" s="1" t="s">
        <v>350</v>
      </c>
      <c r="S139" t="str">
        <f t="shared" si="24"/>
        <v>39:78</v>
      </c>
    </row>
    <row r="140" spans="8:19">
      <c r="H140" s="1" t="s">
        <v>732</v>
      </c>
      <c r="I140" s="1" t="s">
        <v>734</v>
      </c>
      <c r="J140" t="str">
        <f t="shared" si="25"/>
        <v>170:340</v>
      </c>
      <c r="K140" s="1" t="s">
        <v>552</v>
      </c>
      <c r="L140" s="1" t="s">
        <v>735</v>
      </c>
      <c r="M140" t="str">
        <f t="shared" si="22"/>
        <v>179:357</v>
      </c>
      <c r="N140" s="1" t="s">
        <v>453</v>
      </c>
      <c r="O140" s="1" t="s">
        <v>736</v>
      </c>
      <c r="P140" t="str">
        <f t="shared" si="23"/>
        <v>187:375</v>
      </c>
      <c r="Q140" s="1" t="s">
        <v>733</v>
      </c>
      <c r="R140" s="1" t="s">
        <v>737</v>
      </c>
      <c r="S140" t="str">
        <f t="shared" si="24"/>
        <v>195:392</v>
      </c>
    </row>
    <row r="141" spans="8:19">
      <c r="H141" s="1" t="s">
        <v>738</v>
      </c>
      <c r="I141" s="1" t="s">
        <v>739</v>
      </c>
      <c r="J141" t="str">
        <f t="shared" si="25"/>
        <v>3872:7744</v>
      </c>
      <c r="K141" s="1" t="s">
        <v>740</v>
      </c>
      <c r="L141" s="1" t="s">
        <v>741</v>
      </c>
      <c r="M141" t="str">
        <f t="shared" si="22"/>
        <v>4066:8131</v>
      </c>
      <c r="N141" s="1" t="s">
        <v>742</v>
      </c>
      <c r="O141" s="1" t="s">
        <v>743</v>
      </c>
      <c r="P141" t="str">
        <f t="shared" si="23"/>
        <v>4259:8518</v>
      </c>
      <c r="Q141" s="1" t="s">
        <v>744</v>
      </c>
      <c r="R141" s="1" t="s">
        <v>745</v>
      </c>
      <c r="S141" t="str">
        <f t="shared" si="24"/>
        <v>4453:8905</v>
      </c>
    </row>
    <row r="142" spans="8:19">
      <c r="H142" s="1" t="s">
        <v>746</v>
      </c>
      <c r="I142" s="1" t="s">
        <v>410</v>
      </c>
      <c r="J142" t="str">
        <f t="shared" si="25"/>
        <v>489:978</v>
      </c>
      <c r="K142" s="1" t="s">
        <v>747</v>
      </c>
      <c r="L142" s="1" t="s">
        <v>748</v>
      </c>
      <c r="M142" t="str">
        <f t="shared" si="22"/>
        <v>513:1026</v>
      </c>
      <c r="N142" s="1" t="s">
        <v>749</v>
      </c>
      <c r="O142" s="1" t="s">
        <v>750</v>
      </c>
      <c r="P142" t="str">
        <f t="shared" si="23"/>
        <v>538:1075</v>
      </c>
      <c r="Q142" s="1" t="s">
        <v>751</v>
      </c>
      <c r="R142" s="1" t="s">
        <v>752</v>
      </c>
      <c r="S142" t="str">
        <f t="shared" si="24"/>
        <v>562:1124</v>
      </c>
    </row>
    <row r="143" spans="8:19">
      <c r="H143" s="1" t="s">
        <v>753</v>
      </c>
      <c r="I143" s="1" t="s">
        <v>754</v>
      </c>
      <c r="J143" t="str">
        <f t="shared" si="25"/>
        <v>307:614</v>
      </c>
      <c r="K143" s="1" t="s">
        <v>755</v>
      </c>
      <c r="L143" s="1" t="s">
        <v>756</v>
      </c>
      <c r="M143" t="str">
        <f t="shared" si="22"/>
        <v>323:645</v>
      </c>
      <c r="N143" s="1" t="s">
        <v>757</v>
      </c>
      <c r="O143" s="1" t="s">
        <v>758</v>
      </c>
      <c r="P143" t="str">
        <f t="shared" si="23"/>
        <v>338:676</v>
      </c>
      <c r="Q143" s="1" t="s">
        <v>759</v>
      </c>
      <c r="R143" s="1" t="s">
        <v>760</v>
      </c>
      <c r="S143" t="str">
        <f t="shared" si="24"/>
        <v>353:706</v>
      </c>
    </row>
    <row r="144" spans="8:19">
      <c r="H144" s="1" t="s">
        <v>746</v>
      </c>
      <c r="I144" s="1" t="s">
        <v>410</v>
      </c>
      <c r="J144" t="str">
        <f t="shared" si="25"/>
        <v>489:978</v>
      </c>
      <c r="K144" s="1" t="s">
        <v>747</v>
      </c>
      <c r="L144" s="1" t="s">
        <v>748</v>
      </c>
      <c r="M144" t="str">
        <f t="shared" si="22"/>
        <v>513:1026</v>
      </c>
      <c r="N144" s="1" t="s">
        <v>749</v>
      </c>
      <c r="O144" s="1" t="s">
        <v>750</v>
      </c>
      <c r="P144" t="str">
        <f t="shared" si="23"/>
        <v>538:1075</v>
      </c>
      <c r="Q144" s="1" t="s">
        <v>751</v>
      </c>
      <c r="R144" s="1" t="s">
        <v>752</v>
      </c>
      <c r="S144" t="str">
        <f t="shared" si="24"/>
        <v>562:1124</v>
      </c>
    </row>
    <row r="145" spans="8:19">
      <c r="H145" s="1" t="s">
        <v>753</v>
      </c>
      <c r="I145" s="1" t="s">
        <v>754</v>
      </c>
      <c r="J145" t="str">
        <f t="shared" si="25"/>
        <v>307:614</v>
      </c>
      <c r="K145" s="1" t="s">
        <v>755</v>
      </c>
      <c r="L145" s="1" t="s">
        <v>756</v>
      </c>
      <c r="M145" t="str">
        <f t="shared" si="22"/>
        <v>323:645</v>
      </c>
      <c r="N145" s="1" t="s">
        <v>757</v>
      </c>
      <c r="O145" s="1" t="s">
        <v>758</v>
      </c>
      <c r="P145" t="str">
        <f t="shared" si="23"/>
        <v>338:676</v>
      </c>
      <c r="Q145" s="1" t="s">
        <v>759</v>
      </c>
      <c r="R145" s="1" t="s">
        <v>760</v>
      </c>
      <c r="S145" t="str">
        <f t="shared" si="24"/>
        <v>353:706</v>
      </c>
    </row>
    <row r="146" spans="8:19">
      <c r="H146" s="1" t="s">
        <v>381</v>
      </c>
      <c r="I146" s="1" t="s">
        <v>382</v>
      </c>
      <c r="J146" t="str">
        <f t="shared" si="25"/>
        <v>91:182</v>
      </c>
      <c r="K146" s="1" t="s">
        <v>383</v>
      </c>
      <c r="L146" s="1" t="s">
        <v>596</v>
      </c>
      <c r="M146" t="str">
        <f t="shared" si="22"/>
        <v>95:191</v>
      </c>
      <c r="N146" s="1" t="s">
        <v>761</v>
      </c>
      <c r="O146" s="1" t="s">
        <v>598</v>
      </c>
      <c r="P146" t="str">
        <f t="shared" si="23"/>
        <v>100:200</v>
      </c>
      <c r="Q146" s="1" t="s">
        <v>762</v>
      </c>
      <c r="R146" s="1" t="s">
        <v>763</v>
      </c>
      <c r="S146" t="str">
        <f t="shared" si="24"/>
        <v>104:209</v>
      </c>
    </row>
    <row r="147" spans="8:19">
      <c r="H147" s="1" t="s">
        <v>382</v>
      </c>
      <c r="I147" s="1" t="s">
        <v>764</v>
      </c>
      <c r="J147" t="str">
        <f t="shared" si="25"/>
        <v>182:363</v>
      </c>
      <c r="K147" s="1" t="s">
        <v>596</v>
      </c>
      <c r="L147" s="1" t="s">
        <v>597</v>
      </c>
      <c r="M147" t="str">
        <f t="shared" si="22"/>
        <v>191:381</v>
      </c>
      <c r="N147" s="1" t="s">
        <v>598</v>
      </c>
      <c r="O147" s="1" t="s">
        <v>599</v>
      </c>
      <c r="P147" t="str">
        <f t="shared" si="23"/>
        <v>200:400</v>
      </c>
      <c r="Q147" s="1" t="s">
        <v>763</v>
      </c>
      <c r="R147" s="1" t="s">
        <v>765</v>
      </c>
      <c r="S147" t="str">
        <f t="shared" si="24"/>
        <v>209:418</v>
      </c>
    </row>
    <row r="148" spans="8:19">
      <c r="H148" s="1" t="s">
        <v>382</v>
      </c>
      <c r="I148" s="1" t="s">
        <v>764</v>
      </c>
      <c r="J148" t="str">
        <f t="shared" si="25"/>
        <v>182:363</v>
      </c>
      <c r="K148" s="1" t="s">
        <v>596</v>
      </c>
      <c r="L148" s="1" t="s">
        <v>597</v>
      </c>
      <c r="M148" t="str">
        <f t="shared" si="22"/>
        <v>191:381</v>
      </c>
      <c r="N148" s="1" t="s">
        <v>598</v>
      </c>
      <c r="O148" s="1" t="s">
        <v>599</v>
      </c>
      <c r="P148" t="str">
        <f t="shared" si="23"/>
        <v>200:400</v>
      </c>
      <c r="Q148" s="1" t="s">
        <v>763</v>
      </c>
      <c r="R148" s="1" t="s">
        <v>765</v>
      </c>
      <c r="S148" t="str">
        <f t="shared" si="24"/>
        <v>209:418</v>
      </c>
    </row>
    <row r="149" spans="8:19">
      <c r="H149" s="1" t="s">
        <v>526</v>
      </c>
      <c r="I149" s="1" t="s">
        <v>489</v>
      </c>
      <c r="J149" t="str">
        <f t="shared" si="25"/>
        <v>36:73</v>
      </c>
      <c r="K149" s="1" t="s">
        <v>490</v>
      </c>
      <c r="L149" s="1" t="s">
        <v>491</v>
      </c>
      <c r="M149" t="str">
        <f t="shared" si="22"/>
        <v>38:76</v>
      </c>
      <c r="N149" s="1" t="s">
        <v>521</v>
      </c>
      <c r="O149" s="1" t="s">
        <v>702</v>
      </c>
      <c r="P149" t="str">
        <f t="shared" si="23"/>
        <v>40:80</v>
      </c>
      <c r="Q149" s="1" t="s">
        <v>581</v>
      </c>
      <c r="R149" s="1" t="s">
        <v>675</v>
      </c>
      <c r="S149" t="str">
        <f t="shared" si="24"/>
        <v>42:84</v>
      </c>
    </row>
    <row r="150" spans="8:19">
      <c r="H150" s="1" t="s">
        <v>382</v>
      </c>
      <c r="I150" s="1" t="s">
        <v>764</v>
      </c>
      <c r="J150" t="str">
        <f t="shared" si="25"/>
        <v>182:363</v>
      </c>
      <c r="K150" s="1" t="s">
        <v>596</v>
      </c>
      <c r="L150" s="1" t="s">
        <v>597</v>
      </c>
      <c r="M150" t="str">
        <f t="shared" si="22"/>
        <v>191:381</v>
      </c>
      <c r="N150" s="1" t="s">
        <v>598</v>
      </c>
      <c r="O150" s="1" t="s">
        <v>599</v>
      </c>
      <c r="P150" t="str">
        <f t="shared" si="23"/>
        <v>200:400</v>
      </c>
      <c r="Q150" s="1" t="s">
        <v>763</v>
      </c>
      <c r="R150" s="1" t="s">
        <v>765</v>
      </c>
      <c r="S150" t="str">
        <f t="shared" si="24"/>
        <v>209:418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Equipatt</vt:lpstr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2025-01-08T03:01:08Z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