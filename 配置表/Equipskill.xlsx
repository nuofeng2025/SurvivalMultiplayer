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Equipskill" sheetId="1" r:id="rId1"/>
    <sheet name="Sheet2" sheetId="2" r:id="rId2"/>
    <sheet name="Sheet3" sheetId="3" r:id="rId3"/>
  </sheets>
  <definedNames>
    <definedName name="_xlnm._FilterDatabase" localSheetId="0" hidden="1">Equipskill!$A$3:$K$63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<sst xmlns="http://schemas.openxmlformats.org/spreadsheetml/2006/main" count="311" uniqueCount="42">
  <si>
    <t>Id</t>
  </si>
  <si>
    <t>Equiplv</t>
  </si>
  <si>
    <t>Type</t>
  </si>
  <si>
    <t>Probability1</t>
  </si>
  <si>
    <t>Probability2</t>
  </si>
  <si>
    <t>Probability3</t>
  </si>
  <si>
    <t>Probability4</t>
  </si>
  <si>
    <t>Skill1</t>
  </si>
  <si>
    <t>Skill2</t>
  </si>
  <si>
    <t>Skill3</t>
  </si>
  <si>
    <t>Skill4</t>
  </si>
  <si>
    <t>int</t>
  </si>
  <si>
    <t>string</t>
  </si>
  <si>
    <t>唯一id</t>
  </si>
  <si>
    <t>装备等级</t>
  </si>
  <si>
    <t>装备部位</t>
  </si>
  <si>
    <t>白品随机技能概率</t>
  </si>
  <si>
    <t>蓝品随机技能概率</t>
  </si>
  <si>
    <t>紫品随机技能概率</t>
  </si>
  <si>
    <t>橙品随机技能概率</t>
  </si>
  <si>
    <t>白品装备技能</t>
  </si>
  <si>
    <t>蓝品装备技能</t>
  </si>
  <si>
    <t>紫品装备技能</t>
  </si>
  <si>
    <t>橙品装备技能</t>
  </si>
  <si>
    <t>40341|40371</t>
  </si>
  <si>
    <t>40071|40081|40091|40131|40141|40151</t>
  </si>
  <si>
    <t>40071|40081|40091|40101|40111|40121|40131|40141|40151|40161|40171|40181</t>
  </si>
  <si>
    <t>40011|40021|40031|40191|40201|40211|40251|40261|40271</t>
  </si>
  <si>
    <t>40041|40051|40221|40231|40281|40291</t>
  </si>
  <si>
    <t>40041|40051|40061|40221|40231|40241|40281|40291|40301</t>
  </si>
  <si>
    <t>40401|40431|40461</t>
  </si>
  <si>
    <t>40401|40411|40431|40441|40461|40471</t>
  </si>
  <si>
    <t>40401|40411|40421|40431|40441|40451|40461|40471|40481</t>
  </si>
  <si>
    <t>40341|40351|40371|40381</t>
  </si>
  <si>
    <t>40341|40351|40361|40371|40381|40391</t>
  </si>
  <si>
    <t>40071|40081|40091|40101|40111|40121|40131|40141|40151|40161|40171|40181|40311|40321|40331</t>
  </si>
  <si>
    <t>Attributes1</t>
  </si>
  <si>
    <t>属性类型</t>
  </si>
  <si>
    <t>白品属性范围</t>
  </si>
  <si>
    <t>蓝品属性范围</t>
  </si>
  <si>
    <t>紫品属性范围</t>
  </si>
  <si>
    <t>橙品属性范围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</si>
</sst>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color theme="1"/>
      <name val="Segoe U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workbookViewId="0">
      <selection activeCell="D5" sqref="D5:G63"/>
    </sheetView>
  </sheetViews>
  <sheetFormatPr defaultColWidth="9" defaultRowHeight="13.5"/>
  <cols>
    <col min="4" max="7" width="17.125" customWidth="1"/>
    <col min="8" max="9" width="59.375" style="8" customWidth="1"/>
    <col min="10" max="10" width="79.375" style="8" customWidth="1"/>
    <col min="11" max="11" width="99.375" style="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s="8" t="s">
        <v>12</v>
      </c>
      <c r="I2" s="8" t="s">
        <v>12</v>
      </c>
      <c r="J2" s="8" t="s">
        <v>12</v>
      </c>
      <c r="K2" s="8" t="s">
        <v>12</v>
      </c>
    </row>
    <row r="3" spans="1:11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8" t="s">
        <v>20</v>
      </c>
      <c r="I3" s="8" t="s">
        <v>21</v>
      </c>
      <c r="J3" s="8" t="s">
        <v>22</v>
      </c>
      <c r="K3" s="8" t="s">
        <v>23</v>
      </c>
    </row>
    <row r="4" spans="1:11">
      <c r="A4">
        <v>1001</v>
      </c>
      <c r="B4">
        <v>1</v>
      </c>
      <c r="C4">
        <v>2</v>
      </c>
      <c r="D4">
        <v>1000</v>
      </c>
      <c r="E4">
        <v>1000</v>
      </c>
      <c r="F4">
        <v>1000</v>
      </c>
      <c r="G4">
        <v>1000</v>
      </c>
      <c r="H4" s="8">
        <v>0</v>
      </c>
      <c r="I4" s="8">
        <v>0</v>
      </c>
      <c r="J4" s="8" t="s">
        <v>24</v>
      </c>
      <c r="K4" s="8" t="s">
        <v>24</v>
      </c>
    </row>
    <row r="5" spans="1:11">
      <c r="A5">
        <v>1002</v>
      </c>
      <c r="B5">
        <v>1</v>
      </c>
      <c r="C5">
        <v>3</v>
      </c>
      <c r="D5">
        <v>1000</v>
      </c>
      <c r="E5">
        <v>1000</v>
      </c>
      <c r="F5">
        <v>1000</v>
      </c>
      <c r="G5">
        <v>1000</v>
      </c>
      <c r="H5" s="8" t="s">
        <v>25</v>
      </c>
      <c r="I5" s="8" t="s">
        <v>25</v>
      </c>
      <c r="J5" s="8" t="s">
        <v>26</v>
      </c>
      <c r="K5" s="8" t="s">
        <v>26</v>
      </c>
    </row>
    <row r="6" spans="1:11">
      <c r="A6">
        <v>1003</v>
      </c>
      <c r="B6">
        <v>1</v>
      </c>
      <c r="C6">
        <v>4</v>
      </c>
      <c r="D6">
        <v>1000</v>
      </c>
      <c r="E6">
        <v>1000</v>
      </c>
      <c r="F6">
        <v>1000</v>
      </c>
      <c r="G6">
        <v>1000</v>
      </c>
      <c r="H6" s="8" t="s">
        <v>27</v>
      </c>
      <c r="I6" s="8" t="s">
        <v>27</v>
      </c>
      <c r="J6" s="8" t="s">
        <v>28</v>
      </c>
      <c r="K6" s="8" t="s">
        <v>29</v>
      </c>
    </row>
    <row r="7" spans="1:11">
      <c r="A7">
        <v>1004</v>
      </c>
      <c r="B7">
        <v>1</v>
      </c>
      <c r="C7">
        <v>5</v>
      </c>
      <c r="D7">
        <v>1000</v>
      </c>
      <c r="E7">
        <v>1000</v>
      </c>
      <c r="F7">
        <v>1000</v>
      </c>
      <c r="G7">
        <v>1000</v>
      </c>
      <c r="H7" s="8" t="s">
        <v>30</v>
      </c>
      <c r="I7" s="8" t="s">
        <v>30</v>
      </c>
      <c r="J7" s="8" t="s">
        <v>31</v>
      </c>
      <c r="K7" s="8" t="s">
        <v>32</v>
      </c>
    </row>
    <row r="8" spans="1:11">
      <c r="A8">
        <v>1005</v>
      </c>
      <c r="B8">
        <v>5</v>
      </c>
      <c r="C8">
        <v>2</v>
      </c>
      <c r="D8">
        <v>1000</v>
      </c>
      <c r="E8">
        <v>1000</v>
      </c>
      <c r="F8">
        <v>1000</v>
      </c>
      <c r="G8">
        <v>1000</v>
      </c>
      <c r="H8" s="8">
        <v>0</v>
      </c>
      <c r="I8" s="8">
        <v>0</v>
      </c>
      <c r="J8" s="8" t="s">
        <v>33</v>
      </c>
      <c r="K8" s="8" t="s">
        <v>34</v>
      </c>
    </row>
    <row r="9" spans="1:11">
      <c r="A9">
        <v>1006</v>
      </c>
      <c r="B9">
        <v>5</v>
      </c>
      <c r="C9">
        <v>3</v>
      </c>
      <c r="D9">
        <v>1000</v>
      </c>
      <c r="E9">
        <v>1000</v>
      </c>
      <c r="F9">
        <v>1000</v>
      </c>
      <c r="G9">
        <v>1000</v>
      </c>
      <c r="H9" s="8" t="s">
        <v>25</v>
      </c>
      <c r="I9" s="8" t="s">
        <v>25</v>
      </c>
      <c r="J9" s="8" t="s">
        <v>26</v>
      </c>
      <c r="K9" s="8" t="s">
        <v>26</v>
      </c>
    </row>
    <row r="10" spans="1:11">
      <c r="A10">
        <v>1007</v>
      </c>
      <c r="B10">
        <v>5</v>
      </c>
      <c r="C10">
        <v>4</v>
      </c>
      <c r="D10">
        <v>1000</v>
      </c>
      <c r="E10">
        <v>1000</v>
      </c>
      <c r="F10">
        <v>1000</v>
      </c>
      <c r="G10">
        <v>1000</v>
      </c>
      <c r="H10" s="8" t="s">
        <v>27</v>
      </c>
      <c r="I10" s="8" t="s">
        <v>27</v>
      </c>
      <c r="J10" s="8" t="s">
        <v>28</v>
      </c>
      <c r="K10" s="8" t="s">
        <v>29</v>
      </c>
    </row>
    <row r="11" spans="1:11">
      <c r="A11">
        <v>1008</v>
      </c>
      <c r="B11">
        <v>5</v>
      </c>
      <c r="C11">
        <v>5</v>
      </c>
      <c r="D11">
        <v>1000</v>
      </c>
      <c r="E11">
        <v>1000</v>
      </c>
      <c r="F11">
        <v>1000</v>
      </c>
      <c r="G11">
        <v>1000</v>
      </c>
      <c r="H11" s="8" t="s">
        <v>30</v>
      </c>
      <c r="I11" s="8" t="s">
        <v>30</v>
      </c>
      <c r="J11" s="8" t="s">
        <v>31</v>
      </c>
      <c r="K11" s="8" t="s">
        <v>32</v>
      </c>
    </row>
    <row r="12" spans="1:11">
      <c r="A12">
        <v>1009</v>
      </c>
      <c r="B12">
        <f>B8+5</f>
        <v>10</v>
      </c>
      <c r="C12">
        <v>2</v>
      </c>
      <c r="D12">
        <v>1000</v>
      </c>
      <c r="E12">
        <v>1000</v>
      </c>
      <c r="F12">
        <v>1000</v>
      </c>
      <c r="G12">
        <v>1000</v>
      </c>
      <c r="H12" s="8" t="s">
        <v>24</v>
      </c>
      <c r="I12" s="8" t="s">
        <v>24</v>
      </c>
      <c r="J12" s="8" t="s">
        <v>33</v>
      </c>
      <c r="K12" s="8" t="s">
        <v>34</v>
      </c>
    </row>
    <row r="13" spans="1:11">
      <c r="A13">
        <v>1010</v>
      </c>
      <c r="B13">
        <f t="shared" ref="B13:B30" si="0">B9+5</f>
        <v>10</v>
      </c>
      <c r="C13">
        <v>3</v>
      </c>
      <c r="D13">
        <v>1000</v>
      </c>
      <c r="E13">
        <v>1000</v>
      </c>
      <c r="F13">
        <v>1000</v>
      </c>
      <c r="G13">
        <v>1000</v>
      </c>
      <c r="H13" s="8" t="s">
        <v>25</v>
      </c>
      <c r="I13" s="8" t="s">
        <v>25</v>
      </c>
      <c r="J13" s="8" t="s">
        <v>26</v>
      </c>
      <c r="K13" s="8" t="s">
        <v>26</v>
      </c>
    </row>
    <row r="14" spans="1:11">
      <c r="A14">
        <v>1011</v>
      </c>
      <c r="B14">
        <f t="shared" si="0"/>
        <v>10</v>
      </c>
      <c r="C14">
        <v>4</v>
      </c>
      <c r="D14">
        <v>1000</v>
      </c>
      <c r="E14">
        <v>1000</v>
      </c>
      <c r="F14">
        <v>1000</v>
      </c>
      <c r="G14">
        <v>1000</v>
      </c>
      <c r="H14" s="8" t="s">
        <v>27</v>
      </c>
      <c r="I14" s="8" t="s">
        <v>27</v>
      </c>
      <c r="J14" s="8" t="s">
        <v>28</v>
      </c>
      <c r="K14" s="8" t="s">
        <v>29</v>
      </c>
    </row>
    <row r="15" spans="1:11">
      <c r="A15">
        <v>1012</v>
      </c>
      <c r="B15">
        <f t="shared" si="0"/>
        <v>10</v>
      </c>
      <c r="C15">
        <v>5</v>
      </c>
      <c r="D15">
        <v>1000</v>
      </c>
      <c r="E15">
        <v>1000</v>
      </c>
      <c r="F15">
        <v>1000</v>
      </c>
      <c r="G15">
        <v>1000</v>
      </c>
      <c r="H15" s="8" t="s">
        <v>30</v>
      </c>
      <c r="I15" s="8" t="s">
        <v>30</v>
      </c>
      <c r="J15" s="8" t="s">
        <v>31</v>
      </c>
      <c r="K15" s="8" t="s">
        <v>32</v>
      </c>
    </row>
    <row r="16" spans="1:11">
      <c r="A16">
        <v>1013</v>
      </c>
      <c r="B16">
        <f t="shared" si="0"/>
        <v>15</v>
      </c>
      <c r="C16">
        <v>2</v>
      </c>
      <c r="D16">
        <v>1000</v>
      </c>
      <c r="E16">
        <v>1000</v>
      </c>
      <c r="F16">
        <v>1000</v>
      </c>
      <c r="G16">
        <v>1000</v>
      </c>
      <c r="H16" s="8" t="s">
        <v>24</v>
      </c>
      <c r="I16" s="8" t="s">
        <v>24</v>
      </c>
      <c r="J16" s="8" t="s">
        <v>33</v>
      </c>
      <c r="K16" s="8" t="s">
        <v>34</v>
      </c>
    </row>
    <row r="17" spans="1:11">
      <c r="A17">
        <v>1014</v>
      </c>
      <c r="B17">
        <f t="shared" si="0"/>
        <v>15</v>
      </c>
      <c r="C17">
        <v>3</v>
      </c>
      <c r="D17">
        <v>1000</v>
      </c>
      <c r="E17">
        <v>1000</v>
      </c>
      <c r="F17">
        <v>1000</v>
      </c>
      <c r="G17">
        <v>1000</v>
      </c>
      <c r="H17" s="8" t="s">
        <v>25</v>
      </c>
      <c r="I17" s="8" t="s">
        <v>25</v>
      </c>
      <c r="J17" s="8" t="s">
        <v>26</v>
      </c>
      <c r="K17" s="8" t="s">
        <v>26</v>
      </c>
    </row>
    <row r="18" spans="1:11">
      <c r="A18">
        <v>1015</v>
      </c>
      <c r="B18">
        <f t="shared" si="0"/>
        <v>15</v>
      </c>
      <c r="C18">
        <v>4</v>
      </c>
      <c r="D18">
        <v>1000</v>
      </c>
      <c r="E18">
        <v>1000</v>
      </c>
      <c r="F18">
        <v>1000</v>
      </c>
      <c r="G18">
        <v>1000</v>
      </c>
      <c r="H18" s="8" t="s">
        <v>27</v>
      </c>
      <c r="I18" s="8" t="s">
        <v>27</v>
      </c>
      <c r="J18" s="8" t="s">
        <v>28</v>
      </c>
      <c r="K18" s="8" t="s">
        <v>29</v>
      </c>
    </row>
    <row r="19" spans="1:11">
      <c r="A19">
        <v>1016</v>
      </c>
      <c r="B19">
        <f t="shared" si="0"/>
        <v>15</v>
      </c>
      <c r="C19">
        <v>5</v>
      </c>
      <c r="D19">
        <v>1000</v>
      </c>
      <c r="E19">
        <v>1000</v>
      </c>
      <c r="F19">
        <v>1000</v>
      </c>
      <c r="G19">
        <v>1000</v>
      </c>
      <c r="H19" s="8" t="s">
        <v>30</v>
      </c>
      <c r="I19" s="8" t="s">
        <v>30</v>
      </c>
      <c r="J19" s="8" t="s">
        <v>31</v>
      </c>
      <c r="K19" s="8" t="s">
        <v>32</v>
      </c>
    </row>
    <row r="20" spans="1:11">
      <c r="A20">
        <v>1017</v>
      </c>
      <c r="B20">
        <f t="shared" si="0"/>
        <v>20</v>
      </c>
      <c r="C20">
        <v>2</v>
      </c>
      <c r="D20">
        <v>1000</v>
      </c>
      <c r="E20">
        <v>1000</v>
      </c>
      <c r="F20">
        <v>1000</v>
      </c>
      <c r="G20">
        <v>1000</v>
      </c>
      <c r="H20" s="8" t="s">
        <v>24</v>
      </c>
      <c r="I20" s="8" t="s">
        <v>24</v>
      </c>
      <c r="J20" s="8" t="s">
        <v>33</v>
      </c>
      <c r="K20" s="8" t="s">
        <v>34</v>
      </c>
    </row>
    <row r="21" spans="1:11">
      <c r="A21">
        <v>1018</v>
      </c>
      <c r="B21">
        <f t="shared" si="0"/>
        <v>20</v>
      </c>
      <c r="C21">
        <v>3</v>
      </c>
      <c r="D21">
        <v>1000</v>
      </c>
      <c r="E21">
        <v>1000</v>
      </c>
      <c r="F21">
        <v>1000</v>
      </c>
      <c r="G21">
        <v>1000</v>
      </c>
      <c r="H21" s="8" t="s">
        <v>25</v>
      </c>
      <c r="I21" s="8" t="s">
        <v>25</v>
      </c>
      <c r="J21" s="8" t="s">
        <v>26</v>
      </c>
      <c r="K21" s="8" t="s">
        <v>26</v>
      </c>
    </row>
    <row r="22" spans="1:11">
      <c r="A22">
        <v>1019</v>
      </c>
      <c r="B22">
        <f t="shared" si="0"/>
        <v>20</v>
      </c>
      <c r="C22">
        <v>4</v>
      </c>
      <c r="D22">
        <v>1000</v>
      </c>
      <c r="E22">
        <v>1000</v>
      </c>
      <c r="F22">
        <v>1000</v>
      </c>
      <c r="G22">
        <v>1000</v>
      </c>
      <c r="H22" s="8" t="s">
        <v>27</v>
      </c>
      <c r="I22" s="8" t="s">
        <v>27</v>
      </c>
      <c r="J22" s="8" t="s">
        <v>28</v>
      </c>
      <c r="K22" s="8" t="s">
        <v>29</v>
      </c>
    </row>
    <row r="23" spans="1:11">
      <c r="A23">
        <v>1020</v>
      </c>
      <c r="B23">
        <f t="shared" si="0"/>
        <v>20</v>
      </c>
      <c r="C23">
        <v>5</v>
      </c>
      <c r="D23">
        <v>1000</v>
      </c>
      <c r="E23">
        <v>1000</v>
      </c>
      <c r="F23">
        <v>1000</v>
      </c>
      <c r="G23">
        <v>1000</v>
      </c>
      <c r="H23" s="8" t="s">
        <v>30</v>
      </c>
      <c r="I23" s="8" t="s">
        <v>30</v>
      </c>
      <c r="J23" s="8" t="s">
        <v>31</v>
      </c>
      <c r="K23" s="8" t="s">
        <v>32</v>
      </c>
    </row>
    <row r="24" spans="1:11">
      <c r="A24">
        <v>1021</v>
      </c>
      <c r="B24">
        <f t="shared" si="0"/>
        <v>25</v>
      </c>
      <c r="C24">
        <v>2</v>
      </c>
      <c r="D24">
        <v>1000</v>
      </c>
      <c r="E24">
        <v>1000</v>
      </c>
      <c r="F24">
        <v>1000</v>
      </c>
      <c r="G24">
        <v>1000</v>
      </c>
      <c r="H24" s="8" t="s">
        <v>24</v>
      </c>
      <c r="I24" s="8" t="s">
        <v>24</v>
      </c>
      <c r="J24" s="8" t="s">
        <v>33</v>
      </c>
      <c r="K24" s="8" t="s">
        <v>34</v>
      </c>
    </row>
    <row r="25" spans="1:11">
      <c r="A25">
        <v>1022</v>
      </c>
      <c r="B25">
        <f t="shared" si="0"/>
        <v>25</v>
      </c>
      <c r="C25">
        <v>3</v>
      </c>
      <c r="D25">
        <v>1000</v>
      </c>
      <c r="E25">
        <v>1000</v>
      </c>
      <c r="F25">
        <v>1000</v>
      </c>
      <c r="G25">
        <v>1000</v>
      </c>
      <c r="H25" s="8" t="s">
        <v>25</v>
      </c>
      <c r="I25" s="8" t="s">
        <v>25</v>
      </c>
      <c r="J25" s="8" t="s">
        <v>26</v>
      </c>
      <c r="K25" s="8" t="s">
        <v>35</v>
      </c>
    </row>
    <row r="26" spans="1:11">
      <c r="A26">
        <v>1023</v>
      </c>
      <c r="B26">
        <f t="shared" si="0"/>
        <v>25</v>
      </c>
      <c r="C26">
        <v>4</v>
      </c>
      <c r="D26">
        <v>1000</v>
      </c>
      <c r="E26">
        <v>1000</v>
      </c>
      <c r="F26">
        <v>1000</v>
      </c>
      <c r="G26">
        <v>1000</v>
      </c>
      <c r="H26" s="8" t="s">
        <v>27</v>
      </c>
      <c r="I26" s="8" t="s">
        <v>27</v>
      </c>
      <c r="J26" s="8" t="s">
        <v>28</v>
      </c>
      <c r="K26" s="8" t="s">
        <v>29</v>
      </c>
    </row>
    <row r="27" spans="1:11">
      <c r="A27">
        <v>1024</v>
      </c>
      <c r="B27">
        <f t="shared" si="0"/>
        <v>25</v>
      </c>
      <c r="C27">
        <v>5</v>
      </c>
      <c r="D27">
        <v>1000</v>
      </c>
      <c r="E27">
        <v>1000</v>
      </c>
      <c r="F27">
        <v>1000</v>
      </c>
      <c r="G27">
        <v>1000</v>
      </c>
      <c r="H27" s="8" t="s">
        <v>30</v>
      </c>
      <c r="I27" s="8" t="s">
        <v>30</v>
      </c>
      <c r="J27" s="8" t="s">
        <v>31</v>
      </c>
      <c r="K27" s="8" t="s">
        <v>32</v>
      </c>
    </row>
    <row r="28" spans="1:11">
      <c r="A28">
        <v>1025</v>
      </c>
      <c r="B28">
        <f t="shared" si="0"/>
        <v>30</v>
      </c>
      <c r="C28">
        <v>2</v>
      </c>
      <c r="D28">
        <v>1000</v>
      </c>
      <c r="E28">
        <v>1000</v>
      </c>
      <c r="F28">
        <v>1000</v>
      </c>
      <c r="G28">
        <v>1000</v>
      </c>
      <c r="H28" s="8" t="s">
        <v>24</v>
      </c>
      <c r="I28" s="8" t="s">
        <v>24</v>
      </c>
      <c r="J28" s="8" t="s">
        <v>33</v>
      </c>
      <c r="K28" s="8" t="s">
        <v>34</v>
      </c>
    </row>
    <row r="29" spans="1:11">
      <c r="A29">
        <v>1026</v>
      </c>
      <c r="B29">
        <f t="shared" si="0"/>
        <v>30</v>
      </c>
      <c r="C29">
        <v>3</v>
      </c>
      <c r="D29">
        <v>1000</v>
      </c>
      <c r="E29">
        <v>1000</v>
      </c>
      <c r="F29">
        <v>1000</v>
      </c>
      <c r="G29">
        <v>1000</v>
      </c>
      <c r="H29" s="8" t="s">
        <v>25</v>
      </c>
      <c r="I29" s="8" t="s">
        <v>25</v>
      </c>
      <c r="J29" s="8" t="s">
        <v>26</v>
      </c>
      <c r="K29" s="8" t="s">
        <v>35</v>
      </c>
    </row>
    <row r="30" spans="1:11">
      <c r="A30">
        <v>1027</v>
      </c>
      <c r="B30">
        <f t="shared" si="0"/>
        <v>30</v>
      </c>
      <c r="C30">
        <v>4</v>
      </c>
      <c r="D30">
        <v>1000</v>
      </c>
      <c r="E30">
        <v>1000</v>
      </c>
      <c r="F30">
        <v>1000</v>
      </c>
      <c r="G30">
        <v>1000</v>
      </c>
      <c r="H30" s="8" t="s">
        <v>27</v>
      </c>
      <c r="I30" s="8" t="s">
        <v>27</v>
      </c>
      <c r="J30" s="8" t="s">
        <v>28</v>
      </c>
      <c r="K30" s="8" t="s">
        <v>29</v>
      </c>
    </row>
    <row r="31" spans="1:11">
      <c r="A31">
        <v>1028</v>
      </c>
      <c r="B31">
        <f t="shared" ref="B31:B48" si="1">B27+5</f>
        <v>30</v>
      </c>
      <c r="C31">
        <v>5</v>
      </c>
      <c r="D31">
        <v>1000</v>
      </c>
      <c r="E31">
        <v>1000</v>
      </c>
      <c r="F31">
        <v>1000</v>
      </c>
      <c r="G31">
        <v>1000</v>
      </c>
      <c r="H31" s="8" t="s">
        <v>30</v>
      </c>
      <c r="I31" s="8" t="s">
        <v>30</v>
      </c>
      <c r="J31" s="8" t="s">
        <v>31</v>
      </c>
      <c r="K31" s="8" t="s">
        <v>32</v>
      </c>
    </row>
    <row r="32" spans="1:11">
      <c r="A32">
        <v>1029</v>
      </c>
      <c r="B32">
        <f t="shared" si="1"/>
        <v>35</v>
      </c>
      <c r="C32">
        <v>2</v>
      </c>
      <c r="D32">
        <v>1000</v>
      </c>
      <c r="E32">
        <v>1000</v>
      </c>
      <c r="F32">
        <v>1000</v>
      </c>
      <c r="G32">
        <v>1000</v>
      </c>
      <c r="H32" s="8" t="s">
        <v>24</v>
      </c>
      <c r="I32" s="8" t="s">
        <v>24</v>
      </c>
      <c r="J32" s="8" t="s">
        <v>33</v>
      </c>
      <c r="K32" s="8" t="s">
        <v>34</v>
      </c>
    </row>
    <row r="33" spans="1:11">
      <c r="A33">
        <v>1030</v>
      </c>
      <c r="B33">
        <f t="shared" si="1"/>
        <v>35</v>
      </c>
      <c r="C33">
        <v>3</v>
      </c>
      <c r="D33">
        <v>1000</v>
      </c>
      <c r="E33">
        <v>1000</v>
      </c>
      <c r="F33">
        <v>1000</v>
      </c>
      <c r="G33">
        <v>1000</v>
      </c>
      <c r="H33" s="8" t="s">
        <v>25</v>
      </c>
      <c r="I33" s="8" t="s">
        <v>25</v>
      </c>
      <c r="J33" s="8" t="s">
        <v>26</v>
      </c>
      <c r="K33" s="8" t="s">
        <v>35</v>
      </c>
    </row>
    <row r="34" spans="1:11">
      <c r="A34">
        <v>1031</v>
      </c>
      <c r="B34">
        <f t="shared" si="1"/>
        <v>35</v>
      </c>
      <c r="C34">
        <v>4</v>
      </c>
      <c r="D34">
        <v>1000</v>
      </c>
      <c r="E34">
        <v>1000</v>
      </c>
      <c r="F34">
        <v>1000</v>
      </c>
      <c r="G34">
        <v>1000</v>
      </c>
      <c r="H34" s="8" t="s">
        <v>27</v>
      </c>
      <c r="I34" s="8" t="s">
        <v>27</v>
      </c>
      <c r="J34" s="8" t="s">
        <v>28</v>
      </c>
      <c r="K34" s="8" t="s">
        <v>29</v>
      </c>
    </row>
    <row r="35" spans="1:11">
      <c r="A35">
        <v>1032</v>
      </c>
      <c r="B35">
        <f t="shared" si="1"/>
        <v>35</v>
      </c>
      <c r="C35">
        <v>5</v>
      </c>
      <c r="D35">
        <v>1000</v>
      </c>
      <c r="E35">
        <v>1000</v>
      </c>
      <c r="F35">
        <v>1000</v>
      </c>
      <c r="G35">
        <v>1000</v>
      </c>
      <c r="H35" s="8" t="s">
        <v>30</v>
      </c>
      <c r="I35" s="8" t="s">
        <v>30</v>
      </c>
      <c r="J35" s="8" t="s">
        <v>31</v>
      </c>
      <c r="K35" s="8" t="s">
        <v>32</v>
      </c>
    </row>
    <row r="36" spans="1:11">
      <c r="A36">
        <v>1033</v>
      </c>
      <c r="B36">
        <f t="shared" si="1"/>
        <v>40</v>
      </c>
      <c r="C36">
        <v>2</v>
      </c>
      <c r="D36">
        <v>1000</v>
      </c>
      <c r="E36">
        <v>1000</v>
      </c>
      <c r="F36">
        <v>1000</v>
      </c>
      <c r="G36">
        <v>1000</v>
      </c>
      <c r="H36" s="8" t="s">
        <v>24</v>
      </c>
      <c r="I36" s="8" t="s">
        <v>24</v>
      </c>
      <c r="J36" s="8" t="s">
        <v>33</v>
      </c>
      <c r="K36" s="8" t="s">
        <v>34</v>
      </c>
    </row>
    <row r="37" spans="1:11">
      <c r="A37">
        <v>1034</v>
      </c>
      <c r="B37">
        <f t="shared" si="1"/>
        <v>40</v>
      </c>
      <c r="C37">
        <v>3</v>
      </c>
      <c r="D37">
        <v>1000</v>
      </c>
      <c r="E37">
        <v>1000</v>
      </c>
      <c r="F37">
        <v>1000</v>
      </c>
      <c r="G37">
        <v>1000</v>
      </c>
      <c r="H37" s="8" t="s">
        <v>25</v>
      </c>
      <c r="I37" s="8" t="s">
        <v>25</v>
      </c>
      <c r="J37" s="8" t="s">
        <v>26</v>
      </c>
      <c r="K37" s="8" t="s">
        <v>35</v>
      </c>
    </row>
    <row r="38" spans="1:11">
      <c r="A38">
        <v>1035</v>
      </c>
      <c r="B38">
        <f t="shared" si="1"/>
        <v>40</v>
      </c>
      <c r="C38">
        <v>4</v>
      </c>
      <c r="D38">
        <v>1000</v>
      </c>
      <c r="E38">
        <v>1000</v>
      </c>
      <c r="F38">
        <v>1000</v>
      </c>
      <c r="G38">
        <v>1000</v>
      </c>
      <c r="H38" s="8" t="s">
        <v>27</v>
      </c>
      <c r="I38" s="8" t="s">
        <v>27</v>
      </c>
      <c r="J38" s="8" t="s">
        <v>28</v>
      </c>
      <c r="K38" s="8" t="s">
        <v>29</v>
      </c>
    </row>
    <row r="39" spans="1:11">
      <c r="A39">
        <v>1036</v>
      </c>
      <c r="B39">
        <f t="shared" si="1"/>
        <v>40</v>
      </c>
      <c r="C39">
        <v>5</v>
      </c>
      <c r="D39">
        <v>1000</v>
      </c>
      <c r="E39">
        <v>1000</v>
      </c>
      <c r="F39">
        <v>1000</v>
      </c>
      <c r="G39">
        <v>1000</v>
      </c>
      <c r="H39" s="8" t="s">
        <v>30</v>
      </c>
      <c r="I39" s="8" t="s">
        <v>30</v>
      </c>
      <c r="J39" s="8" t="s">
        <v>31</v>
      </c>
      <c r="K39" s="8" t="s">
        <v>32</v>
      </c>
    </row>
    <row r="40" spans="1:11">
      <c r="A40">
        <v>1037</v>
      </c>
      <c r="B40">
        <f t="shared" si="1"/>
        <v>45</v>
      </c>
      <c r="C40">
        <v>2</v>
      </c>
      <c r="D40">
        <v>1000</v>
      </c>
      <c r="E40">
        <v>1000</v>
      </c>
      <c r="F40">
        <v>1000</v>
      </c>
      <c r="G40">
        <v>1000</v>
      </c>
      <c r="H40" s="8" t="s">
        <v>24</v>
      </c>
      <c r="I40" s="8" t="s">
        <v>24</v>
      </c>
      <c r="J40" s="8" t="s">
        <v>33</v>
      </c>
      <c r="K40" s="8" t="s">
        <v>34</v>
      </c>
    </row>
    <row r="41" spans="1:11">
      <c r="A41">
        <v>1038</v>
      </c>
      <c r="B41">
        <f t="shared" si="1"/>
        <v>45</v>
      </c>
      <c r="C41">
        <v>3</v>
      </c>
      <c r="D41">
        <v>1000</v>
      </c>
      <c r="E41">
        <v>1000</v>
      </c>
      <c r="F41">
        <v>1000</v>
      </c>
      <c r="G41">
        <v>1000</v>
      </c>
      <c r="H41" s="8" t="s">
        <v>25</v>
      </c>
      <c r="I41" s="8" t="s">
        <v>25</v>
      </c>
      <c r="J41" s="8" t="s">
        <v>26</v>
      </c>
      <c r="K41" s="8" t="s">
        <v>35</v>
      </c>
    </row>
    <row r="42" spans="1:11">
      <c r="A42">
        <v>1039</v>
      </c>
      <c r="B42">
        <f t="shared" si="1"/>
        <v>45</v>
      </c>
      <c r="C42">
        <v>4</v>
      </c>
      <c r="D42">
        <v>1000</v>
      </c>
      <c r="E42">
        <v>1000</v>
      </c>
      <c r="F42">
        <v>1000</v>
      </c>
      <c r="G42">
        <v>1000</v>
      </c>
      <c r="H42" s="8" t="s">
        <v>27</v>
      </c>
      <c r="I42" s="8" t="s">
        <v>27</v>
      </c>
      <c r="J42" s="8" t="s">
        <v>28</v>
      </c>
      <c r="K42" s="8" t="s">
        <v>29</v>
      </c>
    </row>
    <row r="43" spans="1:11">
      <c r="A43">
        <v>1040</v>
      </c>
      <c r="B43">
        <f t="shared" si="1"/>
        <v>45</v>
      </c>
      <c r="C43">
        <v>5</v>
      </c>
      <c r="D43">
        <v>1000</v>
      </c>
      <c r="E43">
        <v>1000</v>
      </c>
      <c r="F43">
        <v>1000</v>
      </c>
      <c r="G43">
        <v>1000</v>
      </c>
      <c r="H43" s="8" t="s">
        <v>30</v>
      </c>
      <c r="I43" s="8" t="s">
        <v>30</v>
      </c>
      <c r="J43" s="8" t="s">
        <v>31</v>
      </c>
      <c r="K43" s="8" t="s">
        <v>32</v>
      </c>
    </row>
    <row r="44" spans="1:11">
      <c r="A44">
        <v>1041</v>
      </c>
      <c r="B44">
        <f t="shared" si="1"/>
        <v>50</v>
      </c>
      <c r="C44">
        <v>2</v>
      </c>
      <c r="D44">
        <v>1000</v>
      </c>
      <c r="E44">
        <v>1000</v>
      </c>
      <c r="F44">
        <v>1000</v>
      </c>
      <c r="G44">
        <v>1000</v>
      </c>
      <c r="H44" s="8" t="s">
        <v>24</v>
      </c>
      <c r="I44" s="8" t="s">
        <v>24</v>
      </c>
      <c r="J44" s="8" t="s">
        <v>33</v>
      </c>
      <c r="K44" s="8" t="s">
        <v>34</v>
      </c>
    </row>
    <row r="45" spans="1:11">
      <c r="A45">
        <v>1042</v>
      </c>
      <c r="B45">
        <f t="shared" si="1"/>
        <v>50</v>
      </c>
      <c r="C45">
        <v>3</v>
      </c>
      <c r="D45">
        <v>1000</v>
      </c>
      <c r="E45">
        <v>1000</v>
      </c>
      <c r="F45">
        <v>1000</v>
      </c>
      <c r="G45">
        <v>1000</v>
      </c>
      <c r="H45" s="8" t="s">
        <v>25</v>
      </c>
      <c r="I45" s="8" t="s">
        <v>25</v>
      </c>
      <c r="J45" s="8" t="s">
        <v>26</v>
      </c>
      <c r="K45" s="8" t="s">
        <v>35</v>
      </c>
    </row>
    <row r="46" spans="1:11">
      <c r="A46">
        <v>1043</v>
      </c>
      <c r="B46">
        <f t="shared" si="1"/>
        <v>50</v>
      </c>
      <c r="C46">
        <v>4</v>
      </c>
      <c r="D46">
        <v>1000</v>
      </c>
      <c r="E46">
        <v>1000</v>
      </c>
      <c r="F46">
        <v>1000</v>
      </c>
      <c r="G46">
        <v>1000</v>
      </c>
      <c r="H46" s="8" t="s">
        <v>27</v>
      </c>
      <c r="I46" s="8" t="s">
        <v>27</v>
      </c>
      <c r="J46" s="8" t="s">
        <v>28</v>
      </c>
      <c r="K46" s="8" t="s">
        <v>29</v>
      </c>
    </row>
    <row r="47" spans="1:11">
      <c r="A47">
        <v>1044</v>
      </c>
      <c r="B47">
        <f t="shared" si="1"/>
        <v>50</v>
      </c>
      <c r="C47">
        <v>5</v>
      </c>
      <c r="D47">
        <v>1000</v>
      </c>
      <c r="E47">
        <v>1000</v>
      </c>
      <c r="F47">
        <v>1000</v>
      </c>
      <c r="G47">
        <v>1000</v>
      </c>
      <c r="H47" s="8" t="s">
        <v>30</v>
      </c>
      <c r="I47" s="8" t="s">
        <v>30</v>
      </c>
      <c r="J47" s="8" t="s">
        <v>31</v>
      </c>
      <c r="K47" s="8" t="s">
        <v>32</v>
      </c>
    </row>
    <row r="48" spans="1:11">
      <c r="A48">
        <v>1045</v>
      </c>
      <c r="B48">
        <f t="shared" si="1"/>
        <v>55</v>
      </c>
      <c r="C48">
        <v>2</v>
      </c>
      <c r="D48">
        <v>1000</v>
      </c>
      <c r="E48">
        <v>1000</v>
      </c>
      <c r="F48">
        <v>1000</v>
      </c>
      <c r="G48">
        <v>1000</v>
      </c>
      <c r="H48" s="8" t="s">
        <v>24</v>
      </c>
      <c r="I48" s="8" t="s">
        <v>24</v>
      </c>
      <c r="J48" s="8" t="s">
        <v>33</v>
      </c>
      <c r="K48" s="8" t="s">
        <v>34</v>
      </c>
    </row>
    <row r="49" spans="1:11">
      <c r="A49">
        <v>1046</v>
      </c>
      <c r="B49">
        <f t="shared" ref="B49:B63" si="2">B45+5</f>
        <v>55</v>
      </c>
      <c r="C49">
        <v>3</v>
      </c>
      <c r="D49">
        <v>1000</v>
      </c>
      <c r="E49">
        <v>1000</v>
      </c>
      <c r="F49">
        <v>1000</v>
      </c>
      <c r="G49">
        <v>1000</v>
      </c>
      <c r="H49" s="8" t="s">
        <v>25</v>
      </c>
      <c r="I49" s="8" t="s">
        <v>25</v>
      </c>
      <c r="J49" s="8" t="s">
        <v>26</v>
      </c>
      <c r="K49" s="8" t="s">
        <v>35</v>
      </c>
    </row>
    <row r="50" spans="1:11">
      <c r="A50">
        <v>1047</v>
      </c>
      <c r="B50">
        <f t="shared" si="2"/>
        <v>55</v>
      </c>
      <c r="C50">
        <v>4</v>
      </c>
      <c r="D50">
        <v>1000</v>
      </c>
      <c r="E50">
        <v>1000</v>
      </c>
      <c r="F50">
        <v>1000</v>
      </c>
      <c r="G50">
        <v>1000</v>
      </c>
      <c r="H50" s="8" t="s">
        <v>27</v>
      </c>
      <c r="I50" s="8" t="s">
        <v>27</v>
      </c>
      <c r="J50" s="8" t="s">
        <v>28</v>
      </c>
      <c r="K50" s="8" t="s">
        <v>29</v>
      </c>
    </row>
    <row r="51" spans="1:11">
      <c r="A51">
        <v>1048</v>
      </c>
      <c r="B51">
        <f t="shared" si="2"/>
        <v>55</v>
      </c>
      <c r="C51">
        <v>5</v>
      </c>
      <c r="D51">
        <v>1000</v>
      </c>
      <c r="E51">
        <v>1000</v>
      </c>
      <c r="F51">
        <v>1000</v>
      </c>
      <c r="G51">
        <v>1000</v>
      </c>
      <c r="H51" s="8" t="s">
        <v>30</v>
      </c>
      <c r="I51" s="8" t="s">
        <v>30</v>
      </c>
      <c r="J51" s="8" t="s">
        <v>31</v>
      </c>
      <c r="K51" s="8" t="s">
        <v>32</v>
      </c>
    </row>
    <row r="52" spans="1:11">
      <c r="A52">
        <v>1049</v>
      </c>
      <c r="B52">
        <f t="shared" si="2"/>
        <v>60</v>
      </c>
      <c r="C52">
        <v>2</v>
      </c>
      <c r="D52">
        <v>1000</v>
      </c>
      <c r="E52">
        <v>1000</v>
      </c>
      <c r="F52">
        <v>1000</v>
      </c>
      <c r="G52">
        <v>1000</v>
      </c>
      <c r="H52" s="8" t="s">
        <v>24</v>
      </c>
      <c r="I52" s="8" t="s">
        <v>24</v>
      </c>
      <c r="J52" s="8" t="s">
        <v>33</v>
      </c>
      <c r="K52" s="8" t="s">
        <v>34</v>
      </c>
    </row>
    <row r="53" spans="1:11">
      <c r="A53">
        <v>1050</v>
      </c>
      <c r="B53">
        <f t="shared" si="2"/>
        <v>60</v>
      </c>
      <c r="C53">
        <v>3</v>
      </c>
      <c r="D53">
        <v>1000</v>
      </c>
      <c r="E53">
        <v>1000</v>
      </c>
      <c r="F53">
        <v>1000</v>
      </c>
      <c r="G53">
        <v>1000</v>
      </c>
      <c r="H53" s="8" t="s">
        <v>25</v>
      </c>
      <c r="I53" s="8" t="s">
        <v>25</v>
      </c>
      <c r="J53" s="8" t="s">
        <v>26</v>
      </c>
      <c r="K53" s="8" t="s">
        <v>35</v>
      </c>
    </row>
    <row r="54" spans="1:11">
      <c r="A54">
        <v>1051</v>
      </c>
      <c r="B54">
        <f t="shared" si="2"/>
        <v>60</v>
      </c>
      <c r="C54">
        <v>4</v>
      </c>
      <c r="D54">
        <v>1000</v>
      </c>
      <c r="E54">
        <v>1000</v>
      </c>
      <c r="F54">
        <v>1000</v>
      </c>
      <c r="G54">
        <v>1000</v>
      </c>
      <c r="H54" s="8" t="s">
        <v>27</v>
      </c>
      <c r="I54" s="8" t="s">
        <v>27</v>
      </c>
      <c r="J54" s="8" t="s">
        <v>28</v>
      </c>
      <c r="K54" s="8" t="s">
        <v>29</v>
      </c>
    </row>
    <row r="55" spans="1:11">
      <c r="A55">
        <v>1052</v>
      </c>
      <c r="B55">
        <f t="shared" si="2"/>
        <v>60</v>
      </c>
      <c r="C55">
        <v>5</v>
      </c>
      <c r="D55">
        <v>1000</v>
      </c>
      <c r="E55">
        <v>1000</v>
      </c>
      <c r="F55">
        <v>1000</v>
      </c>
      <c r="G55">
        <v>1000</v>
      </c>
      <c r="H55" s="8" t="s">
        <v>30</v>
      </c>
      <c r="I55" s="8" t="s">
        <v>30</v>
      </c>
      <c r="J55" s="8" t="s">
        <v>31</v>
      </c>
      <c r="K55" s="8" t="s">
        <v>32</v>
      </c>
    </row>
    <row r="56" spans="1:11">
      <c r="A56">
        <v>1053</v>
      </c>
      <c r="B56">
        <f t="shared" si="2"/>
        <v>65</v>
      </c>
      <c r="C56">
        <v>2</v>
      </c>
      <c r="D56">
        <v>1000</v>
      </c>
      <c r="E56">
        <v>1000</v>
      </c>
      <c r="F56">
        <v>1000</v>
      </c>
      <c r="G56">
        <v>1000</v>
      </c>
      <c r="H56" s="8" t="s">
        <v>24</v>
      </c>
      <c r="I56" s="8" t="s">
        <v>24</v>
      </c>
      <c r="J56" s="8" t="s">
        <v>33</v>
      </c>
      <c r="K56" s="8" t="s">
        <v>34</v>
      </c>
    </row>
    <row r="57" spans="1:11">
      <c r="A57">
        <v>1054</v>
      </c>
      <c r="B57">
        <f t="shared" si="2"/>
        <v>65</v>
      </c>
      <c r="C57">
        <v>3</v>
      </c>
      <c r="D57">
        <v>1000</v>
      </c>
      <c r="E57">
        <v>1000</v>
      </c>
      <c r="F57">
        <v>1000</v>
      </c>
      <c r="G57">
        <v>1000</v>
      </c>
      <c r="H57" s="8" t="s">
        <v>25</v>
      </c>
      <c r="I57" s="8" t="s">
        <v>25</v>
      </c>
      <c r="J57" s="8" t="s">
        <v>26</v>
      </c>
      <c r="K57" s="8" t="s">
        <v>35</v>
      </c>
    </row>
    <row r="58" spans="1:11">
      <c r="A58">
        <v>1055</v>
      </c>
      <c r="B58">
        <f t="shared" si="2"/>
        <v>65</v>
      </c>
      <c r="C58">
        <v>4</v>
      </c>
      <c r="D58">
        <v>1000</v>
      </c>
      <c r="E58">
        <v>1000</v>
      </c>
      <c r="F58">
        <v>1000</v>
      </c>
      <c r="G58">
        <v>1000</v>
      </c>
      <c r="H58" s="8" t="s">
        <v>27</v>
      </c>
      <c r="I58" s="8" t="s">
        <v>27</v>
      </c>
      <c r="J58" s="8" t="s">
        <v>28</v>
      </c>
      <c r="K58" s="8" t="s">
        <v>29</v>
      </c>
    </row>
    <row r="59" spans="1:11">
      <c r="A59">
        <v>1056</v>
      </c>
      <c r="B59">
        <f t="shared" si="2"/>
        <v>65</v>
      </c>
      <c r="C59">
        <v>5</v>
      </c>
      <c r="D59">
        <v>1000</v>
      </c>
      <c r="E59">
        <v>1000</v>
      </c>
      <c r="F59">
        <v>1000</v>
      </c>
      <c r="G59">
        <v>1000</v>
      </c>
      <c r="H59" s="8" t="s">
        <v>30</v>
      </c>
      <c r="I59" s="8" t="s">
        <v>30</v>
      </c>
      <c r="J59" s="8" t="s">
        <v>31</v>
      </c>
      <c r="K59" s="8" t="s">
        <v>32</v>
      </c>
    </row>
    <row r="60" spans="1:11">
      <c r="A60">
        <v>1057</v>
      </c>
      <c r="B60">
        <f t="shared" si="2"/>
        <v>70</v>
      </c>
      <c r="C60">
        <v>2</v>
      </c>
      <c r="D60">
        <v>1000</v>
      </c>
      <c r="E60">
        <v>1000</v>
      </c>
      <c r="F60">
        <v>1000</v>
      </c>
      <c r="G60">
        <v>1000</v>
      </c>
      <c r="H60" s="8" t="s">
        <v>24</v>
      </c>
      <c r="I60" s="8" t="s">
        <v>24</v>
      </c>
      <c r="J60" s="8" t="s">
        <v>33</v>
      </c>
      <c r="K60" s="8" t="s">
        <v>34</v>
      </c>
    </row>
    <row r="61" spans="1:11">
      <c r="A61">
        <v>1058</v>
      </c>
      <c r="B61">
        <f t="shared" si="2"/>
        <v>70</v>
      </c>
      <c r="C61">
        <v>3</v>
      </c>
      <c r="D61">
        <v>1000</v>
      </c>
      <c r="E61">
        <v>1000</v>
      </c>
      <c r="F61">
        <v>1000</v>
      </c>
      <c r="G61">
        <v>1000</v>
      </c>
      <c r="H61" s="8" t="s">
        <v>25</v>
      </c>
      <c r="I61" s="8" t="s">
        <v>25</v>
      </c>
      <c r="J61" s="8" t="s">
        <v>26</v>
      </c>
      <c r="K61" s="8" t="s">
        <v>35</v>
      </c>
    </row>
    <row r="62" spans="1:11">
      <c r="A62">
        <v>1059</v>
      </c>
      <c r="B62">
        <f t="shared" si="2"/>
        <v>70</v>
      </c>
      <c r="C62">
        <v>4</v>
      </c>
      <c r="D62">
        <v>1000</v>
      </c>
      <c r="E62">
        <v>1000</v>
      </c>
      <c r="F62">
        <v>1000</v>
      </c>
      <c r="G62">
        <v>1000</v>
      </c>
      <c r="H62" s="8" t="s">
        <v>27</v>
      </c>
      <c r="I62" s="8" t="s">
        <v>27</v>
      </c>
      <c r="J62" s="8" t="s">
        <v>28</v>
      </c>
      <c r="K62" s="8" t="s">
        <v>29</v>
      </c>
    </row>
    <row r="63" spans="1:11">
      <c r="A63">
        <v>1060</v>
      </c>
      <c r="B63">
        <f t="shared" si="2"/>
        <v>70</v>
      </c>
      <c r="C63">
        <v>5</v>
      </c>
      <c r="D63">
        <v>1000</v>
      </c>
      <c r="E63">
        <v>1000</v>
      </c>
      <c r="F63">
        <v>1000</v>
      </c>
      <c r="G63">
        <v>1000</v>
      </c>
      <c r="H63" s="8" t="s">
        <v>30</v>
      </c>
      <c r="I63" s="8" t="s">
        <v>30</v>
      </c>
      <c r="J63" s="8" t="s">
        <v>31</v>
      </c>
      <c r="K63" s="8" t="s">
        <v>32</v>
      </c>
    </row>
  </sheetData>
  <autoFilter ref="A3:K63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workbookViewId="0">
      <selection activeCell="A1" sqref="A$1:G$1048576"/>
    </sheetView>
  </sheetViews>
  <sheetFormatPr defaultColWidth="9" defaultRowHeight="16.5"/>
  <cols>
    <col min="1" max="2" width="9" style="1"/>
    <col min="3" max="3" width="11.875" style="2" customWidth="1"/>
    <col min="4" max="7" width="11.625" style="1" customWidth="1"/>
    <col min="8" max="8" width="11.375" style="1"/>
    <col min="9" max="9" width="12.5" style="1"/>
    <col min="10" max="10" width="11.375" style="1"/>
    <col min="11" max="11" width="12.5" style="1"/>
    <col min="12" max="12" width="11.375" style="1"/>
    <col min="13" max="13" width="12.5" style="1"/>
    <col min="14" max="14" width="11.375" style="1"/>
    <col min="15" max="15" width="12.5" style="1"/>
    <col min="16" max="18" width="9" style="1"/>
    <col min="19" max="20" width="10.25" style="1"/>
    <col min="21" max="21" width="12.625" style="1"/>
    <col min="22" max="22" width="11.5" style="1"/>
    <col min="23" max="24" width="12.625" style="1"/>
    <col min="25" max="16384" width="9" style="1"/>
  </cols>
  <sheetData>
    <row r="1" s="1" customFormat="1" ht="17.25" spans="1:7">
      <c r="A1" s="1" t="s">
        <v>0</v>
      </c>
      <c r="B1" s="3" t="s">
        <v>1</v>
      </c>
      <c r="C1" s="1" t="s">
        <v>2</v>
      </c>
      <c r="D1" s="4" t="s">
        <v>36</v>
      </c>
      <c r="E1" s="4" t="s">
        <v>36</v>
      </c>
      <c r="F1" s="4" t="s">
        <v>36</v>
      </c>
      <c r="G1" s="4" t="s">
        <v>36</v>
      </c>
    </row>
    <row r="2" s="1" customFormat="1" spans="1:7">
      <c r="A2" s="5" t="s">
        <v>11</v>
      </c>
      <c r="B2" s="5" t="s">
        <v>11</v>
      </c>
      <c r="C2" s="5" t="s">
        <v>11</v>
      </c>
      <c r="D2" s="1" t="s">
        <v>12</v>
      </c>
      <c r="E2" s="1" t="s">
        <v>12</v>
      </c>
      <c r="F2" s="1" t="s">
        <v>12</v>
      </c>
      <c r="G2" s="1" t="s">
        <v>12</v>
      </c>
    </row>
    <row r="3" s="1" customFormat="1" spans="1:7">
      <c r="A3" s="1" t="s">
        <v>13</v>
      </c>
      <c r="B3" s="1" t="s">
        <v>14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</row>
    <row r="4" s="1" customFormat="1" spans="1:28">
      <c r="A4" s="1">
        <v>1001</v>
      </c>
      <c r="B4" s="1">
        <v>1</v>
      </c>
      <c r="C4" s="2">
        <v>1</v>
      </c>
      <c r="D4" s="6" t="str">
        <f t="shared" ref="D4:D67" si="0">H4&amp;":"&amp;I4</f>
        <v>49:98</v>
      </c>
      <c r="E4" s="6" t="str">
        <f t="shared" ref="E4:E67" si="1">J4&amp;":"&amp;K4</f>
        <v>51.5:102.9</v>
      </c>
      <c r="F4" s="6" t="str">
        <f t="shared" ref="F4:F67" si="2">L4&amp;":"&amp;M4</f>
        <v>53.9:107.8</v>
      </c>
      <c r="G4" s="6" t="str">
        <f t="shared" ref="G4:G67" si="3">N4&amp;":"&amp;O4</f>
        <v>56.4:112.7</v>
      </c>
      <c r="H4" s="7">
        <v>49</v>
      </c>
      <c r="I4" s="7">
        <v>98</v>
      </c>
      <c r="J4" s="7">
        <v>51.5</v>
      </c>
      <c r="K4" s="7">
        <v>102.9</v>
      </c>
      <c r="L4" s="7">
        <v>53.9</v>
      </c>
      <c r="M4" s="7">
        <v>107.8</v>
      </c>
      <c r="N4" s="7">
        <v>56.4</v>
      </c>
      <c r="O4" s="7">
        <v>112.7</v>
      </c>
      <c r="Q4" s="1">
        <v>21.31</v>
      </c>
      <c r="R4" s="7">
        <f t="shared" ref="R4:R13" si="4">Q4*0.46</f>
        <v>9.8026</v>
      </c>
      <c r="S4" s="7">
        <v>225.5</v>
      </c>
      <c r="T4" s="7">
        <v>112.7</v>
      </c>
      <c r="U4" s="7">
        <v>98</v>
      </c>
      <c r="V4" s="7">
        <v>102.9</v>
      </c>
      <c r="W4" s="7">
        <v>107.8</v>
      </c>
      <c r="X4" s="7">
        <v>112.7</v>
      </c>
      <c r="Y4" s="7">
        <v>49</v>
      </c>
      <c r="Z4" s="7">
        <v>51.5</v>
      </c>
      <c r="AA4" s="7">
        <v>53.9</v>
      </c>
      <c r="AB4" s="7">
        <v>56.4</v>
      </c>
    </row>
    <row r="5" s="1" customFormat="1" spans="1:28">
      <c r="A5" s="1">
        <v>1002</v>
      </c>
      <c r="B5" s="1">
        <v>1</v>
      </c>
      <c r="C5" s="2">
        <v>2</v>
      </c>
      <c r="D5" s="6" t="str">
        <f t="shared" si="0"/>
        <v>6.2:12.4</v>
      </c>
      <c r="E5" s="6" t="str">
        <f t="shared" si="1"/>
        <v>6.5:13</v>
      </c>
      <c r="F5" s="6" t="str">
        <f t="shared" si="2"/>
        <v>6.8:13.6</v>
      </c>
      <c r="G5" s="6" t="str">
        <f t="shared" si="3"/>
        <v>7.1:14.2</v>
      </c>
      <c r="H5" s="7">
        <v>6.2</v>
      </c>
      <c r="I5" s="7">
        <v>12.4</v>
      </c>
      <c r="J5" s="7">
        <v>6.5</v>
      </c>
      <c r="K5" s="7">
        <v>13</v>
      </c>
      <c r="L5" s="7">
        <v>6.8</v>
      </c>
      <c r="M5" s="7">
        <v>13.6</v>
      </c>
      <c r="N5" s="7">
        <v>7.1</v>
      </c>
      <c r="O5" s="7">
        <v>14.2</v>
      </c>
      <c r="Q5" s="1">
        <v>2.69</v>
      </c>
      <c r="R5" s="7">
        <f t="shared" si="4"/>
        <v>1.2374</v>
      </c>
      <c r="S5" s="7">
        <v>28.5</v>
      </c>
      <c r="T5" s="7">
        <v>14.2</v>
      </c>
      <c r="U5" s="7">
        <v>12.4</v>
      </c>
      <c r="V5" s="7">
        <v>13</v>
      </c>
      <c r="W5" s="7">
        <v>13.6</v>
      </c>
      <c r="X5" s="7">
        <v>14.2</v>
      </c>
      <c r="Y5" s="7">
        <v>6.2</v>
      </c>
      <c r="Z5" s="7">
        <v>6.5</v>
      </c>
      <c r="AA5" s="7">
        <v>6.8</v>
      </c>
      <c r="AB5" s="7">
        <v>7.1</v>
      </c>
    </row>
    <row r="6" s="1" customFormat="1" spans="1:28">
      <c r="A6" s="1">
        <v>1003</v>
      </c>
      <c r="B6" s="1">
        <v>1</v>
      </c>
      <c r="C6" s="2">
        <v>4</v>
      </c>
      <c r="D6" s="6" t="str">
        <f t="shared" si="0"/>
        <v>3.9:7.8</v>
      </c>
      <c r="E6" s="6" t="str">
        <f t="shared" si="1"/>
        <v>4.1:8.2</v>
      </c>
      <c r="F6" s="6" t="str">
        <f t="shared" si="2"/>
        <v>4.3:8.6</v>
      </c>
      <c r="G6" s="6" t="str">
        <f t="shared" si="3"/>
        <v>4.5:8.9</v>
      </c>
      <c r="H6" s="7">
        <v>3.9</v>
      </c>
      <c r="I6" s="7">
        <v>7.8</v>
      </c>
      <c r="J6" s="7">
        <v>4.1</v>
      </c>
      <c r="K6" s="7">
        <v>8.2</v>
      </c>
      <c r="L6" s="7">
        <v>4.3</v>
      </c>
      <c r="M6" s="7">
        <v>8.6</v>
      </c>
      <c r="N6" s="7">
        <v>4.5</v>
      </c>
      <c r="O6" s="7">
        <v>8.9</v>
      </c>
      <c r="Q6" s="1">
        <v>1.69</v>
      </c>
      <c r="R6" s="7">
        <f t="shared" si="4"/>
        <v>0.7774</v>
      </c>
      <c r="S6" s="7">
        <v>17.9</v>
      </c>
      <c r="T6" s="7">
        <v>8.9</v>
      </c>
      <c r="U6" s="7">
        <v>7.8</v>
      </c>
      <c r="V6" s="7">
        <v>8.2</v>
      </c>
      <c r="W6" s="7">
        <v>8.6</v>
      </c>
      <c r="X6" s="7">
        <v>8.9</v>
      </c>
      <c r="Y6" s="7">
        <v>3.9</v>
      </c>
      <c r="Z6" s="7">
        <v>4.1</v>
      </c>
      <c r="AA6" s="7">
        <v>4.3</v>
      </c>
      <c r="AB6" s="7">
        <v>4.5</v>
      </c>
    </row>
    <row r="7" s="1" customFormat="1" spans="1:28">
      <c r="A7" s="1">
        <v>1004</v>
      </c>
      <c r="B7" s="1">
        <v>1</v>
      </c>
      <c r="C7" s="2">
        <v>3</v>
      </c>
      <c r="D7" s="6" t="str">
        <f t="shared" si="0"/>
        <v>6.2:12.4</v>
      </c>
      <c r="E7" s="6" t="str">
        <f t="shared" si="1"/>
        <v>6.5:13</v>
      </c>
      <c r="F7" s="6" t="str">
        <f t="shared" si="2"/>
        <v>6.8:13.6</v>
      </c>
      <c r="G7" s="6" t="str">
        <f t="shared" si="3"/>
        <v>7.1:14.2</v>
      </c>
      <c r="H7" s="7">
        <v>6.2</v>
      </c>
      <c r="I7" s="7">
        <v>12.4</v>
      </c>
      <c r="J7" s="7">
        <v>6.5</v>
      </c>
      <c r="K7" s="7">
        <v>13</v>
      </c>
      <c r="L7" s="7">
        <v>6.8</v>
      </c>
      <c r="M7" s="7">
        <v>13.6</v>
      </c>
      <c r="N7" s="7">
        <v>7.1</v>
      </c>
      <c r="O7" s="7">
        <v>14.2</v>
      </c>
      <c r="Q7" s="1">
        <v>2.69</v>
      </c>
      <c r="R7" s="7">
        <f t="shared" si="4"/>
        <v>1.2374</v>
      </c>
      <c r="S7" s="7">
        <v>28.5</v>
      </c>
      <c r="T7" s="7">
        <v>14.2</v>
      </c>
      <c r="U7" s="7">
        <v>12.4</v>
      </c>
      <c r="V7" s="7">
        <v>13</v>
      </c>
      <c r="W7" s="7">
        <v>13.6</v>
      </c>
      <c r="X7" s="7">
        <v>14.2</v>
      </c>
      <c r="Y7" s="7">
        <v>6.2</v>
      </c>
      <c r="Z7" s="7">
        <v>6.5</v>
      </c>
      <c r="AA7" s="7">
        <v>6.8</v>
      </c>
      <c r="AB7" s="7">
        <v>7.1</v>
      </c>
    </row>
    <row r="8" s="1" customFormat="1" spans="1:28">
      <c r="A8" s="1">
        <v>1005</v>
      </c>
      <c r="B8" s="1">
        <v>1</v>
      </c>
      <c r="C8" s="2">
        <v>27</v>
      </c>
      <c r="D8" s="6" t="str">
        <f t="shared" si="0"/>
        <v>3.9:7.8</v>
      </c>
      <c r="E8" s="6" t="str">
        <f t="shared" si="1"/>
        <v>4.1:8.2</v>
      </c>
      <c r="F8" s="6" t="str">
        <f t="shared" si="2"/>
        <v>4.3:8.6</v>
      </c>
      <c r="G8" s="6" t="str">
        <f t="shared" si="3"/>
        <v>4.5:8.9</v>
      </c>
      <c r="H8" s="7">
        <v>3.9</v>
      </c>
      <c r="I8" s="7">
        <v>7.8</v>
      </c>
      <c r="J8" s="7">
        <v>4.1</v>
      </c>
      <c r="K8" s="7">
        <v>8.2</v>
      </c>
      <c r="L8" s="7">
        <v>4.3</v>
      </c>
      <c r="M8" s="7">
        <v>8.6</v>
      </c>
      <c r="N8" s="7">
        <v>4.5</v>
      </c>
      <c r="O8" s="7">
        <v>8.9</v>
      </c>
      <c r="Q8" s="1">
        <v>1.69</v>
      </c>
      <c r="R8" s="7">
        <f t="shared" si="4"/>
        <v>0.7774</v>
      </c>
      <c r="S8" s="7">
        <v>17.9</v>
      </c>
      <c r="T8" s="7">
        <v>8.9</v>
      </c>
      <c r="U8" s="7">
        <v>7.8</v>
      </c>
      <c r="V8" s="7">
        <v>8.2</v>
      </c>
      <c r="W8" s="7">
        <v>8.6</v>
      </c>
      <c r="X8" s="7">
        <v>8.9</v>
      </c>
      <c r="Y8" s="7">
        <v>3.9</v>
      </c>
      <c r="Z8" s="7">
        <v>4.1</v>
      </c>
      <c r="AA8" s="7">
        <v>4.3</v>
      </c>
      <c r="AB8" s="7">
        <v>4.5</v>
      </c>
    </row>
    <row r="9" s="1" customFormat="1" spans="1:28">
      <c r="A9" s="1">
        <v>1006</v>
      </c>
      <c r="B9" s="1">
        <v>1</v>
      </c>
      <c r="C9" s="2">
        <v>28</v>
      </c>
      <c r="D9" s="6" t="str">
        <f t="shared" si="0"/>
        <v>1.2:2.3</v>
      </c>
      <c r="E9" s="6" t="str">
        <f t="shared" si="1"/>
        <v>1.2:2.4</v>
      </c>
      <c r="F9" s="6" t="str">
        <f t="shared" si="2"/>
        <v>1.3:2.5</v>
      </c>
      <c r="G9" s="6" t="str">
        <f t="shared" si="3"/>
        <v>1.3:2.6</v>
      </c>
      <c r="H9" s="7">
        <v>1.2</v>
      </c>
      <c r="I9" s="7">
        <v>2.3</v>
      </c>
      <c r="J9" s="7">
        <v>1.2</v>
      </c>
      <c r="K9" s="7">
        <v>2.4</v>
      </c>
      <c r="L9" s="7">
        <v>1.3</v>
      </c>
      <c r="M9" s="7">
        <v>2.5</v>
      </c>
      <c r="N9" s="7">
        <v>1.3</v>
      </c>
      <c r="O9" s="7">
        <v>2.6</v>
      </c>
      <c r="Q9" s="1">
        <v>0.5</v>
      </c>
      <c r="R9" s="7">
        <f t="shared" si="4"/>
        <v>0.23</v>
      </c>
      <c r="S9" s="7">
        <v>5.3</v>
      </c>
      <c r="T9" s="7">
        <v>2.6</v>
      </c>
      <c r="U9" s="7">
        <v>2.3</v>
      </c>
      <c r="V9" s="7">
        <v>2.4</v>
      </c>
      <c r="W9" s="7">
        <v>2.5</v>
      </c>
      <c r="X9" s="7">
        <v>2.6</v>
      </c>
      <c r="Y9" s="7">
        <v>1.2</v>
      </c>
      <c r="Z9" s="7">
        <v>1.2</v>
      </c>
      <c r="AA9" s="7">
        <v>1.3</v>
      </c>
      <c r="AB9" s="7">
        <v>1.3</v>
      </c>
    </row>
    <row r="10" s="1" customFormat="1" spans="1:28">
      <c r="A10" s="1">
        <v>1007</v>
      </c>
      <c r="B10" s="1">
        <v>1</v>
      </c>
      <c r="C10" s="2">
        <v>7</v>
      </c>
      <c r="D10" s="6" t="str">
        <f t="shared" si="0"/>
        <v>2.3:4.6</v>
      </c>
      <c r="E10" s="6" t="str">
        <f t="shared" si="1"/>
        <v>2.4:4.8</v>
      </c>
      <c r="F10" s="6" t="str">
        <f t="shared" si="2"/>
        <v>2.5:5.1</v>
      </c>
      <c r="G10" s="6" t="str">
        <f t="shared" si="3"/>
        <v>2.6:5.3</v>
      </c>
      <c r="H10" s="7">
        <v>2.3</v>
      </c>
      <c r="I10" s="7">
        <v>4.6</v>
      </c>
      <c r="J10" s="7">
        <v>2.4</v>
      </c>
      <c r="K10" s="7">
        <v>4.8</v>
      </c>
      <c r="L10" s="7">
        <v>2.5</v>
      </c>
      <c r="M10" s="7">
        <v>5.1</v>
      </c>
      <c r="N10" s="7">
        <v>2.6</v>
      </c>
      <c r="O10" s="7">
        <v>5.3</v>
      </c>
      <c r="Q10" s="1">
        <v>1</v>
      </c>
      <c r="R10" s="7">
        <f t="shared" si="4"/>
        <v>0.46</v>
      </c>
      <c r="S10" s="7">
        <v>10.6</v>
      </c>
      <c r="T10" s="7">
        <v>5.3</v>
      </c>
      <c r="U10" s="7">
        <v>4.6</v>
      </c>
      <c r="V10" s="7">
        <v>4.8</v>
      </c>
      <c r="W10" s="7">
        <v>5.1</v>
      </c>
      <c r="X10" s="7">
        <v>5.3</v>
      </c>
      <c r="Y10" s="7">
        <v>2.3</v>
      </c>
      <c r="Z10" s="7">
        <v>2.4</v>
      </c>
      <c r="AA10" s="7">
        <v>2.5</v>
      </c>
      <c r="AB10" s="7">
        <v>2.6</v>
      </c>
    </row>
    <row r="11" s="1" customFormat="1" spans="1:28">
      <c r="A11" s="1">
        <v>1008</v>
      </c>
      <c r="B11" s="1">
        <v>1</v>
      </c>
      <c r="C11" s="2">
        <v>5</v>
      </c>
      <c r="D11" s="6" t="str">
        <f t="shared" si="0"/>
        <v>2.3:4.6</v>
      </c>
      <c r="E11" s="6" t="str">
        <f t="shared" si="1"/>
        <v>2.4:4.8</v>
      </c>
      <c r="F11" s="6" t="str">
        <f t="shared" si="2"/>
        <v>2.5:5.1</v>
      </c>
      <c r="G11" s="6" t="str">
        <f t="shared" si="3"/>
        <v>2.6:5.3</v>
      </c>
      <c r="H11" s="7">
        <v>2.3</v>
      </c>
      <c r="I11" s="7">
        <v>4.6</v>
      </c>
      <c r="J11" s="7">
        <v>2.4</v>
      </c>
      <c r="K11" s="7">
        <v>4.8</v>
      </c>
      <c r="L11" s="7">
        <v>2.5</v>
      </c>
      <c r="M11" s="7">
        <v>5.1</v>
      </c>
      <c r="N11" s="7">
        <v>2.6</v>
      </c>
      <c r="O11" s="7">
        <v>5.3</v>
      </c>
      <c r="Q11" s="1">
        <v>1</v>
      </c>
      <c r="R11" s="7">
        <f t="shared" si="4"/>
        <v>0.46</v>
      </c>
      <c r="S11" s="7">
        <v>10.6</v>
      </c>
      <c r="T11" s="7">
        <v>5.3</v>
      </c>
      <c r="U11" s="7">
        <v>4.6</v>
      </c>
      <c r="V11" s="7">
        <v>4.8</v>
      </c>
      <c r="W11" s="7">
        <v>5.1</v>
      </c>
      <c r="X11" s="7">
        <v>5.3</v>
      </c>
      <c r="Y11" s="7">
        <v>2.3</v>
      </c>
      <c r="Z11" s="7">
        <v>2.4</v>
      </c>
      <c r="AA11" s="7">
        <v>2.5</v>
      </c>
      <c r="AB11" s="7">
        <v>2.6</v>
      </c>
    </row>
    <row r="12" s="1" customFormat="1" spans="1:28">
      <c r="A12" s="1">
        <v>1009</v>
      </c>
      <c r="B12" s="1">
        <v>1</v>
      </c>
      <c r="C12" s="2">
        <v>12</v>
      </c>
      <c r="D12" s="6" t="str">
        <f t="shared" si="0"/>
        <v>0.5:0.9</v>
      </c>
      <c r="E12" s="6" t="str">
        <f t="shared" si="1"/>
        <v>0.5:1</v>
      </c>
      <c r="F12" s="6" t="str">
        <f t="shared" si="2"/>
        <v>0.5:1</v>
      </c>
      <c r="G12" s="6" t="str">
        <f t="shared" si="3"/>
        <v>0.5:1.1</v>
      </c>
      <c r="H12" s="7">
        <v>0.5</v>
      </c>
      <c r="I12" s="7">
        <v>0.9</v>
      </c>
      <c r="J12" s="7">
        <v>0.5</v>
      </c>
      <c r="K12" s="7">
        <v>1</v>
      </c>
      <c r="L12" s="7">
        <v>0.5</v>
      </c>
      <c r="M12" s="7">
        <v>1</v>
      </c>
      <c r="N12" s="7">
        <v>0.5</v>
      </c>
      <c r="O12" s="7">
        <v>1.1</v>
      </c>
      <c r="Q12" s="1">
        <v>0.2</v>
      </c>
      <c r="R12" s="7">
        <f t="shared" si="4"/>
        <v>0.092</v>
      </c>
      <c r="S12" s="7">
        <f t="shared" ref="S12:AB12" si="5">S11/5</f>
        <v>2.12</v>
      </c>
      <c r="T12" s="7">
        <f t="shared" si="5"/>
        <v>1.06</v>
      </c>
      <c r="U12" s="7">
        <f t="shared" si="5"/>
        <v>0.92</v>
      </c>
      <c r="V12" s="7">
        <f t="shared" si="5"/>
        <v>0.96</v>
      </c>
      <c r="W12" s="7">
        <f t="shared" si="5"/>
        <v>1.02</v>
      </c>
      <c r="X12" s="7">
        <f t="shared" si="5"/>
        <v>1.06</v>
      </c>
      <c r="Y12" s="7">
        <f t="shared" si="5"/>
        <v>0.46</v>
      </c>
      <c r="Z12" s="7">
        <f t="shared" si="5"/>
        <v>0.48</v>
      </c>
      <c r="AA12" s="7">
        <f t="shared" si="5"/>
        <v>0.5</v>
      </c>
      <c r="AB12" s="7">
        <f t="shared" si="5"/>
        <v>0.52</v>
      </c>
    </row>
    <row r="13" s="1" customFormat="1" spans="1:28">
      <c r="A13" s="1">
        <v>1010</v>
      </c>
      <c r="B13" s="1">
        <v>1</v>
      </c>
      <c r="C13" s="2">
        <v>13</v>
      </c>
      <c r="D13" s="6" t="str">
        <f t="shared" si="0"/>
        <v>2.3:4.6</v>
      </c>
      <c r="E13" s="6" t="str">
        <f t="shared" si="1"/>
        <v>2.4:4.8</v>
      </c>
      <c r="F13" s="6" t="str">
        <f t="shared" si="2"/>
        <v>2.5:5.1</v>
      </c>
      <c r="G13" s="6" t="str">
        <f t="shared" si="3"/>
        <v>2.6:5.3</v>
      </c>
      <c r="H13" s="7">
        <v>2.3</v>
      </c>
      <c r="I13" s="7">
        <v>4.6</v>
      </c>
      <c r="J13" s="7">
        <v>2.4</v>
      </c>
      <c r="K13" s="7">
        <v>4.8</v>
      </c>
      <c r="L13" s="7">
        <v>2.5</v>
      </c>
      <c r="M13" s="7">
        <v>5.1</v>
      </c>
      <c r="N13" s="7">
        <v>2.6</v>
      </c>
      <c r="O13" s="7">
        <v>5.3</v>
      </c>
      <c r="Q13" s="1">
        <v>1</v>
      </c>
      <c r="R13" s="7">
        <f t="shared" si="4"/>
        <v>0.46</v>
      </c>
      <c r="S13" s="7">
        <f t="shared" ref="S13:AB13" si="6">S11</f>
        <v>10.6</v>
      </c>
      <c r="T13" s="7">
        <f t="shared" si="6"/>
        <v>5.3</v>
      </c>
      <c r="U13" s="7">
        <f t="shared" si="6"/>
        <v>4.6</v>
      </c>
      <c r="V13" s="7">
        <f t="shared" si="6"/>
        <v>4.8</v>
      </c>
      <c r="W13" s="7">
        <f t="shared" si="6"/>
        <v>5.1</v>
      </c>
      <c r="X13" s="7">
        <f t="shared" si="6"/>
        <v>5.3</v>
      </c>
      <c r="Y13" s="7">
        <f t="shared" si="6"/>
        <v>2.3</v>
      </c>
      <c r="Z13" s="7">
        <f t="shared" si="6"/>
        <v>2.4</v>
      </c>
      <c r="AA13" s="7">
        <f t="shared" si="6"/>
        <v>2.5</v>
      </c>
      <c r="AB13" s="7">
        <f t="shared" si="6"/>
        <v>2.6</v>
      </c>
    </row>
    <row r="14" s="1" customFormat="1" spans="1:15">
      <c r="A14" s="1">
        <v>1001</v>
      </c>
      <c r="B14" s="1">
        <v>5</v>
      </c>
      <c r="C14" s="2">
        <v>1</v>
      </c>
      <c r="D14" s="6" t="str">
        <f t="shared" si="0"/>
        <v>68.6:137.2</v>
      </c>
      <c r="E14" s="6" t="str">
        <f t="shared" si="1"/>
        <v>72.1:144.1</v>
      </c>
      <c r="F14" s="6" t="str">
        <f t="shared" si="2"/>
        <v>75.5:150.9</v>
      </c>
      <c r="G14" s="6" t="str">
        <f t="shared" si="3"/>
        <v>78.9:157.8</v>
      </c>
      <c r="H14" s="7">
        <v>68.6</v>
      </c>
      <c r="I14" s="7">
        <v>137.2</v>
      </c>
      <c r="J14" s="7">
        <v>72.1</v>
      </c>
      <c r="K14" s="7">
        <v>144.1</v>
      </c>
      <c r="L14" s="7">
        <v>75.5</v>
      </c>
      <c r="M14" s="7">
        <v>150.9</v>
      </c>
      <c r="N14" s="7">
        <v>78.9</v>
      </c>
      <c r="O14" s="7">
        <v>157.8</v>
      </c>
    </row>
    <row r="15" s="1" customFormat="1" spans="1:15">
      <c r="A15" s="1">
        <v>1002</v>
      </c>
      <c r="B15" s="1">
        <v>5</v>
      </c>
      <c r="C15" s="2">
        <v>2</v>
      </c>
      <c r="D15" s="6" t="str">
        <f t="shared" si="0"/>
        <v>8.7:17.3</v>
      </c>
      <c r="E15" s="6" t="str">
        <f t="shared" si="1"/>
        <v>9.1:18.2</v>
      </c>
      <c r="F15" s="6" t="str">
        <f t="shared" si="2"/>
        <v>9.5:19</v>
      </c>
      <c r="G15" s="6" t="str">
        <f t="shared" si="3"/>
        <v>9.9:19.9</v>
      </c>
      <c r="H15" s="7">
        <v>8.7</v>
      </c>
      <c r="I15" s="7">
        <v>17.3</v>
      </c>
      <c r="J15" s="7">
        <v>9.1</v>
      </c>
      <c r="K15" s="7">
        <v>18.2</v>
      </c>
      <c r="L15" s="7">
        <v>9.5</v>
      </c>
      <c r="M15" s="7">
        <v>19</v>
      </c>
      <c r="N15" s="7">
        <v>9.9</v>
      </c>
      <c r="O15" s="7">
        <v>19.9</v>
      </c>
    </row>
    <row r="16" s="1" customFormat="1" spans="1:15">
      <c r="A16" s="1">
        <v>1003</v>
      </c>
      <c r="B16" s="1">
        <v>5</v>
      </c>
      <c r="C16" s="2">
        <v>4</v>
      </c>
      <c r="D16" s="6" t="str">
        <f t="shared" si="0"/>
        <v>5.5:10.9</v>
      </c>
      <c r="E16" s="6" t="str">
        <f t="shared" si="1"/>
        <v>5.7:11.5</v>
      </c>
      <c r="F16" s="6" t="str">
        <f t="shared" si="2"/>
        <v>6:12</v>
      </c>
      <c r="G16" s="6" t="str">
        <f t="shared" si="3"/>
        <v>6.3:12.5</v>
      </c>
      <c r="H16" s="7">
        <v>5.5</v>
      </c>
      <c r="I16" s="7">
        <v>10.9</v>
      </c>
      <c r="J16" s="7">
        <v>5.7</v>
      </c>
      <c r="K16" s="7">
        <v>11.5</v>
      </c>
      <c r="L16" s="7">
        <v>6</v>
      </c>
      <c r="M16" s="7">
        <v>12</v>
      </c>
      <c r="N16" s="7">
        <v>6.3</v>
      </c>
      <c r="O16" s="7">
        <v>12.5</v>
      </c>
    </row>
    <row r="17" s="1" customFormat="1" spans="1:15">
      <c r="A17" s="1">
        <v>1004</v>
      </c>
      <c r="B17" s="1">
        <v>5</v>
      </c>
      <c r="C17" s="2">
        <v>3</v>
      </c>
      <c r="D17" s="6" t="str">
        <f t="shared" si="0"/>
        <v>8.7:17.3</v>
      </c>
      <c r="E17" s="6" t="str">
        <f t="shared" si="1"/>
        <v>9.1:18.2</v>
      </c>
      <c r="F17" s="6" t="str">
        <f t="shared" si="2"/>
        <v>9.5:19</v>
      </c>
      <c r="G17" s="6" t="str">
        <f t="shared" si="3"/>
        <v>9.9:19.9</v>
      </c>
      <c r="H17" s="7">
        <v>8.7</v>
      </c>
      <c r="I17" s="7">
        <v>17.3</v>
      </c>
      <c r="J17" s="7">
        <v>9.1</v>
      </c>
      <c r="K17" s="7">
        <v>18.2</v>
      </c>
      <c r="L17" s="7">
        <v>9.5</v>
      </c>
      <c r="M17" s="7">
        <v>19</v>
      </c>
      <c r="N17" s="7">
        <v>9.9</v>
      </c>
      <c r="O17" s="7">
        <v>19.9</v>
      </c>
    </row>
    <row r="18" s="1" customFormat="1" spans="1:15">
      <c r="A18" s="1">
        <v>1005</v>
      </c>
      <c r="B18" s="1">
        <v>5</v>
      </c>
      <c r="C18" s="2">
        <v>27</v>
      </c>
      <c r="D18" s="6" t="str">
        <f t="shared" si="0"/>
        <v>5.5:10.9</v>
      </c>
      <c r="E18" s="6" t="str">
        <f t="shared" si="1"/>
        <v>5.7:11.5</v>
      </c>
      <c r="F18" s="6" t="str">
        <f t="shared" si="2"/>
        <v>6:12</v>
      </c>
      <c r="G18" s="6" t="str">
        <f t="shared" si="3"/>
        <v>6.3:12.5</v>
      </c>
      <c r="H18" s="7">
        <v>5.5</v>
      </c>
      <c r="I18" s="7">
        <v>10.9</v>
      </c>
      <c r="J18" s="7">
        <v>5.7</v>
      </c>
      <c r="K18" s="7">
        <v>11.5</v>
      </c>
      <c r="L18" s="7">
        <v>6</v>
      </c>
      <c r="M18" s="7">
        <v>12</v>
      </c>
      <c r="N18" s="7">
        <v>6.3</v>
      </c>
      <c r="O18" s="7">
        <v>12.5</v>
      </c>
    </row>
    <row r="19" s="1" customFormat="1" spans="1:15">
      <c r="A19" s="1">
        <v>1006</v>
      </c>
      <c r="B19" s="1">
        <v>5</v>
      </c>
      <c r="C19" s="2">
        <v>28</v>
      </c>
      <c r="D19" s="6" t="str">
        <f t="shared" si="0"/>
        <v>1.7:3.2</v>
      </c>
      <c r="E19" s="6" t="str">
        <f t="shared" si="1"/>
        <v>1.7:3.4</v>
      </c>
      <c r="F19" s="6" t="str">
        <f t="shared" si="2"/>
        <v>1.8:3.5</v>
      </c>
      <c r="G19" s="6" t="str">
        <f t="shared" si="3"/>
        <v>1.8:3.7</v>
      </c>
      <c r="H19" s="7">
        <v>1.7</v>
      </c>
      <c r="I19" s="7">
        <v>3.2</v>
      </c>
      <c r="J19" s="7">
        <v>1.7</v>
      </c>
      <c r="K19" s="7">
        <v>3.4</v>
      </c>
      <c r="L19" s="7">
        <v>1.8</v>
      </c>
      <c r="M19" s="7">
        <v>3.5</v>
      </c>
      <c r="N19" s="7">
        <v>1.8</v>
      </c>
      <c r="O19" s="7">
        <v>3.7</v>
      </c>
    </row>
    <row r="20" s="1" customFormat="1" spans="1:15">
      <c r="A20" s="1">
        <v>1007</v>
      </c>
      <c r="B20" s="1">
        <v>5</v>
      </c>
      <c r="C20" s="2">
        <v>7</v>
      </c>
      <c r="D20" s="6" t="str">
        <f t="shared" si="0"/>
        <v>3.2:6.4</v>
      </c>
      <c r="E20" s="6" t="str">
        <f t="shared" si="1"/>
        <v>3.4:6.7</v>
      </c>
      <c r="F20" s="6" t="str">
        <f t="shared" si="2"/>
        <v>3.5:7.1</v>
      </c>
      <c r="G20" s="6" t="str">
        <f t="shared" si="3"/>
        <v>3.7:7.4</v>
      </c>
      <c r="H20" s="7">
        <v>3.2</v>
      </c>
      <c r="I20" s="7">
        <v>6.4</v>
      </c>
      <c r="J20" s="7">
        <v>3.4</v>
      </c>
      <c r="K20" s="7">
        <v>6.7</v>
      </c>
      <c r="L20" s="7">
        <v>3.5</v>
      </c>
      <c r="M20" s="7">
        <v>7.1</v>
      </c>
      <c r="N20" s="7">
        <v>3.7</v>
      </c>
      <c r="O20" s="7">
        <v>7.4</v>
      </c>
    </row>
    <row r="21" s="1" customFormat="1" spans="1:15">
      <c r="A21" s="1">
        <v>1008</v>
      </c>
      <c r="B21" s="1">
        <v>5</v>
      </c>
      <c r="C21" s="2">
        <v>5</v>
      </c>
      <c r="D21" s="6" t="str">
        <f t="shared" si="0"/>
        <v>3.2:6.4</v>
      </c>
      <c r="E21" s="6" t="str">
        <f t="shared" si="1"/>
        <v>3.4:6.7</v>
      </c>
      <c r="F21" s="6" t="str">
        <f t="shared" si="2"/>
        <v>3.5:7.1</v>
      </c>
      <c r="G21" s="6" t="str">
        <f t="shared" si="3"/>
        <v>3.7:7.4</v>
      </c>
      <c r="H21" s="7">
        <v>3.2</v>
      </c>
      <c r="I21" s="7">
        <v>6.4</v>
      </c>
      <c r="J21" s="7">
        <v>3.4</v>
      </c>
      <c r="K21" s="7">
        <v>6.7</v>
      </c>
      <c r="L21" s="7">
        <v>3.5</v>
      </c>
      <c r="M21" s="7">
        <v>7.1</v>
      </c>
      <c r="N21" s="7">
        <v>3.7</v>
      </c>
      <c r="O21" s="7">
        <v>7.4</v>
      </c>
    </row>
    <row r="22" s="1" customFormat="1" spans="1:15">
      <c r="A22" s="1">
        <v>1009</v>
      </c>
      <c r="B22" s="1">
        <v>5</v>
      </c>
      <c r="C22" s="2">
        <v>12</v>
      </c>
      <c r="D22" s="6" t="str">
        <f t="shared" si="0"/>
        <v>0.6:1.3</v>
      </c>
      <c r="E22" s="6" t="str">
        <f t="shared" si="1"/>
        <v>0.7:1.3</v>
      </c>
      <c r="F22" s="6" t="str">
        <f t="shared" si="2"/>
        <v>0.7:1.4</v>
      </c>
      <c r="G22" s="6" t="str">
        <f t="shared" si="3"/>
        <v>0.7:1.5</v>
      </c>
      <c r="H22" s="7">
        <v>0.6</v>
      </c>
      <c r="I22" s="7">
        <v>1.3</v>
      </c>
      <c r="J22" s="7">
        <v>0.7</v>
      </c>
      <c r="K22" s="7">
        <v>1.3</v>
      </c>
      <c r="L22" s="7">
        <v>0.7</v>
      </c>
      <c r="M22" s="7">
        <v>1.4</v>
      </c>
      <c r="N22" s="7">
        <v>0.7</v>
      </c>
      <c r="O22" s="7">
        <v>1.5</v>
      </c>
    </row>
    <row r="23" s="1" customFormat="1" spans="1:15">
      <c r="A23" s="1">
        <v>1010</v>
      </c>
      <c r="B23" s="1">
        <v>5</v>
      </c>
      <c r="C23" s="2">
        <v>13</v>
      </c>
      <c r="D23" s="6" t="str">
        <f t="shared" si="0"/>
        <v>3.2:6.4</v>
      </c>
      <c r="E23" s="6" t="str">
        <f t="shared" si="1"/>
        <v>3.4:6.7</v>
      </c>
      <c r="F23" s="6" t="str">
        <f t="shared" si="2"/>
        <v>3.5:7.1</v>
      </c>
      <c r="G23" s="6" t="str">
        <f t="shared" si="3"/>
        <v>3.7:7.4</v>
      </c>
      <c r="H23" s="7">
        <v>3.2</v>
      </c>
      <c r="I23" s="7">
        <v>6.4</v>
      </c>
      <c r="J23" s="7">
        <v>3.4</v>
      </c>
      <c r="K23" s="7">
        <v>6.7</v>
      </c>
      <c r="L23" s="7">
        <v>3.5</v>
      </c>
      <c r="M23" s="7">
        <v>7.1</v>
      </c>
      <c r="N23" s="7">
        <v>3.7</v>
      </c>
      <c r="O23" s="7">
        <v>7.4</v>
      </c>
    </row>
    <row r="24" s="1" customFormat="1" spans="1:15">
      <c r="A24" s="1">
        <v>1001</v>
      </c>
      <c r="B24" s="1">
        <v>10</v>
      </c>
      <c r="C24" s="2">
        <v>1</v>
      </c>
      <c r="D24" s="6" t="str">
        <f t="shared" si="0"/>
        <v>93.1:186.2</v>
      </c>
      <c r="E24" s="6" t="str">
        <f t="shared" si="1"/>
        <v>97.8:195.5</v>
      </c>
      <c r="F24" s="6" t="str">
        <f t="shared" si="2"/>
        <v>102.4:204.8</v>
      </c>
      <c r="G24" s="6" t="str">
        <f t="shared" si="3"/>
        <v>107.1:214.2</v>
      </c>
      <c r="H24" s="7">
        <v>93.1</v>
      </c>
      <c r="I24" s="7">
        <v>186.2</v>
      </c>
      <c r="J24" s="7">
        <v>97.8</v>
      </c>
      <c r="K24" s="7">
        <v>195.5</v>
      </c>
      <c r="L24" s="7">
        <v>102.4</v>
      </c>
      <c r="M24" s="7">
        <v>204.8</v>
      </c>
      <c r="N24" s="7">
        <v>107.1</v>
      </c>
      <c r="O24" s="7">
        <v>214.2</v>
      </c>
    </row>
    <row r="25" s="1" customFormat="1" spans="1:15">
      <c r="A25" s="1">
        <v>1002</v>
      </c>
      <c r="B25" s="1">
        <v>10</v>
      </c>
      <c r="C25" s="2">
        <v>2</v>
      </c>
      <c r="D25" s="6" t="str">
        <f t="shared" si="0"/>
        <v>11.8:23.5</v>
      </c>
      <c r="E25" s="6" t="str">
        <f t="shared" si="1"/>
        <v>12.3:24.7</v>
      </c>
      <c r="F25" s="6" t="str">
        <f t="shared" si="2"/>
        <v>12.9:25.9</v>
      </c>
      <c r="G25" s="6" t="str">
        <f t="shared" si="3"/>
        <v>13.5:27</v>
      </c>
      <c r="H25" s="7">
        <v>11.8</v>
      </c>
      <c r="I25" s="7">
        <v>23.5</v>
      </c>
      <c r="J25" s="7">
        <v>12.3</v>
      </c>
      <c r="K25" s="7">
        <v>24.7</v>
      </c>
      <c r="L25" s="7">
        <v>12.9</v>
      </c>
      <c r="M25" s="7">
        <v>25.9</v>
      </c>
      <c r="N25" s="7">
        <v>13.5</v>
      </c>
      <c r="O25" s="7">
        <v>27</v>
      </c>
    </row>
    <row r="26" s="1" customFormat="1" spans="1:15">
      <c r="A26" s="1">
        <v>1003</v>
      </c>
      <c r="B26" s="1">
        <v>10</v>
      </c>
      <c r="C26" s="2">
        <v>4</v>
      </c>
      <c r="D26" s="6" t="str">
        <f t="shared" si="0"/>
        <v>7.4:14.8</v>
      </c>
      <c r="E26" s="6" t="str">
        <f t="shared" si="1"/>
        <v>7.8:15.5</v>
      </c>
      <c r="F26" s="6" t="str">
        <f t="shared" si="2"/>
        <v>8.1:16.3</v>
      </c>
      <c r="G26" s="6" t="str">
        <f t="shared" si="3"/>
        <v>8.5:16.9</v>
      </c>
      <c r="H26" s="7">
        <v>7.4</v>
      </c>
      <c r="I26" s="7">
        <v>14.8</v>
      </c>
      <c r="J26" s="7">
        <v>7.8</v>
      </c>
      <c r="K26" s="7">
        <v>15.5</v>
      </c>
      <c r="L26" s="7">
        <v>8.1</v>
      </c>
      <c r="M26" s="7">
        <v>16.3</v>
      </c>
      <c r="N26" s="7">
        <v>8.5</v>
      </c>
      <c r="O26" s="7">
        <v>16.9</v>
      </c>
    </row>
    <row r="27" s="1" customFormat="1" spans="1:15">
      <c r="A27" s="1">
        <v>1004</v>
      </c>
      <c r="B27" s="1">
        <v>10</v>
      </c>
      <c r="C27" s="2">
        <v>3</v>
      </c>
      <c r="D27" s="6" t="str">
        <f t="shared" si="0"/>
        <v>11.8:23.5</v>
      </c>
      <c r="E27" s="6" t="str">
        <f t="shared" si="1"/>
        <v>12.3:24.7</v>
      </c>
      <c r="F27" s="6" t="str">
        <f t="shared" si="2"/>
        <v>12.9:25.9</v>
      </c>
      <c r="G27" s="6" t="str">
        <f t="shared" si="3"/>
        <v>13.5:27</v>
      </c>
      <c r="H27" s="7">
        <v>11.8</v>
      </c>
      <c r="I27" s="7">
        <v>23.5</v>
      </c>
      <c r="J27" s="7">
        <v>12.3</v>
      </c>
      <c r="K27" s="7">
        <v>24.7</v>
      </c>
      <c r="L27" s="7">
        <v>12.9</v>
      </c>
      <c r="M27" s="7">
        <v>25.9</v>
      </c>
      <c r="N27" s="7">
        <v>13.5</v>
      </c>
      <c r="O27" s="7">
        <v>27</v>
      </c>
    </row>
    <row r="28" s="1" customFormat="1" spans="1:15">
      <c r="A28" s="1">
        <v>1005</v>
      </c>
      <c r="B28" s="1">
        <v>10</v>
      </c>
      <c r="C28" s="2">
        <v>27</v>
      </c>
      <c r="D28" s="6" t="str">
        <f t="shared" si="0"/>
        <v>7.4:14.8</v>
      </c>
      <c r="E28" s="6" t="str">
        <f t="shared" si="1"/>
        <v>7.8:15.5</v>
      </c>
      <c r="F28" s="6" t="str">
        <f t="shared" si="2"/>
        <v>8.1:16.3</v>
      </c>
      <c r="G28" s="6" t="str">
        <f t="shared" si="3"/>
        <v>8.5:16.9</v>
      </c>
      <c r="H28" s="7">
        <v>7.4</v>
      </c>
      <c r="I28" s="7">
        <v>14.8</v>
      </c>
      <c r="J28" s="7">
        <v>7.8</v>
      </c>
      <c r="K28" s="7">
        <v>15.5</v>
      </c>
      <c r="L28" s="7">
        <v>8.1</v>
      </c>
      <c r="M28" s="7">
        <v>16.3</v>
      </c>
      <c r="N28" s="7">
        <v>8.5</v>
      </c>
      <c r="O28" s="7">
        <v>16.9</v>
      </c>
    </row>
    <row r="29" s="1" customFormat="1" spans="1:15">
      <c r="A29" s="1">
        <v>1006</v>
      </c>
      <c r="B29" s="1">
        <v>10</v>
      </c>
      <c r="C29" s="2">
        <v>28</v>
      </c>
      <c r="D29" s="6" t="str">
        <f t="shared" si="0"/>
        <v>2.2:4.4</v>
      </c>
      <c r="E29" s="6" t="str">
        <f t="shared" si="1"/>
        <v>2.3:4.6</v>
      </c>
      <c r="F29" s="6" t="str">
        <f t="shared" si="2"/>
        <v>2.4:4.8</v>
      </c>
      <c r="G29" s="6" t="str">
        <f t="shared" si="3"/>
        <v>2.5:5</v>
      </c>
      <c r="H29" s="7">
        <v>2.2</v>
      </c>
      <c r="I29" s="7">
        <v>4.4</v>
      </c>
      <c r="J29" s="7">
        <v>2.3</v>
      </c>
      <c r="K29" s="7">
        <v>4.6</v>
      </c>
      <c r="L29" s="7">
        <v>2.4</v>
      </c>
      <c r="M29" s="7">
        <v>4.8</v>
      </c>
      <c r="N29" s="7">
        <v>2.5</v>
      </c>
      <c r="O29" s="7">
        <v>5</v>
      </c>
    </row>
    <row r="30" s="1" customFormat="1" spans="1:15">
      <c r="A30" s="1">
        <v>1007</v>
      </c>
      <c r="B30" s="1">
        <v>10</v>
      </c>
      <c r="C30" s="2">
        <v>7</v>
      </c>
      <c r="D30" s="6" t="str">
        <f t="shared" si="0"/>
        <v>4.4:8.7</v>
      </c>
      <c r="E30" s="6" t="str">
        <f t="shared" si="1"/>
        <v>4.6:9.1</v>
      </c>
      <c r="F30" s="6" t="str">
        <f t="shared" si="2"/>
        <v>4.8:9.7</v>
      </c>
      <c r="G30" s="6" t="str">
        <f t="shared" si="3"/>
        <v>5:10.1</v>
      </c>
      <c r="H30" s="7">
        <v>4.4</v>
      </c>
      <c r="I30" s="7">
        <v>8.7</v>
      </c>
      <c r="J30" s="7">
        <v>4.6</v>
      </c>
      <c r="K30" s="7">
        <v>9.1</v>
      </c>
      <c r="L30" s="7">
        <v>4.8</v>
      </c>
      <c r="M30" s="7">
        <v>9.7</v>
      </c>
      <c r="N30" s="7">
        <v>5</v>
      </c>
      <c r="O30" s="7">
        <v>10.1</v>
      </c>
    </row>
    <row r="31" s="1" customFormat="1" spans="1:15">
      <c r="A31" s="1">
        <v>1008</v>
      </c>
      <c r="B31" s="1">
        <v>10</v>
      </c>
      <c r="C31" s="2">
        <v>5</v>
      </c>
      <c r="D31" s="6" t="str">
        <f t="shared" si="0"/>
        <v>4.4:8.7</v>
      </c>
      <c r="E31" s="6" t="str">
        <f t="shared" si="1"/>
        <v>4.6:9.1</v>
      </c>
      <c r="F31" s="6" t="str">
        <f t="shared" si="2"/>
        <v>4.8:9.7</v>
      </c>
      <c r="G31" s="6" t="str">
        <f t="shared" si="3"/>
        <v>5:10.1</v>
      </c>
      <c r="H31" s="7">
        <v>4.4</v>
      </c>
      <c r="I31" s="7">
        <v>8.7</v>
      </c>
      <c r="J31" s="7">
        <v>4.6</v>
      </c>
      <c r="K31" s="7">
        <v>9.1</v>
      </c>
      <c r="L31" s="7">
        <v>4.8</v>
      </c>
      <c r="M31" s="7">
        <v>9.7</v>
      </c>
      <c r="N31" s="7">
        <v>5</v>
      </c>
      <c r="O31" s="7">
        <v>10.1</v>
      </c>
    </row>
    <row r="32" s="1" customFormat="1" spans="1:15">
      <c r="A32" s="1">
        <v>1009</v>
      </c>
      <c r="B32" s="1">
        <v>10</v>
      </c>
      <c r="C32" s="2">
        <v>12</v>
      </c>
      <c r="D32" s="6" t="str">
        <f t="shared" si="0"/>
        <v>0.9:1.7</v>
      </c>
      <c r="E32" s="6" t="str">
        <f t="shared" si="1"/>
        <v>0.9:1.8</v>
      </c>
      <c r="F32" s="6" t="str">
        <f t="shared" si="2"/>
        <v>1:1.9</v>
      </c>
      <c r="G32" s="6" t="str">
        <f t="shared" si="3"/>
        <v>1:2</v>
      </c>
      <c r="H32" s="7">
        <v>0.9</v>
      </c>
      <c r="I32" s="7">
        <v>1.7</v>
      </c>
      <c r="J32" s="7">
        <v>0.9</v>
      </c>
      <c r="K32" s="7">
        <v>1.8</v>
      </c>
      <c r="L32" s="7">
        <v>1</v>
      </c>
      <c r="M32" s="7">
        <v>1.9</v>
      </c>
      <c r="N32" s="7">
        <v>1</v>
      </c>
      <c r="O32" s="7">
        <v>2</v>
      </c>
    </row>
    <row r="33" s="1" customFormat="1" spans="1:15">
      <c r="A33" s="1">
        <v>1010</v>
      </c>
      <c r="B33" s="1">
        <v>10</v>
      </c>
      <c r="C33" s="2">
        <v>13</v>
      </c>
      <c r="D33" s="6" t="str">
        <f t="shared" si="0"/>
        <v>4.4:8.7</v>
      </c>
      <c r="E33" s="6" t="str">
        <f t="shared" si="1"/>
        <v>4.6:9.1</v>
      </c>
      <c r="F33" s="6" t="str">
        <f t="shared" si="2"/>
        <v>4.8:9.7</v>
      </c>
      <c r="G33" s="6" t="str">
        <f t="shared" si="3"/>
        <v>5:10.1</v>
      </c>
      <c r="H33" s="7">
        <v>4.4</v>
      </c>
      <c r="I33" s="7">
        <v>8.7</v>
      </c>
      <c r="J33" s="7">
        <v>4.6</v>
      </c>
      <c r="K33" s="7">
        <v>9.1</v>
      </c>
      <c r="L33" s="7">
        <v>4.8</v>
      </c>
      <c r="M33" s="7">
        <v>9.7</v>
      </c>
      <c r="N33" s="7">
        <v>5</v>
      </c>
      <c r="O33" s="7">
        <v>10.1</v>
      </c>
    </row>
    <row r="34" s="1" customFormat="1" spans="1:15">
      <c r="A34" s="1">
        <v>1001</v>
      </c>
      <c r="B34" s="1">
        <v>15</v>
      </c>
      <c r="C34" s="2">
        <v>1</v>
      </c>
      <c r="D34" s="6" t="str">
        <f t="shared" si="0"/>
        <v>117.6:235.2</v>
      </c>
      <c r="E34" s="6" t="str">
        <f t="shared" si="1"/>
        <v>123.5:247</v>
      </c>
      <c r="F34" s="6" t="str">
        <f t="shared" si="2"/>
        <v>129.4:258.8</v>
      </c>
      <c r="G34" s="6" t="str">
        <f t="shared" si="3"/>
        <v>135.3:270.5</v>
      </c>
      <c r="H34" s="7">
        <v>117.6</v>
      </c>
      <c r="I34" s="7">
        <v>235.2</v>
      </c>
      <c r="J34" s="7">
        <v>123.5</v>
      </c>
      <c r="K34" s="7">
        <v>247</v>
      </c>
      <c r="L34" s="7">
        <v>129.4</v>
      </c>
      <c r="M34" s="7">
        <v>258.8</v>
      </c>
      <c r="N34" s="7">
        <v>135.3</v>
      </c>
      <c r="O34" s="7">
        <v>270.5</v>
      </c>
    </row>
    <row r="35" s="1" customFormat="1" spans="1:15">
      <c r="A35" s="1">
        <v>1002</v>
      </c>
      <c r="B35" s="1">
        <v>15</v>
      </c>
      <c r="C35" s="2">
        <v>2</v>
      </c>
      <c r="D35" s="6" t="str">
        <f t="shared" si="0"/>
        <v>14.9:29.7</v>
      </c>
      <c r="E35" s="6" t="str">
        <f t="shared" si="1"/>
        <v>15.6:31.2</v>
      </c>
      <c r="F35" s="6" t="str">
        <f t="shared" si="2"/>
        <v>16.3:32.7</v>
      </c>
      <c r="G35" s="6" t="str">
        <f t="shared" si="3"/>
        <v>17.1:34.1</v>
      </c>
      <c r="H35" s="7">
        <v>14.9</v>
      </c>
      <c r="I35" s="7">
        <v>29.7</v>
      </c>
      <c r="J35" s="7">
        <v>15.6</v>
      </c>
      <c r="K35" s="7">
        <v>31.2</v>
      </c>
      <c r="L35" s="7">
        <v>16.3</v>
      </c>
      <c r="M35" s="7">
        <v>32.7</v>
      </c>
      <c r="N35" s="7">
        <v>17.1</v>
      </c>
      <c r="O35" s="7">
        <v>34.1</v>
      </c>
    </row>
    <row r="36" s="1" customFormat="1" spans="1:15">
      <c r="A36" s="1">
        <v>1003</v>
      </c>
      <c r="B36" s="1">
        <v>15</v>
      </c>
      <c r="C36" s="2">
        <v>4</v>
      </c>
      <c r="D36" s="6" t="str">
        <f t="shared" si="0"/>
        <v>9.3:18.7</v>
      </c>
      <c r="E36" s="6" t="str">
        <f t="shared" si="1"/>
        <v>9.8:19.6</v>
      </c>
      <c r="F36" s="6" t="str">
        <f t="shared" si="2"/>
        <v>10.3:20.6</v>
      </c>
      <c r="G36" s="6" t="str">
        <f t="shared" si="3"/>
        <v>10.8:21.4</v>
      </c>
      <c r="H36" s="7">
        <v>9.3</v>
      </c>
      <c r="I36" s="7">
        <v>18.7</v>
      </c>
      <c r="J36" s="7">
        <v>9.8</v>
      </c>
      <c r="K36" s="7">
        <v>19.6</v>
      </c>
      <c r="L36" s="7">
        <v>10.3</v>
      </c>
      <c r="M36" s="7">
        <v>20.6</v>
      </c>
      <c r="N36" s="7">
        <v>10.8</v>
      </c>
      <c r="O36" s="7">
        <v>21.4</v>
      </c>
    </row>
    <row r="37" s="1" customFormat="1" spans="1:15">
      <c r="A37" s="1">
        <v>1004</v>
      </c>
      <c r="B37" s="1">
        <v>15</v>
      </c>
      <c r="C37" s="2">
        <v>3</v>
      </c>
      <c r="D37" s="6" t="str">
        <f t="shared" si="0"/>
        <v>14.9:29.7</v>
      </c>
      <c r="E37" s="6" t="str">
        <f t="shared" si="1"/>
        <v>15.6:31.2</v>
      </c>
      <c r="F37" s="6" t="str">
        <f t="shared" si="2"/>
        <v>16.3:32.7</v>
      </c>
      <c r="G37" s="6" t="str">
        <f t="shared" si="3"/>
        <v>17.1:34.1</v>
      </c>
      <c r="H37" s="7">
        <v>14.9</v>
      </c>
      <c r="I37" s="7">
        <v>29.7</v>
      </c>
      <c r="J37" s="7">
        <v>15.6</v>
      </c>
      <c r="K37" s="7">
        <v>31.2</v>
      </c>
      <c r="L37" s="7">
        <v>16.3</v>
      </c>
      <c r="M37" s="7">
        <v>32.7</v>
      </c>
      <c r="N37" s="7">
        <v>17.1</v>
      </c>
      <c r="O37" s="7">
        <v>34.1</v>
      </c>
    </row>
    <row r="38" s="1" customFormat="1" spans="1:15">
      <c r="A38" s="1">
        <v>1005</v>
      </c>
      <c r="B38" s="1">
        <v>15</v>
      </c>
      <c r="C38" s="2">
        <v>27</v>
      </c>
      <c r="D38" s="6" t="str">
        <f t="shared" si="0"/>
        <v>9.3:18.7</v>
      </c>
      <c r="E38" s="6" t="str">
        <f t="shared" si="1"/>
        <v>9.8:19.6</v>
      </c>
      <c r="F38" s="6" t="str">
        <f t="shared" si="2"/>
        <v>10.3:20.6</v>
      </c>
      <c r="G38" s="6" t="str">
        <f t="shared" si="3"/>
        <v>10.8:21.4</v>
      </c>
      <c r="H38" s="7">
        <v>9.3</v>
      </c>
      <c r="I38" s="7">
        <v>18.7</v>
      </c>
      <c r="J38" s="7">
        <v>9.8</v>
      </c>
      <c r="K38" s="7">
        <v>19.6</v>
      </c>
      <c r="L38" s="7">
        <v>10.3</v>
      </c>
      <c r="M38" s="7">
        <v>20.6</v>
      </c>
      <c r="N38" s="7">
        <v>10.8</v>
      </c>
      <c r="O38" s="7">
        <v>21.4</v>
      </c>
    </row>
    <row r="39" s="1" customFormat="1" spans="1:15">
      <c r="A39" s="1">
        <v>1006</v>
      </c>
      <c r="B39" s="1">
        <v>15</v>
      </c>
      <c r="C39" s="2">
        <v>28</v>
      </c>
      <c r="D39" s="6" t="str">
        <f t="shared" si="0"/>
        <v>2.8:5.5</v>
      </c>
      <c r="E39" s="6" t="str">
        <f t="shared" si="1"/>
        <v>2.9:5.8</v>
      </c>
      <c r="F39" s="6" t="str">
        <f t="shared" si="2"/>
        <v>3.1:6</v>
      </c>
      <c r="G39" s="6" t="str">
        <f t="shared" si="3"/>
        <v>3.2:6.3</v>
      </c>
      <c r="H39" s="7">
        <v>2.8</v>
      </c>
      <c r="I39" s="7">
        <v>5.5</v>
      </c>
      <c r="J39" s="7">
        <v>2.9</v>
      </c>
      <c r="K39" s="7">
        <v>5.8</v>
      </c>
      <c r="L39" s="7">
        <v>3.1</v>
      </c>
      <c r="M39" s="7">
        <v>6</v>
      </c>
      <c r="N39" s="7">
        <v>3.2</v>
      </c>
      <c r="O39" s="7">
        <v>6.3</v>
      </c>
    </row>
    <row r="40" s="1" customFormat="1" spans="1:15">
      <c r="A40" s="1">
        <v>1007</v>
      </c>
      <c r="B40" s="1">
        <v>15</v>
      </c>
      <c r="C40" s="2">
        <v>7</v>
      </c>
      <c r="D40" s="6" t="str">
        <f t="shared" si="0"/>
        <v>5.5:11</v>
      </c>
      <c r="E40" s="6" t="str">
        <f t="shared" si="1"/>
        <v>5.8:11.6</v>
      </c>
      <c r="F40" s="6" t="str">
        <f t="shared" si="2"/>
        <v>6:12.2</v>
      </c>
      <c r="G40" s="6" t="str">
        <f t="shared" si="3"/>
        <v>6.3:12.7</v>
      </c>
      <c r="H40" s="7">
        <v>5.5</v>
      </c>
      <c r="I40" s="7">
        <v>11</v>
      </c>
      <c r="J40" s="7">
        <v>5.8</v>
      </c>
      <c r="K40" s="7">
        <v>11.6</v>
      </c>
      <c r="L40" s="7">
        <v>6</v>
      </c>
      <c r="M40" s="7">
        <v>12.2</v>
      </c>
      <c r="N40" s="7">
        <v>6.3</v>
      </c>
      <c r="O40" s="7">
        <v>12.7</v>
      </c>
    </row>
    <row r="41" s="1" customFormat="1" spans="1:15">
      <c r="A41" s="1">
        <v>1008</v>
      </c>
      <c r="B41" s="1">
        <v>15</v>
      </c>
      <c r="C41" s="2">
        <v>5</v>
      </c>
      <c r="D41" s="6" t="str">
        <f t="shared" si="0"/>
        <v>5.5:11</v>
      </c>
      <c r="E41" s="6" t="str">
        <f t="shared" si="1"/>
        <v>5.8:11.6</v>
      </c>
      <c r="F41" s="6" t="str">
        <f t="shared" si="2"/>
        <v>6:12.2</v>
      </c>
      <c r="G41" s="6" t="str">
        <f t="shared" si="3"/>
        <v>6.3:12.7</v>
      </c>
      <c r="H41" s="7">
        <v>5.5</v>
      </c>
      <c r="I41" s="7">
        <v>11</v>
      </c>
      <c r="J41" s="7">
        <v>5.8</v>
      </c>
      <c r="K41" s="7">
        <v>11.6</v>
      </c>
      <c r="L41" s="7">
        <v>6</v>
      </c>
      <c r="M41" s="7">
        <v>12.2</v>
      </c>
      <c r="N41" s="7">
        <v>6.3</v>
      </c>
      <c r="O41" s="7">
        <v>12.7</v>
      </c>
    </row>
    <row r="42" s="1" customFormat="1" spans="1:15">
      <c r="A42" s="1">
        <v>1009</v>
      </c>
      <c r="B42" s="1">
        <v>15</v>
      </c>
      <c r="C42" s="2">
        <v>12</v>
      </c>
      <c r="D42" s="6" t="str">
        <f t="shared" si="0"/>
        <v>1.1:2.2</v>
      </c>
      <c r="E42" s="6" t="str">
        <f t="shared" si="1"/>
        <v>1.2:2.3</v>
      </c>
      <c r="F42" s="6" t="str">
        <f t="shared" si="2"/>
        <v>1.2:2.4</v>
      </c>
      <c r="G42" s="6" t="str">
        <f t="shared" si="3"/>
        <v>1.3:2.5</v>
      </c>
      <c r="H42" s="7">
        <v>1.1</v>
      </c>
      <c r="I42" s="7">
        <v>2.2</v>
      </c>
      <c r="J42" s="7">
        <v>1.2</v>
      </c>
      <c r="K42" s="7">
        <v>2.3</v>
      </c>
      <c r="L42" s="7">
        <v>1.2</v>
      </c>
      <c r="M42" s="7">
        <v>2.4</v>
      </c>
      <c r="N42" s="7">
        <v>1.3</v>
      </c>
      <c r="O42" s="7">
        <v>2.5</v>
      </c>
    </row>
    <row r="43" s="1" customFormat="1" spans="1:15">
      <c r="A43" s="1">
        <v>1010</v>
      </c>
      <c r="B43" s="1">
        <v>15</v>
      </c>
      <c r="C43" s="2">
        <v>13</v>
      </c>
      <c r="D43" s="6" t="str">
        <f t="shared" si="0"/>
        <v>5.5:11</v>
      </c>
      <c r="E43" s="6" t="str">
        <f t="shared" si="1"/>
        <v>5.8:11.6</v>
      </c>
      <c r="F43" s="6" t="str">
        <f t="shared" si="2"/>
        <v>6:12.2</v>
      </c>
      <c r="G43" s="6" t="str">
        <f t="shared" si="3"/>
        <v>6.3:12.7</v>
      </c>
      <c r="H43" s="7">
        <v>5.5</v>
      </c>
      <c r="I43" s="7">
        <v>11</v>
      </c>
      <c r="J43" s="7">
        <v>5.8</v>
      </c>
      <c r="K43" s="7">
        <v>11.6</v>
      </c>
      <c r="L43" s="7">
        <v>6</v>
      </c>
      <c r="M43" s="7">
        <v>12.2</v>
      </c>
      <c r="N43" s="7">
        <v>6.3</v>
      </c>
      <c r="O43" s="7">
        <v>12.7</v>
      </c>
    </row>
    <row r="44" s="1" customFormat="1" spans="1:15">
      <c r="A44" s="1">
        <v>1001</v>
      </c>
      <c r="B44" s="1">
        <v>20</v>
      </c>
      <c r="C44" s="2">
        <v>1</v>
      </c>
      <c r="D44" s="6" t="str">
        <f t="shared" si="0"/>
        <v>142.1:284.2</v>
      </c>
      <c r="E44" s="6" t="str">
        <f t="shared" si="1"/>
        <v>149.3:298.5</v>
      </c>
      <c r="F44" s="6" t="str">
        <f t="shared" si="2"/>
        <v>156.3:312.7</v>
      </c>
      <c r="G44" s="6" t="str">
        <f t="shared" si="3"/>
        <v>163.5:326.9</v>
      </c>
      <c r="H44" s="7">
        <v>142.1</v>
      </c>
      <c r="I44" s="7">
        <v>284.2</v>
      </c>
      <c r="J44" s="7">
        <v>149.3</v>
      </c>
      <c r="K44" s="7">
        <v>298.5</v>
      </c>
      <c r="L44" s="7">
        <v>156.3</v>
      </c>
      <c r="M44" s="7">
        <v>312.7</v>
      </c>
      <c r="N44" s="7">
        <v>163.5</v>
      </c>
      <c r="O44" s="7">
        <v>326.9</v>
      </c>
    </row>
    <row r="45" s="1" customFormat="1" spans="1:15">
      <c r="A45" s="1">
        <v>1002</v>
      </c>
      <c r="B45" s="1">
        <v>20</v>
      </c>
      <c r="C45" s="2">
        <v>2</v>
      </c>
      <c r="D45" s="6" t="str">
        <f t="shared" si="0"/>
        <v>18:35.9</v>
      </c>
      <c r="E45" s="6" t="str">
        <f t="shared" si="1"/>
        <v>18.8:37.7</v>
      </c>
      <c r="F45" s="6" t="str">
        <f t="shared" si="2"/>
        <v>19.7:39.5</v>
      </c>
      <c r="G45" s="6" t="str">
        <f t="shared" si="3"/>
        <v>20.6:41.2</v>
      </c>
      <c r="H45" s="7">
        <v>18</v>
      </c>
      <c r="I45" s="7">
        <v>35.9</v>
      </c>
      <c r="J45" s="7">
        <v>18.8</v>
      </c>
      <c r="K45" s="7">
        <v>37.7</v>
      </c>
      <c r="L45" s="7">
        <v>19.7</v>
      </c>
      <c r="M45" s="7">
        <v>39.5</v>
      </c>
      <c r="N45" s="7">
        <v>20.6</v>
      </c>
      <c r="O45" s="7">
        <v>41.2</v>
      </c>
    </row>
    <row r="46" s="1" customFormat="1" spans="1:15">
      <c r="A46" s="1">
        <v>1003</v>
      </c>
      <c r="B46" s="1">
        <v>20</v>
      </c>
      <c r="C46" s="2">
        <v>4</v>
      </c>
      <c r="D46" s="6" t="str">
        <f t="shared" si="0"/>
        <v>11.3:22.6</v>
      </c>
      <c r="E46" s="6" t="str">
        <f t="shared" si="1"/>
        <v>11.9:23.7</v>
      </c>
      <c r="F46" s="6" t="str">
        <f t="shared" si="2"/>
        <v>12.4:24.8</v>
      </c>
      <c r="G46" s="6" t="str">
        <f t="shared" si="3"/>
        <v>13:25.9</v>
      </c>
      <c r="H46" s="7">
        <v>11.3</v>
      </c>
      <c r="I46" s="7">
        <v>22.6</v>
      </c>
      <c r="J46" s="7">
        <v>11.9</v>
      </c>
      <c r="K46" s="7">
        <v>23.7</v>
      </c>
      <c r="L46" s="7">
        <v>12.4</v>
      </c>
      <c r="M46" s="7">
        <v>24.8</v>
      </c>
      <c r="N46" s="7">
        <v>13</v>
      </c>
      <c r="O46" s="7">
        <v>25.9</v>
      </c>
    </row>
    <row r="47" s="1" customFormat="1" spans="1:15">
      <c r="A47" s="1">
        <v>1004</v>
      </c>
      <c r="B47" s="1">
        <v>20</v>
      </c>
      <c r="C47" s="2">
        <v>3</v>
      </c>
      <c r="D47" s="6" t="str">
        <f t="shared" si="0"/>
        <v>18:35.9</v>
      </c>
      <c r="E47" s="6" t="str">
        <f t="shared" si="1"/>
        <v>18.8:37.7</v>
      </c>
      <c r="F47" s="6" t="str">
        <f t="shared" si="2"/>
        <v>19.7:39.5</v>
      </c>
      <c r="G47" s="6" t="str">
        <f t="shared" si="3"/>
        <v>20.6:41.2</v>
      </c>
      <c r="H47" s="7">
        <v>18</v>
      </c>
      <c r="I47" s="7">
        <v>35.9</v>
      </c>
      <c r="J47" s="7">
        <v>18.8</v>
      </c>
      <c r="K47" s="7">
        <v>37.7</v>
      </c>
      <c r="L47" s="7">
        <v>19.7</v>
      </c>
      <c r="M47" s="7">
        <v>39.5</v>
      </c>
      <c r="N47" s="7">
        <v>20.6</v>
      </c>
      <c r="O47" s="7">
        <v>41.2</v>
      </c>
    </row>
    <row r="48" s="1" customFormat="1" spans="1:15">
      <c r="A48" s="1">
        <v>1005</v>
      </c>
      <c r="B48" s="1">
        <v>20</v>
      </c>
      <c r="C48" s="2">
        <v>27</v>
      </c>
      <c r="D48" s="6" t="str">
        <f t="shared" si="0"/>
        <v>11.3:22.6</v>
      </c>
      <c r="E48" s="6" t="str">
        <f t="shared" si="1"/>
        <v>11.9:23.7</v>
      </c>
      <c r="F48" s="6" t="str">
        <f t="shared" si="2"/>
        <v>12.4:24.8</v>
      </c>
      <c r="G48" s="6" t="str">
        <f t="shared" si="3"/>
        <v>13:25.9</v>
      </c>
      <c r="H48" s="7">
        <v>11.3</v>
      </c>
      <c r="I48" s="7">
        <v>22.6</v>
      </c>
      <c r="J48" s="7">
        <v>11.9</v>
      </c>
      <c r="K48" s="7">
        <v>23.7</v>
      </c>
      <c r="L48" s="7">
        <v>12.4</v>
      </c>
      <c r="M48" s="7">
        <v>24.8</v>
      </c>
      <c r="N48" s="7">
        <v>13</v>
      </c>
      <c r="O48" s="7">
        <v>25.9</v>
      </c>
    </row>
    <row r="49" s="1" customFormat="1" spans="1:15">
      <c r="A49" s="1">
        <v>1006</v>
      </c>
      <c r="B49" s="1">
        <v>20</v>
      </c>
      <c r="C49" s="2">
        <v>28</v>
      </c>
      <c r="D49" s="6" t="str">
        <f t="shared" si="0"/>
        <v>3.4:6.7</v>
      </c>
      <c r="E49" s="6" t="str">
        <f t="shared" si="1"/>
        <v>3.5:7</v>
      </c>
      <c r="F49" s="6" t="str">
        <f t="shared" si="2"/>
        <v>3.7:7.3</v>
      </c>
      <c r="G49" s="6" t="str">
        <f t="shared" si="3"/>
        <v>3.8:7.6</v>
      </c>
      <c r="H49" s="7">
        <v>3.4</v>
      </c>
      <c r="I49" s="7">
        <v>6.7</v>
      </c>
      <c r="J49" s="7">
        <v>3.5</v>
      </c>
      <c r="K49" s="7">
        <v>7</v>
      </c>
      <c r="L49" s="7">
        <v>3.7</v>
      </c>
      <c r="M49" s="7">
        <v>7.3</v>
      </c>
      <c r="N49" s="7">
        <v>3.8</v>
      </c>
      <c r="O49" s="7">
        <v>7.6</v>
      </c>
    </row>
    <row r="50" s="1" customFormat="1" spans="1:15">
      <c r="A50" s="1">
        <v>1007</v>
      </c>
      <c r="B50" s="1">
        <v>20</v>
      </c>
      <c r="C50" s="2">
        <v>7</v>
      </c>
      <c r="D50" s="6" t="str">
        <f t="shared" si="0"/>
        <v>6.7:13.3</v>
      </c>
      <c r="E50" s="6" t="str">
        <f t="shared" si="1"/>
        <v>7:14</v>
      </c>
      <c r="F50" s="6" t="str">
        <f t="shared" si="2"/>
        <v>7.3:14.7</v>
      </c>
      <c r="G50" s="6" t="str">
        <f t="shared" si="3"/>
        <v>7.6:15.4</v>
      </c>
      <c r="H50" s="7">
        <v>6.7</v>
      </c>
      <c r="I50" s="7">
        <v>13.3</v>
      </c>
      <c r="J50" s="7">
        <v>7</v>
      </c>
      <c r="K50" s="7">
        <v>14</v>
      </c>
      <c r="L50" s="7">
        <v>7.3</v>
      </c>
      <c r="M50" s="7">
        <v>14.7</v>
      </c>
      <c r="N50" s="7">
        <v>7.6</v>
      </c>
      <c r="O50" s="7">
        <v>15.4</v>
      </c>
    </row>
    <row r="51" s="1" customFormat="1" spans="1:15">
      <c r="A51" s="1">
        <v>1008</v>
      </c>
      <c r="B51" s="1">
        <v>20</v>
      </c>
      <c r="C51" s="2">
        <v>5</v>
      </c>
      <c r="D51" s="6" t="str">
        <f t="shared" si="0"/>
        <v>6.7:13.3</v>
      </c>
      <c r="E51" s="6" t="str">
        <f t="shared" si="1"/>
        <v>7:14</v>
      </c>
      <c r="F51" s="6" t="str">
        <f t="shared" si="2"/>
        <v>7.3:14.7</v>
      </c>
      <c r="G51" s="6" t="str">
        <f t="shared" si="3"/>
        <v>7.6:15.4</v>
      </c>
      <c r="H51" s="7">
        <v>6.7</v>
      </c>
      <c r="I51" s="7">
        <v>13.3</v>
      </c>
      <c r="J51" s="7">
        <v>7</v>
      </c>
      <c r="K51" s="7">
        <v>14</v>
      </c>
      <c r="L51" s="7">
        <v>7.3</v>
      </c>
      <c r="M51" s="7">
        <v>14.7</v>
      </c>
      <c r="N51" s="7">
        <v>7.6</v>
      </c>
      <c r="O51" s="7">
        <v>15.4</v>
      </c>
    </row>
    <row r="52" s="1" customFormat="1" spans="1:15">
      <c r="A52" s="1">
        <v>1009</v>
      </c>
      <c r="B52" s="1">
        <v>20</v>
      </c>
      <c r="C52" s="2">
        <v>12</v>
      </c>
      <c r="D52" s="6" t="str">
        <f t="shared" si="0"/>
        <v>1.3:2.7</v>
      </c>
      <c r="E52" s="6" t="str">
        <f t="shared" si="1"/>
        <v>1.4:2.8</v>
      </c>
      <c r="F52" s="6" t="str">
        <f t="shared" si="2"/>
        <v>1.5:2.9</v>
      </c>
      <c r="G52" s="6" t="str">
        <f t="shared" si="3"/>
        <v>1.5:3.1</v>
      </c>
      <c r="H52" s="7">
        <v>1.3</v>
      </c>
      <c r="I52" s="7">
        <v>2.7</v>
      </c>
      <c r="J52" s="7">
        <v>1.4</v>
      </c>
      <c r="K52" s="7">
        <v>2.8</v>
      </c>
      <c r="L52" s="7">
        <v>1.5</v>
      </c>
      <c r="M52" s="7">
        <v>2.9</v>
      </c>
      <c r="N52" s="7">
        <v>1.5</v>
      </c>
      <c r="O52" s="7">
        <v>3.1</v>
      </c>
    </row>
    <row r="53" s="1" customFormat="1" spans="1:15">
      <c r="A53" s="1">
        <v>1010</v>
      </c>
      <c r="B53" s="1">
        <v>20</v>
      </c>
      <c r="C53" s="2">
        <v>13</v>
      </c>
      <c r="D53" s="6" t="str">
        <f t="shared" si="0"/>
        <v>6.7:13.3</v>
      </c>
      <c r="E53" s="6" t="str">
        <f t="shared" si="1"/>
        <v>7:14</v>
      </c>
      <c r="F53" s="6" t="str">
        <f t="shared" si="2"/>
        <v>7.3:14.7</v>
      </c>
      <c r="G53" s="6" t="str">
        <f t="shared" si="3"/>
        <v>7.6:15.4</v>
      </c>
      <c r="H53" s="7">
        <v>6.7</v>
      </c>
      <c r="I53" s="7">
        <v>13.3</v>
      </c>
      <c r="J53" s="7">
        <v>7</v>
      </c>
      <c r="K53" s="7">
        <v>14</v>
      </c>
      <c r="L53" s="7">
        <v>7.3</v>
      </c>
      <c r="M53" s="7">
        <v>14.7</v>
      </c>
      <c r="N53" s="7">
        <v>7.6</v>
      </c>
      <c r="O53" s="7">
        <v>15.4</v>
      </c>
    </row>
    <row r="54" s="1" customFormat="1" spans="1:15">
      <c r="A54" s="1">
        <v>1001</v>
      </c>
      <c r="B54" s="1">
        <v>25</v>
      </c>
      <c r="C54" s="2">
        <v>1</v>
      </c>
      <c r="D54" s="6" t="str">
        <f t="shared" si="0"/>
        <v>166.6:333.3</v>
      </c>
      <c r="E54" s="6" t="str">
        <f t="shared" si="1"/>
        <v>175:349.9</v>
      </c>
      <c r="F54" s="6" t="str">
        <f t="shared" si="2"/>
        <v>183.3:366.6</v>
      </c>
      <c r="G54" s="6" t="str">
        <f t="shared" si="3"/>
        <v>191.7:383.3</v>
      </c>
      <c r="H54" s="7">
        <v>166.6</v>
      </c>
      <c r="I54" s="7">
        <v>333.3</v>
      </c>
      <c r="J54" s="7">
        <v>175</v>
      </c>
      <c r="K54" s="7">
        <v>349.9</v>
      </c>
      <c r="L54" s="7">
        <v>183.3</v>
      </c>
      <c r="M54" s="7">
        <v>366.6</v>
      </c>
      <c r="N54" s="7">
        <v>191.7</v>
      </c>
      <c r="O54" s="7">
        <v>383.3</v>
      </c>
    </row>
    <row r="55" s="1" customFormat="1" spans="1:15">
      <c r="A55" s="1">
        <v>1002</v>
      </c>
      <c r="B55" s="1">
        <v>25</v>
      </c>
      <c r="C55" s="2">
        <v>2</v>
      </c>
      <c r="D55" s="6" t="str">
        <f t="shared" si="0"/>
        <v>21:42.1</v>
      </c>
      <c r="E55" s="6" t="str">
        <f t="shared" si="1"/>
        <v>22.1:44.2</v>
      </c>
      <c r="F55" s="6" t="str">
        <f t="shared" si="2"/>
        <v>23.1:46.3</v>
      </c>
      <c r="G55" s="6" t="str">
        <f t="shared" si="3"/>
        <v>24.2:48.4</v>
      </c>
      <c r="H55" s="7">
        <v>21</v>
      </c>
      <c r="I55" s="7">
        <v>42.1</v>
      </c>
      <c r="J55" s="7">
        <v>22.1</v>
      </c>
      <c r="K55" s="7">
        <v>44.2</v>
      </c>
      <c r="L55" s="7">
        <v>23.1</v>
      </c>
      <c r="M55" s="7">
        <v>46.3</v>
      </c>
      <c r="N55" s="7">
        <v>24.2</v>
      </c>
      <c r="O55" s="7">
        <v>48.4</v>
      </c>
    </row>
    <row r="56" s="1" customFormat="1" spans="1:15">
      <c r="A56" s="1">
        <v>1003</v>
      </c>
      <c r="B56" s="1">
        <v>25</v>
      </c>
      <c r="C56" s="2">
        <v>4</v>
      </c>
      <c r="D56" s="6" t="str">
        <f t="shared" si="0"/>
        <v>13.2:26.5</v>
      </c>
      <c r="E56" s="6" t="str">
        <f t="shared" si="1"/>
        <v>13.9:27.8</v>
      </c>
      <c r="F56" s="6" t="str">
        <f t="shared" si="2"/>
        <v>14.6:29.1</v>
      </c>
      <c r="G56" s="6" t="str">
        <f t="shared" si="3"/>
        <v>15.2:30.4</v>
      </c>
      <c r="H56" s="7">
        <v>13.2</v>
      </c>
      <c r="I56" s="7">
        <v>26.5</v>
      </c>
      <c r="J56" s="7">
        <v>13.9</v>
      </c>
      <c r="K56" s="7">
        <v>27.8</v>
      </c>
      <c r="L56" s="7">
        <v>14.6</v>
      </c>
      <c r="M56" s="7">
        <v>29.1</v>
      </c>
      <c r="N56" s="7">
        <v>15.2</v>
      </c>
      <c r="O56" s="7">
        <v>30.4</v>
      </c>
    </row>
    <row r="57" s="1" customFormat="1" spans="1:15">
      <c r="A57" s="1">
        <v>1004</v>
      </c>
      <c r="B57" s="1">
        <v>25</v>
      </c>
      <c r="C57" s="2">
        <v>3</v>
      </c>
      <c r="D57" s="6" t="str">
        <f t="shared" si="0"/>
        <v>21:42.1</v>
      </c>
      <c r="E57" s="6" t="str">
        <f t="shared" si="1"/>
        <v>22.1:44.2</v>
      </c>
      <c r="F57" s="6" t="str">
        <f t="shared" si="2"/>
        <v>23.1:46.3</v>
      </c>
      <c r="G57" s="6" t="str">
        <f t="shared" si="3"/>
        <v>24.2:48.4</v>
      </c>
      <c r="H57" s="7">
        <v>21</v>
      </c>
      <c r="I57" s="7">
        <v>42.1</v>
      </c>
      <c r="J57" s="7">
        <v>22.1</v>
      </c>
      <c r="K57" s="7">
        <v>44.2</v>
      </c>
      <c r="L57" s="7">
        <v>23.1</v>
      </c>
      <c r="M57" s="7">
        <v>46.3</v>
      </c>
      <c r="N57" s="7">
        <v>24.2</v>
      </c>
      <c r="O57" s="7">
        <v>48.4</v>
      </c>
    </row>
    <row r="58" s="1" customFormat="1" spans="1:15">
      <c r="A58" s="1">
        <v>1005</v>
      </c>
      <c r="B58" s="1">
        <v>25</v>
      </c>
      <c r="C58" s="2">
        <v>27</v>
      </c>
      <c r="D58" s="6" t="str">
        <f t="shared" si="0"/>
        <v>13.2:26.5</v>
      </c>
      <c r="E58" s="6" t="str">
        <f t="shared" si="1"/>
        <v>13.9:27.8</v>
      </c>
      <c r="F58" s="6" t="str">
        <f t="shared" si="2"/>
        <v>14.6:29.1</v>
      </c>
      <c r="G58" s="6" t="str">
        <f t="shared" si="3"/>
        <v>15.2:30.4</v>
      </c>
      <c r="H58" s="7">
        <v>13.2</v>
      </c>
      <c r="I58" s="7">
        <v>26.5</v>
      </c>
      <c r="J58" s="7">
        <v>13.9</v>
      </c>
      <c r="K58" s="7">
        <v>27.8</v>
      </c>
      <c r="L58" s="7">
        <v>14.6</v>
      </c>
      <c r="M58" s="7">
        <v>29.1</v>
      </c>
      <c r="N58" s="7">
        <v>15.2</v>
      </c>
      <c r="O58" s="7">
        <v>30.4</v>
      </c>
    </row>
    <row r="59" s="1" customFormat="1" spans="1:15">
      <c r="A59" s="1">
        <v>1006</v>
      </c>
      <c r="B59" s="1">
        <v>25</v>
      </c>
      <c r="C59" s="2">
        <v>28</v>
      </c>
      <c r="D59" s="6" t="str">
        <f t="shared" si="0"/>
        <v>4:7.8</v>
      </c>
      <c r="E59" s="6" t="str">
        <f t="shared" si="1"/>
        <v>4.1:8.2</v>
      </c>
      <c r="F59" s="6" t="str">
        <f t="shared" si="2"/>
        <v>4.3:8.6</v>
      </c>
      <c r="G59" s="6" t="str">
        <f t="shared" si="3"/>
        <v>4.5:8.9</v>
      </c>
      <c r="H59" s="7">
        <v>4</v>
      </c>
      <c r="I59" s="7">
        <v>7.8</v>
      </c>
      <c r="J59" s="7">
        <v>4.1</v>
      </c>
      <c r="K59" s="7">
        <v>8.2</v>
      </c>
      <c r="L59" s="7">
        <v>4.3</v>
      </c>
      <c r="M59" s="7">
        <v>8.6</v>
      </c>
      <c r="N59" s="7">
        <v>4.5</v>
      </c>
      <c r="O59" s="7">
        <v>8.9</v>
      </c>
    </row>
    <row r="60" s="1" customFormat="1" spans="1:15">
      <c r="A60" s="1">
        <v>1007</v>
      </c>
      <c r="B60" s="1">
        <v>25</v>
      </c>
      <c r="C60" s="2">
        <v>7</v>
      </c>
      <c r="D60" s="6" t="str">
        <f t="shared" si="0"/>
        <v>7.8:15.6</v>
      </c>
      <c r="E60" s="6" t="str">
        <f t="shared" si="1"/>
        <v>8.2:16.4</v>
      </c>
      <c r="F60" s="6" t="str">
        <f t="shared" si="2"/>
        <v>8.6:17.2</v>
      </c>
      <c r="G60" s="6" t="str">
        <f t="shared" si="3"/>
        <v>8.9:18</v>
      </c>
      <c r="H60" s="7">
        <v>7.8</v>
      </c>
      <c r="I60" s="7">
        <v>15.6</v>
      </c>
      <c r="J60" s="7">
        <v>8.2</v>
      </c>
      <c r="K60" s="7">
        <v>16.4</v>
      </c>
      <c r="L60" s="7">
        <v>8.6</v>
      </c>
      <c r="M60" s="7">
        <v>17.2</v>
      </c>
      <c r="N60" s="7">
        <v>8.9</v>
      </c>
      <c r="O60" s="7">
        <v>18</v>
      </c>
    </row>
    <row r="61" s="1" customFormat="1" spans="1:15">
      <c r="A61" s="1">
        <v>1008</v>
      </c>
      <c r="B61" s="1">
        <v>25</v>
      </c>
      <c r="C61" s="2">
        <v>5</v>
      </c>
      <c r="D61" s="6" t="str">
        <f t="shared" si="0"/>
        <v>7.8:15.6</v>
      </c>
      <c r="E61" s="6" t="str">
        <f t="shared" si="1"/>
        <v>8.2:16.4</v>
      </c>
      <c r="F61" s="6" t="str">
        <f t="shared" si="2"/>
        <v>8.6:17.2</v>
      </c>
      <c r="G61" s="6" t="str">
        <f t="shared" si="3"/>
        <v>8.9:18</v>
      </c>
      <c r="H61" s="7">
        <v>7.8</v>
      </c>
      <c r="I61" s="7">
        <v>15.6</v>
      </c>
      <c r="J61" s="7">
        <v>8.2</v>
      </c>
      <c r="K61" s="7">
        <v>16.4</v>
      </c>
      <c r="L61" s="7">
        <v>8.6</v>
      </c>
      <c r="M61" s="7">
        <v>17.2</v>
      </c>
      <c r="N61" s="7">
        <v>8.9</v>
      </c>
      <c r="O61" s="7">
        <v>18</v>
      </c>
    </row>
    <row r="62" s="1" customFormat="1" spans="1:15">
      <c r="A62" s="1">
        <v>1009</v>
      </c>
      <c r="B62" s="1">
        <v>25</v>
      </c>
      <c r="C62" s="2">
        <v>12</v>
      </c>
      <c r="D62" s="6" t="str">
        <f t="shared" si="0"/>
        <v>1.6:3.1</v>
      </c>
      <c r="E62" s="6" t="str">
        <f t="shared" si="1"/>
        <v>1.6:3.3</v>
      </c>
      <c r="F62" s="6" t="str">
        <f t="shared" si="2"/>
        <v>1.7:3.4</v>
      </c>
      <c r="G62" s="6" t="str">
        <f t="shared" si="3"/>
        <v>1.8:3.6</v>
      </c>
      <c r="H62" s="7">
        <v>1.6</v>
      </c>
      <c r="I62" s="7">
        <v>3.1</v>
      </c>
      <c r="J62" s="7">
        <v>1.6</v>
      </c>
      <c r="K62" s="7">
        <v>3.3</v>
      </c>
      <c r="L62" s="7">
        <v>1.7</v>
      </c>
      <c r="M62" s="7">
        <v>3.4</v>
      </c>
      <c r="N62" s="7">
        <v>1.8</v>
      </c>
      <c r="O62" s="7">
        <v>3.6</v>
      </c>
    </row>
    <row r="63" s="1" customFormat="1" spans="1:15">
      <c r="A63" s="1">
        <v>1010</v>
      </c>
      <c r="B63" s="1">
        <v>25</v>
      </c>
      <c r="C63" s="2">
        <v>13</v>
      </c>
      <c r="D63" s="6" t="str">
        <f t="shared" si="0"/>
        <v>7.8:15.6</v>
      </c>
      <c r="E63" s="6" t="str">
        <f t="shared" si="1"/>
        <v>8.2:16.4</v>
      </c>
      <c r="F63" s="6" t="str">
        <f t="shared" si="2"/>
        <v>8.6:17.2</v>
      </c>
      <c r="G63" s="6" t="str">
        <f t="shared" si="3"/>
        <v>8.9:18</v>
      </c>
      <c r="H63" s="7">
        <v>7.8</v>
      </c>
      <c r="I63" s="7">
        <v>15.6</v>
      </c>
      <c r="J63" s="7">
        <v>8.2</v>
      </c>
      <c r="K63" s="7">
        <v>16.4</v>
      </c>
      <c r="L63" s="7">
        <v>8.6</v>
      </c>
      <c r="M63" s="7">
        <v>17.2</v>
      </c>
      <c r="N63" s="7">
        <v>8.9</v>
      </c>
      <c r="O63" s="7">
        <v>18</v>
      </c>
    </row>
    <row r="64" s="1" customFormat="1" spans="1:15">
      <c r="A64" s="1">
        <v>1001</v>
      </c>
      <c r="B64" s="1">
        <v>30</v>
      </c>
      <c r="C64" s="2">
        <v>1</v>
      </c>
      <c r="D64" s="6" t="str">
        <f t="shared" si="0"/>
        <v>191.1:382.3</v>
      </c>
      <c r="E64" s="6" t="str">
        <f t="shared" si="1"/>
        <v>200.7:401.4</v>
      </c>
      <c r="F64" s="6" t="str">
        <f t="shared" si="2"/>
        <v>210.3:420.5</v>
      </c>
      <c r="G64" s="6" t="str">
        <f t="shared" si="3"/>
        <v>219.9:439.6</v>
      </c>
      <c r="H64" s="7">
        <v>191.1</v>
      </c>
      <c r="I64" s="7">
        <v>382.3</v>
      </c>
      <c r="J64" s="7">
        <v>200.7</v>
      </c>
      <c r="K64" s="7">
        <v>401.4</v>
      </c>
      <c r="L64" s="7">
        <v>210.3</v>
      </c>
      <c r="M64" s="7">
        <v>420.5</v>
      </c>
      <c r="N64" s="7">
        <v>219.9</v>
      </c>
      <c r="O64" s="7">
        <v>439.6</v>
      </c>
    </row>
    <row r="65" s="1" customFormat="1" spans="1:15">
      <c r="A65" s="1">
        <v>1002</v>
      </c>
      <c r="B65" s="1">
        <v>30</v>
      </c>
      <c r="C65" s="2">
        <v>2</v>
      </c>
      <c r="D65" s="6" t="str">
        <f t="shared" si="0"/>
        <v>24.1:48.3</v>
      </c>
      <c r="E65" s="6" t="str">
        <f t="shared" si="1"/>
        <v>25.3:50.7</v>
      </c>
      <c r="F65" s="6" t="str">
        <f t="shared" si="2"/>
        <v>26.5:53.1</v>
      </c>
      <c r="G65" s="6" t="str">
        <f t="shared" si="3"/>
        <v>27.7:55.5</v>
      </c>
      <c r="H65" s="7">
        <v>24.1</v>
      </c>
      <c r="I65" s="7">
        <v>48.3</v>
      </c>
      <c r="J65" s="7">
        <v>25.3</v>
      </c>
      <c r="K65" s="7">
        <v>50.7</v>
      </c>
      <c r="L65" s="7">
        <v>26.5</v>
      </c>
      <c r="M65" s="7">
        <v>53.1</v>
      </c>
      <c r="N65" s="7">
        <v>27.7</v>
      </c>
      <c r="O65" s="7">
        <v>55.5</v>
      </c>
    </row>
    <row r="66" s="1" customFormat="1" spans="1:15">
      <c r="A66" s="1">
        <v>1003</v>
      </c>
      <c r="B66" s="1">
        <v>30</v>
      </c>
      <c r="C66" s="2">
        <v>4</v>
      </c>
      <c r="D66" s="6" t="str">
        <f t="shared" si="0"/>
        <v>15.2:30.3</v>
      </c>
      <c r="E66" s="6" t="str">
        <f t="shared" si="1"/>
        <v>15.9:31.9</v>
      </c>
      <c r="F66" s="6" t="str">
        <f t="shared" si="2"/>
        <v>16.7:33.4</v>
      </c>
      <c r="G66" s="6" t="str">
        <f t="shared" si="3"/>
        <v>17.5:34.8</v>
      </c>
      <c r="H66" s="7">
        <v>15.2</v>
      </c>
      <c r="I66" s="7">
        <v>30.3</v>
      </c>
      <c r="J66" s="7">
        <v>15.9</v>
      </c>
      <c r="K66" s="7">
        <v>31.9</v>
      </c>
      <c r="L66" s="7">
        <v>16.7</v>
      </c>
      <c r="M66" s="7">
        <v>33.4</v>
      </c>
      <c r="N66" s="7">
        <v>17.5</v>
      </c>
      <c r="O66" s="7">
        <v>34.8</v>
      </c>
    </row>
    <row r="67" s="1" customFormat="1" spans="1:15">
      <c r="A67" s="1">
        <v>1004</v>
      </c>
      <c r="B67" s="1">
        <v>30</v>
      </c>
      <c r="C67" s="2">
        <v>3</v>
      </c>
      <c r="D67" s="6" t="str">
        <f t="shared" si="0"/>
        <v>24.1:48.3</v>
      </c>
      <c r="E67" s="6" t="str">
        <f t="shared" si="1"/>
        <v>25.3:50.7</v>
      </c>
      <c r="F67" s="6" t="str">
        <f t="shared" si="2"/>
        <v>26.5:53.1</v>
      </c>
      <c r="G67" s="6" t="str">
        <f t="shared" si="3"/>
        <v>27.7:55.5</v>
      </c>
      <c r="H67" s="7">
        <v>24.1</v>
      </c>
      <c r="I67" s="7">
        <v>48.3</v>
      </c>
      <c r="J67" s="7">
        <v>25.3</v>
      </c>
      <c r="K67" s="7">
        <v>50.7</v>
      </c>
      <c r="L67" s="7">
        <v>26.5</v>
      </c>
      <c r="M67" s="7">
        <v>53.1</v>
      </c>
      <c r="N67" s="7">
        <v>27.7</v>
      </c>
      <c r="O67" s="7">
        <v>55.5</v>
      </c>
    </row>
    <row r="68" s="1" customFormat="1" spans="1:15">
      <c r="A68" s="1">
        <v>1005</v>
      </c>
      <c r="B68" s="1">
        <v>30</v>
      </c>
      <c r="C68" s="2">
        <v>27</v>
      </c>
      <c r="D68" s="6" t="str">
        <f t="shared" ref="D68:D131" si="7">H68&amp;":"&amp;I68</f>
        <v>15.2:30.3</v>
      </c>
      <c r="E68" s="6" t="str">
        <f t="shared" ref="E68:E131" si="8">J68&amp;":"&amp;K68</f>
        <v>15.9:31.9</v>
      </c>
      <c r="F68" s="6" t="str">
        <f t="shared" ref="F68:F131" si="9">L68&amp;":"&amp;M68</f>
        <v>16.7:33.4</v>
      </c>
      <c r="G68" s="6" t="str">
        <f t="shared" ref="G68:G131" si="10">N68&amp;":"&amp;O68</f>
        <v>17.5:34.8</v>
      </c>
      <c r="H68" s="7">
        <v>15.2</v>
      </c>
      <c r="I68" s="7">
        <v>30.3</v>
      </c>
      <c r="J68" s="7">
        <v>15.9</v>
      </c>
      <c r="K68" s="7">
        <v>31.9</v>
      </c>
      <c r="L68" s="7">
        <v>16.7</v>
      </c>
      <c r="M68" s="7">
        <v>33.4</v>
      </c>
      <c r="N68" s="7">
        <v>17.5</v>
      </c>
      <c r="O68" s="7">
        <v>34.8</v>
      </c>
    </row>
    <row r="69" s="1" customFormat="1" spans="1:15">
      <c r="A69" s="1">
        <v>1006</v>
      </c>
      <c r="B69" s="1">
        <v>30</v>
      </c>
      <c r="C69" s="2">
        <v>28</v>
      </c>
      <c r="D69" s="6" t="str">
        <f t="shared" si="7"/>
        <v>4.5:9</v>
      </c>
      <c r="E69" s="6" t="str">
        <f t="shared" si="8"/>
        <v>4.7:9.4</v>
      </c>
      <c r="F69" s="6" t="str">
        <f t="shared" si="9"/>
        <v>5:9.8</v>
      </c>
      <c r="G69" s="6" t="str">
        <f t="shared" si="10"/>
        <v>5.1:10.3</v>
      </c>
      <c r="H69" s="7">
        <v>4.5</v>
      </c>
      <c r="I69" s="7">
        <v>9</v>
      </c>
      <c r="J69" s="7">
        <v>4.7</v>
      </c>
      <c r="K69" s="7">
        <v>9.4</v>
      </c>
      <c r="L69" s="7">
        <v>5</v>
      </c>
      <c r="M69" s="7">
        <v>9.8</v>
      </c>
      <c r="N69" s="7">
        <v>5.1</v>
      </c>
      <c r="O69" s="7">
        <v>10.3</v>
      </c>
    </row>
    <row r="70" s="1" customFormat="1" spans="1:15">
      <c r="A70" s="1">
        <v>1007</v>
      </c>
      <c r="B70" s="1">
        <v>30</v>
      </c>
      <c r="C70" s="2">
        <v>7</v>
      </c>
      <c r="D70" s="6" t="str">
        <f t="shared" si="7"/>
        <v>9:17.9</v>
      </c>
      <c r="E70" s="6" t="str">
        <f t="shared" si="8"/>
        <v>9.4:18.8</v>
      </c>
      <c r="F70" s="6" t="str">
        <f t="shared" si="9"/>
        <v>9.8:19.8</v>
      </c>
      <c r="G70" s="6" t="str">
        <f t="shared" si="10"/>
        <v>10.3:20.6</v>
      </c>
      <c r="H70" s="7">
        <v>9</v>
      </c>
      <c r="I70" s="7">
        <v>17.9</v>
      </c>
      <c r="J70" s="7">
        <v>9.4</v>
      </c>
      <c r="K70" s="7">
        <v>18.8</v>
      </c>
      <c r="L70" s="7">
        <v>9.8</v>
      </c>
      <c r="M70" s="7">
        <v>19.8</v>
      </c>
      <c r="N70" s="7">
        <v>10.3</v>
      </c>
      <c r="O70" s="7">
        <v>20.6</v>
      </c>
    </row>
    <row r="71" s="1" customFormat="1" spans="1:15">
      <c r="A71" s="1">
        <v>1008</v>
      </c>
      <c r="B71" s="1">
        <v>30</v>
      </c>
      <c r="C71" s="2">
        <v>5</v>
      </c>
      <c r="D71" s="6" t="str">
        <f t="shared" si="7"/>
        <v>9:17.9</v>
      </c>
      <c r="E71" s="6" t="str">
        <f t="shared" si="8"/>
        <v>9.4:18.8</v>
      </c>
      <c r="F71" s="6" t="str">
        <f t="shared" si="9"/>
        <v>9.8:19.8</v>
      </c>
      <c r="G71" s="6" t="str">
        <f t="shared" si="10"/>
        <v>10.3:20.6</v>
      </c>
      <c r="H71" s="7">
        <v>9</v>
      </c>
      <c r="I71" s="7">
        <v>17.9</v>
      </c>
      <c r="J71" s="7">
        <v>9.4</v>
      </c>
      <c r="K71" s="7">
        <v>18.8</v>
      </c>
      <c r="L71" s="7">
        <v>9.8</v>
      </c>
      <c r="M71" s="7">
        <v>19.8</v>
      </c>
      <c r="N71" s="7">
        <v>10.3</v>
      </c>
      <c r="O71" s="7">
        <v>20.6</v>
      </c>
    </row>
    <row r="72" s="1" customFormat="1" spans="1:15">
      <c r="A72" s="1">
        <v>1009</v>
      </c>
      <c r="B72" s="1">
        <v>30</v>
      </c>
      <c r="C72" s="2">
        <v>12</v>
      </c>
      <c r="D72" s="6" t="str">
        <f t="shared" si="7"/>
        <v>1.8:3.6</v>
      </c>
      <c r="E72" s="6" t="str">
        <f t="shared" si="8"/>
        <v>1.9:3.8</v>
      </c>
      <c r="F72" s="6" t="str">
        <f t="shared" si="9"/>
        <v>2:4</v>
      </c>
      <c r="G72" s="6" t="str">
        <f t="shared" si="10"/>
        <v>2.1:4.1</v>
      </c>
      <c r="H72" s="7">
        <v>1.8</v>
      </c>
      <c r="I72" s="7">
        <v>3.6</v>
      </c>
      <c r="J72" s="7">
        <v>1.9</v>
      </c>
      <c r="K72" s="7">
        <v>3.8</v>
      </c>
      <c r="L72" s="7">
        <v>2</v>
      </c>
      <c r="M72" s="7">
        <v>4</v>
      </c>
      <c r="N72" s="7">
        <v>2.1</v>
      </c>
      <c r="O72" s="7">
        <v>4.1</v>
      </c>
    </row>
    <row r="73" s="1" customFormat="1" spans="1:15">
      <c r="A73" s="1">
        <v>1010</v>
      </c>
      <c r="B73" s="1">
        <v>30</v>
      </c>
      <c r="C73" s="2">
        <v>13</v>
      </c>
      <c r="D73" s="6" t="str">
        <f t="shared" si="7"/>
        <v>9:17.9</v>
      </c>
      <c r="E73" s="6" t="str">
        <f t="shared" si="8"/>
        <v>9.4:18.8</v>
      </c>
      <c r="F73" s="6" t="str">
        <f t="shared" si="9"/>
        <v>9.8:19.8</v>
      </c>
      <c r="G73" s="6" t="str">
        <f t="shared" si="10"/>
        <v>10.3:20.6</v>
      </c>
      <c r="H73" s="7">
        <v>9</v>
      </c>
      <c r="I73" s="7">
        <v>17.9</v>
      </c>
      <c r="J73" s="7">
        <v>9.4</v>
      </c>
      <c r="K73" s="7">
        <v>18.8</v>
      </c>
      <c r="L73" s="7">
        <v>9.8</v>
      </c>
      <c r="M73" s="7">
        <v>19.8</v>
      </c>
      <c r="N73" s="7">
        <v>10.3</v>
      </c>
      <c r="O73" s="7">
        <v>20.6</v>
      </c>
    </row>
    <row r="74" s="1" customFormat="1" spans="1:15">
      <c r="A74" s="1">
        <v>1001</v>
      </c>
      <c r="B74" s="1">
        <v>45</v>
      </c>
      <c r="C74" s="2">
        <v>1</v>
      </c>
      <c r="D74" s="6" t="str">
        <f t="shared" si="7"/>
        <v>264.7:529.3</v>
      </c>
      <c r="E74" s="6" t="str">
        <f t="shared" si="8"/>
        <v>277.9:555.8</v>
      </c>
      <c r="F74" s="6" t="str">
        <f t="shared" si="9"/>
        <v>291.1:582.2</v>
      </c>
      <c r="G74" s="6" t="str">
        <f t="shared" si="10"/>
        <v>304.4:608.7</v>
      </c>
      <c r="H74" s="7">
        <v>264.7</v>
      </c>
      <c r="I74" s="7">
        <v>529.3</v>
      </c>
      <c r="J74" s="7">
        <v>277.9</v>
      </c>
      <c r="K74" s="7">
        <v>555.8</v>
      </c>
      <c r="L74" s="7">
        <v>291.1</v>
      </c>
      <c r="M74" s="7">
        <v>582.2</v>
      </c>
      <c r="N74" s="7">
        <v>304.4</v>
      </c>
      <c r="O74" s="7">
        <v>608.7</v>
      </c>
    </row>
    <row r="75" s="1" customFormat="1" spans="1:15">
      <c r="A75" s="1">
        <v>1002</v>
      </c>
      <c r="B75" s="1">
        <v>45</v>
      </c>
      <c r="C75" s="2">
        <v>2</v>
      </c>
      <c r="D75" s="6" t="str">
        <f t="shared" si="7"/>
        <v>33.4:66.8</v>
      </c>
      <c r="E75" s="6" t="str">
        <f t="shared" si="8"/>
        <v>35.1:70.2</v>
      </c>
      <c r="F75" s="6" t="str">
        <f t="shared" si="9"/>
        <v>36.7:73.5</v>
      </c>
      <c r="G75" s="6" t="str">
        <f t="shared" si="10"/>
        <v>38.4:76.8</v>
      </c>
      <c r="H75" s="7">
        <v>33.4</v>
      </c>
      <c r="I75" s="7">
        <v>66.8</v>
      </c>
      <c r="J75" s="7">
        <v>35.1</v>
      </c>
      <c r="K75" s="7">
        <v>70.2</v>
      </c>
      <c r="L75" s="7">
        <v>36.7</v>
      </c>
      <c r="M75" s="7">
        <v>73.5</v>
      </c>
      <c r="N75" s="7">
        <v>38.4</v>
      </c>
      <c r="O75" s="7">
        <v>76.8</v>
      </c>
    </row>
    <row r="76" s="1" customFormat="1" spans="1:15">
      <c r="A76" s="1">
        <v>1003</v>
      </c>
      <c r="B76" s="1">
        <v>45</v>
      </c>
      <c r="C76" s="2">
        <v>4</v>
      </c>
      <c r="D76" s="6" t="str">
        <f t="shared" si="7"/>
        <v>21:42</v>
      </c>
      <c r="E76" s="6" t="str">
        <f t="shared" si="8"/>
        <v>22.1:44.1</v>
      </c>
      <c r="F76" s="6" t="str">
        <f t="shared" si="9"/>
        <v>23.1:46.2</v>
      </c>
      <c r="G76" s="6" t="str">
        <f t="shared" si="10"/>
        <v>24.2:48.2</v>
      </c>
      <c r="H76" s="7">
        <v>21</v>
      </c>
      <c r="I76" s="7">
        <v>42</v>
      </c>
      <c r="J76" s="7">
        <v>22.1</v>
      </c>
      <c r="K76" s="7">
        <v>44.1</v>
      </c>
      <c r="L76" s="7">
        <v>23.1</v>
      </c>
      <c r="M76" s="7">
        <v>46.2</v>
      </c>
      <c r="N76" s="7">
        <v>24.2</v>
      </c>
      <c r="O76" s="7">
        <v>48.2</v>
      </c>
    </row>
    <row r="77" s="1" customFormat="1" spans="1:15">
      <c r="A77" s="1">
        <v>1004</v>
      </c>
      <c r="B77" s="1">
        <v>45</v>
      </c>
      <c r="C77" s="2">
        <v>3</v>
      </c>
      <c r="D77" s="6" t="str">
        <f t="shared" si="7"/>
        <v>33.4:66.8</v>
      </c>
      <c r="E77" s="6" t="str">
        <f t="shared" si="8"/>
        <v>35.1:70.2</v>
      </c>
      <c r="F77" s="6" t="str">
        <f t="shared" si="9"/>
        <v>36.7:73.5</v>
      </c>
      <c r="G77" s="6" t="str">
        <f t="shared" si="10"/>
        <v>38.4:76.8</v>
      </c>
      <c r="H77" s="7">
        <v>33.4</v>
      </c>
      <c r="I77" s="7">
        <v>66.8</v>
      </c>
      <c r="J77" s="7">
        <v>35.1</v>
      </c>
      <c r="K77" s="7">
        <v>70.2</v>
      </c>
      <c r="L77" s="7">
        <v>36.7</v>
      </c>
      <c r="M77" s="7">
        <v>73.5</v>
      </c>
      <c r="N77" s="7">
        <v>38.4</v>
      </c>
      <c r="O77" s="7">
        <v>76.8</v>
      </c>
    </row>
    <row r="78" s="1" customFormat="1" spans="1:15">
      <c r="A78" s="1">
        <v>1005</v>
      </c>
      <c r="B78" s="1">
        <v>45</v>
      </c>
      <c r="C78" s="2">
        <v>27</v>
      </c>
      <c r="D78" s="6" t="str">
        <f t="shared" si="7"/>
        <v>21:42</v>
      </c>
      <c r="E78" s="6" t="str">
        <f t="shared" si="8"/>
        <v>22.1:44.1</v>
      </c>
      <c r="F78" s="6" t="str">
        <f t="shared" si="9"/>
        <v>23.1:46.2</v>
      </c>
      <c r="G78" s="6" t="str">
        <f t="shared" si="10"/>
        <v>24.2:48.2</v>
      </c>
      <c r="H78" s="7">
        <v>21</v>
      </c>
      <c r="I78" s="7">
        <v>42</v>
      </c>
      <c r="J78" s="7">
        <v>22.1</v>
      </c>
      <c r="K78" s="7">
        <v>44.1</v>
      </c>
      <c r="L78" s="7">
        <v>23.1</v>
      </c>
      <c r="M78" s="7">
        <v>46.2</v>
      </c>
      <c r="N78" s="7">
        <v>24.2</v>
      </c>
      <c r="O78" s="7">
        <v>48.2</v>
      </c>
    </row>
    <row r="79" s="1" customFormat="1" spans="1:15">
      <c r="A79" s="1">
        <v>1006</v>
      </c>
      <c r="B79" s="1">
        <v>45</v>
      </c>
      <c r="C79" s="2">
        <v>28</v>
      </c>
      <c r="D79" s="6" t="str">
        <f t="shared" si="7"/>
        <v>6.3:12.4</v>
      </c>
      <c r="E79" s="6" t="str">
        <f t="shared" si="8"/>
        <v>6.5:13</v>
      </c>
      <c r="F79" s="6" t="str">
        <f t="shared" si="9"/>
        <v>6.9:13.6</v>
      </c>
      <c r="G79" s="6" t="str">
        <f t="shared" si="10"/>
        <v>7.1:14.2</v>
      </c>
      <c r="H79" s="7">
        <v>6.3</v>
      </c>
      <c r="I79" s="7">
        <v>12.4</v>
      </c>
      <c r="J79" s="7">
        <v>6.5</v>
      </c>
      <c r="K79" s="7">
        <v>13</v>
      </c>
      <c r="L79" s="7">
        <v>6.9</v>
      </c>
      <c r="M79" s="7">
        <v>13.6</v>
      </c>
      <c r="N79" s="7">
        <v>7.1</v>
      </c>
      <c r="O79" s="7">
        <v>14.2</v>
      </c>
    </row>
    <row r="80" s="1" customFormat="1" spans="1:15">
      <c r="A80" s="1">
        <v>1007</v>
      </c>
      <c r="B80" s="1">
        <v>45</v>
      </c>
      <c r="C80" s="2">
        <v>7</v>
      </c>
      <c r="D80" s="6" t="str">
        <f t="shared" si="7"/>
        <v>12.4:24.8</v>
      </c>
      <c r="E80" s="6" t="str">
        <f t="shared" si="8"/>
        <v>13:26.1</v>
      </c>
      <c r="F80" s="6" t="str">
        <f t="shared" si="9"/>
        <v>13.6:27.4</v>
      </c>
      <c r="G80" s="6" t="str">
        <f t="shared" si="10"/>
        <v>14.2:28.6</v>
      </c>
      <c r="H80" s="7">
        <v>12.4</v>
      </c>
      <c r="I80" s="7">
        <v>24.8</v>
      </c>
      <c r="J80" s="7">
        <v>13</v>
      </c>
      <c r="K80" s="7">
        <v>26.1</v>
      </c>
      <c r="L80" s="7">
        <v>13.6</v>
      </c>
      <c r="M80" s="7">
        <v>27.4</v>
      </c>
      <c r="N80" s="7">
        <v>14.2</v>
      </c>
      <c r="O80" s="7">
        <v>28.6</v>
      </c>
    </row>
    <row r="81" s="1" customFormat="1" spans="1:15">
      <c r="A81" s="1">
        <v>1008</v>
      </c>
      <c r="B81" s="1">
        <v>45</v>
      </c>
      <c r="C81" s="2">
        <v>5</v>
      </c>
      <c r="D81" s="6" t="str">
        <f t="shared" si="7"/>
        <v>12.4:24.8</v>
      </c>
      <c r="E81" s="6" t="str">
        <f t="shared" si="8"/>
        <v>13:26.1</v>
      </c>
      <c r="F81" s="6" t="str">
        <f t="shared" si="9"/>
        <v>13.6:27.4</v>
      </c>
      <c r="G81" s="6" t="str">
        <f t="shared" si="10"/>
        <v>14.2:28.6</v>
      </c>
      <c r="H81" s="7">
        <v>12.4</v>
      </c>
      <c r="I81" s="7">
        <v>24.8</v>
      </c>
      <c r="J81" s="7">
        <v>13</v>
      </c>
      <c r="K81" s="7">
        <v>26.1</v>
      </c>
      <c r="L81" s="7">
        <v>13.6</v>
      </c>
      <c r="M81" s="7">
        <v>27.4</v>
      </c>
      <c r="N81" s="7">
        <v>14.2</v>
      </c>
      <c r="O81" s="7">
        <v>28.6</v>
      </c>
    </row>
    <row r="82" s="1" customFormat="1" spans="1:15">
      <c r="A82" s="1">
        <v>1009</v>
      </c>
      <c r="B82" s="1">
        <v>45</v>
      </c>
      <c r="C82" s="2">
        <v>12</v>
      </c>
      <c r="D82" s="6" t="str">
        <f t="shared" si="7"/>
        <v>2.5:5</v>
      </c>
      <c r="E82" s="6" t="str">
        <f t="shared" si="8"/>
        <v>2.6:5.2</v>
      </c>
      <c r="F82" s="6" t="str">
        <f t="shared" si="9"/>
        <v>2.7:5.5</v>
      </c>
      <c r="G82" s="6" t="str">
        <f t="shared" si="10"/>
        <v>2.8:5.7</v>
      </c>
      <c r="H82" s="7">
        <v>2.5</v>
      </c>
      <c r="I82" s="7">
        <v>5</v>
      </c>
      <c r="J82" s="7">
        <v>2.6</v>
      </c>
      <c r="K82" s="7">
        <v>5.2</v>
      </c>
      <c r="L82" s="7">
        <v>2.7</v>
      </c>
      <c r="M82" s="7">
        <v>5.5</v>
      </c>
      <c r="N82" s="7">
        <v>2.8</v>
      </c>
      <c r="O82" s="7">
        <v>5.7</v>
      </c>
    </row>
    <row r="83" s="1" customFormat="1" spans="1:15">
      <c r="A83" s="1">
        <v>1010</v>
      </c>
      <c r="B83" s="1">
        <v>45</v>
      </c>
      <c r="C83" s="2">
        <v>13</v>
      </c>
      <c r="D83" s="6" t="str">
        <f t="shared" si="7"/>
        <v>12.4:24.8</v>
      </c>
      <c r="E83" s="6" t="str">
        <f t="shared" si="8"/>
        <v>13:26.1</v>
      </c>
      <c r="F83" s="6" t="str">
        <f t="shared" si="9"/>
        <v>13.6:27.4</v>
      </c>
      <c r="G83" s="6" t="str">
        <f t="shared" si="10"/>
        <v>14.2:28.6</v>
      </c>
      <c r="H83" s="7">
        <v>12.4</v>
      </c>
      <c r="I83" s="7">
        <v>24.8</v>
      </c>
      <c r="J83" s="7">
        <v>13</v>
      </c>
      <c r="K83" s="7">
        <v>26.1</v>
      </c>
      <c r="L83" s="7">
        <v>13.6</v>
      </c>
      <c r="M83" s="7">
        <v>27.4</v>
      </c>
      <c r="N83" s="7">
        <v>14.2</v>
      </c>
      <c r="O83" s="7">
        <v>28.6</v>
      </c>
    </row>
    <row r="84" s="1" customFormat="1" spans="1:15">
      <c r="A84" s="1">
        <v>1001</v>
      </c>
      <c r="B84" s="1">
        <v>50</v>
      </c>
      <c r="C84" s="2">
        <v>1</v>
      </c>
      <c r="D84" s="6" t="str">
        <f t="shared" si="7"/>
        <v>289.2:578.3</v>
      </c>
      <c r="E84" s="6" t="str">
        <f t="shared" si="8"/>
        <v>303.7:607.2</v>
      </c>
      <c r="F84" s="6" t="str">
        <f t="shared" si="9"/>
        <v>318.1:636.2</v>
      </c>
      <c r="G84" s="6" t="str">
        <f t="shared" si="10"/>
        <v>332.6:665.1</v>
      </c>
      <c r="H84" s="7">
        <v>289.2</v>
      </c>
      <c r="I84" s="7">
        <v>578.3</v>
      </c>
      <c r="J84" s="7">
        <v>303.7</v>
      </c>
      <c r="K84" s="7">
        <v>607.2</v>
      </c>
      <c r="L84" s="7">
        <v>318.1</v>
      </c>
      <c r="M84" s="7">
        <v>636.2</v>
      </c>
      <c r="N84" s="7">
        <v>332.6</v>
      </c>
      <c r="O84" s="7">
        <v>665.1</v>
      </c>
    </row>
    <row r="85" s="1" customFormat="1" spans="1:15">
      <c r="A85" s="1">
        <v>1002</v>
      </c>
      <c r="B85" s="1">
        <v>50</v>
      </c>
      <c r="C85" s="2">
        <v>2</v>
      </c>
      <c r="D85" s="6" t="str">
        <f t="shared" si="7"/>
        <v>36.5:73</v>
      </c>
      <c r="E85" s="6" t="str">
        <f t="shared" si="8"/>
        <v>38.3:76.7</v>
      </c>
      <c r="F85" s="6" t="str">
        <f t="shared" si="9"/>
        <v>40.1:80.3</v>
      </c>
      <c r="G85" s="6" t="str">
        <f t="shared" si="10"/>
        <v>42:83.9</v>
      </c>
      <c r="H85" s="7">
        <v>36.5</v>
      </c>
      <c r="I85" s="7">
        <v>73</v>
      </c>
      <c r="J85" s="7">
        <v>38.3</v>
      </c>
      <c r="K85" s="7">
        <v>76.7</v>
      </c>
      <c r="L85" s="7">
        <v>40.1</v>
      </c>
      <c r="M85" s="7">
        <v>80.3</v>
      </c>
      <c r="N85" s="7">
        <v>42</v>
      </c>
      <c r="O85" s="7">
        <v>83.9</v>
      </c>
    </row>
    <row r="86" s="1" customFormat="1" spans="1:15">
      <c r="A86" s="1">
        <v>1003</v>
      </c>
      <c r="B86" s="1">
        <v>50</v>
      </c>
      <c r="C86" s="2">
        <v>4</v>
      </c>
      <c r="D86" s="6" t="str">
        <f t="shared" si="7"/>
        <v>22.9:45.9</v>
      </c>
      <c r="E86" s="6" t="str">
        <f t="shared" si="8"/>
        <v>24.1:48.2</v>
      </c>
      <c r="F86" s="6" t="str">
        <f t="shared" si="9"/>
        <v>25.3:50.5</v>
      </c>
      <c r="G86" s="6" t="str">
        <f t="shared" si="10"/>
        <v>26.4:52.7</v>
      </c>
      <c r="H86" s="7">
        <v>22.9</v>
      </c>
      <c r="I86" s="7">
        <v>45.9</v>
      </c>
      <c r="J86" s="7">
        <v>24.1</v>
      </c>
      <c r="K86" s="7">
        <v>48.2</v>
      </c>
      <c r="L86" s="7">
        <v>25.3</v>
      </c>
      <c r="M86" s="7">
        <v>50.5</v>
      </c>
      <c r="N86" s="7">
        <v>26.4</v>
      </c>
      <c r="O86" s="7">
        <v>52.7</v>
      </c>
    </row>
    <row r="87" s="1" customFormat="1" spans="1:15">
      <c r="A87" s="1">
        <v>1004</v>
      </c>
      <c r="B87" s="1">
        <v>50</v>
      </c>
      <c r="C87" s="2">
        <v>3</v>
      </c>
      <c r="D87" s="6" t="str">
        <f t="shared" si="7"/>
        <v>36.5:73</v>
      </c>
      <c r="E87" s="6" t="str">
        <f t="shared" si="8"/>
        <v>38.3:76.7</v>
      </c>
      <c r="F87" s="6" t="str">
        <f t="shared" si="9"/>
        <v>40.1:80.3</v>
      </c>
      <c r="G87" s="6" t="str">
        <f t="shared" si="10"/>
        <v>42:83.9</v>
      </c>
      <c r="H87" s="7">
        <v>36.5</v>
      </c>
      <c r="I87" s="7">
        <v>73</v>
      </c>
      <c r="J87" s="7">
        <v>38.3</v>
      </c>
      <c r="K87" s="7">
        <v>76.7</v>
      </c>
      <c r="L87" s="7">
        <v>40.1</v>
      </c>
      <c r="M87" s="7">
        <v>80.3</v>
      </c>
      <c r="N87" s="7">
        <v>42</v>
      </c>
      <c r="O87" s="7">
        <v>83.9</v>
      </c>
    </row>
    <row r="88" s="1" customFormat="1" spans="1:15">
      <c r="A88" s="1">
        <v>1005</v>
      </c>
      <c r="B88" s="1">
        <v>50</v>
      </c>
      <c r="C88" s="2">
        <v>27</v>
      </c>
      <c r="D88" s="6" t="str">
        <f t="shared" si="7"/>
        <v>22.9:45.9</v>
      </c>
      <c r="E88" s="6" t="str">
        <f t="shared" si="8"/>
        <v>24.1:48.2</v>
      </c>
      <c r="F88" s="6" t="str">
        <f t="shared" si="9"/>
        <v>25.3:50.5</v>
      </c>
      <c r="G88" s="6" t="str">
        <f t="shared" si="10"/>
        <v>26.4:52.7</v>
      </c>
      <c r="H88" s="7">
        <v>22.9</v>
      </c>
      <c r="I88" s="7">
        <v>45.9</v>
      </c>
      <c r="J88" s="7">
        <v>24.1</v>
      </c>
      <c r="K88" s="7">
        <v>48.2</v>
      </c>
      <c r="L88" s="7">
        <v>25.3</v>
      </c>
      <c r="M88" s="7">
        <v>50.5</v>
      </c>
      <c r="N88" s="7">
        <v>26.4</v>
      </c>
      <c r="O88" s="7">
        <v>52.7</v>
      </c>
    </row>
    <row r="89" s="1" customFormat="1" spans="1:15">
      <c r="A89" s="1">
        <v>1006</v>
      </c>
      <c r="B89" s="1">
        <v>50</v>
      </c>
      <c r="C89" s="2">
        <v>28</v>
      </c>
      <c r="D89" s="6" t="str">
        <f t="shared" si="7"/>
        <v>6.8:13.6</v>
      </c>
      <c r="E89" s="6" t="str">
        <f t="shared" si="8"/>
        <v>7.1:14.2</v>
      </c>
      <c r="F89" s="6" t="str">
        <f t="shared" si="9"/>
        <v>7.5:14.9</v>
      </c>
      <c r="G89" s="6" t="str">
        <f t="shared" si="10"/>
        <v>7.8:15.6</v>
      </c>
      <c r="H89" s="7">
        <v>6.8</v>
      </c>
      <c r="I89" s="7">
        <v>13.6</v>
      </c>
      <c r="J89" s="7">
        <v>7.1</v>
      </c>
      <c r="K89" s="7">
        <v>14.2</v>
      </c>
      <c r="L89" s="7">
        <v>7.5</v>
      </c>
      <c r="M89" s="7">
        <v>14.9</v>
      </c>
      <c r="N89" s="7">
        <v>7.8</v>
      </c>
      <c r="O89" s="7">
        <v>15.6</v>
      </c>
    </row>
    <row r="90" s="1" customFormat="1" spans="1:15">
      <c r="A90" s="1">
        <v>1007</v>
      </c>
      <c r="B90" s="1">
        <v>50</v>
      </c>
      <c r="C90" s="2">
        <v>7</v>
      </c>
      <c r="D90" s="6" t="str">
        <f t="shared" si="7"/>
        <v>13.6:27.1</v>
      </c>
      <c r="E90" s="6" t="str">
        <f t="shared" si="8"/>
        <v>14.2:28.5</v>
      </c>
      <c r="F90" s="6" t="str">
        <f t="shared" si="9"/>
        <v>14.9:29.9</v>
      </c>
      <c r="G90" s="6" t="str">
        <f t="shared" si="10"/>
        <v>15.6:31.2</v>
      </c>
      <c r="H90" s="7">
        <v>13.6</v>
      </c>
      <c r="I90" s="7">
        <v>27.1</v>
      </c>
      <c r="J90" s="7">
        <v>14.2</v>
      </c>
      <c r="K90" s="7">
        <v>28.5</v>
      </c>
      <c r="L90" s="7">
        <v>14.9</v>
      </c>
      <c r="M90" s="7">
        <v>29.9</v>
      </c>
      <c r="N90" s="7">
        <v>15.6</v>
      </c>
      <c r="O90" s="7">
        <v>31.2</v>
      </c>
    </row>
    <row r="91" s="1" customFormat="1" spans="1:15">
      <c r="A91" s="1">
        <v>1008</v>
      </c>
      <c r="B91" s="1">
        <v>50</v>
      </c>
      <c r="C91" s="2">
        <v>5</v>
      </c>
      <c r="D91" s="6" t="str">
        <f t="shared" si="7"/>
        <v>13.6:27.1</v>
      </c>
      <c r="E91" s="6" t="str">
        <f t="shared" si="8"/>
        <v>14.2:28.5</v>
      </c>
      <c r="F91" s="6" t="str">
        <f t="shared" si="9"/>
        <v>14.9:29.9</v>
      </c>
      <c r="G91" s="6" t="str">
        <f t="shared" si="10"/>
        <v>15.6:31.2</v>
      </c>
      <c r="H91" s="7">
        <v>13.6</v>
      </c>
      <c r="I91" s="7">
        <v>27.1</v>
      </c>
      <c r="J91" s="7">
        <v>14.2</v>
      </c>
      <c r="K91" s="7">
        <v>28.5</v>
      </c>
      <c r="L91" s="7">
        <v>14.9</v>
      </c>
      <c r="M91" s="7">
        <v>29.9</v>
      </c>
      <c r="N91" s="7">
        <v>15.6</v>
      </c>
      <c r="O91" s="7">
        <v>31.2</v>
      </c>
    </row>
    <row r="92" s="1" customFormat="1" spans="1:15">
      <c r="A92" s="1">
        <v>1009</v>
      </c>
      <c r="B92" s="1">
        <v>50</v>
      </c>
      <c r="C92" s="2">
        <v>12</v>
      </c>
      <c r="D92" s="6" t="str">
        <f t="shared" si="7"/>
        <v>2.7:5.4</v>
      </c>
      <c r="E92" s="6" t="str">
        <f t="shared" si="8"/>
        <v>2.8:5.7</v>
      </c>
      <c r="F92" s="6" t="str">
        <f t="shared" si="9"/>
        <v>3:6</v>
      </c>
      <c r="G92" s="6" t="str">
        <f t="shared" si="10"/>
        <v>3.1:6.2</v>
      </c>
      <c r="H92" s="7">
        <v>2.7</v>
      </c>
      <c r="I92" s="7">
        <v>5.4</v>
      </c>
      <c r="J92" s="7">
        <v>2.8</v>
      </c>
      <c r="K92" s="7">
        <v>5.7</v>
      </c>
      <c r="L92" s="7">
        <v>3</v>
      </c>
      <c r="M92" s="7">
        <v>6</v>
      </c>
      <c r="N92" s="7">
        <v>3.1</v>
      </c>
      <c r="O92" s="7">
        <v>6.2</v>
      </c>
    </row>
    <row r="93" s="1" customFormat="1" spans="1:15">
      <c r="A93" s="1">
        <v>1010</v>
      </c>
      <c r="B93" s="1">
        <v>50</v>
      </c>
      <c r="C93" s="2">
        <v>13</v>
      </c>
      <c r="D93" s="6" t="str">
        <f t="shared" si="7"/>
        <v>13.6:27.1</v>
      </c>
      <c r="E93" s="6" t="str">
        <f t="shared" si="8"/>
        <v>14.2:28.5</v>
      </c>
      <c r="F93" s="6" t="str">
        <f t="shared" si="9"/>
        <v>14.9:29.9</v>
      </c>
      <c r="G93" s="6" t="str">
        <f t="shared" si="10"/>
        <v>15.6:31.2</v>
      </c>
      <c r="H93" s="7">
        <v>13.6</v>
      </c>
      <c r="I93" s="7">
        <v>27.1</v>
      </c>
      <c r="J93" s="7">
        <v>14.2</v>
      </c>
      <c r="K93" s="7">
        <v>28.5</v>
      </c>
      <c r="L93" s="7">
        <v>14.9</v>
      </c>
      <c r="M93" s="7">
        <v>29.9</v>
      </c>
      <c r="N93" s="7">
        <v>15.6</v>
      </c>
      <c r="O93" s="7">
        <v>31.2</v>
      </c>
    </row>
    <row r="94" s="1" customFormat="1" spans="1:15">
      <c r="A94" s="1">
        <v>1001</v>
      </c>
      <c r="B94" s="1">
        <v>55</v>
      </c>
      <c r="C94" s="2">
        <v>1</v>
      </c>
      <c r="D94" s="6" t="str">
        <f t="shared" si="7"/>
        <v>313.7:627.3</v>
      </c>
      <c r="E94" s="6" t="str">
        <f t="shared" si="8"/>
        <v>329.4:658.7</v>
      </c>
      <c r="F94" s="6" t="str">
        <f t="shared" si="9"/>
        <v>345:690.1</v>
      </c>
      <c r="G94" s="6" t="str">
        <f t="shared" si="10"/>
        <v>360.8:721.4</v>
      </c>
      <c r="H94" s="7">
        <v>313.7</v>
      </c>
      <c r="I94" s="7">
        <v>627.3</v>
      </c>
      <c r="J94" s="7">
        <v>329.4</v>
      </c>
      <c r="K94" s="7">
        <v>658.7</v>
      </c>
      <c r="L94" s="7">
        <v>345</v>
      </c>
      <c r="M94" s="7">
        <v>690.1</v>
      </c>
      <c r="N94" s="7">
        <v>360.8</v>
      </c>
      <c r="O94" s="7">
        <v>721.4</v>
      </c>
    </row>
    <row r="95" s="1" customFormat="1" spans="1:15">
      <c r="A95" s="1">
        <v>1002</v>
      </c>
      <c r="B95" s="1">
        <v>55</v>
      </c>
      <c r="C95" s="2">
        <v>2</v>
      </c>
      <c r="D95" s="6" t="str">
        <f t="shared" si="7"/>
        <v>39.6:79.2</v>
      </c>
      <c r="E95" s="6" t="str">
        <f t="shared" si="8"/>
        <v>41.6:83.2</v>
      </c>
      <c r="F95" s="6" t="str">
        <f t="shared" si="9"/>
        <v>43.6:87.1</v>
      </c>
      <c r="G95" s="6" t="str">
        <f t="shared" si="10"/>
        <v>45.5:91</v>
      </c>
      <c r="H95" s="7">
        <v>39.6</v>
      </c>
      <c r="I95" s="7">
        <v>79.2</v>
      </c>
      <c r="J95" s="7">
        <v>41.6</v>
      </c>
      <c r="K95" s="7">
        <v>83.2</v>
      </c>
      <c r="L95" s="7">
        <v>43.6</v>
      </c>
      <c r="M95" s="7">
        <v>87.1</v>
      </c>
      <c r="N95" s="7">
        <v>45.5</v>
      </c>
      <c r="O95" s="7">
        <v>91</v>
      </c>
    </row>
    <row r="96" s="1" customFormat="1" spans="1:15">
      <c r="A96" s="1">
        <v>1003</v>
      </c>
      <c r="B96" s="1">
        <v>55</v>
      </c>
      <c r="C96" s="2">
        <v>4</v>
      </c>
      <c r="D96" s="6" t="str">
        <f t="shared" si="7"/>
        <v>24.9:49.8</v>
      </c>
      <c r="E96" s="6" t="str">
        <f t="shared" si="8"/>
        <v>26.1:52.3</v>
      </c>
      <c r="F96" s="6" t="str">
        <f t="shared" si="9"/>
        <v>27.4:54.8</v>
      </c>
      <c r="G96" s="6" t="str">
        <f t="shared" si="10"/>
        <v>28.6:57.2</v>
      </c>
      <c r="H96" s="7">
        <v>24.9</v>
      </c>
      <c r="I96" s="7">
        <v>49.8</v>
      </c>
      <c r="J96" s="7">
        <v>26.1</v>
      </c>
      <c r="K96" s="7">
        <v>52.3</v>
      </c>
      <c r="L96" s="7">
        <v>27.4</v>
      </c>
      <c r="M96" s="7">
        <v>54.8</v>
      </c>
      <c r="N96" s="7">
        <v>28.6</v>
      </c>
      <c r="O96" s="7">
        <v>57.2</v>
      </c>
    </row>
    <row r="97" s="1" customFormat="1" spans="1:15">
      <c r="A97" s="1">
        <v>1004</v>
      </c>
      <c r="B97" s="1">
        <v>55</v>
      </c>
      <c r="C97" s="2">
        <v>3</v>
      </c>
      <c r="D97" s="6" t="str">
        <f t="shared" si="7"/>
        <v>39.6:79.2</v>
      </c>
      <c r="E97" s="6" t="str">
        <f t="shared" si="8"/>
        <v>41.6:83.2</v>
      </c>
      <c r="F97" s="6" t="str">
        <f t="shared" si="9"/>
        <v>43.6:87.1</v>
      </c>
      <c r="G97" s="6" t="str">
        <f t="shared" si="10"/>
        <v>45.5:91</v>
      </c>
      <c r="H97" s="7">
        <v>39.6</v>
      </c>
      <c r="I97" s="7">
        <v>79.2</v>
      </c>
      <c r="J97" s="7">
        <v>41.6</v>
      </c>
      <c r="K97" s="7">
        <v>83.2</v>
      </c>
      <c r="L97" s="7">
        <v>43.6</v>
      </c>
      <c r="M97" s="7">
        <v>87.1</v>
      </c>
      <c r="N97" s="7">
        <v>45.5</v>
      </c>
      <c r="O97" s="7">
        <v>91</v>
      </c>
    </row>
    <row r="98" s="1" customFormat="1" spans="1:15">
      <c r="A98" s="1">
        <v>1005</v>
      </c>
      <c r="B98" s="1">
        <v>55</v>
      </c>
      <c r="C98" s="2">
        <v>27</v>
      </c>
      <c r="D98" s="6" t="str">
        <f t="shared" si="7"/>
        <v>24.9:49.8</v>
      </c>
      <c r="E98" s="6" t="str">
        <f t="shared" si="8"/>
        <v>26.1:52.3</v>
      </c>
      <c r="F98" s="6" t="str">
        <f t="shared" si="9"/>
        <v>27.4:54.8</v>
      </c>
      <c r="G98" s="6" t="str">
        <f t="shared" si="10"/>
        <v>28.6:57.2</v>
      </c>
      <c r="H98" s="7">
        <v>24.9</v>
      </c>
      <c r="I98" s="7">
        <v>49.8</v>
      </c>
      <c r="J98" s="7">
        <v>26.1</v>
      </c>
      <c r="K98" s="7">
        <v>52.3</v>
      </c>
      <c r="L98" s="7">
        <v>27.4</v>
      </c>
      <c r="M98" s="7">
        <v>54.8</v>
      </c>
      <c r="N98" s="7">
        <v>28.6</v>
      </c>
      <c r="O98" s="7">
        <v>57.2</v>
      </c>
    </row>
    <row r="99" s="1" customFormat="1" spans="1:15">
      <c r="A99" s="1">
        <v>1006</v>
      </c>
      <c r="B99" s="1">
        <v>55</v>
      </c>
      <c r="C99" s="2">
        <v>28</v>
      </c>
      <c r="D99" s="6" t="str">
        <f t="shared" si="7"/>
        <v>7.4:14.7</v>
      </c>
      <c r="E99" s="6" t="str">
        <f t="shared" si="8"/>
        <v>7.7:15.4</v>
      </c>
      <c r="F99" s="6" t="str">
        <f t="shared" si="9"/>
        <v>8.1:16.2</v>
      </c>
      <c r="G99" s="6" t="str">
        <f t="shared" si="10"/>
        <v>8.4:16.9</v>
      </c>
      <c r="H99" s="7">
        <v>7.4</v>
      </c>
      <c r="I99" s="7">
        <v>14.7</v>
      </c>
      <c r="J99" s="7">
        <v>7.7</v>
      </c>
      <c r="K99" s="7">
        <v>15.4</v>
      </c>
      <c r="L99" s="7">
        <v>8.1</v>
      </c>
      <c r="M99" s="7">
        <v>16.2</v>
      </c>
      <c r="N99" s="7">
        <v>8.4</v>
      </c>
      <c r="O99" s="7">
        <v>16.9</v>
      </c>
    </row>
    <row r="100" s="1" customFormat="1" spans="1:15">
      <c r="A100" s="1">
        <v>1007</v>
      </c>
      <c r="B100" s="1">
        <v>55</v>
      </c>
      <c r="C100" s="2">
        <v>7</v>
      </c>
      <c r="D100" s="6" t="str">
        <f t="shared" si="7"/>
        <v>14.7:29.4</v>
      </c>
      <c r="E100" s="6" t="str">
        <f t="shared" si="8"/>
        <v>15.4:30.9</v>
      </c>
      <c r="F100" s="6" t="str">
        <f t="shared" si="9"/>
        <v>16.2:32.4</v>
      </c>
      <c r="G100" s="6" t="str">
        <f t="shared" si="10"/>
        <v>16.9:33.9</v>
      </c>
      <c r="H100" s="7">
        <v>14.7</v>
      </c>
      <c r="I100" s="7">
        <v>29.4</v>
      </c>
      <c r="J100" s="7">
        <v>15.4</v>
      </c>
      <c r="K100" s="7">
        <v>30.9</v>
      </c>
      <c r="L100" s="7">
        <v>16.2</v>
      </c>
      <c r="M100" s="7">
        <v>32.4</v>
      </c>
      <c r="N100" s="7">
        <v>16.9</v>
      </c>
      <c r="O100" s="7">
        <v>33.9</v>
      </c>
    </row>
    <row r="101" s="1" customFormat="1" spans="1:15">
      <c r="A101" s="1">
        <v>1008</v>
      </c>
      <c r="B101" s="1">
        <v>55</v>
      </c>
      <c r="C101" s="2">
        <v>5</v>
      </c>
      <c r="D101" s="6" t="str">
        <f t="shared" si="7"/>
        <v>14.7:29.4</v>
      </c>
      <c r="E101" s="6" t="str">
        <f t="shared" si="8"/>
        <v>15.4:30.9</v>
      </c>
      <c r="F101" s="6" t="str">
        <f t="shared" si="9"/>
        <v>16.2:32.4</v>
      </c>
      <c r="G101" s="6" t="str">
        <f t="shared" si="10"/>
        <v>16.9:33.9</v>
      </c>
      <c r="H101" s="7">
        <v>14.7</v>
      </c>
      <c r="I101" s="7">
        <v>29.4</v>
      </c>
      <c r="J101" s="7">
        <v>15.4</v>
      </c>
      <c r="K101" s="7">
        <v>30.9</v>
      </c>
      <c r="L101" s="7">
        <v>16.2</v>
      </c>
      <c r="M101" s="7">
        <v>32.4</v>
      </c>
      <c r="N101" s="7">
        <v>16.9</v>
      </c>
      <c r="O101" s="7">
        <v>33.9</v>
      </c>
    </row>
    <row r="102" s="1" customFormat="1" spans="1:15">
      <c r="A102" s="1">
        <v>1009</v>
      </c>
      <c r="B102" s="1">
        <v>55</v>
      </c>
      <c r="C102" s="2">
        <v>12</v>
      </c>
      <c r="D102" s="6" t="str">
        <f t="shared" si="7"/>
        <v>2.9:5.9</v>
      </c>
      <c r="E102" s="6" t="str">
        <f t="shared" si="8"/>
        <v>3.1:6.2</v>
      </c>
      <c r="F102" s="6" t="str">
        <f t="shared" si="9"/>
        <v>3.2:6.5</v>
      </c>
      <c r="G102" s="6" t="str">
        <f t="shared" si="10"/>
        <v>3.4:6.8</v>
      </c>
      <c r="H102" s="7">
        <v>2.9</v>
      </c>
      <c r="I102" s="7">
        <v>5.9</v>
      </c>
      <c r="J102" s="7">
        <v>3.1</v>
      </c>
      <c r="K102" s="7">
        <v>6.2</v>
      </c>
      <c r="L102" s="7">
        <v>3.2</v>
      </c>
      <c r="M102" s="7">
        <v>6.5</v>
      </c>
      <c r="N102" s="7">
        <v>3.4</v>
      </c>
      <c r="O102" s="7">
        <v>6.8</v>
      </c>
    </row>
    <row r="103" s="1" customFormat="1" spans="1:15">
      <c r="A103" s="1">
        <v>1010</v>
      </c>
      <c r="B103" s="1">
        <v>55</v>
      </c>
      <c r="C103" s="2">
        <v>13</v>
      </c>
      <c r="D103" s="6" t="str">
        <f t="shared" si="7"/>
        <v>14.7:29.4</v>
      </c>
      <c r="E103" s="6" t="str">
        <f t="shared" si="8"/>
        <v>15.4:30.9</v>
      </c>
      <c r="F103" s="6" t="str">
        <f t="shared" si="9"/>
        <v>16.2:32.4</v>
      </c>
      <c r="G103" s="6" t="str">
        <f t="shared" si="10"/>
        <v>16.9:33.9</v>
      </c>
      <c r="H103" s="7">
        <v>14.7</v>
      </c>
      <c r="I103" s="7">
        <v>29.4</v>
      </c>
      <c r="J103" s="7">
        <v>15.4</v>
      </c>
      <c r="K103" s="7">
        <v>30.9</v>
      </c>
      <c r="L103" s="7">
        <v>16.2</v>
      </c>
      <c r="M103" s="7">
        <v>32.4</v>
      </c>
      <c r="N103" s="7">
        <v>16.9</v>
      </c>
      <c r="O103" s="7">
        <v>33.9</v>
      </c>
    </row>
    <row r="104" s="1" customFormat="1" spans="1:15">
      <c r="A104" s="1">
        <v>1001</v>
      </c>
      <c r="B104" s="1">
        <v>60</v>
      </c>
      <c r="C104" s="2">
        <v>1</v>
      </c>
      <c r="D104" s="6" t="str">
        <f t="shared" si="7"/>
        <v>338.2:676.4</v>
      </c>
      <c r="E104" s="6" t="str">
        <f t="shared" si="8"/>
        <v>355.1:710.2</v>
      </c>
      <c r="F104" s="6" t="str">
        <f t="shared" si="9"/>
        <v>372:744</v>
      </c>
      <c r="G104" s="6" t="str">
        <f t="shared" si="10"/>
        <v>389:777.8</v>
      </c>
      <c r="H104" s="7">
        <v>338.2</v>
      </c>
      <c r="I104" s="7">
        <v>676.4</v>
      </c>
      <c r="J104" s="7">
        <v>355.1</v>
      </c>
      <c r="K104" s="7">
        <v>710.2</v>
      </c>
      <c r="L104" s="7">
        <v>372</v>
      </c>
      <c r="M104" s="7">
        <v>744</v>
      </c>
      <c r="N104" s="7">
        <v>389</v>
      </c>
      <c r="O104" s="7">
        <v>777.8</v>
      </c>
    </row>
    <row r="105" s="1" customFormat="1" spans="1:15">
      <c r="A105" s="1">
        <v>1002</v>
      </c>
      <c r="B105" s="1">
        <v>60</v>
      </c>
      <c r="C105" s="2">
        <v>2</v>
      </c>
      <c r="D105" s="6" t="str">
        <f t="shared" si="7"/>
        <v>42.7:85.4</v>
      </c>
      <c r="E105" s="6" t="str">
        <f t="shared" si="8"/>
        <v>44.8:89.7</v>
      </c>
      <c r="F105" s="6" t="str">
        <f t="shared" si="9"/>
        <v>47:93.9</v>
      </c>
      <c r="G105" s="6" t="str">
        <f t="shared" si="10"/>
        <v>49.1:98.2</v>
      </c>
      <c r="H105" s="7">
        <v>42.7</v>
      </c>
      <c r="I105" s="7">
        <v>85.4</v>
      </c>
      <c r="J105" s="7">
        <v>44.8</v>
      </c>
      <c r="K105" s="7">
        <v>89.7</v>
      </c>
      <c r="L105" s="7">
        <v>47</v>
      </c>
      <c r="M105" s="7">
        <v>93.9</v>
      </c>
      <c r="N105" s="7">
        <v>49.1</v>
      </c>
      <c r="O105" s="7">
        <v>98.2</v>
      </c>
    </row>
    <row r="106" s="1" customFormat="1" spans="1:15">
      <c r="A106" s="1">
        <v>1003</v>
      </c>
      <c r="B106" s="1">
        <v>60</v>
      </c>
      <c r="C106" s="2">
        <v>4</v>
      </c>
      <c r="D106" s="6" t="str">
        <f t="shared" si="7"/>
        <v>26.8:53.7</v>
      </c>
      <c r="E106" s="6" t="str">
        <f t="shared" si="8"/>
        <v>28.2:56.4</v>
      </c>
      <c r="F106" s="6" t="str">
        <f t="shared" si="9"/>
        <v>29.5:59.1</v>
      </c>
      <c r="G106" s="6" t="str">
        <f t="shared" si="10"/>
        <v>30.9:61.6</v>
      </c>
      <c r="H106" s="7">
        <v>26.8</v>
      </c>
      <c r="I106" s="7">
        <v>53.7</v>
      </c>
      <c r="J106" s="7">
        <v>28.2</v>
      </c>
      <c r="K106" s="7">
        <v>56.4</v>
      </c>
      <c r="L106" s="7">
        <v>29.5</v>
      </c>
      <c r="M106" s="7">
        <v>59.1</v>
      </c>
      <c r="N106" s="7">
        <v>30.9</v>
      </c>
      <c r="O106" s="7">
        <v>61.6</v>
      </c>
    </row>
    <row r="107" s="1" customFormat="1" spans="1:15">
      <c r="A107" s="1">
        <v>1004</v>
      </c>
      <c r="B107" s="1">
        <v>60</v>
      </c>
      <c r="C107" s="2">
        <v>3</v>
      </c>
      <c r="D107" s="6" t="str">
        <f t="shared" si="7"/>
        <v>42.7:85.4</v>
      </c>
      <c r="E107" s="6" t="str">
        <f t="shared" si="8"/>
        <v>44.8:89.7</v>
      </c>
      <c r="F107" s="6" t="str">
        <f t="shared" si="9"/>
        <v>47:93.9</v>
      </c>
      <c r="G107" s="6" t="str">
        <f t="shared" si="10"/>
        <v>49.1:98.2</v>
      </c>
      <c r="H107" s="7">
        <v>42.7</v>
      </c>
      <c r="I107" s="7">
        <v>85.4</v>
      </c>
      <c r="J107" s="7">
        <v>44.8</v>
      </c>
      <c r="K107" s="7">
        <v>89.7</v>
      </c>
      <c r="L107" s="7">
        <v>47</v>
      </c>
      <c r="M107" s="7">
        <v>93.9</v>
      </c>
      <c r="N107" s="7">
        <v>49.1</v>
      </c>
      <c r="O107" s="7">
        <v>98.2</v>
      </c>
    </row>
    <row r="108" s="1" customFormat="1" spans="1:15">
      <c r="A108" s="1">
        <v>1005</v>
      </c>
      <c r="B108" s="1">
        <v>60</v>
      </c>
      <c r="C108" s="2">
        <v>27</v>
      </c>
      <c r="D108" s="6" t="str">
        <f t="shared" si="7"/>
        <v>26.8:53.7</v>
      </c>
      <c r="E108" s="6" t="str">
        <f t="shared" si="8"/>
        <v>28.2:56.4</v>
      </c>
      <c r="F108" s="6" t="str">
        <f t="shared" si="9"/>
        <v>29.5:59.1</v>
      </c>
      <c r="G108" s="6" t="str">
        <f t="shared" si="10"/>
        <v>30.9:61.6</v>
      </c>
      <c r="H108" s="7">
        <v>26.8</v>
      </c>
      <c r="I108" s="7">
        <v>53.7</v>
      </c>
      <c r="J108" s="7">
        <v>28.2</v>
      </c>
      <c r="K108" s="7">
        <v>56.4</v>
      </c>
      <c r="L108" s="7">
        <v>29.5</v>
      </c>
      <c r="M108" s="7">
        <v>59.1</v>
      </c>
      <c r="N108" s="7">
        <v>30.9</v>
      </c>
      <c r="O108" s="7">
        <v>61.6</v>
      </c>
    </row>
    <row r="109" s="1" customFormat="1" spans="1:15">
      <c r="A109" s="1">
        <v>1006</v>
      </c>
      <c r="B109" s="1">
        <v>60</v>
      </c>
      <c r="C109" s="2">
        <v>28</v>
      </c>
      <c r="D109" s="6" t="str">
        <f t="shared" si="7"/>
        <v>8:15.9</v>
      </c>
      <c r="E109" s="6" t="str">
        <f t="shared" si="8"/>
        <v>8.3:16.6</v>
      </c>
      <c r="F109" s="6" t="str">
        <f t="shared" si="9"/>
        <v>8.8:17.4</v>
      </c>
      <c r="G109" s="6" t="str">
        <f t="shared" si="10"/>
        <v>9.1:18.2</v>
      </c>
      <c r="H109" s="7">
        <v>8</v>
      </c>
      <c r="I109" s="7">
        <v>15.9</v>
      </c>
      <c r="J109" s="7">
        <v>8.3</v>
      </c>
      <c r="K109" s="7">
        <v>16.6</v>
      </c>
      <c r="L109" s="7">
        <v>8.8</v>
      </c>
      <c r="M109" s="7">
        <v>17.4</v>
      </c>
      <c r="N109" s="7">
        <v>9.1</v>
      </c>
      <c r="O109" s="7">
        <v>18.2</v>
      </c>
    </row>
    <row r="110" s="1" customFormat="1" spans="1:15">
      <c r="A110" s="1">
        <v>1007</v>
      </c>
      <c r="B110" s="1">
        <v>60</v>
      </c>
      <c r="C110" s="2">
        <v>7</v>
      </c>
      <c r="D110" s="6" t="str">
        <f t="shared" si="7"/>
        <v>15.9:31.7</v>
      </c>
      <c r="E110" s="6" t="str">
        <f t="shared" si="8"/>
        <v>16.6:33.3</v>
      </c>
      <c r="F110" s="6" t="str">
        <f t="shared" si="9"/>
        <v>17.4:35</v>
      </c>
      <c r="G110" s="6" t="str">
        <f t="shared" si="10"/>
        <v>18.2:36.5</v>
      </c>
      <c r="H110" s="7">
        <v>15.9</v>
      </c>
      <c r="I110" s="7">
        <v>31.7</v>
      </c>
      <c r="J110" s="7">
        <v>16.6</v>
      </c>
      <c r="K110" s="7">
        <v>33.3</v>
      </c>
      <c r="L110" s="7">
        <v>17.4</v>
      </c>
      <c r="M110" s="7">
        <v>35</v>
      </c>
      <c r="N110" s="7">
        <v>18.2</v>
      </c>
      <c r="O110" s="7">
        <v>36.5</v>
      </c>
    </row>
    <row r="111" s="1" customFormat="1" spans="1:15">
      <c r="A111" s="1">
        <v>1008</v>
      </c>
      <c r="B111" s="1">
        <v>60</v>
      </c>
      <c r="C111" s="2">
        <v>5</v>
      </c>
      <c r="D111" s="6" t="str">
        <f t="shared" si="7"/>
        <v>15.9:31.7</v>
      </c>
      <c r="E111" s="6" t="str">
        <f t="shared" si="8"/>
        <v>16.6:33.3</v>
      </c>
      <c r="F111" s="6" t="str">
        <f t="shared" si="9"/>
        <v>17.4:35</v>
      </c>
      <c r="G111" s="6" t="str">
        <f t="shared" si="10"/>
        <v>18.2:36.5</v>
      </c>
      <c r="H111" s="7">
        <v>15.9</v>
      </c>
      <c r="I111" s="7">
        <v>31.7</v>
      </c>
      <c r="J111" s="7">
        <v>16.6</v>
      </c>
      <c r="K111" s="7">
        <v>33.3</v>
      </c>
      <c r="L111" s="7">
        <v>17.4</v>
      </c>
      <c r="M111" s="7">
        <v>35</v>
      </c>
      <c r="N111" s="7">
        <v>18.2</v>
      </c>
      <c r="O111" s="7">
        <v>36.5</v>
      </c>
    </row>
    <row r="112" s="1" customFormat="1" spans="1:15">
      <c r="A112" s="1">
        <v>1009</v>
      </c>
      <c r="B112" s="1">
        <v>60</v>
      </c>
      <c r="C112" s="2">
        <v>12</v>
      </c>
      <c r="D112" s="6" t="str">
        <f t="shared" si="7"/>
        <v>3.2:6.3</v>
      </c>
      <c r="E112" s="6" t="str">
        <f t="shared" si="8"/>
        <v>3.3:6.7</v>
      </c>
      <c r="F112" s="6" t="str">
        <f t="shared" si="9"/>
        <v>3.5:7</v>
      </c>
      <c r="G112" s="6" t="str">
        <f t="shared" si="10"/>
        <v>3.6:7.3</v>
      </c>
      <c r="H112" s="7">
        <v>3.2</v>
      </c>
      <c r="I112" s="7">
        <v>6.3</v>
      </c>
      <c r="J112" s="7">
        <v>3.3</v>
      </c>
      <c r="K112" s="7">
        <v>6.7</v>
      </c>
      <c r="L112" s="7">
        <v>3.5</v>
      </c>
      <c r="M112" s="7">
        <v>7</v>
      </c>
      <c r="N112" s="7">
        <v>3.6</v>
      </c>
      <c r="O112" s="7">
        <v>7.3</v>
      </c>
    </row>
    <row r="113" s="1" customFormat="1" spans="1:15">
      <c r="A113" s="1">
        <v>1010</v>
      </c>
      <c r="B113" s="1">
        <v>60</v>
      </c>
      <c r="C113" s="2">
        <v>13</v>
      </c>
      <c r="D113" s="6" t="str">
        <f t="shared" si="7"/>
        <v>15.9:31.7</v>
      </c>
      <c r="E113" s="6" t="str">
        <f t="shared" si="8"/>
        <v>16.6:33.3</v>
      </c>
      <c r="F113" s="6" t="str">
        <f t="shared" si="9"/>
        <v>17.4:35</v>
      </c>
      <c r="G113" s="6" t="str">
        <f t="shared" si="10"/>
        <v>18.2:36.5</v>
      </c>
      <c r="H113" s="7">
        <v>15.9</v>
      </c>
      <c r="I113" s="7">
        <v>31.7</v>
      </c>
      <c r="J113" s="7">
        <v>16.6</v>
      </c>
      <c r="K113" s="7">
        <v>33.3</v>
      </c>
      <c r="L113" s="7">
        <v>17.4</v>
      </c>
      <c r="M113" s="7">
        <v>35</v>
      </c>
      <c r="N113" s="7">
        <v>18.2</v>
      </c>
      <c r="O113" s="7">
        <v>36.5</v>
      </c>
    </row>
    <row r="114" s="1" customFormat="1" spans="1:15">
      <c r="A114" s="1">
        <v>1001</v>
      </c>
      <c r="B114" s="1">
        <v>65</v>
      </c>
      <c r="C114" s="2">
        <v>1</v>
      </c>
      <c r="D114" s="6" t="str">
        <f t="shared" si="7"/>
        <v>362.7:725.4</v>
      </c>
      <c r="E114" s="6" t="str">
        <f t="shared" si="8"/>
        <v>380.9:761.6</v>
      </c>
      <c r="F114" s="6" t="str">
        <f t="shared" si="9"/>
        <v>399:797.9</v>
      </c>
      <c r="G114" s="6" t="str">
        <f t="shared" si="10"/>
        <v>417.1:834.2</v>
      </c>
      <c r="H114" s="7">
        <v>362.7</v>
      </c>
      <c r="I114" s="7">
        <v>725.4</v>
      </c>
      <c r="J114" s="7">
        <v>380.9</v>
      </c>
      <c r="K114" s="7">
        <v>761.6</v>
      </c>
      <c r="L114" s="7">
        <v>399</v>
      </c>
      <c r="M114" s="7">
        <v>797.9</v>
      </c>
      <c r="N114" s="7">
        <v>417.1</v>
      </c>
      <c r="O114" s="7">
        <v>834.2</v>
      </c>
    </row>
    <row r="115" s="1" customFormat="1" spans="1:15">
      <c r="A115" s="1">
        <v>1002</v>
      </c>
      <c r="B115" s="1">
        <v>65</v>
      </c>
      <c r="C115" s="2">
        <v>2</v>
      </c>
      <c r="D115" s="6" t="str">
        <f t="shared" si="7"/>
        <v>45.8:91.6</v>
      </c>
      <c r="E115" s="6" t="str">
        <f t="shared" si="8"/>
        <v>48.1:96.2</v>
      </c>
      <c r="F115" s="6" t="str">
        <f t="shared" si="9"/>
        <v>50.4:100.7</v>
      </c>
      <c r="G115" s="6" t="str">
        <f t="shared" si="10"/>
        <v>52.6:105.3</v>
      </c>
      <c r="H115" s="7">
        <v>45.8</v>
      </c>
      <c r="I115" s="7">
        <v>91.6</v>
      </c>
      <c r="J115" s="7">
        <v>48.1</v>
      </c>
      <c r="K115" s="7">
        <v>96.2</v>
      </c>
      <c r="L115" s="7">
        <v>50.4</v>
      </c>
      <c r="M115" s="7">
        <v>100.7</v>
      </c>
      <c r="N115" s="7">
        <v>52.6</v>
      </c>
      <c r="O115" s="7">
        <v>105.3</v>
      </c>
    </row>
    <row r="116" s="1" customFormat="1" spans="1:15">
      <c r="A116" s="1">
        <v>1003</v>
      </c>
      <c r="B116" s="1">
        <v>65</v>
      </c>
      <c r="C116" s="2">
        <v>4</v>
      </c>
      <c r="D116" s="6" t="str">
        <f t="shared" si="7"/>
        <v>28.8:57.6</v>
      </c>
      <c r="E116" s="6" t="str">
        <f t="shared" si="8"/>
        <v>30.2:60.4</v>
      </c>
      <c r="F116" s="6" t="str">
        <f t="shared" si="9"/>
        <v>31.7:63.3</v>
      </c>
      <c r="G116" s="6" t="str">
        <f t="shared" si="10"/>
        <v>33.1:66.1</v>
      </c>
      <c r="H116" s="7">
        <v>28.8</v>
      </c>
      <c r="I116" s="7">
        <v>57.6</v>
      </c>
      <c r="J116" s="7">
        <v>30.2</v>
      </c>
      <c r="K116" s="7">
        <v>60.4</v>
      </c>
      <c r="L116" s="7">
        <v>31.7</v>
      </c>
      <c r="M116" s="7">
        <v>63.3</v>
      </c>
      <c r="N116" s="7">
        <v>33.1</v>
      </c>
      <c r="O116" s="7">
        <v>66.1</v>
      </c>
    </row>
    <row r="117" s="1" customFormat="1" spans="1:15">
      <c r="A117" s="1">
        <v>1004</v>
      </c>
      <c r="B117" s="1">
        <v>65</v>
      </c>
      <c r="C117" s="2">
        <v>3</v>
      </c>
      <c r="D117" s="6" t="str">
        <f t="shared" si="7"/>
        <v>45.8:91.6</v>
      </c>
      <c r="E117" s="6" t="str">
        <f t="shared" si="8"/>
        <v>48.1:96.2</v>
      </c>
      <c r="F117" s="6" t="str">
        <f t="shared" si="9"/>
        <v>50.4:100.7</v>
      </c>
      <c r="G117" s="6" t="str">
        <f t="shared" si="10"/>
        <v>52.6:105.3</v>
      </c>
      <c r="H117" s="7">
        <v>45.8</v>
      </c>
      <c r="I117" s="7">
        <v>91.6</v>
      </c>
      <c r="J117" s="7">
        <v>48.1</v>
      </c>
      <c r="K117" s="7">
        <v>96.2</v>
      </c>
      <c r="L117" s="7">
        <v>50.4</v>
      </c>
      <c r="M117" s="7">
        <v>100.7</v>
      </c>
      <c r="N117" s="7">
        <v>52.6</v>
      </c>
      <c r="O117" s="7">
        <v>105.3</v>
      </c>
    </row>
    <row r="118" s="1" customFormat="1" spans="1:15">
      <c r="A118" s="1">
        <v>1005</v>
      </c>
      <c r="B118" s="1">
        <v>65</v>
      </c>
      <c r="C118" s="2">
        <v>27</v>
      </c>
      <c r="D118" s="6" t="str">
        <f t="shared" si="7"/>
        <v>28.8:57.6</v>
      </c>
      <c r="E118" s="6" t="str">
        <f t="shared" si="8"/>
        <v>30.2:60.4</v>
      </c>
      <c r="F118" s="6" t="str">
        <f t="shared" si="9"/>
        <v>31.7:63.3</v>
      </c>
      <c r="G118" s="6" t="str">
        <f t="shared" si="10"/>
        <v>33.1:66.1</v>
      </c>
      <c r="H118" s="7">
        <v>28.8</v>
      </c>
      <c r="I118" s="7">
        <v>57.6</v>
      </c>
      <c r="J118" s="7">
        <v>30.2</v>
      </c>
      <c r="K118" s="7">
        <v>60.4</v>
      </c>
      <c r="L118" s="7">
        <v>31.7</v>
      </c>
      <c r="M118" s="7">
        <v>63.3</v>
      </c>
      <c r="N118" s="7">
        <v>33.1</v>
      </c>
      <c r="O118" s="7">
        <v>66.1</v>
      </c>
    </row>
    <row r="119" s="1" customFormat="1" spans="1:15">
      <c r="A119" s="1">
        <v>1006</v>
      </c>
      <c r="B119" s="1">
        <v>65</v>
      </c>
      <c r="C119" s="2">
        <v>28</v>
      </c>
      <c r="D119" s="6" t="str">
        <f t="shared" si="7"/>
        <v>8.6:17</v>
      </c>
      <c r="E119" s="6" t="str">
        <f t="shared" si="8"/>
        <v>8.9:17.9</v>
      </c>
      <c r="F119" s="6" t="str">
        <f t="shared" si="9"/>
        <v>9.4:18.7</v>
      </c>
      <c r="G119" s="6" t="str">
        <f t="shared" si="10"/>
        <v>9.8:19.5</v>
      </c>
      <c r="H119" s="7">
        <v>8.6</v>
      </c>
      <c r="I119" s="7">
        <v>17</v>
      </c>
      <c r="J119" s="7">
        <v>8.9</v>
      </c>
      <c r="K119" s="7">
        <v>17.9</v>
      </c>
      <c r="L119" s="7">
        <v>9.4</v>
      </c>
      <c r="M119" s="7">
        <v>18.7</v>
      </c>
      <c r="N119" s="7">
        <v>9.8</v>
      </c>
      <c r="O119" s="7">
        <v>19.5</v>
      </c>
    </row>
    <row r="120" s="1" customFormat="1" spans="1:15">
      <c r="A120" s="1">
        <v>1007</v>
      </c>
      <c r="B120" s="1">
        <v>65</v>
      </c>
      <c r="C120" s="2">
        <v>7</v>
      </c>
      <c r="D120" s="6" t="str">
        <f t="shared" si="7"/>
        <v>17:34</v>
      </c>
      <c r="E120" s="6" t="str">
        <f t="shared" si="8"/>
        <v>17.9:35.7</v>
      </c>
      <c r="F120" s="6" t="str">
        <f t="shared" si="9"/>
        <v>18.7:37.5</v>
      </c>
      <c r="G120" s="6" t="str">
        <f t="shared" si="10"/>
        <v>19.5:39.2</v>
      </c>
      <c r="H120" s="7">
        <v>17</v>
      </c>
      <c r="I120" s="7">
        <v>34</v>
      </c>
      <c r="J120" s="7">
        <v>17.9</v>
      </c>
      <c r="K120" s="7">
        <v>35.7</v>
      </c>
      <c r="L120" s="7">
        <v>18.7</v>
      </c>
      <c r="M120" s="7">
        <v>37.5</v>
      </c>
      <c r="N120" s="7">
        <v>19.5</v>
      </c>
      <c r="O120" s="7">
        <v>39.2</v>
      </c>
    </row>
    <row r="121" s="1" customFormat="1" spans="1:15">
      <c r="A121" s="1">
        <v>1008</v>
      </c>
      <c r="B121" s="1">
        <v>65</v>
      </c>
      <c r="C121" s="2">
        <v>5</v>
      </c>
      <c r="D121" s="6" t="str">
        <f t="shared" si="7"/>
        <v>17:34</v>
      </c>
      <c r="E121" s="6" t="str">
        <f t="shared" si="8"/>
        <v>17.9:35.7</v>
      </c>
      <c r="F121" s="6" t="str">
        <f t="shared" si="9"/>
        <v>18.7:37.5</v>
      </c>
      <c r="G121" s="6" t="str">
        <f t="shared" si="10"/>
        <v>19.5:39.2</v>
      </c>
      <c r="H121" s="7">
        <v>17</v>
      </c>
      <c r="I121" s="7">
        <v>34</v>
      </c>
      <c r="J121" s="7">
        <v>17.9</v>
      </c>
      <c r="K121" s="7">
        <v>35.7</v>
      </c>
      <c r="L121" s="7">
        <v>18.7</v>
      </c>
      <c r="M121" s="7">
        <v>37.5</v>
      </c>
      <c r="N121" s="7">
        <v>19.5</v>
      </c>
      <c r="O121" s="7">
        <v>39.2</v>
      </c>
    </row>
    <row r="122" s="1" customFormat="1" spans="1:15">
      <c r="A122" s="1">
        <v>1009</v>
      </c>
      <c r="B122" s="1">
        <v>65</v>
      </c>
      <c r="C122" s="2">
        <v>12</v>
      </c>
      <c r="D122" s="6" t="str">
        <f t="shared" si="7"/>
        <v>3.4:6.8</v>
      </c>
      <c r="E122" s="6" t="str">
        <f t="shared" si="8"/>
        <v>3.6:7.1</v>
      </c>
      <c r="F122" s="6" t="str">
        <f t="shared" si="9"/>
        <v>3.7:7.5</v>
      </c>
      <c r="G122" s="6" t="str">
        <f t="shared" si="10"/>
        <v>3.9:7.8</v>
      </c>
      <c r="H122" s="7">
        <v>3.4</v>
      </c>
      <c r="I122" s="7">
        <v>6.8</v>
      </c>
      <c r="J122" s="7">
        <v>3.6</v>
      </c>
      <c r="K122" s="7">
        <v>7.1</v>
      </c>
      <c r="L122" s="7">
        <v>3.7</v>
      </c>
      <c r="M122" s="7">
        <v>7.5</v>
      </c>
      <c r="N122" s="7">
        <v>3.9</v>
      </c>
      <c r="O122" s="7">
        <v>7.8</v>
      </c>
    </row>
    <row r="123" s="1" customFormat="1" spans="1:15">
      <c r="A123" s="1">
        <v>1010</v>
      </c>
      <c r="B123" s="1">
        <v>65</v>
      </c>
      <c r="C123" s="2">
        <v>13</v>
      </c>
      <c r="D123" s="6" t="str">
        <f t="shared" si="7"/>
        <v>17:34</v>
      </c>
      <c r="E123" s="6" t="str">
        <f t="shared" si="8"/>
        <v>17.9:35.7</v>
      </c>
      <c r="F123" s="6" t="str">
        <f t="shared" si="9"/>
        <v>18.7:37.5</v>
      </c>
      <c r="G123" s="6" t="str">
        <f t="shared" si="10"/>
        <v>19.5:39.2</v>
      </c>
      <c r="H123" s="7">
        <v>17</v>
      </c>
      <c r="I123" s="7">
        <v>34</v>
      </c>
      <c r="J123" s="7">
        <v>17.9</v>
      </c>
      <c r="K123" s="7">
        <v>35.7</v>
      </c>
      <c r="L123" s="7">
        <v>18.7</v>
      </c>
      <c r="M123" s="7">
        <v>37.5</v>
      </c>
      <c r="N123" s="7">
        <v>19.5</v>
      </c>
      <c r="O123" s="7">
        <v>39.2</v>
      </c>
    </row>
    <row r="124" s="1" customFormat="1" spans="1:15">
      <c r="A124" s="1">
        <v>1001</v>
      </c>
      <c r="B124" s="1">
        <v>70</v>
      </c>
      <c r="C124" s="2">
        <v>1</v>
      </c>
      <c r="D124" s="6" t="str">
        <f t="shared" si="7"/>
        <v>387.2:774.4</v>
      </c>
      <c r="E124" s="6" t="str">
        <f t="shared" si="8"/>
        <v>406.6:813.1</v>
      </c>
      <c r="F124" s="6" t="str">
        <f t="shared" si="9"/>
        <v>425.9:851.8</v>
      </c>
      <c r="G124" s="6" t="str">
        <f t="shared" si="10"/>
        <v>445.3:890.5</v>
      </c>
      <c r="H124" s="7">
        <v>387.2</v>
      </c>
      <c r="I124" s="7">
        <v>774.4</v>
      </c>
      <c r="J124" s="7">
        <v>406.6</v>
      </c>
      <c r="K124" s="7">
        <v>813.1</v>
      </c>
      <c r="L124" s="7">
        <v>425.9</v>
      </c>
      <c r="M124" s="7">
        <v>851.8</v>
      </c>
      <c r="N124" s="7">
        <v>445.3</v>
      </c>
      <c r="O124" s="7">
        <v>890.5</v>
      </c>
    </row>
    <row r="125" s="1" customFormat="1" spans="1:15">
      <c r="A125" s="1">
        <v>1002</v>
      </c>
      <c r="B125" s="1">
        <v>70</v>
      </c>
      <c r="C125" s="2">
        <v>2</v>
      </c>
      <c r="D125" s="6" t="str">
        <f t="shared" si="7"/>
        <v>48.9:97.8</v>
      </c>
      <c r="E125" s="6" t="str">
        <f t="shared" si="8"/>
        <v>51.3:102.6</v>
      </c>
      <c r="F125" s="6" t="str">
        <f t="shared" si="9"/>
        <v>53.8:107.5</v>
      </c>
      <c r="G125" s="6" t="str">
        <f t="shared" si="10"/>
        <v>56.2:112.4</v>
      </c>
      <c r="H125" s="7">
        <v>48.9</v>
      </c>
      <c r="I125" s="7">
        <v>97.8</v>
      </c>
      <c r="J125" s="7">
        <v>51.3</v>
      </c>
      <c r="K125" s="7">
        <v>102.6</v>
      </c>
      <c r="L125" s="7">
        <v>53.8</v>
      </c>
      <c r="M125" s="7">
        <v>107.5</v>
      </c>
      <c r="N125" s="7">
        <v>56.2</v>
      </c>
      <c r="O125" s="7">
        <v>112.4</v>
      </c>
    </row>
    <row r="126" s="1" customFormat="1" spans="1:15">
      <c r="A126" s="1">
        <v>1003</v>
      </c>
      <c r="B126" s="1">
        <v>70</v>
      </c>
      <c r="C126" s="2">
        <v>4</v>
      </c>
      <c r="D126" s="6" t="str">
        <f t="shared" si="7"/>
        <v>30.7:61.4</v>
      </c>
      <c r="E126" s="6" t="str">
        <f t="shared" si="8"/>
        <v>32.3:64.5</v>
      </c>
      <c r="F126" s="6" t="str">
        <f t="shared" si="9"/>
        <v>33.8:67.6</v>
      </c>
      <c r="G126" s="6" t="str">
        <f t="shared" si="10"/>
        <v>35.3:70.6</v>
      </c>
      <c r="H126" s="7">
        <v>30.7</v>
      </c>
      <c r="I126" s="7">
        <v>61.4</v>
      </c>
      <c r="J126" s="7">
        <v>32.3</v>
      </c>
      <c r="K126" s="7">
        <v>64.5</v>
      </c>
      <c r="L126" s="7">
        <v>33.8</v>
      </c>
      <c r="M126" s="7">
        <v>67.6</v>
      </c>
      <c r="N126" s="7">
        <v>35.3</v>
      </c>
      <c r="O126" s="7">
        <v>70.6</v>
      </c>
    </row>
    <row r="127" s="1" customFormat="1" spans="1:15">
      <c r="A127" s="1">
        <v>1004</v>
      </c>
      <c r="B127" s="1">
        <v>70</v>
      </c>
      <c r="C127" s="2">
        <v>3</v>
      </c>
      <c r="D127" s="6" t="str">
        <f t="shared" si="7"/>
        <v>48.9:97.8</v>
      </c>
      <c r="E127" s="6" t="str">
        <f t="shared" si="8"/>
        <v>51.3:102.6</v>
      </c>
      <c r="F127" s="6" t="str">
        <f t="shared" si="9"/>
        <v>53.8:107.5</v>
      </c>
      <c r="G127" s="6" t="str">
        <f t="shared" si="10"/>
        <v>56.2:112.4</v>
      </c>
      <c r="H127" s="7">
        <v>48.9</v>
      </c>
      <c r="I127" s="7">
        <v>97.8</v>
      </c>
      <c r="J127" s="7">
        <v>51.3</v>
      </c>
      <c r="K127" s="7">
        <v>102.6</v>
      </c>
      <c r="L127" s="7">
        <v>53.8</v>
      </c>
      <c r="M127" s="7">
        <v>107.5</v>
      </c>
      <c r="N127" s="7">
        <v>56.2</v>
      </c>
      <c r="O127" s="7">
        <v>112.4</v>
      </c>
    </row>
    <row r="128" s="1" customFormat="1" spans="1:15">
      <c r="A128" s="1">
        <v>1005</v>
      </c>
      <c r="B128" s="1">
        <v>70</v>
      </c>
      <c r="C128" s="2">
        <v>27</v>
      </c>
      <c r="D128" s="6" t="str">
        <f t="shared" si="7"/>
        <v>30.7:61.4</v>
      </c>
      <c r="E128" s="6" t="str">
        <f t="shared" si="8"/>
        <v>32.3:64.5</v>
      </c>
      <c r="F128" s="6" t="str">
        <f t="shared" si="9"/>
        <v>33.8:67.6</v>
      </c>
      <c r="G128" s="6" t="str">
        <f t="shared" si="10"/>
        <v>35.3:70.6</v>
      </c>
      <c r="H128" s="7">
        <v>30.7</v>
      </c>
      <c r="I128" s="7">
        <v>61.4</v>
      </c>
      <c r="J128" s="7">
        <v>32.3</v>
      </c>
      <c r="K128" s="7">
        <v>64.5</v>
      </c>
      <c r="L128" s="7">
        <v>33.8</v>
      </c>
      <c r="M128" s="7">
        <v>67.6</v>
      </c>
      <c r="N128" s="7">
        <v>35.3</v>
      </c>
      <c r="O128" s="7">
        <v>70.6</v>
      </c>
    </row>
    <row r="129" s="1" customFormat="1" spans="1:15">
      <c r="A129" s="1">
        <v>1006</v>
      </c>
      <c r="B129" s="1">
        <v>70</v>
      </c>
      <c r="C129" s="2">
        <v>28</v>
      </c>
      <c r="D129" s="6" t="str">
        <f t="shared" si="7"/>
        <v>9.1:18.2</v>
      </c>
      <c r="E129" s="6" t="str">
        <f t="shared" si="8"/>
        <v>9.5:19.1</v>
      </c>
      <c r="F129" s="6" t="str">
        <f t="shared" si="9"/>
        <v>10:20</v>
      </c>
      <c r="G129" s="6" t="str">
        <f t="shared" si="10"/>
        <v>10.4:20.9</v>
      </c>
      <c r="H129" s="7">
        <v>9.1</v>
      </c>
      <c r="I129" s="7">
        <v>18.2</v>
      </c>
      <c r="J129" s="7">
        <v>9.5</v>
      </c>
      <c r="K129" s="7">
        <v>19.1</v>
      </c>
      <c r="L129" s="7">
        <v>10</v>
      </c>
      <c r="M129" s="7">
        <v>20</v>
      </c>
      <c r="N129" s="7">
        <v>10.4</v>
      </c>
      <c r="O129" s="7">
        <v>20.9</v>
      </c>
    </row>
    <row r="130" s="1" customFormat="1" spans="1:15">
      <c r="A130" s="1">
        <v>1007</v>
      </c>
      <c r="B130" s="1">
        <v>70</v>
      </c>
      <c r="C130" s="2">
        <v>7</v>
      </c>
      <c r="D130" s="6" t="str">
        <f t="shared" si="7"/>
        <v>18.2:36.3</v>
      </c>
      <c r="E130" s="6" t="str">
        <f t="shared" si="8"/>
        <v>19.1:38.1</v>
      </c>
      <c r="F130" s="6" t="str">
        <f t="shared" si="9"/>
        <v>20:40</v>
      </c>
      <c r="G130" s="6" t="str">
        <f t="shared" si="10"/>
        <v>20.9:41.8</v>
      </c>
      <c r="H130" s="7">
        <v>18.2</v>
      </c>
      <c r="I130" s="7">
        <v>36.3</v>
      </c>
      <c r="J130" s="7">
        <v>19.1</v>
      </c>
      <c r="K130" s="7">
        <v>38.1</v>
      </c>
      <c r="L130" s="7">
        <v>20</v>
      </c>
      <c r="M130" s="7">
        <v>40</v>
      </c>
      <c r="N130" s="7">
        <v>20.9</v>
      </c>
      <c r="O130" s="7">
        <v>41.8</v>
      </c>
    </row>
    <row r="131" s="1" customFormat="1" spans="1:15">
      <c r="A131" s="1">
        <v>1008</v>
      </c>
      <c r="B131" s="1">
        <v>70</v>
      </c>
      <c r="C131" s="2">
        <v>5</v>
      </c>
      <c r="D131" s="6" t="str">
        <f t="shared" si="7"/>
        <v>18.2:36.3</v>
      </c>
      <c r="E131" s="6" t="str">
        <f t="shared" si="8"/>
        <v>19.1:38.1</v>
      </c>
      <c r="F131" s="6" t="str">
        <f t="shared" si="9"/>
        <v>20:40</v>
      </c>
      <c r="G131" s="6" t="str">
        <f t="shared" si="10"/>
        <v>20.9:41.8</v>
      </c>
      <c r="H131" s="7">
        <v>18.2</v>
      </c>
      <c r="I131" s="7">
        <v>36.3</v>
      </c>
      <c r="J131" s="7">
        <v>19.1</v>
      </c>
      <c r="K131" s="7">
        <v>38.1</v>
      </c>
      <c r="L131" s="7">
        <v>20</v>
      </c>
      <c r="M131" s="7">
        <v>40</v>
      </c>
      <c r="N131" s="7">
        <v>20.9</v>
      </c>
      <c r="O131" s="7">
        <v>41.8</v>
      </c>
    </row>
    <row r="132" s="1" customFormat="1" spans="1:15">
      <c r="A132" s="1">
        <v>1009</v>
      </c>
      <c r="B132" s="1">
        <v>70</v>
      </c>
      <c r="C132" s="2">
        <v>12</v>
      </c>
      <c r="D132" s="6" t="str">
        <f>H132&amp;":"&amp;I132</f>
        <v>3.6:7.3</v>
      </c>
      <c r="E132" s="6" t="str">
        <f>J132&amp;":"&amp;K132</f>
        <v>3.8:7.6</v>
      </c>
      <c r="F132" s="6" t="str">
        <f>L132&amp;":"&amp;M132</f>
        <v>4:8</v>
      </c>
      <c r="G132" s="6" t="str">
        <f>N132&amp;":"&amp;O132</f>
        <v>4.2:8.4</v>
      </c>
      <c r="H132" s="7">
        <v>3.6</v>
      </c>
      <c r="I132" s="7">
        <v>7.3</v>
      </c>
      <c r="J132" s="7">
        <v>3.8</v>
      </c>
      <c r="K132" s="7">
        <v>7.6</v>
      </c>
      <c r="L132" s="7">
        <v>4</v>
      </c>
      <c r="M132" s="7">
        <v>8</v>
      </c>
      <c r="N132" s="7">
        <v>4.2</v>
      </c>
      <c r="O132" s="7">
        <v>8.4</v>
      </c>
    </row>
    <row r="133" s="1" customFormat="1" spans="1:15">
      <c r="A133" s="1">
        <v>1010</v>
      </c>
      <c r="B133" s="1">
        <v>70</v>
      </c>
      <c r="C133" s="2">
        <v>13</v>
      </c>
      <c r="D133" s="6" t="str">
        <f>H133&amp;":"&amp;I133</f>
        <v>18.2:36.3</v>
      </c>
      <c r="E133" s="6" t="str">
        <f>J133&amp;":"&amp;K133</f>
        <v>19.1:38.1</v>
      </c>
      <c r="F133" s="6" t="str">
        <f>L133&amp;":"&amp;M133</f>
        <v>20:40</v>
      </c>
      <c r="G133" s="6" t="str">
        <f>N133&amp;":"&amp;O133</f>
        <v>20.9:41.8</v>
      </c>
      <c r="H133" s="7">
        <v>18.2</v>
      </c>
      <c r="I133" s="7">
        <v>36.3</v>
      </c>
      <c r="J133" s="7">
        <v>19.1</v>
      </c>
      <c r="K133" s="7">
        <v>38.1</v>
      </c>
      <c r="L133" s="7">
        <v>20</v>
      </c>
      <c r="M133" s="7">
        <v>40</v>
      </c>
      <c r="N133" s="7">
        <v>20.9</v>
      </c>
      <c r="O133" s="7">
        <v>41.8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workbookViewId="0">
      <selection activeCell="A1" sqref="$A1:$XFD1048576"/>
    </sheetView>
  </sheetViews>
  <sheetFormatPr defaultColWidth="9" defaultRowHeight="16.5"/>
  <cols>
    <col min="1" max="2" width="9" style="1"/>
    <col min="3" max="3" width="11.875" style="2" customWidth="1"/>
    <col min="4" max="7" width="11.625" style="1" customWidth="1"/>
    <col min="8" max="9" width="9" style="1"/>
    <col min="10" max="11" width="10.375" style="1"/>
    <col min="12" max="13" width="9.375" style="1"/>
    <col min="14" max="15" width="10.375" style="1"/>
    <col min="16" max="18" width="9" style="1"/>
    <col min="19" max="20" width="10.25" style="1"/>
    <col min="21" max="21" width="12.625" style="1"/>
    <col min="22" max="22" width="11.5" style="1"/>
    <col min="23" max="24" width="12.625" style="1"/>
    <col min="25" max="16384" width="9" style="1"/>
  </cols>
  <sheetData>
    <row r="1" s="1" customFormat="1" ht="17.25" spans="1:7">
      <c r="A1" s="1" t="s">
        <v>0</v>
      </c>
      <c r="B1" s="3" t="s">
        <v>1</v>
      </c>
      <c r="C1" s="1" t="s">
        <v>2</v>
      </c>
      <c r="D1" s="4" t="s">
        <v>36</v>
      </c>
      <c r="E1" s="4" t="s">
        <v>36</v>
      </c>
      <c r="F1" s="4" t="s">
        <v>36</v>
      </c>
      <c r="G1" s="4" t="s">
        <v>36</v>
      </c>
    </row>
    <row r="2" s="1" customFormat="1" spans="1:7">
      <c r="A2" s="5" t="s">
        <v>11</v>
      </c>
      <c r="B2" s="5" t="s">
        <v>11</v>
      </c>
      <c r="C2" s="5" t="s">
        <v>11</v>
      </c>
      <c r="D2" s="1" t="s">
        <v>12</v>
      </c>
      <c r="E2" s="1" t="s">
        <v>12</v>
      </c>
      <c r="F2" s="1" t="s">
        <v>12</v>
      </c>
      <c r="G2" s="1" t="s">
        <v>12</v>
      </c>
    </row>
    <row r="3" s="1" customFormat="1" spans="1:7">
      <c r="A3" s="1" t="s">
        <v>13</v>
      </c>
      <c r="B3" s="1" t="s">
        <v>14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</row>
    <row r="4" s="1" customFormat="1" spans="1:28">
      <c r="A4" s="1">
        <v>1001</v>
      </c>
      <c r="B4" s="1">
        <v>1</v>
      </c>
      <c r="C4" s="2">
        <v>1</v>
      </c>
      <c r="D4" s="6" t="str">
        <f t="shared" ref="D4:D67" si="0">H4&amp;":"&amp;I4</f>
        <v>49:98</v>
      </c>
      <c r="E4" s="6" t="str">
        <f t="shared" ref="E4:E67" si="1">J4&amp;":"&amp;K4</f>
        <v>51.5:102.9</v>
      </c>
      <c r="F4" s="6" t="str">
        <f t="shared" ref="F4:F67" si="2">L4&amp;":"&amp;M4</f>
        <v>53.9:107.8</v>
      </c>
      <c r="G4" s="6" t="str">
        <f t="shared" ref="G4:G67" si="3">N4&amp;":"&amp;O4</f>
        <v>56.4:112.7</v>
      </c>
      <c r="H4" s="1">
        <f t="shared" ref="H4:H13" si="4">Y4</f>
        <v>49</v>
      </c>
      <c r="I4" s="1">
        <f t="shared" ref="I4:I13" si="5">U4</f>
        <v>98</v>
      </c>
      <c r="J4" s="1">
        <f t="shared" ref="J4:J13" si="6">Z4</f>
        <v>51.5</v>
      </c>
      <c r="K4" s="1">
        <f t="shared" ref="K4:K13" si="7">V4</f>
        <v>102.9</v>
      </c>
      <c r="L4" s="1">
        <f t="shared" ref="L4:L13" si="8">AA4</f>
        <v>53.9</v>
      </c>
      <c r="M4" s="1">
        <f t="shared" ref="M4:M13" si="9">W4</f>
        <v>107.8</v>
      </c>
      <c r="N4" s="1">
        <f t="shared" ref="N4:N13" si="10">AB4</f>
        <v>56.4</v>
      </c>
      <c r="O4" s="1">
        <f t="shared" ref="O4:O13" si="11">X4</f>
        <v>112.7</v>
      </c>
      <c r="Q4" s="1">
        <v>21.31</v>
      </c>
      <c r="R4" s="7">
        <f>Q4*0.46</f>
        <v>9.8026</v>
      </c>
      <c r="S4" s="7">
        <v>225.5</v>
      </c>
      <c r="T4" s="7">
        <v>112.7</v>
      </c>
      <c r="U4" s="7">
        <v>98</v>
      </c>
      <c r="V4" s="7">
        <v>102.9</v>
      </c>
      <c r="W4" s="7">
        <v>107.8</v>
      </c>
      <c r="X4" s="7">
        <v>112.7</v>
      </c>
      <c r="Y4" s="7">
        <v>49</v>
      </c>
      <c r="Z4" s="7">
        <v>51.5</v>
      </c>
      <c r="AA4" s="7">
        <v>53.9</v>
      </c>
      <c r="AB4" s="7">
        <v>56.4</v>
      </c>
    </row>
    <row r="5" s="1" customFormat="1" spans="1:28">
      <c r="A5" s="1">
        <v>1002</v>
      </c>
      <c r="B5" s="1">
        <v>1</v>
      </c>
      <c r="C5" s="2">
        <v>2</v>
      </c>
      <c r="D5" s="6" t="str">
        <f t="shared" si="0"/>
        <v>6.2:12.4</v>
      </c>
      <c r="E5" s="6" t="str">
        <f t="shared" si="1"/>
        <v>6.5:13</v>
      </c>
      <c r="F5" s="6" t="str">
        <f t="shared" si="2"/>
        <v>6.8:13.6</v>
      </c>
      <c r="G5" s="6" t="str">
        <f t="shared" si="3"/>
        <v>7.1:14.2</v>
      </c>
      <c r="H5" s="1">
        <f t="shared" si="4"/>
        <v>6.2</v>
      </c>
      <c r="I5" s="1">
        <f t="shared" si="5"/>
        <v>12.4</v>
      </c>
      <c r="J5" s="1">
        <f t="shared" si="6"/>
        <v>6.5</v>
      </c>
      <c r="K5" s="1">
        <f t="shared" si="7"/>
        <v>13</v>
      </c>
      <c r="L5" s="1">
        <f t="shared" si="8"/>
        <v>6.8</v>
      </c>
      <c r="M5" s="1">
        <f t="shared" si="9"/>
        <v>13.6</v>
      </c>
      <c r="N5" s="1">
        <f t="shared" si="10"/>
        <v>7.1</v>
      </c>
      <c r="O5" s="1">
        <f t="shared" si="11"/>
        <v>14.2</v>
      </c>
      <c r="Q5" s="1">
        <v>2.69</v>
      </c>
      <c r="R5" s="7">
        <f t="shared" ref="R5:R13" si="12">Q5*0.46</f>
        <v>1.2374</v>
      </c>
      <c r="S5" s="7">
        <v>28.5</v>
      </c>
      <c r="T5" s="7">
        <v>14.2</v>
      </c>
      <c r="U5" s="7">
        <v>12.4</v>
      </c>
      <c r="V5" s="7">
        <v>13</v>
      </c>
      <c r="W5" s="7">
        <v>13.6</v>
      </c>
      <c r="X5" s="7">
        <v>14.2</v>
      </c>
      <c r="Y5" s="7">
        <v>6.2</v>
      </c>
      <c r="Z5" s="7">
        <v>6.5</v>
      </c>
      <c r="AA5" s="7">
        <v>6.8</v>
      </c>
      <c r="AB5" s="7">
        <v>7.1</v>
      </c>
    </row>
    <row r="6" s="1" customFormat="1" spans="1:28">
      <c r="A6" s="1">
        <v>1003</v>
      </c>
      <c r="B6" s="1">
        <v>1</v>
      </c>
      <c r="C6" s="2">
        <v>4</v>
      </c>
      <c r="D6" s="6" t="str">
        <f t="shared" si="0"/>
        <v>3.9:7.8</v>
      </c>
      <c r="E6" s="6" t="str">
        <f t="shared" si="1"/>
        <v>4.1:8.2</v>
      </c>
      <c r="F6" s="6" t="str">
        <f t="shared" si="2"/>
        <v>4.3:8.6</v>
      </c>
      <c r="G6" s="6" t="str">
        <f t="shared" si="3"/>
        <v>4.5:8.9</v>
      </c>
      <c r="H6" s="1">
        <f t="shared" si="4"/>
        <v>3.9</v>
      </c>
      <c r="I6" s="1">
        <f t="shared" si="5"/>
        <v>7.8</v>
      </c>
      <c r="J6" s="1">
        <f t="shared" si="6"/>
        <v>4.1</v>
      </c>
      <c r="K6" s="1">
        <f t="shared" si="7"/>
        <v>8.2</v>
      </c>
      <c r="L6" s="1">
        <f t="shared" si="8"/>
        <v>4.3</v>
      </c>
      <c r="M6" s="1">
        <f t="shared" si="9"/>
        <v>8.6</v>
      </c>
      <c r="N6" s="1">
        <f t="shared" si="10"/>
        <v>4.5</v>
      </c>
      <c r="O6" s="1">
        <f t="shared" si="11"/>
        <v>8.9</v>
      </c>
      <c r="Q6" s="1">
        <v>1.69</v>
      </c>
      <c r="R6" s="7">
        <f t="shared" si="12"/>
        <v>0.7774</v>
      </c>
      <c r="S6" s="7">
        <v>17.9</v>
      </c>
      <c r="T6" s="7">
        <v>8.9</v>
      </c>
      <c r="U6" s="7">
        <v>7.8</v>
      </c>
      <c r="V6" s="7">
        <v>8.2</v>
      </c>
      <c r="W6" s="7">
        <v>8.6</v>
      </c>
      <c r="X6" s="7">
        <v>8.9</v>
      </c>
      <c r="Y6" s="7">
        <v>3.9</v>
      </c>
      <c r="Z6" s="7">
        <v>4.1</v>
      </c>
      <c r="AA6" s="7">
        <v>4.3</v>
      </c>
      <c r="AB6" s="7">
        <v>4.5</v>
      </c>
    </row>
    <row r="7" s="1" customFormat="1" spans="1:28">
      <c r="A7" s="1">
        <v>1004</v>
      </c>
      <c r="B7" s="1">
        <v>1</v>
      </c>
      <c r="C7" s="2">
        <v>3</v>
      </c>
      <c r="D7" s="6" t="str">
        <f t="shared" si="0"/>
        <v>6.2:12.4</v>
      </c>
      <c r="E7" s="6" t="str">
        <f t="shared" si="1"/>
        <v>6.5:13</v>
      </c>
      <c r="F7" s="6" t="str">
        <f t="shared" si="2"/>
        <v>6.8:13.6</v>
      </c>
      <c r="G7" s="6" t="str">
        <f t="shared" si="3"/>
        <v>7.1:14.2</v>
      </c>
      <c r="H7" s="1">
        <f t="shared" si="4"/>
        <v>6.2</v>
      </c>
      <c r="I7" s="1">
        <f t="shared" si="5"/>
        <v>12.4</v>
      </c>
      <c r="J7" s="1">
        <f t="shared" si="6"/>
        <v>6.5</v>
      </c>
      <c r="K7" s="1">
        <f t="shared" si="7"/>
        <v>13</v>
      </c>
      <c r="L7" s="1">
        <f t="shared" si="8"/>
        <v>6.8</v>
      </c>
      <c r="M7" s="1">
        <f t="shared" si="9"/>
        <v>13.6</v>
      </c>
      <c r="N7" s="1">
        <f t="shared" si="10"/>
        <v>7.1</v>
      </c>
      <c r="O7" s="1">
        <f t="shared" si="11"/>
        <v>14.2</v>
      </c>
      <c r="Q7" s="1">
        <v>2.69</v>
      </c>
      <c r="R7" s="7">
        <f t="shared" si="12"/>
        <v>1.2374</v>
      </c>
      <c r="S7" s="7">
        <v>28.5</v>
      </c>
      <c r="T7" s="7">
        <v>14.2</v>
      </c>
      <c r="U7" s="7">
        <v>12.4</v>
      </c>
      <c r="V7" s="7">
        <v>13</v>
      </c>
      <c r="W7" s="7">
        <v>13.6</v>
      </c>
      <c r="X7" s="7">
        <v>14.2</v>
      </c>
      <c r="Y7" s="7">
        <v>6.2</v>
      </c>
      <c r="Z7" s="7">
        <v>6.5</v>
      </c>
      <c r="AA7" s="7">
        <v>6.8</v>
      </c>
      <c r="AB7" s="7">
        <v>7.1</v>
      </c>
    </row>
    <row r="8" s="1" customFormat="1" spans="1:28">
      <c r="A8" s="1">
        <v>1005</v>
      </c>
      <c r="B8" s="1">
        <v>1</v>
      </c>
      <c r="C8" s="2">
        <v>27</v>
      </c>
      <c r="D8" s="6" t="str">
        <f t="shared" si="0"/>
        <v>3.9:7.8</v>
      </c>
      <c r="E8" s="6" t="str">
        <f t="shared" si="1"/>
        <v>4.1:8.2</v>
      </c>
      <c r="F8" s="6" t="str">
        <f t="shared" si="2"/>
        <v>4.3:8.6</v>
      </c>
      <c r="G8" s="6" t="str">
        <f t="shared" si="3"/>
        <v>4.5:8.9</v>
      </c>
      <c r="H8" s="1">
        <f t="shared" si="4"/>
        <v>3.9</v>
      </c>
      <c r="I8" s="1">
        <f t="shared" si="5"/>
        <v>7.8</v>
      </c>
      <c r="J8" s="1">
        <f t="shared" si="6"/>
        <v>4.1</v>
      </c>
      <c r="K8" s="1">
        <f t="shared" si="7"/>
        <v>8.2</v>
      </c>
      <c r="L8" s="1">
        <f t="shared" si="8"/>
        <v>4.3</v>
      </c>
      <c r="M8" s="1">
        <f t="shared" si="9"/>
        <v>8.6</v>
      </c>
      <c r="N8" s="1">
        <f t="shared" si="10"/>
        <v>4.5</v>
      </c>
      <c r="O8" s="1">
        <f t="shared" si="11"/>
        <v>8.9</v>
      </c>
      <c r="Q8" s="1">
        <v>1.69</v>
      </c>
      <c r="R8" s="7">
        <f t="shared" si="12"/>
        <v>0.7774</v>
      </c>
      <c r="S8" s="7">
        <v>17.9</v>
      </c>
      <c r="T8" s="7">
        <v>8.9</v>
      </c>
      <c r="U8" s="7">
        <v>7.8</v>
      </c>
      <c r="V8" s="7">
        <v>8.2</v>
      </c>
      <c r="W8" s="7">
        <v>8.6</v>
      </c>
      <c r="X8" s="7">
        <v>8.9</v>
      </c>
      <c r="Y8" s="7">
        <v>3.9</v>
      </c>
      <c r="Z8" s="7">
        <v>4.1</v>
      </c>
      <c r="AA8" s="7">
        <v>4.3</v>
      </c>
      <c r="AB8" s="7">
        <v>4.5</v>
      </c>
    </row>
    <row r="9" s="1" customFormat="1" spans="1:28">
      <c r="A9" s="1">
        <v>1006</v>
      </c>
      <c r="B9" s="1">
        <v>1</v>
      </c>
      <c r="C9" s="2">
        <v>28</v>
      </c>
      <c r="D9" s="6" t="str">
        <f t="shared" si="0"/>
        <v>1.2:2.3</v>
      </c>
      <c r="E9" s="6" t="str">
        <f t="shared" si="1"/>
        <v>1.2:2.4</v>
      </c>
      <c r="F9" s="6" t="str">
        <f t="shared" si="2"/>
        <v>1.3:2.5</v>
      </c>
      <c r="G9" s="6" t="str">
        <f t="shared" si="3"/>
        <v>1.3:2.6</v>
      </c>
      <c r="H9" s="1">
        <f t="shared" si="4"/>
        <v>1.2</v>
      </c>
      <c r="I9" s="1">
        <f t="shared" si="5"/>
        <v>2.3</v>
      </c>
      <c r="J9" s="1">
        <f t="shared" si="6"/>
        <v>1.2</v>
      </c>
      <c r="K9" s="1">
        <f t="shared" si="7"/>
        <v>2.4</v>
      </c>
      <c r="L9" s="1">
        <f t="shared" si="8"/>
        <v>1.3</v>
      </c>
      <c r="M9" s="1">
        <f t="shared" si="9"/>
        <v>2.5</v>
      </c>
      <c r="N9" s="1">
        <f t="shared" si="10"/>
        <v>1.3</v>
      </c>
      <c r="O9" s="1">
        <f t="shared" si="11"/>
        <v>2.6</v>
      </c>
      <c r="Q9" s="1">
        <v>0.5</v>
      </c>
      <c r="R9" s="7">
        <f t="shared" si="12"/>
        <v>0.23</v>
      </c>
      <c r="S9" s="7">
        <v>5.3</v>
      </c>
      <c r="T9" s="7">
        <v>2.6</v>
      </c>
      <c r="U9" s="7">
        <v>2.3</v>
      </c>
      <c r="V9" s="7">
        <v>2.4</v>
      </c>
      <c r="W9" s="7">
        <v>2.5</v>
      </c>
      <c r="X9" s="7">
        <v>2.6</v>
      </c>
      <c r="Y9" s="7">
        <v>1.2</v>
      </c>
      <c r="Z9" s="7">
        <v>1.2</v>
      </c>
      <c r="AA9" s="7">
        <v>1.3</v>
      </c>
      <c r="AB9" s="7">
        <v>1.3</v>
      </c>
    </row>
    <row r="10" s="1" customFormat="1" spans="1:28">
      <c r="A10" s="1">
        <v>1007</v>
      </c>
      <c r="B10" s="1">
        <v>1</v>
      </c>
      <c r="C10" s="2">
        <v>7</v>
      </c>
      <c r="D10" s="6" t="str">
        <f t="shared" si="0"/>
        <v>2.3:4.6</v>
      </c>
      <c r="E10" s="6" t="str">
        <f t="shared" si="1"/>
        <v>2.4:4.8</v>
      </c>
      <c r="F10" s="6" t="str">
        <f t="shared" si="2"/>
        <v>2.5:5.1</v>
      </c>
      <c r="G10" s="6" t="str">
        <f t="shared" si="3"/>
        <v>2.6:5.3</v>
      </c>
      <c r="H10" s="1">
        <f t="shared" si="4"/>
        <v>2.3</v>
      </c>
      <c r="I10" s="1">
        <f t="shared" si="5"/>
        <v>4.6</v>
      </c>
      <c r="J10" s="1">
        <f t="shared" si="6"/>
        <v>2.4</v>
      </c>
      <c r="K10" s="1">
        <f t="shared" si="7"/>
        <v>4.8</v>
      </c>
      <c r="L10" s="1">
        <f t="shared" si="8"/>
        <v>2.5</v>
      </c>
      <c r="M10" s="1">
        <f t="shared" si="9"/>
        <v>5.1</v>
      </c>
      <c r="N10" s="1">
        <f t="shared" si="10"/>
        <v>2.6</v>
      </c>
      <c r="O10" s="1">
        <f t="shared" si="11"/>
        <v>5.3</v>
      </c>
      <c r="Q10" s="1">
        <v>1</v>
      </c>
      <c r="R10" s="7">
        <f t="shared" si="12"/>
        <v>0.46</v>
      </c>
      <c r="S10" s="7">
        <v>10.6</v>
      </c>
      <c r="T10" s="7">
        <v>5.3</v>
      </c>
      <c r="U10" s="7">
        <v>4.6</v>
      </c>
      <c r="V10" s="7">
        <v>4.8</v>
      </c>
      <c r="W10" s="7">
        <v>5.1</v>
      </c>
      <c r="X10" s="7">
        <v>5.3</v>
      </c>
      <c r="Y10" s="7">
        <v>2.3</v>
      </c>
      <c r="Z10" s="7">
        <v>2.4</v>
      </c>
      <c r="AA10" s="7">
        <v>2.5</v>
      </c>
      <c r="AB10" s="7">
        <v>2.6</v>
      </c>
    </row>
    <row r="11" s="1" customFormat="1" spans="1:28">
      <c r="A11" s="1">
        <v>1008</v>
      </c>
      <c r="B11" s="1">
        <v>1</v>
      </c>
      <c r="C11" s="2">
        <v>5</v>
      </c>
      <c r="D11" s="6" t="str">
        <f t="shared" si="0"/>
        <v>2.3:4.6</v>
      </c>
      <c r="E11" s="6" t="str">
        <f t="shared" si="1"/>
        <v>2.4:4.8</v>
      </c>
      <c r="F11" s="6" t="str">
        <f t="shared" si="2"/>
        <v>2.5:5.1</v>
      </c>
      <c r="G11" s="6" t="str">
        <f t="shared" si="3"/>
        <v>2.6:5.3</v>
      </c>
      <c r="H11" s="1">
        <f t="shared" si="4"/>
        <v>2.3</v>
      </c>
      <c r="I11" s="1">
        <f t="shared" si="5"/>
        <v>4.6</v>
      </c>
      <c r="J11" s="1">
        <f t="shared" si="6"/>
        <v>2.4</v>
      </c>
      <c r="K11" s="1">
        <f t="shared" si="7"/>
        <v>4.8</v>
      </c>
      <c r="L11" s="1">
        <f t="shared" si="8"/>
        <v>2.5</v>
      </c>
      <c r="M11" s="1">
        <f t="shared" si="9"/>
        <v>5.1</v>
      </c>
      <c r="N11" s="1">
        <f t="shared" si="10"/>
        <v>2.6</v>
      </c>
      <c r="O11" s="1">
        <f t="shared" si="11"/>
        <v>5.3</v>
      </c>
      <c r="Q11" s="1">
        <v>1</v>
      </c>
      <c r="R11" s="7">
        <f t="shared" si="12"/>
        <v>0.46</v>
      </c>
      <c r="S11" s="7">
        <v>10.6</v>
      </c>
      <c r="T11" s="7">
        <v>5.3</v>
      </c>
      <c r="U11" s="7">
        <v>4.6</v>
      </c>
      <c r="V11" s="7">
        <v>4.8</v>
      </c>
      <c r="W11" s="7">
        <v>5.1</v>
      </c>
      <c r="X11" s="7">
        <v>5.3</v>
      </c>
      <c r="Y11" s="7">
        <v>2.3</v>
      </c>
      <c r="Z11" s="7">
        <v>2.4</v>
      </c>
      <c r="AA11" s="7">
        <v>2.5</v>
      </c>
      <c r="AB11" s="7">
        <v>2.6</v>
      </c>
    </row>
    <row r="12" s="1" customFormat="1" spans="1:28">
      <c r="A12" s="1">
        <v>1009</v>
      </c>
      <c r="B12" s="1">
        <v>1</v>
      </c>
      <c r="C12" s="2">
        <v>12</v>
      </c>
      <c r="D12" s="6" t="str">
        <f t="shared" si="0"/>
        <v>0.46:0.92</v>
      </c>
      <c r="E12" s="6" t="str">
        <f t="shared" si="1"/>
        <v>0.48:0.96</v>
      </c>
      <c r="F12" s="6" t="str">
        <f t="shared" si="2"/>
        <v>0.5:1.02</v>
      </c>
      <c r="G12" s="6" t="str">
        <f t="shared" si="3"/>
        <v>0.52:1.06</v>
      </c>
      <c r="H12" s="1">
        <f t="shared" si="4"/>
        <v>0.46</v>
      </c>
      <c r="I12" s="1">
        <f t="shared" si="5"/>
        <v>0.92</v>
      </c>
      <c r="J12" s="1">
        <f t="shared" si="6"/>
        <v>0.48</v>
      </c>
      <c r="K12" s="1">
        <f t="shared" si="7"/>
        <v>0.96</v>
      </c>
      <c r="L12" s="1">
        <f t="shared" si="8"/>
        <v>0.5</v>
      </c>
      <c r="M12" s="1">
        <f t="shared" si="9"/>
        <v>1.02</v>
      </c>
      <c r="N12" s="1">
        <f t="shared" si="10"/>
        <v>0.52</v>
      </c>
      <c r="O12" s="1">
        <f t="shared" si="11"/>
        <v>1.06</v>
      </c>
      <c r="Q12" s="1">
        <v>0.2</v>
      </c>
      <c r="R12" s="7">
        <f t="shared" si="12"/>
        <v>0.092</v>
      </c>
      <c r="S12" s="7">
        <f>S11/5</f>
        <v>2.12</v>
      </c>
      <c r="T12" s="7">
        <f t="shared" ref="T12:AB12" si="13">T11/5</f>
        <v>1.06</v>
      </c>
      <c r="U12" s="7">
        <f t="shared" si="13"/>
        <v>0.92</v>
      </c>
      <c r="V12" s="7">
        <f t="shared" si="13"/>
        <v>0.96</v>
      </c>
      <c r="W12" s="7">
        <f t="shared" si="13"/>
        <v>1.02</v>
      </c>
      <c r="X12" s="7">
        <f t="shared" si="13"/>
        <v>1.06</v>
      </c>
      <c r="Y12" s="7">
        <f t="shared" si="13"/>
        <v>0.46</v>
      </c>
      <c r="Z12" s="7">
        <f t="shared" si="13"/>
        <v>0.48</v>
      </c>
      <c r="AA12" s="7">
        <f t="shared" si="13"/>
        <v>0.5</v>
      </c>
      <c r="AB12" s="7">
        <f t="shared" si="13"/>
        <v>0.52</v>
      </c>
    </row>
    <row r="13" s="1" customFormat="1" spans="1:28">
      <c r="A13" s="1">
        <v>1010</v>
      </c>
      <c r="B13" s="1">
        <v>1</v>
      </c>
      <c r="C13" s="2">
        <v>13</v>
      </c>
      <c r="D13" s="6" t="str">
        <f t="shared" si="0"/>
        <v>2.3:4.6</v>
      </c>
      <c r="E13" s="6" t="str">
        <f t="shared" si="1"/>
        <v>2.4:4.8</v>
      </c>
      <c r="F13" s="6" t="str">
        <f t="shared" si="2"/>
        <v>2.5:5.1</v>
      </c>
      <c r="G13" s="6" t="str">
        <f t="shared" si="3"/>
        <v>2.6:5.3</v>
      </c>
      <c r="H13" s="1">
        <f t="shared" si="4"/>
        <v>2.3</v>
      </c>
      <c r="I13" s="1">
        <f t="shared" si="5"/>
        <v>4.6</v>
      </c>
      <c r="J13" s="1">
        <f t="shared" si="6"/>
        <v>2.4</v>
      </c>
      <c r="K13" s="1">
        <f t="shared" si="7"/>
        <v>4.8</v>
      </c>
      <c r="L13" s="1">
        <f t="shared" si="8"/>
        <v>2.5</v>
      </c>
      <c r="M13" s="1">
        <f t="shared" si="9"/>
        <v>5.1</v>
      </c>
      <c r="N13" s="1">
        <f t="shared" si="10"/>
        <v>2.6</v>
      </c>
      <c r="O13" s="1">
        <f t="shared" si="11"/>
        <v>5.3</v>
      </c>
      <c r="Q13" s="1">
        <v>1</v>
      </c>
      <c r="R13" s="7">
        <f t="shared" si="12"/>
        <v>0.46</v>
      </c>
      <c r="S13" s="7">
        <f>S11</f>
        <v>10.6</v>
      </c>
      <c r="T13" s="7">
        <f t="shared" ref="T13:AB13" si="14">T11</f>
        <v>5.3</v>
      </c>
      <c r="U13" s="7">
        <f t="shared" si="14"/>
        <v>4.6</v>
      </c>
      <c r="V13" s="7">
        <f t="shared" si="14"/>
        <v>4.8</v>
      </c>
      <c r="W13" s="7">
        <f t="shared" si="14"/>
        <v>5.1</v>
      </c>
      <c r="X13" s="7">
        <f t="shared" si="14"/>
        <v>5.3</v>
      </c>
      <c r="Y13" s="7">
        <f t="shared" si="14"/>
        <v>2.3</v>
      </c>
      <c r="Z13" s="7">
        <f t="shared" si="14"/>
        <v>2.4</v>
      </c>
      <c r="AA13" s="7">
        <f t="shared" si="14"/>
        <v>2.5</v>
      </c>
      <c r="AB13" s="7">
        <f t="shared" si="14"/>
        <v>2.6</v>
      </c>
    </row>
    <row r="14" s="1" customFormat="1" spans="1:15">
      <c r="A14" s="1">
        <v>1001</v>
      </c>
      <c r="B14" s="1">
        <v>5</v>
      </c>
      <c r="C14" s="2">
        <v>1</v>
      </c>
      <c r="D14" s="6" t="str">
        <f t="shared" si="0"/>
        <v>68.6052:137.2104</v>
      </c>
      <c r="E14" s="6" t="str">
        <f t="shared" si="1"/>
        <v>72.08546:144.07092</v>
      </c>
      <c r="F14" s="6" t="str">
        <f t="shared" si="2"/>
        <v>75.46572:150.93144</v>
      </c>
      <c r="G14" s="6" t="str">
        <f t="shared" si="3"/>
        <v>78.94598:157.79196</v>
      </c>
      <c r="H14" s="1">
        <f>$H4+($R$4/2)*($B14-$B4)</f>
        <v>68.6052</v>
      </c>
      <c r="I14" s="1">
        <f>$I4+$R$4*($B14-$B4)</f>
        <v>137.2104</v>
      </c>
      <c r="J14" s="1">
        <f>$J4+($R$4/2)*($B14-$B4)*1.05</f>
        <v>72.08546</v>
      </c>
      <c r="K14" s="1">
        <f>$K4+$R$4*($B14-$B4)*1.05</f>
        <v>144.07092</v>
      </c>
      <c r="L14" s="1">
        <f>$L4+($R$4/2)*($B14-$B4)*1.1</f>
        <v>75.46572</v>
      </c>
      <c r="M14" s="1">
        <f>$M4+$R$4*($B14-$B4)*1.1</f>
        <v>150.93144</v>
      </c>
      <c r="N14" s="1">
        <f>$N4+($R$4/2)*($B14-$B4)*1.15</f>
        <v>78.94598</v>
      </c>
      <c r="O14" s="1">
        <f>$O4+$R$4*($B14-$B4)*1.15</f>
        <v>157.79196</v>
      </c>
    </row>
    <row r="15" s="1" customFormat="1" spans="1:15">
      <c r="A15" s="1">
        <v>1002</v>
      </c>
      <c r="B15" s="1">
        <v>5</v>
      </c>
      <c r="C15" s="2">
        <v>2</v>
      </c>
      <c r="D15" s="6" t="str">
        <f t="shared" si="0"/>
        <v>8.6748:17.3496</v>
      </c>
      <c r="E15" s="6" t="str">
        <f t="shared" si="1"/>
        <v>9.09854:18.19708</v>
      </c>
      <c r="F15" s="6" t="str">
        <f t="shared" si="2"/>
        <v>9.52228:19.04456</v>
      </c>
      <c r="G15" s="6" t="str">
        <f t="shared" si="3"/>
        <v>9.94602:19.89204</v>
      </c>
      <c r="H15" s="1">
        <f>$H5+($R$5/2)*($B15-$B5)</f>
        <v>8.6748</v>
      </c>
      <c r="I15" s="1">
        <f>$I5+$R$5*($B15-$B5)</f>
        <v>17.3496</v>
      </c>
      <c r="J15" s="1">
        <f>$J5+($R$5/2)*($B14-$B4)*1.05</f>
        <v>9.09854</v>
      </c>
      <c r="K15" s="1">
        <f>$K5+$R$5*($B14-$B4)*1.05</f>
        <v>18.19708</v>
      </c>
      <c r="L15" s="1">
        <f>$L5+($R$5/2)*($B14-$B4)*1.1</f>
        <v>9.52228</v>
      </c>
      <c r="M15" s="1">
        <f>$M5+$R$5*($B14-$B4)*1.1</f>
        <v>19.04456</v>
      </c>
      <c r="N15" s="1">
        <f>$N5+($R$5/2)*($B14-$B4)*1.15</f>
        <v>9.94602</v>
      </c>
      <c r="O15" s="1">
        <f>$O5+$R$5*($B14-$B4)*1.15</f>
        <v>19.89204</v>
      </c>
    </row>
    <row r="16" s="1" customFormat="1" spans="1:15">
      <c r="A16" s="1">
        <v>1003</v>
      </c>
      <c r="B16" s="1">
        <v>5</v>
      </c>
      <c r="C16" s="2">
        <v>4</v>
      </c>
      <c r="D16" s="6" t="str">
        <f t="shared" si="0"/>
        <v>5.4548:10.9096</v>
      </c>
      <c r="E16" s="6" t="str">
        <f t="shared" si="1"/>
        <v>5.73254:11.46508</v>
      </c>
      <c r="F16" s="6" t="str">
        <f t="shared" si="2"/>
        <v>6.01028:12.02056</v>
      </c>
      <c r="G16" s="6" t="str">
        <f t="shared" si="3"/>
        <v>6.28802:12.47604</v>
      </c>
      <c r="H16" s="1">
        <f>$H6+($R$6/2)*($B16-$B6)</f>
        <v>5.4548</v>
      </c>
      <c r="I16" s="1">
        <f>$I6+$R$6*($B16-$B6)</f>
        <v>10.9096</v>
      </c>
      <c r="J16" s="1">
        <f>$J6+($R$6/2)*($B14-$B4)*1.05</f>
        <v>5.73254</v>
      </c>
      <c r="K16" s="1">
        <f>$K6+$R$6*($B14-$B4)*1.05</f>
        <v>11.46508</v>
      </c>
      <c r="L16" s="1">
        <f>$L6+($R$6/2)*($B14-$B4)*1.1</f>
        <v>6.01028</v>
      </c>
      <c r="M16" s="1">
        <f>$M6+$R$6*($B14-$B4)*1.1</f>
        <v>12.02056</v>
      </c>
      <c r="N16" s="1">
        <f>$N6+($R$6/2)*($B14-$B4)*1.15</f>
        <v>6.28802</v>
      </c>
      <c r="O16" s="1">
        <f>$O6+$R$6*($B14-$B4)*1.15</f>
        <v>12.47604</v>
      </c>
    </row>
    <row r="17" s="1" customFormat="1" spans="1:15">
      <c r="A17" s="1">
        <v>1004</v>
      </c>
      <c r="B17" s="1">
        <v>5</v>
      </c>
      <c r="C17" s="2">
        <v>3</v>
      </c>
      <c r="D17" s="6" t="str">
        <f t="shared" si="0"/>
        <v>8.6748:17.3496</v>
      </c>
      <c r="E17" s="6" t="str">
        <f t="shared" si="1"/>
        <v>9.09854:18.19708</v>
      </c>
      <c r="F17" s="6" t="str">
        <f t="shared" si="2"/>
        <v>9.52228:19.04456</v>
      </c>
      <c r="G17" s="6" t="str">
        <f t="shared" si="3"/>
        <v>9.94602:19.89204</v>
      </c>
      <c r="H17" s="1">
        <f>$H7+($R$7/2)*($B17-$B7)</f>
        <v>8.6748</v>
      </c>
      <c r="I17" s="1">
        <f>$I7+$R$7*($B17-$B7)</f>
        <v>17.3496</v>
      </c>
      <c r="J17" s="1">
        <f>$J7+($R$7/2)*($B14-$B4)*1.05</f>
        <v>9.09854</v>
      </c>
      <c r="K17" s="1">
        <f>$K7+$R$7*($B14-$B4)*1.05</f>
        <v>18.19708</v>
      </c>
      <c r="L17" s="1">
        <f>$L7+($R$7/2)*($B14-$B4)*1.1</f>
        <v>9.52228</v>
      </c>
      <c r="M17" s="1">
        <f>$M7+$R$7*($B14-$B4)*1.1</f>
        <v>19.04456</v>
      </c>
      <c r="N17" s="1">
        <f>$N7+($R$7/2)*($B14-$B4)*1.15</f>
        <v>9.94602</v>
      </c>
      <c r="O17" s="1">
        <f>$O7+$R$7*($B14-$B4)*1.15</f>
        <v>19.89204</v>
      </c>
    </row>
    <row r="18" s="1" customFormat="1" spans="1:15">
      <c r="A18" s="1">
        <v>1005</v>
      </c>
      <c r="B18" s="1">
        <v>5</v>
      </c>
      <c r="C18" s="2">
        <v>27</v>
      </c>
      <c r="D18" s="6" t="str">
        <f t="shared" si="0"/>
        <v>5.4548:10.9096</v>
      </c>
      <c r="E18" s="6" t="str">
        <f t="shared" si="1"/>
        <v>5.73254:11.46508</v>
      </c>
      <c r="F18" s="6" t="str">
        <f t="shared" si="2"/>
        <v>6.01028:12.02056</v>
      </c>
      <c r="G18" s="6" t="str">
        <f t="shared" si="3"/>
        <v>6.28802:12.47604</v>
      </c>
      <c r="H18" s="1">
        <f>$H8+($R$8/2)*($B18-$B8)</f>
        <v>5.4548</v>
      </c>
      <c r="I18" s="1">
        <f>$I8+$R$8*($B18-$B8)</f>
        <v>10.9096</v>
      </c>
      <c r="J18" s="1">
        <f>$J8+($R$8/2)*($B14-$B4)*1.05</f>
        <v>5.73254</v>
      </c>
      <c r="K18" s="1">
        <f>$K8+$R$8*($B14-$B4)*1.05</f>
        <v>11.46508</v>
      </c>
      <c r="L18" s="1">
        <f>$L8+($R$8/2)*($B14-$B4)*1.1</f>
        <v>6.01028</v>
      </c>
      <c r="M18" s="1">
        <f>$M8+$R$8*($B14-$B4)*1.1</f>
        <v>12.02056</v>
      </c>
      <c r="N18" s="1">
        <f>$N8+($R$8/2)*($B14-$B4)*1.15</f>
        <v>6.28802</v>
      </c>
      <c r="O18" s="1">
        <f>$O8+$R$8*($B14-$B4)*1.15</f>
        <v>12.47604</v>
      </c>
    </row>
    <row r="19" s="1" customFormat="1" spans="1:15">
      <c r="A19" s="1">
        <v>1006</v>
      </c>
      <c r="B19" s="1">
        <v>5</v>
      </c>
      <c r="C19" s="2">
        <v>28</v>
      </c>
      <c r="D19" s="6" t="str">
        <f t="shared" si="0"/>
        <v>1.66:3.22</v>
      </c>
      <c r="E19" s="6" t="str">
        <f t="shared" si="1"/>
        <v>1.683:3.366</v>
      </c>
      <c r="F19" s="6" t="str">
        <f t="shared" si="2"/>
        <v>1.806:3.512</v>
      </c>
      <c r="G19" s="6" t="str">
        <f t="shared" si="3"/>
        <v>1.829:3.658</v>
      </c>
      <c r="H19" s="1">
        <f>$H9+($R$9/2)*($B19-$B9)</f>
        <v>1.66</v>
      </c>
      <c r="I19" s="1">
        <f>$I9+$R$9*($B19-$B9)</f>
        <v>3.22</v>
      </c>
      <c r="J19" s="1">
        <f>$J9+($R$9/2)*($B14-$B4)*1.05</f>
        <v>1.683</v>
      </c>
      <c r="K19" s="1">
        <f>$K9+$R$9*($B14-$B4)*1.05</f>
        <v>3.366</v>
      </c>
      <c r="L19" s="1">
        <f>$L9+($R$9/2)*($B14-$B4)*1.1</f>
        <v>1.806</v>
      </c>
      <c r="M19" s="1">
        <f>$M9+$R$9*($B14-$B4)*1.1</f>
        <v>3.512</v>
      </c>
      <c r="N19" s="1">
        <f>$N9+($R$9/2)*($B14-$B4)*1.15</f>
        <v>1.829</v>
      </c>
      <c r="O19" s="1">
        <f>$O9+$R$9*($B14-$B4)*1.15</f>
        <v>3.658</v>
      </c>
    </row>
    <row r="20" s="1" customFormat="1" spans="1:15">
      <c r="A20" s="1">
        <v>1007</v>
      </c>
      <c r="B20" s="1">
        <v>5</v>
      </c>
      <c r="C20" s="2">
        <v>7</v>
      </c>
      <c r="D20" s="6" t="str">
        <f t="shared" si="0"/>
        <v>3.22:6.44</v>
      </c>
      <c r="E20" s="6" t="str">
        <f t="shared" si="1"/>
        <v>3.366:6.732</v>
      </c>
      <c r="F20" s="6" t="str">
        <f t="shared" si="2"/>
        <v>3.512:7.124</v>
      </c>
      <c r="G20" s="6" t="str">
        <f t="shared" si="3"/>
        <v>3.658:7.416</v>
      </c>
      <c r="H20" s="1">
        <f>$H10+($R$10/2)*($B20-$B10)</f>
        <v>3.22</v>
      </c>
      <c r="I20" s="1">
        <f>$I10+$R$10*($B20-$B10)</f>
        <v>6.44</v>
      </c>
      <c r="J20" s="1">
        <f>$J10+($R$10/2)*($B14-$B4)*1.05</f>
        <v>3.366</v>
      </c>
      <c r="K20" s="1">
        <f>$K10+$R$10*($B14-$B4)*1.05</f>
        <v>6.732</v>
      </c>
      <c r="L20" s="1">
        <f>$L10+($R$10/2)*($B14-$B4)*1.1</f>
        <v>3.512</v>
      </c>
      <c r="M20" s="1">
        <f>$M10+$R$10*($B14-$B4)*1.1</f>
        <v>7.124</v>
      </c>
      <c r="N20" s="1">
        <f>$N10+($R$10/2)*($B14-$B4)*1.15</f>
        <v>3.658</v>
      </c>
      <c r="O20" s="1">
        <f>$O10+$R$10*($B14-$B4)*1.15</f>
        <v>7.416</v>
      </c>
    </row>
    <row r="21" s="1" customFormat="1" spans="1:15">
      <c r="A21" s="1">
        <v>1008</v>
      </c>
      <c r="B21" s="1">
        <v>5</v>
      </c>
      <c r="C21" s="2">
        <v>5</v>
      </c>
      <c r="D21" s="6" t="str">
        <f t="shared" si="0"/>
        <v>3.22:6.44</v>
      </c>
      <c r="E21" s="6" t="str">
        <f t="shared" si="1"/>
        <v>3.366:6.732</v>
      </c>
      <c r="F21" s="6" t="str">
        <f t="shared" si="2"/>
        <v>3.512:7.124</v>
      </c>
      <c r="G21" s="6" t="str">
        <f t="shared" si="3"/>
        <v>3.658:7.416</v>
      </c>
      <c r="H21" s="1">
        <f>$H11+($R$11/2)*($B21-$B11)</f>
        <v>3.22</v>
      </c>
      <c r="I21" s="1">
        <f>$I11+$R$11*($B21-$B11)</f>
        <v>6.44</v>
      </c>
      <c r="J21" s="1">
        <f>$J11+($R$11/2)*($B14-$B4)*1.05</f>
        <v>3.366</v>
      </c>
      <c r="K21" s="1">
        <f>$K11+$R$11*($B14-$B4)*1.05</f>
        <v>6.732</v>
      </c>
      <c r="L21" s="1">
        <f>$L11+($R$11/2)*($B14-$B4)*1.1</f>
        <v>3.512</v>
      </c>
      <c r="M21" s="1">
        <f>$M11+$R$11*($B14-$B4)*1.1</f>
        <v>7.124</v>
      </c>
      <c r="N21" s="1">
        <f>$N11+($R$11/2)*($B14-$B4)*1.15</f>
        <v>3.658</v>
      </c>
      <c r="O21" s="1">
        <f>$O11+$R$11*($B14-$B4)*1.15</f>
        <v>7.416</v>
      </c>
    </row>
    <row r="22" s="1" customFormat="1" spans="1:15">
      <c r="A22" s="1">
        <v>1009</v>
      </c>
      <c r="B22" s="1">
        <v>5</v>
      </c>
      <c r="C22" s="2">
        <v>12</v>
      </c>
      <c r="D22" s="6" t="str">
        <f t="shared" si="0"/>
        <v>0.644:1.288</v>
      </c>
      <c r="E22" s="6" t="str">
        <f t="shared" si="1"/>
        <v>0.6732:1.3464</v>
      </c>
      <c r="F22" s="6" t="str">
        <f t="shared" si="2"/>
        <v>0.7024:1.4248</v>
      </c>
      <c r="G22" s="6" t="str">
        <f t="shared" si="3"/>
        <v>0.7316:1.4832</v>
      </c>
      <c r="H22" s="1">
        <f>$H12+($R$12/2)*($B22-$B12)</f>
        <v>0.644</v>
      </c>
      <c r="I22" s="1">
        <f>$I12+$R$12*($B22-$B12)</f>
        <v>1.288</v>
      </c>
      <c r="J22" s="1">
        <f>$J12+($R$12/2)*($B14-$B4)*1.05</f>
        <v>0.6732</v>
      </c>
      <c r="K22" s="1">
        <f>$K12+$R$12*($B14-$B4)*1.05</f>
        <v>1.3464</v>
      </c>
      <c r="L22" s="1">
        <f>$L12+($R$12/2)*($B14-$B4)*1.1</f>
        <v>0.7024</v>
      </c>
      <c r="M22" s="1">
        <f>$M12+$R$12*($B14-$B4)*1.1</f>
        <v>1.4248</v>
      </c>
      <c r="N22" s="1">
        <f>$N12+($R$12/2)*($B14-$B4)*1.15</f>
        <v>0.7316</v>
      </c>
      <c r="O22" s="1">
        <f>$O12+$R$12*($B14-$B4)*1.15</f>
        <v>1.4832</v>
      </c>
    </row>
    <row r="23" s="1" customFormat="1" spans="1:15">
      <c r="A23" s="1">
        <v>1010</v>
      </c>
      <c r="B23" s="1">
        <v>5</v>
      </c>
      <c r="C23" s="2">
        <v>13</v>
      </c>
      <c r="D23" s="6" t="str">
        <f t="shared" si="0"/>
        <v>3.22:6.44</v>
      </c>
      <c r="E23" s="6" t="str">
        <f t="shared" si="1"/>
        <v>3.366:6.732</v>
      </c>
      <c r="F23" s="6" t="str">
        <f t="shared" si="2"/>
        <v>3.512:7.124</v>
      </c>
      <c r="G23" s="6" t="str">
        <f t="shared" si="3"/>
        <v>3.658:7.416</v>
      </c>
      <c r="H23" s="1">
        <f>$H13+($R$13/2)*($B23-$B13)</f>
        <v>3.22</v>
      </c>
      <c r="I23" s="1">
        <f>$I13+$R$13*($B23-$B13)</f>
        <v>6.44</v>
      </c>
      <c r="J23" s="1">
        <f>$J13+($R$13/2)*($B14-$B4)*1.05</f>
        <v>3.366</v>
      </c>
      <c r="K23" s="1">
        <f>$K13+$R$13*($B14-$B4)*1.05</f>
        <v>6.732</v>
      </c>
      <c r="L23" s="1">
        <f>$L13+($R$13/2)*($B14-$B4)*1.1</f>
        <v>3.512</v>
      </c>
      <c r="M23" s="1">
        <f>$M13+$R$13*($B14-$B4)*1.1</f>
        <v>7.124</v>
      </c>
      <c r="N23" s="1">
        <f>$N13+($R$13/2)*($B14-$B4)*1.15</f>
        <v>3.658</v>
      </c>
      <c r="O23" s="1">
        <f>$O13+$R$13*($B14-$B4)*1.15</f>
        <v>7.416</v>
      </c>
    </row>
    <row r="24" s="1" customFormat="1" spans="1:15">
      <c r="A24" s="1">
        <v>1001</v>
      </c>
      <c r="B24" s="1">
        <v>10</v>
      </c>
      <c r="C24" s="2">
        <v>1</v>
      </c>
      <c r="D24" s="6" t="str">
        <f t="shared" si="0"/>
        <v>93.1117:186.2234</v>
      </c>
      <c r="E24" s="6" t="str">
        <f t="shared" si="1"/>
        <v>97.817285:195.53457</v>
      </c>
      <c r="F24" s="6" t="str">
        <f t="shared" si="2"/>
        <v>102.42287:204.84574</v>
      </c>
      <c r="G24" s="6" t="str">
        <f t="shared" si="3"/>
        <v>107.128455:214.15691</v>
      </c>
      <c r="H24" s="1">
        <f>$H14+($R$4/2)*($B24-$B14)</f>
        <v>93.1117</v>
      </c>
      <c r="I24" s="1">
        <f>$I14+$R$4*($B24-$B14)</f>
        <v>186.2234</v>
      </c>
      <c r="J24" s="1">
        <f>$J14+($R$4/2)*($B24-$B14)*1.05</f>
        <v>97.817285</v>
      </c>
      <c r="K24" s="1">
        <f>$K14+$R$4*($B24-$B14)*1.05</f>
        <v>195.53457</v>
      </c>
      <c r="L24" s="1">
        <f>$L14+($R$4/2)*($B24-$B14)*1.1</f>
        <v>102.42287</v>
      </c>
      <c r="M24" s="1">
        <f>$M14+$R$4*($B24-$B14)*1.1</f>
        <v>204.84574</v>
      </c>
      <c r="N24" s="1">
        <f>$N14+($R$4/2)*($B24-$B14)*1.15</f>
        <v>107.128455</v>
      </c>
      <c r="O24" s="1">
        <f>$O14+$R$4*($B24-$B14)*1.15</f>
        <v>214.15691</v>
      </c>
    </row>
    <row r="25" s="1" customFormat="1" spans="1:15">
      <c r="A25" s="1">
        <v>1002</v>
      </c>
      <c r="B25" s="1">
        <v>10</v>
      </c>
      <c r="C25" s="2">
        <v>2</v>
      </c>
      <c r="D25" s="6" t="str">
        <f t="shared" si="0"/>
        <v>11.7683:23.5366</v>
      </c>
      <c r="E25" s="6" t="str">
        <f t="shared" si="1"/>
        <v>12.346715:24.69343</v>
      </c>
      <c r="F25" s="6" t="str">
        <f t="shared" si="2"/>
        <v>12.92513:25.85026</v>
      </c>
      <c r="G25" s="6" t="str">
        <f t="shared" si="3"/>
        <v>13.503545:27.00709</v>
      </c>
      <c r="H25" s="1">
        <f>$H15+($R$5/2)*($B25-$B15)</f>
        <v>11.7683</v>
      </c>
      <c r="I25" s="1">
        <f>$I15+$R$5*($B25-$B15)</f>
        <v>23.5366</v>
      </c>
      <c r="J25" s="1">
        <f>$J15+($R$5/2)*($B24-$B14)*1.05</f>
        <v>12.346715</v>
      </c>
      <c r="K25" s="1">
        <f>$K15+$R$5*($B24-$B14)*1.05</f>
        <v>24.69343</v>
      </c>
      <c r="L25" s="1">
        <f>$L15+($R$5/2)*($B24-$B14)*1.1</f>
        <v>12.92513</v>
      </c>
      <c r="M25" s="1">
        <f>$M15+$R$5*($B24-$B14)*1.1</f>
        <v>25.85026</v>
      </c>
      <c r="N25" s="1">
        <f>$N15+($R$5/2)*($B24-$B14)*1.15</f>
        <v>13.503545</v>
      </c>
      <c r="O25" s="1">
        <f>$O15+$R$5*($B24-$B14)*1.15</f>
        <v>27.00709</v>
      </c>
    </row>
    <row r="26" s="1" customFormat="1" spans="1:15">
      <c r="A26" s="1">
        <v>1003</v>
      </c>
      <c r="B26" s="1">
        <v>10</v>
      </c>
      <c r="C26" s="2">
        <v>4</v>
      </c>
      <c r="D26" s="6" t="str">
        <f t="shared" si="0"/>
        <v>7.3983:14.7966</v>
      </c>
      <c r="E26" s="6" t="str">
        <f t="shared" si="1"/>
        <v>7.773215:15.54643</v>
      </c>
      <c r="F26" s="6" t="str">
        <f t="shared" si="2"/>
        <v>8.14813:16.29626</v>
      </c>
      <c r="G26" s="6" t="str">
        <f t="shared" si="3"/>
        <v>8.523045:16.94609</v>
      </c>
      <c r="H26" s="1">
        <f>$H16+($R$6/2)*($B26-$B16)</f>
        <v>7.3983</v>
      </c>
      <c r="I26" s="1">
        <f>$I16+$R$6*($B26-$B16)</f>
        <v>14.7966</v>
      </c>
      <c r="J26" s="1">
        <f>$J16+($R$6/2)*($B24-$B14)*1.05</f>
        <v>7.773215</v>
      </c>
      <c r="K26" s="1">
        <f>$K16+$R$6*($B24-$B14)*1.05</f>
        <v>15.54643</v>
      </c>
      <c r="L26" s="1">
        <f>$L16+($R$6/2)*($B24-$B14)*1.1</f>
        <v>8.14813</v>
      </c>
      <c r="M26" s="1">
        <f>$M16+$R$6*($B24-$B14)*1.1</f>
        <v>16.29626</v>
      </c>
      <c r="N26" s="1">
        <f>$N16+($R$6/2)*($B24-$B14)*1.15</f>
        <v>8.523045</v>
      </c>
      <c r="O26" s="1">
        <f>$O16+$R$6*($B24-$B14)*1.15</f>
        <v>16.94609</v>
      </c>
    </row>
    <row r="27" s="1" customFormat="1" spans="1:15">
      <c r="A27" s="1">
        <v>1004</v>
      </c>
      <c r="B27" s="1">
        <v>10</v>
      </c>
      <c r="C27" s="2">
        <v>3</v>
      </c>
      <c r="D27" s="6" t="str">
        <f t="shared" si="0"/>
        <v>11.7683:23.5366</v>
      </c>
      <c r="E27" s="6" t="str">
        <f t="shared" si="1"/>
        <v>12.346715:24.69343</v>
      </c>
      <c r="F27" s="6" t="str">
        <f t="shared" si="2"/>
        <v>12.92513:25.85026</v>
      </c>
      <c r="G27" s="6" t="str">
        <f t="shared" si="3"/>
        <v>13.503545:27.00709</v>
      </c>
      <c r="H27" s="1">
        <f>$H17+($R$7/2)*($B27-$B17)</f>
        <v>11.7683</v>
      </c>
      <c r="I27" s="1">
        <f>$I17+$R$7*($B27-$B17)</f>
        <v>23.5366</v>
      </c>
      <c r="J27" s="1">
        <f>$J17+($R$7/2)*($B24-$B14)*1.05</f>
        <v>12.346715</v>
      </c>
      <c r="K27" s="1">
        <f>$K17+$R$7*($B24-$B14)*1.05</f>
        <v>24.69343</v>
      </c>
      <c r="L27" s="1">
        <f>$L17+($R$7/2)*($B24-$B14)*1.1</f>
        <v>12.92513</v>
      </c>
      <c r="M27" s="1">
        <f>$M17+$R$7*($B24-$B14)*1.1</f>
        <v>25.85026</v>
      </c>
      <c r="N27" s="1">
        <f>$N17+($R$7/2)*($B24-$B14)*1.15</f>
        <v>13.503545</v>
      </c>
      <c r="O27" s="1">
        <f>$O17+$R$7*($B24-$B14)*1.15</f>
        <v>27.00709</v>
      </c>
    </row>
    <row r="28" s="1" customFormat="1" spans="1:15">
      <c r="A28" s="1">
        <v>1005</v>
      </c>
      <c r="B28" s="1">
        <v>10</v>
      </c>
      <c r="C28" s="2">
        <v>27</v>
      </c>
      <c r="D28" s="6" t="str">
        <f t="shared" si="0"/>
        <v>7.3983:14.7966</v>
      </c>
      <c r="E28" s="6" t="str">
        <f t="shared" si="1"/>
        <v>7.773215:15.54643</v>
      </c>
      <c r="F28" s="6" t="str">
        <f t="shared" si="2"/>
        <v>8.14813:16.29626</v>
      </c>
      <c r="G28" s="6" t="str">
        <f t="shared" si="3"/>
        <v>8.523045:16.94609</v>
      </c>
      <c r="H28" s="1">
        <f>$H18+($R$8/2)*($B28-$B18)</f>
        <v>7.3983</v>
      </c>
      <c r="I28" s="1">
        <f>$I18+$R$8*($B28-$B18)</f>
        <v>14.7966</v>
      </c>
      <c r="J28" s="1">
        <f>$J18+($R$8/2)*($B24-$B14)*1.05</f>
        <v>7.773215</v>
      </c>
      <c r="K28" s="1">
        <f>$K18+$R$8*($B24-$B14)*1.05</f>
        <v>15.54643</v>
      </c>
      <c r="L28" s="1">
        <f>$L18+($R$8/2)*($B24-$B14)*1.1</f>
        <v>8.14813</v>
      </c>
      <c r="M28" s="1">
        <f>$M18+$R$8*($B24-$B14)*1.1</f>
        <v>16.29626</v>
      </c>
      <c r="N28" s="1">
        <f>$N18+($R$8/2)*($B24-$B14)*1.15</f>
        <v>8.523045</v>
      </c>
      <c r="O28" s="1">
        <f>$O18+$R$8*($B24-$B14)*1.15</f>
        <v>16.94609</v>
      </c>
    </row>
    <row r="29" s="1" customFormat="1" spans="1:15">
      <c r="A29" s="1">
        <v>1006</v>
      </c>
      <c r="B29" s="1">
        <v>10</v>
      </c>
      <c r="C29" s="2">
        <v>28</v>
      </c>
      <c r="D29" s="6" t="str">
        <f t="shared" si="0"/>
        <v>2.235:4.37</v>
      </c>
      <c r="E29" s="6" t="str">
        <f t="shared" si="1"/>
        <v>2.28675:4.5735</v>
      </c>
      <c r="F29" s="6" t="str">
        <f t="shared" si="2"/>
        <v>2.4385:4.777</v>
      </c>
      <c r="G29" s="6" t="str">
        <f t="shared" si="3"/>
        <v>2.49025:4.9805</v>
      </c>
      <c r="H29" s="1">
        <f>$H19+($R$9/2)*($B29-$B19)</f>
        <v>2.235</v>
      </c>
      <c r="I29" s="1">
        <f>$I19+$R$9*($B29-$B19)</f>
        <v>4.37</v>
      </c>
      <c r="J29" s="1">
        <f>$J19+($R$9/2)*($B24-$B14)*1.05</f>
        <v>2.28675</v>
      </c>
      <c r="K29" s="1">
        <f>$K19+$R$9*($B24-$B14)*1.05</f>
        <v>4.5735</v>
      </c>
      <c r="L29" s="1">
        <f>$L19+($R$9/2)*($B24-$B14)*1.1</f>
        <v>2.4385</v>
      </c>
      <c r="M29" s="1">
        <f>$M19+$R$9*($B24-$B14)*1.1</f>
        <v>4.777</v>
      </c>
      <c r="N29" s="1">
        <f>$N19+($R$9/2)*($B24-$B14)*1.15</f>
        <v>2.49025</v>
      </c>
      <c r="O29" s="1">
        <f>$O19+$R$9*($B24-$B14)*1.15</f>
        <v>4.9805</v>
      </c>
    </row>
    <row r="30" s="1" customFormat="1" spans="1:15">
      <c r="A30" s="1">
        <v>1007</v>
      </c>
      <c r="B30" s="1">
        <v>10</v>
      </c>
      <c r="C30" s="2">
        <v>7</v>
      </c>
      <c r="D30" s="6" t="str">
        <f t="shared" si="0"/>
        <v>4.37:8.74</v>
      </c>
      <c r="E30" s="6" t="str">
        <f t="shared" si="1"/>
        <v>4.5735:9.147</v>
      </c>
      <c r="F30" s="6" t="str">
        <f t="shared" si="2"/>
        <v>4.777:9.654</v>
      </c>
      <c r="G30" s="6" t="str">
        <f t="shared" si="3"/>
        <v>4.9805:10.061</v>
      </c>
      <c r="H30" s="1">
        <f>$H20+($R$10/2)*($B30-$B20)</f>
        <v>4.37</v>
      </c>
      <c r="I30" s="1">
        <f>$I20+$R$10*($B30-$B20)</f>
        <v>8.74</v>
      </c>
      <c r="J30" s="1">
        <f>$J20+($R$10/2)*($B24-$B14)*1.05</f>
        <v>4.5735</v>
      </c>
      <c r="K30" s="1">
        <f>$K20+$R$10*($B24-$B14)*1.05</f>
        <v>9.147</v>
      </c>
      <c r="L30" s="1">
        <f>$L20+($R$10/2)*($B24-$B14)*1.1</f>
        <v>4.777</v>
      </c>
      <c r="M30" s="1">
        <f>$M20+$R$10*($B24-$B14)*1.1</f>
        <v>9.654</v>
      </c>
      <c r="N30" s="1">
        <f>$N20+($R$10/2)*($B24-$B14)*1.15</f>
        <v>4.9805</v>
      </c>
      <c r="O30" s="1">
        <f>$O20+$R$10*($B24-$B14)*1.15</f>
        <v>10.061</v>
      </c>
    </row>
    <row r="31" s="1" customFormat="1" spans="1:15">
      <c r="A31" s="1">
        <v>1008</v>
      </c>
      <c r="B31" s="1">
        <v>10</v>
      </c>
      <c r="C31" s="2">
        <v>5</v>
      </c>
      <c r="D31" s="6" t="str">
        <f t="shared" si="0"/>
        <v>4.37:8.74</v>
      </c>
      <c r="E31" s="6" t="str">
        <f t="shared" si="1"/>
        <v>4.5735:9.147</v>
      </c>
      <c r="F31" s="6" t="str">
        <f t="shared" si="2"/>
        <v>4.777:9.654</v>
      </c>
      <c r="G31" s="6" t="str">
        <f t="shared" si="3"/>
        <v>4.9805:10.061</v>
      </c>
      <c r="H31" s="1">
        <f>$H21+($R$11/2)*($B31-$B21)</f>
        <v>4.37</v>
      </c>
      <c r="I31" s="1">
        <f>$I21+$R$11*($B31-$B21)</f>
        <v>8.74</v>
      </c>
      <c r="J31" s="1">
        <f>$J21+($R$11/2)*($B24-$B14)*1.05</f>
        <v>4.5735</v>
      </c>
      <c r="K31" s="1">
        <f>$K21+$R$11*($B24-$B14)*1.05</f>
        <v>9.147</v>
      </c>
      <c r="L31" s="1">
        <f>$L21+($R$11/2)*($B24-$B14)*1.1</f>
        <v>4.777</v>
      </c>
      <c r="M31" s="1">
        <f>$M21+$R$11*($B24-$B14)*1.1</f>
        <v>9.654</v>
      </c>
      <c r="N31" s="1">
        <f>$N21+($R$11/2)*($B24-$B14)*1.15</f>
        <v>4.9805</v>
      </c>
      <c r="O31" s="1">
        <f>$O21+$R$11*($B24-$B14)*1.15</f>
        <v>10.061</v>
      </c>
    </row>
    <row r="32" s="1" customFormat="1" spans="1:15">
      <c r="A32" s="1">
        <v>1009</v>
      </c>
      <c r="B32" s="1">
        <v>10</v>
      </c>
      <c r="C32" s="2">
        <v>12</v>
      </c>
      <c r="D32" s="6" t="str">
        <f t="shared" si="0"/>
        <v>0.874:1.748</v>
      </c>
      <c r="E32" s="6" t="str">
        <f t="shared" si="1"/>
        <v>0.9147:1.8294</v>
      </c>
      <c r="F32" s="6" t="str">
        <f t="shared" si="2"/>
        <v>0.9554:1.9308</v>
      </c>
      <c r="G32" s="6" t="str">
        <f t="shared" si="3"/>
        <v>0.9961:2.0122</v>
      </c>
      <c r="H32" s="1">
        <f>$H22+($R$12/2)*($B32-$B22)</f>
        <v>0.874</v>
      </c>
      <c r="I32" s="1">
        <f>$I22+$R$12*($B32-$B22)</f>
        <v>1.748</v>
      </c>
      <c r="J32" s="1">
        <f>$J22+($R$12/2)*($B24-$B14)*1.05</f>
        <v>0.9147</v>
      </c>
      <c r="K32" s="1">
        <f>$K22+$R$12*($B24-$B14)*1.05</f>
        <v>1.8294</v>
      </c>
      <c r="L32" s="1">
        <f>$L22+($R$12/2)*($B24-$B14)*1.1</f>
        <v>0.9554</v>
      </c>
      <c r="M32" s="1">
        <f>$M22+$R$12*($B24-$B14)*1.1</f>
        <v>1.9308</v>
      </c>
      <c r="N32" s="1">
        <f>$N22+($R$12/2)*($B24-$B14)*1.15</f>
        <v>0.9961</v>
      </c>
      <c r="O32" s="1">
        <f>$O22+$R$12*($B24-$B14)*1.15</f>
        <v>2.0122</v>
      </c>
    </row>
    <row r="33" s="1" customFormat="1" spans="1:15">
      <c r="A33" s="1">
        <v>1010</v>
      </c>
      <c r="B33" s="1">
        <v>10</v>
      </c>
      <c r="C33" s="2">
        <v>13</v>
      </c>
      <c r="D33" s="6" t="str">
        <f t="shared" si="0"/>
        <v>4.37:8.74</v>
      </c>
      <c r="E33" s="6" t="str">
        <f t="shared" si="1"/>
        <v>4.5735:9.147</v>
      </c>
      <c r="F33" s="6" t="str">
        <f t="shared" si="2"/>
        <v>4.777:9.654</v>
      </c>
      <c r="G33" s="6" t="str">
        <f t="shared" si="3"/>
        <v>4.9805:10.061</v>
      </c>
      <c r="H33" s="1">
        <f>$H23+($R$13/2)*($B33-$B23)</f>
        <v>4.37</v>
      </c>
      <c r="I33" s="1">
        <f>$I23+$R$13*($B33-$B23)</f>
        <v>8.74</v>
      </c>
      <c r="J33" s="1">
        <f>$J23+($R$13/2)*($B24-$B14)*1.05</f>
        <v>4.5735</v>
      </c>
      <c r="K33" s="1">
        <f>$K23+$R$13*($B24-$B14)*1.05</f>
        <v>9.147</v>
      </c>
      <c r="L33" s="1">
        <f>$L23+($R$13/2)*($B24-$B14)*1.1</f>
        <v>4.777</v>
      </c>
      <c r="M33" s="1">
        <f>$M23+$R$13*($B24-$B14)*1.1</f>
        <v>9.654</v>
      </c>
      <c r="N33" s="1">
        <f>$N23+($R$13/2)*($B24-$B14)*1.15</f>
        <v>4.9805</v>
      </c>
      <c r="O33" s="1">
        <f>$O23+$R$13*($B24-$B14)*1.15</f>
        <v>10.061</v>
      </c>
    </row>
    <row r="34" s="1" customFormat="1" spans="1:15">
      <c r="A34" s="1">
        <v>1001</v>
      </c>
      <c r="B34" s="1">
        <v>15</v>
      </c>
      <c r="C34" s="2">
        <v>1</v>
      </c>
      <c r="D34" s="6" t="str">
        <f t="shared" si="0"/>
        <v>117.6182:235.2364</v>
      </c>
      <c r="E34" s="6" t="str">
        <f t="shared" si="1"/>
        <v>123.54911:246.99822</v>
      </c>
      <c r="F34" s="6" t="str">
        <f t="shared" si="2"/>
        <v>129.38002:258.76004</v>
      </c>
      <c r="G34" s="6" t="str">
        <f t="shared" si="3"/>
        <v>135.31093:270.52186</v>
      </c>
      <c r="H34" s="1">
        <f>$H24+($R$4/2)*($B34-$B24)</f>
        <v>117.6182</v>
      </c>
      <c r="I34" s="1">
        <f>$I24+$R$4*($B34-$B24)</f>
        <v>235.2364</v>
      </c>
      <c r="J34" s="1">
        <f>$J24+($R$4/2)*($B34-$B24)*1.05</f>
        <v>123.54911</v>
      </c>
      <c r="K34" s="1">
        <f>$K24+$R$4*($B34-$B24)*1.05</f>
        <v>246.99822</v>
      </c>
      <c r="L34" s="1">
        <f>$L24+($R$4/2)*($B34-$B24)*1.1</f>
        <v>129.38002</v>
      </c>
      <c r="M34" s="1">
        <f>$M24+$R$4*($B34-$B24)*1.1</f>
        <v>258.76004</v>
      </c>
      <c r="N34" s="1">
        <f>$N24+($R$4/2)*($B34-$B24)*1.15</f>
        <v>135.31093</v>
      </c>
      <c r="O34" s="1">
        <f>$O24+$R$4*($B34-$B24)*1.15</f>
        <v>270.52186</v>
      </c>
    </row>
    <row r="35" s="1" customFormat="1" spans="1:15">
      <c r="A35" s="1">
        <v>1002</v>
      </c>
      <c r="B35" s="1">
        <v>15</v>
      </c>
      <c r="C35" s="2">
        <v>2</v>
      </c>
      <c r="D35" s="6" t="str">
        <f t="shared" si="0"/>
        <v>14.8618:29.7236</v>
      </c>
      <c r="E35" s="6" t="str">
        <f t="shared" si="1"/>
        <v>15.59489:31.18978</v>
      </c>
      <c r="F35" s="6" t="str">
        <f t="shared" si="2"/>
        <v>16.32798:32.65596</v>
      </c>
      <c r="G35" s="6" t="str">
        <f t="shared" si="3"/>
        <v>17.06107:34.12214</v>
      </c>
      <c r="H35" s="1">
        <f>$H25+($R$5/2)*($B35-$B25)</f>
        <v>14.8618</v>
      </c>
      <c r="I35" s="1">
        <f>$I25+$R$5*($B35-$B25)</f>
        <v>29.7236</v>
      </c>
      <c r="J35" s="1">
        <f>$J25+($R$5/2)*($B34-$B24)*1.05</f>
        <v>15.59489</v>
      </c>
      <c r="K35" s="1">
        <f>$K25+$R$5*($B34-$B24)*1.05</f>
        <v>31.18978</v>
      </c>
      <c r="L35" s="1">
        <f>$L25+($R$5/2)*($B34-$B24)*1.1</f>
        <v>16.32798</v>
      </c>
      <c r="M35" s="1">
        <f>$M25+$R$5*($B34-$B24)*1.1</f>
        <v>32.65596</v>
      </c>
      <c r="N35" s="1">
        <f>$N25+($R$5/2)*($B34-$B24)*1.15</f>
        <v>17.06107</v>
      </c>
      <c r="O35" s="1">
        <f>$O25+$R$5*($B34-$B24)*1.15</f>
        <v>34.12214</v>
      </c>
    </row>
    <row r="36" s="1" customFormat="1" spans="1:15">
      <c r="A36" s="1">
        <v>1003</v>
      </c>
      <c r="B36" s="1">
        <v>15</v>
      </c>
      <c r="C36" s="2">
        <v>4</v>
      </c>
      <c r="D36" s="6" t="str">
        <f t="shared" si="0"/>
        <v>9.3418:18.6836</v>
      </c>
      <c r="E36" s="6" t="str">
        <f t="shared" si="1"/>
        <v>9.81389:19.62778</v>
      </c>
      <c r="F36" s="6" t="str">
        <f t="shared" si="2"/>
        <v>10.28598:20.57196</v>
      </c>
      <c r="G36" s="6" t="str">
        <f t="shared" si="3"/>
        <v>10.75807:21.41614</v>
      </c>
      <c r="H36" s="1">
        <f>$H26+($R$6/2)*($B36-$B26)</f>
        <v>9.3418</v>
      </c>
      <c r="I36" s="1">
        <f>$I26+$R$6*($B36-$B26)</f>
        <v>18.6836</v>
      </c>
      <c r="J36" s="1">
        <f>$J26+($R$6/2)*($B34-$B24)*1.05</f>
        <v>9.81389</v>
      </c>
      <c r="K36" s="1">
        <f>$K26+$R$6*($B34-$B24)*1.05</f>
        <v>19.62778</v>
      </c>
      <c r="L36" s="1">
        <f>$L26+($R$6/2)*($B34-$B24)*1.1</f>
        <v>10.28598</v>
      </c>
      <c r="M36" s="1">
        <f>$M26+$R$6*($B34-$B24)*1.1</f>
        <v>20.57196</v>
      </c>
      <c r="N36" s="1">
        <f>$N26+($R$6/2)*($B34-$B24)*1.15</f>
        <v>10.75807</v>
      </c>
      <c r="O36" s="1">
        <f>$O26+$R$6*($B34-$B24)*1.15</f>
        <v>21.41614</v>
      </c>
    </row>
    <row r="37" s="1" customFormat="1" spans="1:15">
      <c r="A37" s="1">
        <v>1004</v>
      </c>
      <c r="B37" s="1">
        <v>15</v>
      </c>
      <c r="C37" s="2">
        <v>3</v>
      </c>
      <c r="D37" s="6" t="str">
        <f t="shared" si="0"/>
        <v>14.8618:29.7236</v>
      </c>
      <c r="E37" s="6" t="str">
        <f t="shared" si="1"/>
        <v>15.59489:31.18978</v>
      </c>
      <c r="F37" s="6" t="str">
        <f t="shared" si="2"/>
        <v>16.32798:32.65596</v>
      </c>
      <c r="G37" s="6" t="str">
        <f t="shared" si="3"/>
        <v>17.06107:34.12214</v>
      </c>
      <c r="H37" s="1">
        <f>$H27+($R$7/2)*($B37-$B27)</f>
        <v>14.8618</v>
      </c>
      <c r="I37" s="1">
        <f>$I27+$R$7*($B37-$B27)</f>
        <v>29.7236</v>
      </c>
      <c r="J37" s="1">
        <f>$J27+($R$7/2)*($B34-$B24)*1.05</f>
        <v>15.59489</v>
      </c>
      <c r="K37" s="1">
        <f>$K27+$R$7*($B34-$B24)*1.05</f>
        <v>31.18978</v>
      </c>
      <c r="L37" s="1">
        <f>$L27+($R$7/2)*($B34-$B24)*1.1</f>
        <v>16.32798</v>
      </c>
      <c r="M37" s="1">
        <f>$M27+$R$7*($B34-$B24)*1.1</f>
        <v>32.65596</v>
      </c>
      <c r="N37" s="1">
        <f>$N27+($R$7/2)*($B34-$B24)*1.15</f>
        <v>17.06107</v>
      </c>
      <c r="O37" s="1">
        <f>$O27+$R$7*($B34-$B24)*1.15</f>
        <v>34.12214</v>
      </c>
    </row>
    <row r="38" s="1" customFormat="1" spans="1:15">
      <c r="A38" s="1">
        <v>1005</v>
      </c>
      <c r="B38" s="1">
        <v>15</v>
      </c>
      <c r="C38" s="2">
        <v>27</v>
      </c>
      <c r="D38" s="6" t="str">
        <f t="shared" si="0"/>
        <v>9.3418:18.6836</v>
      </c>
      <c r="E38" s="6" t="str">
        <f t="shared" si="1"/>
        <v>9.81389:19.62778</v>
      </c>
      <c r="F38" s="6" t="str">
        <f t="shared" si="2"/>
        <v>10.28598:20.57196</v>
      </c>
      <c r="G38" s="6" t="str">
        <f t="shared" si="3"/>
        <v>10.75807:21.41614</v>
      </c>
      <c r="H38" s="1">
        <f>$H28+($R$8/2)*($B38-$B28)</f>
        <v>9.3418</v>
      </c>
      <c r="I38" s="1">
        <f>$I28+$R$8*($B38-$B28)</f>
        <v>18.6836</v>
      </c>
      <c r="J38" s="1">
        <f>$J28+($R$8/2)*($B34-$B24)*1.05</f>
        <v>9.81389</v>
      </c>
      <c r="K38" s="1">
        <f>$K28+$R$8*($B34-$B24)*1.05</f>
        <v>19.62778</v>
      </c>
      <c r="L38" s="1">
        <f>$L28+($R$8/2)*($B34-$B24)*1.1</f>
        <v>10.28598</v>
      </c>
      <c r="M38" s="1">
        <f>$M28+$R$8*($B34-$B24)*1.1</f>
        <v>20.57196</v>
      </c>
      <c r="N38" s="1">
        <f>$N28+($R$8/2)*($B34-$B24)*1.15</f>
        <v>10.75807</v>
      </c>
      <c r="O38" s="1">
        <f>$O28+$R$8*($B34-$B24)*1.15</f>
        <v>21.41614</v>
      </c>
    </row>
    <row r="39" s="1" customFormat="1" spans="1:15">
      <c r="A39" s="1">
        <v>1006</v>
      </c>
      <c r="B39" s="1">
        <v>15</v>
      </c>
      <c r="C39" s="2">
        <v>28</v>
      </c>
      <c r="D39" s="6" t="str">
        <f t="shared" si="0"/>
        <v>2.81:5.52</v>
      </c>
      <c r="E39" s="6" t="str">
        <f t="shared" si="1"/>
        <v>2.8905:5.781</v>
      </c>
      <c r="F39" s="6" t="str">
        <f t="shared" si="2"/>
        <v>3.071:6.042</v>
      </c>
      <c r="G39" s="6" t="str">
        <f t="shared" si="3"/>
        <v>3.1515:6.303</v>
      </c>
      <c r="H39" s="1">
        <f>$H29+($R$9/2)*($B39-$B29)</f>
        <v>2.81</v>
      </c>
      <c r="I39" s="1">
        <f>$I29+$R$9*($B39-$B29)</f>
        <v>5.52</v>
      </c>
      <c r="J39" s="1">
        <f>$J29+($R$9/2)*($B34-$B24)*1.05</f>
        <v>2.8905</v>
      </c>
      <c r="K39" s="1">
        <f>$K29+$R$9*($B34-$B24)*1.05</f>
        <v>5.781</v>
      </c>
      <c r="L39" s="1">
        <f>$L29+($R$9/2)*($B34-$B24)*1.1</f>
        <v>3.071</v>
      </c>
      <c r="M39" s="1">
        <f>$M29+$R$9*($B34-$B24)*1.1</f>
        <v>6.042</v>
      </c>
      <c r="N39" s="1">
        <f>$N29+($R$9/2)*($B34-$B24)*1.15</f>
        <v>3.1515</v>
      </c>
      <c r="O39" s="1">
        <f>$O29+$R$9*($B34-$B24)*1.15</f>
        <v>6.303</v>
      </c>
    </row>
    <row r="40" s="1" customFormat="1" spans="1:15">
      <c r="A40" s="1">
        <v>1007</v>
      </c>
      <c r="B40" s="1">
        <v>15</v>
      </c>
      <c r="C40" s="2">
        <v>7</v>
      </c>
      <c r="D40" s="6" t="str">
        <f t="shared" si="0"/>
        <v>5.52:11.04</v>
      </c>
      <c r="E40" s="6" t="str">
        <f t="shared" si="1"/>
        <v>5.781:11.562</v>
      </c>
      <c r="F40" s="6" t="str">
        <f t="shared" si="2"/>
        <v>6.042:12.184</v>
      </c>
      <c r="G40" s="6" t="str">
        <f t="shared" si="3"/>
        <v>6.303:12.706</v>
      </c>
      <c r="H40" s="1">
        <f>$H30+($R$10/2)*($B40-$B30)</f>
        <v>5.52</v>
      </c>
      <c r="I40" s="1">
        <f>$I30+$R$10*($B40-$B30)</f>
        <v>11.04</v>
      </c>
      <c r="J40" s="1">
        <f>$J30+($R$10/2)*($B34-$B24)*1.05</f>
        <v>5.781</v>
      </c>
      <c r="K40" s="1">
        <f>$K30+$R$10*($B34-$B24)*1.05</f>
        <v>11.562</v>
      </c>
      <c r="L40" s="1">
        <f>$L30+($R$10/2)*($B34-$B24)*1.1</f>
        <v>6.042</v>
      </c>
      <c r="M40" s="1">
        <f>$M30+$R$10*($B34-$B24)*1.1</f>
        <v>12.184</v>
      </c>
      <c r="N40" s="1">
        <f>$N30+($R$10/2)*($B34-$B24)*1.15</f>
        <v>6.303</v>
      </c>
      <c r="O40" s="1">
        <f>$O30+$R$10*($B34-$B24)*1.15</f>
        <v>12.706</v>
      </c>
    </row>
    <row r="41" s="1" customFormat="1" spans="1:15">
      <c r="A41" s="1">
        <v>1008</v>
      </c>
      <c r="B41" s="1">
        <v>15</v>
      </c>
      <c r="C41" s="2">
        <v>5</v>
      </c>
      <c r="D41" s="6" t="str">
        <f t="shared" si="0"/>
        <v>5.52:11.04</v>
      </c>
      <c r="E41" s="6" t="str">
        <f t="shared" si="1"/>
        <v>5.781:11.562</v>
      </c>
      <c r="F41" s="6" t="str">
        <f t="shared" si="2"/>
        <v>6.042:12.184</v>
      </c>
      <c r="G41" s="6" t="str">
        <f t="shared" si="3"/>
        <v>6.303:12.706</v>
      </c>
      <c r="H41" s="1">
        <f>$H31+($R$11/2)*($B41-$B31)</f>
        <v>5.52</v>
      </c>
      <c r="I41" s="1">
        <f>$I31+$R$11*($B41-$B31)</f>
        <v>11.04</v>
      </c>
      <c r="J41" s="1">
        <f>$J31+($R$11/2)*($B34-$B24)*1.05</f>
        <v>5.781</v>
      </c>
      <c r="K41" s="1">
        <f>$K31+$R$11*($B34-$B24)*1.05</f>
        <v>11.562</v>
      </c>
      <c r="L41" s="1">
        <f>$L31+($R$11/2)*($B34-$B24)*1.1</f>
        <v>6.042</v>
      </c>
      <c r="M41" s="1">
        <f>$M31+$R$11*($B34-$B24)*1.1</f>
        <v>12.184</v>
      </c>
      <c r="N41" s="1">
        <f>$N31+($R$11/2)*($B34-$B24)*1.15</f>
        <v>6.303</v>
      </c>
      <c r="O41" s="1">
        <f>$O31+$R$11*($B34-$B24)*1.15</f>
        <v>12.706</v>
      </c>
    </row>
    <row r="42" s="1" customFormat="1" spans="1:15">
      <c r="A42" s="1">
        <v>1009</v>
      </c>
      <c r="B42" s="1">
        <v>15</v>
      </c>
      <c r="C42" s="2">
        <v>12</v>
      </c>
      <c r="D42" s="6" t="str">
        <f t="shared" si="0"/>
        <v>1.104:2.208</v>
      </c>
      <c r="E42" s="6" t="str">
        <f t="shared" si="1"/>
        <v>1.1562:2.3124</v>
      </c>
      <c r="F42" s="6" t="str">
        <f t="shared" si="2"/>
        <v>1.2084:2.4368</v>
      </c>
      <c r="G42" s="6" t="str">
        <f t="shared" si="3"/>
        <v>1.2606:2.5412</v>
      </c>
      <c r="H42" s="1">
        <f>$H32+($R$12/2)*($B42-$B32)</f>
        <v>1.104</v>
      </c>
      <c r="I42" s="1">
        <f>$I32+$R$12*($B42-$B32)</f>
        <v>2.208</v>
      </c>
      <c r="J42" s="1">
        <f>$J32+($R$12/2)*($B34-$B24)*1.05</f>
        <v>1.1562</v>
      </c>
      <c r="K42" s="1">
        <f>$K32+$R$12*($B34-$B24)*1.05</f>
        <v>2.3124</v>
      </c>
      <c r="L42" s="1">
        <f>$L32+($R$12/2)*($B34-$B24)*1.1</f>
        <v>1.2084</v>
      </c>
      <c r="M42" s="1">
        <f>$M32+$R$12*($B34-$B24)*1.1</f>
        <v>2.4368</v>
      </c>
      <c r="N42" s="1">
        <f>$N32+($R$12/2)*($B34-$B24)*1.15</f>
        <v>1.2606</v>
      </c>
      <c r="O42" s="1">
        <f>$O32+$R$12*($B34-$B24)*1.15</f>
        <v>2.5412</v>
      </c>
    </row>
    <row r="43" s="1" customFormat="1" spans="1:15">
      <c r="A43" s="1">
        <v>1010</v>
      </c>
      <c r="B43" s="1">
        <v>15</v>
      </c>
      <c r="C43" s="2">
        <v>13</v>
      </c>
      <c r="D43" s="6" t="str">
        <f t="shared" si="0"/>
        <v>5.52:11.04</v>
      </c>
      <c r="E43" s="6" t="str">
        <f t="shared" si="1"/>
        <v>5.781:11.562</v>
      </c>
      <c r="F43" s="6" t="str">
        <f t="shared" si="2"/>
        <v>6.042:12.184</v>
      </c>
      <c r="G43" s="6" t="str">
        <f t="shared" si="3"/>
        <v>6.303:12.706</v>
      </c>
      <c r="H43" s="1">
        <f>$H33+($R$13/2)*($B43-$B33)</f>
        <v>5.52</v>
      </c>
      <c r="I43" s="1">
        <f>$I33+$R$13*($B43-$B33)</f>
        <v>11.04</v>
      </c>
      <c r="J43" s="1">
        <f>$J33+($R$13/2)*($B34-$B24)*1.05</f>
        <v>5.781</v>
      </c>
      <c r="K43" s="1">
        <f>$K33+$R$13*($B34-$B24)*1.05</f>
        <v>11.562</v>
      </c>
      <c r="L43" s="1">
        <f>$L33+($R$13/2)*($B34-$B24)*1.1</f>
        <v>6.042</v>
      </c>
      <c r="M43" s="1">
        <f>$M33+$R$13*($B34-$B24)*1.1</f>
        <v>12.184</v>
      </c>
      <c r="N43" s="1">
        <f>$N33+($R$13/2)*($B34-$B24)*1.15</f>
        <v>6.303</v>
      </c>
      <c r="O43" s="1">
        <f>$O33+$R$13*($B34-$B24)*1.15</f>
        <v>12.706</v>
      </c>
    </row>
    <row r="44" s="1" customFormat="1" spans="1:15">
      <c r="A44" s="1">
        <v>1001</v>
      </c>
      <c r="B44" s="1">
        <v>20</v>
      </c>
      <c r="C44" s="2">
        <v>1</v>
      </c>
      <c r="D44" s="6" t="str">
        <f t="shared" si="0"/>
        <v>142.1247:284.2494</v>
      </c>
      <c r="E44" s="6" t="str">
        <f t="shared" si="1"/>
        <v>149.280935:298.46187</v>
      </c>
      <c r="F44" s="6" t="str">
        <f t="shared" si="2"/>
        <v>156.33717:312.67434</v>
      </c>
      <c r="G44" s="6" t="str">
        <f t="shared" si="3"/>
        <v>163.493405:326.88681</v>
      </c>
      <c r="H44" s="1">
        <f>$H34+($R$4/2)*($B44-$B34)</f>
        <v>142.1247</v>
      </c>
      <c r="I44" s="1">
        <f>$I34+$R$4*($B44-$B34)</f>
        <v>284.2494</v>
      </c>
      <c r="J44" s="1">
        <f>$J34+($R$4/2)*($B44-$B34)*1.05</f>
        <v>149.280935</v>
      </c>
      <c r="K44" s="1">
        <f>$K34+$R$4*($B44-$B34)*1.05</f>
        <v>298.46187</v>
      </c>
      <c r="L44" s="1">
        <f>$L34+($R$4/2)*($B44-$B34)*1.1</f>
        <v>156.33717</v>
      </c>
      <c r="M44" s="1">
        <f>$M34+$R$4*($B44-$B34)*1.1</f>
        <v>312.67434</v>
      </c>
      <c r="N44" s="1">
        <f>$N34+($R$4/2)*($B44-$B34)*1.15</f>
        <v>163.493405</v>
      </c>
      <c r="O44" s="1">
        <f>$O34+$R$4*($B44-$B34)*1.15</f>
        <v>326.88681</v>
      </c>
    </row>
    <row r="45" s="1" customFormat="1" spans="1:15">
      <c r="A45" s="1">
        <v>1002</v>
      </c>
      <c r="B45" s="1">
        <v>20</v>
      </c>
      <c r="C45" s="2">
        <v>2</v>
      </c>
      <c r="D45" s="6" t="str">
        <f t="shared" si="0"/>
        <v>17.9553:35.9106</v>
      </c>
      <c r="E45" s="6" t="str">
        <f t="shared" si="1"/>
        <v>18.843065:37.68613</v>
      </c>
      <c r="F45" s="6" t="str">
        <f t="shared" si="2"/>
        <v>19.73083:39.46166</v>
      </c>
      <c r="G45" s="6" t="str">
        <f t="shared" si="3"/>
        <v>20.618595:41.23719</v>
      </c>
      <c r="H45" s="1">
        <f>$H35+($R$5/2)*($B45-$B35)</f>
        <v>17.9553</v>
      </c>
      <c r="I45" s="1">
        <f>$I35+$R$5*($B45-$B35)</f>
        <v>35.9106</v>
      </c>
      <c r="J45" s="1">
        <f>$J35+($R$5/2)*($B44-$B34)*1.05</f>
        <v>18.843065</v>
      </c>
      <c r="K45" s="1">
        <f>$K35+$R$5*($B44-$B34)*1.05</f>
        <v>37.68613</v>
      </c>
      <c r="L45" s="1">
        <f>$L35+($R$5/2)*($B44-$B34)*1.1</f>
        <v>19.73083</v>
      </c>
      <c r="M45" s="1">
        <f>$M35+$R$5*($B44-$B34)*1.1</f>
        <v>39.46166</v>
      </c>
      <c r="N45" s="1">
        <f>$N35+($R$5/2)*($B44-$B34)*1.15</f>
        <v>20.618595</v>
      </c>
      <c r="O45" s="1">
        <f>$O35+$R$5*($B44-$B34)*1.15</f>
        <v>41.23719</v>
      </c>
    </row>
    <row r="46" s="1" customFormat="1" spans="1:15">
      <c r="A46" s="1">
        <v>1003</v>
      </c>
      <c r="B46" s="1">
        <v>20</v>
      </c>
      <c r="C46" s="2">
        <v>4</v>
      </c>
      <c r="D46" s="6" t="str">
        <f t="shared" si="0"/>
        <v>11.2853:22.5706</v>
      </c>
      <c r="E46" s="6" t="str">
        <f t="shared" si="1"/>
        <v>11.854565:23.70913</v>
      </c>
      <c r="F46" s="6" t="str">
        <f t="shared" si="2"/>
        <v>12.42383:24.84766</v>
      </c>
      <c r="G46" s="6" t="str">
        <f t="shared" si="3"/>
        <v>12.993095:25.88619</v>
      </c>
      <c r="H46" s="1">
        <f>$H36+($R$6/2)*($B46-$B36)</f>
        <v>11.2853</v>
      </c>
      <c r="I46" s="1">
        <f>$I36+$R$6*($B46-$B36)</f>
        <v>22.5706</v>
      </c>
      <c r="J46" s="1">
        <f>$J36+($R$6/2)*($B44-$B34)*1.05</f>
        <v>11.854565</v>
      </c>
      <c r="K46" s="1">
        <f>$K36+$R$6*($B44-$B34)*1.05</f>
        <v>23.70913</v>
      </c>
      <c r="L46" s="1">
        <f>$L36+($R$6/2)*($B44-$B34)*1.1</f>
        <v>12.42383</v>
      </c>
      <c r="M46" s="1">
        <f>$M36+$R$6*($B44-$B34)*1.1</f>
        <v>24.84766</v>
      </c>
      <c r="N46" s="1">
        <f>$N36+($R$6/2)*($B44-$B34)*1.15</f>
        <v>12.993095</v>
      </c>
      <c r="O46" s="1">
        <f>$O36+$R$6*($B44-$B34)*1.15</f>
        <v>25.88619</v>
      </c>
    </row>
    <row r="47" s="1" customFormat="1" spans="1:15">
      <c r="A47" s="1">
        <v>1004</v>
      </c>
      <c r="B47" s="1">
        <v>20</v>
      </c>
      <c r="C47" s="2">
        <v>3</v>
      </c>
      <c r="D47" s="6" t="str">
        <f t="shared" si="0"/>
        <v>17.9553:35.9106</v>
      </c>
      <c r="E47" s="6" t="str">
        <f t="shared" si="1"/>
        <v>18.843065:37.68613</v>
      </c>
      <c r="F47" s="6" t="str">
        <f t="shared" si="2"/>
        <v>19.73083:39.46166</v>
      </c>
      <c r="G47" s="6" t="str">
        <f t="shared" si="3"/>
        <v>20.618595:41.23719</v>
      </c>
      <c r="H47" s="1">
        <f>$H37+($R$7/2)*($B47-$B37)</f>
        <v>17.9553</v>
      </c>
      <c r="I47" s="1">
        <f>$I37+$R$7*($B47-$B37)</f>
        <v>35.9106</v>
      </c>
      <c r="J47" s="1">
        <f>$J37+($R$7/2)*($B44-$B34)*1.05</f>
        <v>18.843065</v>
      </c>
      <c r="K47" s="1">
        <f>$K37+$R$7*($B44-$B34)*1.05</f>
        <v>37.68613</v>
      </c>
      <c r="L47" s="1">
        <f>$L37+($R$7/2)*($B44-$B34)*1.1</f>
        <v>19.73083</v>
      </c>
      <c r="M47" s="1">
        <f>$M37+$R$7*($B44-$B34)*1.1</f>
        <v>39.46166</v>
      </c>
      <c r="N47" s="1">
        <f>$N37+($R$7/2)*($B44-$B34)*1.15</f>
        <v>20.618595</v>
      </c>
      <c r="O47" s="1">
        <f>$O37+$R$7*($B44-$B34)*1.15</f>
        <v>41.23719</v>
      </c>
    </row>
    <row r="48" s="1" customFormat="1" spans="1:15">
      <c r="A48" s="1">
        <v>1005</v>
      </c>
      <c r="B48" s="1">
        <v>20</v>
      </c>
      <c r="C48" s="2">
        <v>27</v>
      </c>
      <c r="D48" s="6" t="str">
        <f t="shared" si="0"/>
        <v>11.2853:22.5706</v>
      </c>
      <c r="E48" s="6" t="str">
        <f t="shared" si="1"/>
        <v>11.854565:23.70913</v>
      </c>
      <c r="F48" s="6" t="str">
        <f t="shared" si="2"/>
        <v>12.42383:24.84766</v>
      </c>
      <c r="G48" s="6" t="str">
        <f t="shared" si="3"/>
        <v>12.993095:25.88619</v>
      </c>
      <c r="H48" s="1">
        <f>$H38+($R$8/2)*($B48-$B38)</f>
        <v>11.2853</v>
      </c>
      <c r="I48" s="1">
        <f>$I38+$R$8*($B48-$B38)</f>
        <v>22.5706</v>
      </c>
      <c r="J48" s="1">
        <f>$J38+($R$8/2)*($B44-$B34)*1.05</f>
        <v>11.854565</v>
      </c>
      <c r="K48" s="1">
        <f>$K38+$R$8*($B44-$B34)*1.05</f>
        <v>23.70913</v>
      </c>
      <c r="L48" s="1">
        <f>$L38+($R$8/2)*($B44-$B34)*1.1</f>
        <v>12.42383</v>
      </c>
      <c r="M48" s="1">
        <f>$M38+$R$8*($B44-$B34)*1.1</f>
        <v>24.84766</v>
      </c>
      <c r="N48" s="1">
        <f>$N38+($R$8/2)*($B44-$B34)*1.15</f>
        <v>12.993095</v>
      </c>
      <c r="O48" s="1">
        <f>$O38+$R$8*($B44-$B34)*1.15</f>
        <v>25.88619</v>
      </c>
    </row>
    <row r="49" s="1" customFormat="1" spans="1:15">
      <c r="A49" s="1">
        <v>1006</v>
      </c>
      <c r="B49" s="1">
        <v>20</v>
      </c>
      <c r="C49" s="2">
        <v>28</v>
      </c>
      <c r="D49" s="6" t="str">
        <f t="shared" si="0"/>
        <v>3.385:6.67</v>
      </c>
      <c r="E49" s="6" t="str">
        <f t="shared" si="1"/>
        <v>3.49425:6.9885</v>
      </c>
      <c r="F49" s="6" t="str">
        <f t="shared" si="2"/>
        <v>3.7035:7.307</v>
      </c>
      <c r="G49" s="6" t="str">
        <f t="shared" si="3"/>
        <v>3.81275:7.6255</v>
      </c>
      <c r="H49" s="1">
        <f>$H39+($R$9/2)*($B49-$B39)</f>
        <v>3.385</v>
      </c>
      <c r="I49" s="1">
        <f>$I39+$R$9*($B49-$B39)</f>
        <v>6.67</v>
      </c>
      <c r="J49" s="1">
        <f>$J39+($R$9/2)*($B44-$B34)*1.05</f>
        <v>3.49425</v>
      </c>
      <c r="K49" s="1">
        <f>$K39+$R$9*($B44-$B34)*1.05</f>
        <v>6.9885</v>
      </c>
      <c r="L49" s="1">
        <f>$L39+($R$9/2)*($B44-$B34)*1.1</f>
        <v>3.7035</v>
      </c>
      <c r="M49" s="1">
        <f>$M39+$R$9*($B44-$B34)*1.1</f>
        <v>7.307</v>
      </c>
      <c r="N49" s="1">
        <f>$N39+($R$9/2)*($B44-$B34)*1.15</f>
        <v>3.81275</v>
      </c>
      <c r="O49" s="1">
        <f>$O39+$R$9*($B44-$B34)*1.15</f>
        <v>7.6255</v>
      </c>
    </row>
    <row r="50" s="1" customFormat="1" spans="1:15">
      <c r="A50" s="1">
        <v>1007</v>
      </c>
      <c r="B50" s="1">
        <v>20</v>
      </c>
      <c r="C50" s="2">
        <v>7</v>
      </c>
      <c r="D50" s="6" t="str">
        <f t="shared" si="0"/>
        <v>6.67:13.34</v>
      </c>
      <c r="E50" s="6" t="str">
        <f t="shared" si="1"/>
        <v>6.9885:13.977</v>
      </c>
      <c r="F50" s="6" t="str">
        <f t="shared" si="2"/>
        <v>7.307:14.714</v>
      </c>
      <c r="G50" s="6" t="str">
        <f t="shared" si="3"/>
        <v>7.6255:15.351</v>
      </c>
      <c r="H50" s="1">
        <f>$H40+($R$10/2)*($B50-$B40)</f>
        <v>6.67</v>
      </c>
      <c r="I50" s="1">
        <f>$I40+$R$10*($B50-$B40)</f>
        <v>13.34</v>
      </c>
      <c r="J50" s="1">
        <f>$J40+($R$10/2)*($B44-$B34)*1.05</f>
        <v>6.9885</v>
      </c>
      <c r="K50" s="1">
        <f>$K40+$R$10*($B44-$B34)*1.05</f>
        <v>13.977</v>
      </c>
      <c r="L50" s="1">
        <f>$L40+($R$10/2)*($B44-$B34)*1.1</f>
        <v>7.307</v>
      </c>
      <c r="M50" s="1">
        <f>$M40+$R$10*($B44-$B34)*1.1</f>
        <v>14.714</v>
      </c>
      <c r="N50" s="1">
        <f>$N40+($R$10/2)*($B44-$B34)*1.15</f>
        <v>7.6255</v>
      </c>
      <c r="O50" s="1">
        <f>$O40+$R$10*($B44-$B34)*1.15</f>
        <v>15.351</v>
      </c>
    </row>
    <row r="51" s="1" customFormat="1" spans="1:15">
      <c r="A51" s="1">
        <v>1008</v>
      </c>
      <c r="B51" s="1">
        <v>20</v>
      </c>
      <c r="C51" s="2">
        <v>5</v>
      </c>
      <c r="D51" s="6" t="str">
        <f t="shared" si="0"/>
        <v>6.67:13.34</v>
      </c>
      <c r="E51" s="6" t="str">
        <f t="shared" si="1"/>
        <v>6.9885:13.977</v>
      </c>
      <c r="F51" s="6" t="str">
        <f t="shared" si="2"/>
        <v>7.307:14.714</v>
      </c>
      <c r="G51" s="6" t="str">
        <f t="shared" si="3"/>
        <v>7.6255:15.351</v>
      </c>
      <c r="H51" s="1">
        <f>$H41+($R$11/2)*($B51-$B41)</f>
        <v>6.67</v>
      </c>
      <c r="I51" s="1">
        <f>$I41+$R$11*($B51-$B41)</f>
        <v>13.34</v>
      </c>
      <c r="J51" s="1">
        <f>$J41+($R$11/2)*($B44-$B34)*1.05</f>
        <v>6.9885</v>
      </c>
      <c r="K51" s="1">
        <f>$K41+$R$11*($B44-$B34)*1.05</f>
        <v>13.977</v>
      </c>
      <c r="L51" s="1">
        <f>$L41+($R$11/2)*($B44-$B34)*1.1</f>
        <v>7.307</v>
      </c>
      <c r="M51" s="1">
        <f>$M41+$R$11*($B44-$B34)*1.1</f>
        <v>14.714</v>
      </c>
      <c r="N51" s="1">
        <f>$N41+($R$11/2)*($B44-$B34)*1.15</f>
        <v>7.6255</v>
      </c>
      <c r="O51" s="1">
        <f>$O41+$R$11*($B44-$B34)*1.15</f>
        <v>15.351</v>
      </c>
    </row>
    <row r="52" s="1" customFormat="1" spans="1:15">
      <c r="A52" s="1">
        <v>1009</v>
      </c>
      <c r="B52" s="1">
        <v>20</v>
      </c>
      <c r="C52" s="2">
        <v>12</v>
      </c>
      <c r="D52" s="6" t="str">
        <f t="shared" si="0"/>
        <v>1.334:2.668</v>
      </c>
      <c r="E52" s="6" t="str">
        <f t="shared" si="1"/>
        <v>1.3977:2.7954</v>
      </c>
      <c r="F52" s="6" t="str">
        <f t="shared" si="2"/>
        <v>1.4614:2.9428</v>
      </c>
      <c r="G52" s="6" t="str">
        <f t="shared" si="3"/>
        <v>1.5251:3.0702</v>
      </c>
      <c r="H52" s="1">
        <f>$H42+($R$12/2)*($B52-$B42)</f>
        <v>1.334</v>
      </c>
      <c r="I52" s="1">
        <f>$I42+$R$12*($B52-$B42)</f>
        <v>2.668</v>
      </c>
      <c r="J52" s="1">
        <f>$J42+($R$12/2)*($B44-$B34)*1.05</f>
        <v>1.3977</v>
      </c>
      <c r="K52" s="1">
        <f>$K42+$R$12*($B44-$B34)*1.05</f>
        <v>2.7954</v>
      </c>
      <c r="L52" s="1">
        <f>$L42+($R$12/2)*($B44-$B34)*1.1</f>
        <v>1.4614</v>
      </c>
      <c r="M52" s="1">
        <f>$M42+$R$12*($B44-$B34)*1.1</f>
        <v>2.9428</v>
      </c>
      <c r="N52" s="1">
        <f>$N42+($R$12/2)*($B44-$B34)*1.15</f>
        <v>1.5251</v>
      </c>
      <c r="O52" s="1">
        <f>$O42+$R$12*($B44-$B34)*1.15</f>
        <v>3.0702</v>
      </c>
    </row>
    <row r="53" s="1" customFormat="1" spans="1:15">
      <c r="A53" s="1">
        <v>1010</v>
      </c>
      <c r="B53" s="1">
        <v>20</v>
      </c>
      <c r="C53" s="2">
        <v>13</v>
      </c>
      <c r="D53" s="6" t="str">
        <f t="shared" si="0"/>
        <v>6.67:13.34</v>
      </c>
      <c r="E53" s="6" t="str">
        <f t="shared" si="1"/>
        <v>6.9885:13.977</v>
      </c>
      <c r="F53" s="6" t="str">
        <f t="shared" si="2"/>
        <v>7.307:14.714</v>
      </c>
      <c r="G53" s="6" t="str">
        <f t="shared" si="3"/>
        <v>7.6255:15.351</v>
      </c>
      <c r="H53" s="1">
        <f>$H43+($R$13/2)*($B53-$B43)</f>
        <v>6.67</v>
      </c>
      <c r="I53" s="1">
        <f>$I43+$R$13*($B53-$B43)</f>
        <v>13.34</v>
      </c>
      <c r="J53" s="1">
        <f>$J43+($R$13/2)*($B44-$B34)*1.05</f>
        <v>6.9885</v>
      </c>
      <c r="K53" s="1">
        <f>$K43+$R$13*($B44-$B34)*1.05</f>
        <v>13.977</v>
      </c>
      <c r="L53" s="1">
        <f>$L43+($R$13/2)*($B44-$B34)*1.1</f>
        <v>7.307</v>
      </c>
      <c r="M53" s="1">
        <f>$M43+$R$13*($B44-$B34)*1.1</f>
        <v>14.714</v>
      </c>
      <c r="N53" s="1">
        <f>$N43+($R$13/2)*($B44-$B34)*1.15</f>
        <v>7.6255</v>
      </c>
      <c r="O53" s="1">
        <f>$O43+$R$13*($B44-$B34)*1.15</f>
        <v>15.351</v>
      </c>
    </row>
    <row r="54" s="1" customFormat="1" spans="1:15">
      <c r="A54" s="1">
        <v>1001</v>
      </c>
      <c r="B54" s="1">
        <v>25</v>
      </c>
      <c r="C54" s="2">
        <v>1</v>
      </c>
      <c r="D54" s="6" t="str">
        <f t="shared" si="0"/>
        <v>166.6312:333.2624</v>
      </c>
      <c r="E54" s="6" t="str">
        <f t="shared" si="1"/>
        <v>175.01276:349.92552</v>
      </c>
      <c r="F54" s="6" t="str">
        <f t="shared" si="2"/>
        <v>183.29432:366.58864</v>
      </c>
      <c r="G54" s="6" t="str">
        <f t="shared" si="3"/>
        <v>191.67588:383.25176</v>
      </c>
      <c r="H54" s="1">
        <f>$H44+($R$4/2)*($B54-$B44)</f>
        <v>166.6312</v>
      </c>
      <c r="I54" s="1">
        <f>$I44+$R$4*($B54-$B44)</f>
        <v>333.2624</v>
      </c>
      <c r="J54" s="1">
        <f>$J44+($R$4/2)*($B54-$B44)*1.05</f>
        <v>175.01276</v>
      </c>
      <c r="K54" s="1">
        <f>$K44+$R$4*($B54-$B44)*1.05</f>
        <v>349.92552</v>
      </c>
      <c r="L54" s="1">
        <f>$L44+($R$4/2)*($B54-$B44)*1.1</f>
        <v>183.29432</v>
      </c>
      <c r="M54" s="1">
        <f>$M44+$R$4*($B54-$B44)*1.1</f>
        <v>366.58864</v>
      </c>
      <c r="N54" s="1">
        <f>$N44+($R$4/2)*($B54-$B44)*1.15</f>
        <v>191.67588</v>
      </c>
      <c r="O54" s="1">
        <f>$O44+$R$4*($B54-$B44)*1.15</f>
        <v>383.25176</v>
      </c>
    </row>
    <row r="55" s="1" customFormat="1" spans="1:15">
      <c r="A55" s="1">
        <v>1002</v>
      </c>
      <c r="B55" s="1">
        <v>25</v>
      </c>
      <c r="C55" s="2">
        <v>2</v>
      </c>
      <c r="D55" s="6" t="str">
        <f t="shared" si="0"/>
        <v>21.0488:42.0976</v>
      </c>
      <c r="E55" s="6" t="str">
        <f t="shared" si="1"/>
        <v>22.09124:44.18248</v>
      </c>
      <c r="F55" s="6" t="str">
        <f t="shared" si="2"/>
        <v>23.13368:46.26736</v>
      </c>
      <c r="G55" s="6" t="str">
        <f t="shared" si="3"/>
        <v>24.17612:48.35224</v>
      </c>
      <c r="H55" s="1">
        <f>$H45+($R$5/2)*($B55-$B45)</f>
        <v>21.0488</v>
      </c>
      <c r="I55" s="1">
        <f>$I45+$R$5*($B55-$B45)</f>
        <v>42.0976</v>
      </c>
      <c r="J55" s="1">
        <f>$J45+($R$5/2)*($B54-$B44)*1.05</f>
        <v>22.09124</v>
      </c>
      <c r="K55" s="1">
        <f>$K45+$R$5*($B54-$B44)*1.05</f>
        <v>44.18248</v>
      </c>
      <c r="L55" s="1">
        <f>$L45+($R$5/2)*($B54-$B44)*1.1</f>
        <v>23.13368</v>
      </c>
      <c r="M55" s="1">
        <f>$M45+$R$5*($B54-$B44)*1.1</f>
        <v>46.26736</v>
      </c>
      <c r="N55" s="1">
        <f>$N45+($R$5/2)*($B54-$B44)*1.15</f>
        <v>24.17612</v>
      </c>
      <c r="O55" s="1">
        <f>$O45+$R$5*($B54-$B44)*1.15</f>
        <v>48.35224</v>
      </c>
    </row>
    <row r="56" s="1" customFormat="1" spans="1:15">
      <c r="A56" s="1">
        <v>1003</v>
      </c>
      <c r="B56" s="1">
        <v>25</v>
      </c>
      <c r="C56" s="2">
        <v>4</v>
      </c>
      <c r="D56" s="6" t="str">
        <f t="shared" si="0"/>
        <v>13.2288:26.4576</v>
      </c>
      <c r="E56" s="6" t="str">
        <f t="shared" si="1"/>
        <v>13.89524:27.79048</v>
      </c>
      <c r="F56" s="6" t="str">
        <f t="shared" si="2"/>
        <v>14.56168:29.12336</v>
      </c>
      <c r="G56" s="6" t="str">
        <f t="shared" si="3"/>
        <v>15.22812:30.35624</v>
      </c>
      <c r="H56" s="1">
        <f>$H46+($R$6/2)*($B56-$B46)</f>
        <v>13.2288</v>
      </c>
      <c r="I56" s="1">
        <f>$I46+$R$6*($B56-$B46)</f>
        <v>26.4576</v>
      </c>
      <c r="J56" s="1">
        <f>$J46+($R$6/2)*($B54-$B44)*1.05</f>
        <v>13.89524</v>
      </c>
      <c r="K56" s="1">
        <f>$K46+$R$6*($B54-$B44)*1.05</f>
        <v>27.79048</v>
      </c>
      <c r="L56" s="1">
        <f>$L46+($R$6/2)*($B54-$B44)*1.1</f>
        <v>14.56168</v>
      </c>
      <c r="M56" s="1">
        <f>$M46+$R$6*($B54-$B44)*1.1</f>
        <v>29.12336</v>
      </c>
      <c r="N56" s="1">
        <f>$N46+($R$6/2)*($B54-$B44)*1.15</f>
        <v>15.22812</v>
      </c>
      <c r="O56" s="1">
        <f>$O46+$R$6*($B54-$B44)*1.15</f>
        <v>30.35624</v>
      </c>
    </row>
    <row r="57" s="1" customFormat="1" spans="1:15">
      <c r="A57" s="1">
        <v>1004</v>
      </c>
      <c r="B57" s="1">
        <v>25</v>
      </c>
      <c r="C57" s="2">
        <v>3</v>
      </c>
      <c r="D57" s="6" t="str">
        <f t="shared" si="0"/>
        <v>21.0488:42.0976</v>
      </c>
      <c r="E57" s="6" t="str">
        <f t="shared" si="1"/>
        <v>22.09124:44.18248</v>
      </c>
      <c r="F57" s="6" t="str">
        <f t="shared" si="2"/>
        <v>23.13368:46.26736</v>
      </c>
      <c r="G57" s="6" t="str">
        <f t="shared" si="3"/>
        <v>24.17612:48.35224</v>
      </c>
      <c r="H57" s="1">
        <f>$H47+($R$7/2)*($B57-$B47)</f>
        <v>21.0488</v>
      </c>
      <c r="I57" s="1">
        <f>$I47+$R$7*($B57-$B47)</f>
        <v>42.0976</v>
      </c>
      <c r="J57" s="1">
        <f>$J47+($R$7/2)*($B54-$B44)*1.05</f>
        <v>22.09124</v>
      </c>
      <c r="K57" s="1">
        <f>$K47+$R$7*($B54-$B44)*1.05</f>
        <v>44.18248</v>
      </c>
      <c r="L57" s="1">
        <f>$L47+($R$7/2)*($B54-$B44)*1.1</f>
        <v>23.13368</v>
      </c>
      <c r="M57" s="1">
        <f>$M47+$R$7*($B54-$B44)*1.1</f>
        <v>46.26736</v>
      </c>
      <c r="N57" s="1">
        <f>$N47+($R$7/2)*($B54-$B44)*1.15</f>
        <v>24.17612</v>
      </c>
      <c r="O57" s="1">
        <f>$O47+$R$7*($B54-$B44)*1.15</f>
        <v>48.35224</v>
      </c>
    </row>
    <row r="58" s="1" customFormat="1" spans="1:15">
      <c r="A58" s="1">
        <v>1005</v>
      </c>
      <c r="B58" s="1">
        <v>25</v>
      </c>
      <c r="C58" s="2">
        <v>27</v>
      </c>
      <c r="D58" s="6" t="str">
        <f t="shared" si="0"/>
        <v>13.2288:26.4576</v>
      </c>
      <c r="E58" s="6" t="str">
        <f t="shared" si="1"/>
        <v>13.89524:27.79048</v>
      </c>
      <c r="F58" s="6" t="str">
        <f t="shared" si="2"/>
        <v>14.56168:29.12336</v>
      </c>
      <c r="G58" s="6" t="str">
        <f t="shared" si="3"/>
        <v>15.22812:30.35624</v>
      </c>
      <c r="H58" s="1">
        <f>$H48+($R$8/2)*($B58-$B48)</f>
        <v>13.2288</v>
      </c>
      <c r="I58" s="1">
        <f>$I48+$R$8*($B58-$B48)</f>
        <v>26.4576</v>
      </c>
      <c r="J58" s="1">
        <f>$J48+($R$8/2)*($B54-$B44)*1.05</f>
        <v>13.89524</v>
      </c>
      <c r="K58" s="1">
        <f>$K48+$R$8*($B54-$B44)*1.05</f>
        <v>27.79048</v>
      </c>
      <c r="L58" s="1">
        <f>$L48+($R$8/2)*($B54-$B44)*1.1</f>
        <v>14.56168</v>
      </c>
      <c r="M58" s="1">
        <f>$M48+$R$8*($B54-$B44)*1.1</f>
        <v>29.12336</v>
      </c>
      <c r="N58" s="1">
        <f>$N48+($R$8/2)*($B54-$B44)*1.15</f>
        <v>15.22812</v>
      </c>
      <c r="O58" s="1">
        <f>$O48+$R$8*($B54-$B44)*1.15</f>
        <v>30.35624</v>
      </c>
    </row>
    <row r="59" s="1" customFormat="1" spans="1:15">
      <c r="A59" s="1">
        <v>1006</v>
      </c>
      <c r="B59" s="1">
        <v>25</v>
      </c>
      <c r="C59" s="2">
        <v>28</v>
      </c>
      <c r="D59" s="6" t="str">
        <f t="shared" si="0"/>
        <v>3.96:7.82</v>
      </c>
      <c r="E59" s="6" t="str">
        <f t="shared" si="1"/>
        <v>4.098:8.196</v>
      </c>
      <c r="F59" s="6" t="str">
        <f t="shared" si="2"/>
        <v>4.336:8.572</v>
      </c>
      <c r="G59" s="6" t="str">
        <f t="shared" si="3"/>
        <v>4.474:8.948</v>
      </c>
      <c r="H59" s="1">
        <f>$H49+($R$9/2)*($B59-$B49)</f>
        <v>3.96</v>
      </c>
      <c r="I59" s="1">
        <f>$I49+$R$9*($B59-$B49)</f>
        <v>7.82</v>
      </c>
      <c r="J59" s="1">
        <f>$J49+($R$9/2)*($B54-$B44)*1.05</f>
        <v>4.098</v>
      </c>
      <c r="K59" s="1">
        <f>$K49+$R$9*($B54-$B44)*1.05</f>
        <v>8.196</v>
      </c>
      <c r="L59" s="1">
        <f>$L49+($R$9/2)*($B54-$B44)*1.1</f>
        <v>4.336</v>
      </c>
      <c r="M59" s="1">
        <f>$M49+$R$9*($B54-$B44)*1.1</f>
        <v>8.572</v>
      </c>
      <c r="N59" s="1">
        <f>$N49+($R$9/2)*($B54-$B44)*1.15</f>
        <v>4.474</v>
      </c>
      <c r="O59" s="1">
        <f>$O49+$R$9*($B54-$B44)*1.15</f>
        <v>8.948</v>
      </c>
    </row>
    <row r="60" s="1" customFormat="1" spans="1:15">
      <c r="A60" s="1">
        <v>1007</v>
      </c>
      <c r="B60" s="1">
        <v>25</v>
      </c>
      <c r="C60" s="2">
        <v>7</v>
      </c>
      <c r="D60" s="6" t="str">
        <f t="shared" si="0"/>
        <v>7.82:15.64</v>
      </c>
      <c r="E60" s="6" t="str">
        <f t="shared" si="1"/>
        <v>8.196:16.392</v>
      </c>
      <c r="F60" s="6" t="str">
        <f t="shared" si="2"/>
        <v>8.572:17.244</v>
      </c>
      <c r="G60" s="6" t="str">
        <f t="shared" si="3"/>
        <v>8.948:17.996</v>
      </c>
      <c r="H60" s="1">
        <f>$H50+($R$10/2)*($B60-$B50)</f>
        <v>7.82</v>
      </c>
      <c r="I60" s="1">
        <f>$I50+$R$10*($B60-$B50)</f>
        <v>15.64</v>
      </c>
      <c r="J60" s="1">
        <f>$J50+($R$10/2)*($B54-$B44)*1.05</f>
        <v>8.196</v>
      </c>
      <c r="K60" s="1">
        <f>$K50+$R$10*($B54-$B44)*1.05</f>
        <v>16.392</v>
      </c>
      <c r="L60" s="1">
        <f>$L50+($R$10/2)*($B54-$B44)*1.1</f>
        <v>8.572</v>
      </c>
      <c r="M60" s="1">
        <f>$M50+$R$10*($B54-$B44)*1.1</f>
        <v>17.244</v>
      </c>
      <c r="N60" s="1">
        <f>$N50+($R$10/2)*($B54-$B44)*1.15</f>
        <v>8.948</v>
      </c>
      <c r="O60" s="1">
        <f>$O50+$R$10*($B54-$B44)*1.15</f>
        <v>17.996</v>
      </c>
    </row>
    <row r="61" s="1" customFormat="1" spans="1:15">
      <c r="A61" s="1">
        <v>1008</v>
      </c>
      <c r="B61" s="1">
        <v>25</v>
      </c>
      <c r="C61" s="2">
        <v>5</v>
      </c>
      <c r="D61" s="6" t="str">
        <f t="shared" si="0"/>
        <v>7.82:15.64</v>
      </c>
      <c r="E61" s="6" t="str">
        <f t="shared" si="1"/>
        <v>8.196:16.392</v>
      </c>
      <c r="F61" s="6" t="str">
        <f t="shared" si="2"/>
        <v>8.572:17.244</v>
      </c>
      <c r="G61" s="6" t="str">
        <f t="shared" si="3"/>
        <v>8.948:17.996</v>
      </c>
      <c r="H61" s="1">
        <f>$H51+($R$11/2)*($B61-$B51)</f>
        <v>7.82</v>
      </c>
      <c r="I61" s="1">
        <f>$I51+$R$11*($B61-$B51)</f>
        <v>15.64</v>
      </c>
      <c r="J61" s="1">
        <f>$J51+($R$11/2)*($B54-$B44)*1.05</f>
        <v>8.196</v>
      </c>
      <c r="K61" s="1">
        <f>$K51+$R$11*($B54-$B44)*1.05</f>
        <v>16.392</v>
      </c>
      <c r="L61" s="1">
        <f>$L51+($R$11/2)*($B54-$B44)*1.1</f>
        <v>8.572</v>
      </c>
      <c r="M61" s="1">
        <f>$M51+$R$11*($B54-$B44)*1.1</f>
        <v>17.244</v>
      </c>
      <c r="N61" s="1">
        <f>$N51+($R$11/2)*($B54-$B44)*1.15</f>
        <v>8.948</v>
      </c>
      <c r="O61" s="1">
        <f>$O51+$R$11*($B54-$B44)*1.15</f>
        <v>17.996</v>
      </c>
    </row>
    <row r="62" s="1" customFormat="1" spans="1:15">
      <c r="A62" s="1">
        <v>1009</v>
      </c>
      <c r="B62" s="1">
        <v>25</v>
      </c>
      <c r="C62" s="2">
        <v>12</v>
      </c>
      <c r="D62" s="6" t="str">
        <f t="shared" si="0"/>
        <v>1.564:3.128</v>
      </c>
      <c r="E62" s="6" t="str">
        <f t="shared" si="1"/>
        <v>1.6392:3.2784</v>
      </c>
      <c r="F62" s="6" t="str">
        <f t="shared" si="2"/>
        <v>1.7144:3.4488</v>
      </c>
      <c r="G62" s="6" t="str">
        <f t="shared" si="3"/>
        <v>1.7896:3.5992</v>
      </c>
      <c r="H62" s="1">
        <f>$H52+($R$12/2)*($B62-$B52)</f>
        <v>1.564</v>
      </c>
      <c r="I62" s="1">
        <f>$I52+$R$12*($B62-$B52)</f>
        <v>3.128</v>
      </c>
      <c r="J62" s="1">
        <f>$J52+($R$12/2)*($B54-$B44)*1.05</f>
        <v>1.6392</v>
      </c>
      <c r="K62" s="1">
        <f>$K52+$R$12*($B54-$B44)*1.05</f>
        <v>3.2784</v>
      </c>
      <c r="L62" s="1">
        <f>$L52+($R$12/2)*($B54-$B44)*1.1</f>
        <v>1.7144</v>
      </c>
      <c r="M62" s="1">
        <f>$M52+$R$12*($B54-$B44)*1.1</f>
        <v>3.4488</v>
      </c>
      <c r="N62" s="1">
        <f>$N52+($R$12/2)*($B54-$B44)*1.15</f>
        <v>1.7896</v>
      </c>
      <c r="O62" s="1">
        <f>$O52+$R$12*($B54-$B44)*1.15</f>
        <v>3.5992</v>
      </c>
    </row>
    <row r="63" s="1" customFormat="1" spans="1:15">
      <c r="A63" s="1">
        <v>1010</v>
      </c>
      <c r="B63" s="1">
        <v>25</v>
      </c>
      <c r="C63" s="2">
        <v>13</v>
      </c>
      <c r="D63" s="6" t="str">
        <f t="shared" si="0"/>
        <v>7.82:15.64</v>
      </c>
      <c r="E63" s="6" t="str">
        <f t="shared" si="1"/>
        <v>8.196:16.392</v>
      </c>
      <c r="F63" s="6" t="str">
        <f t="shared" si="2"/>
        <v>8.572:17.244</v>
      </c>
      <c r="G63" s="6" t="str">
        <f t="shared" si="3"/>
        <v>8.948:17.996</v>
      </c>
      <c r="H63" s="1">
        <f>$H53+($R$13/2)*($B63-$B53)</f>
        <v>7.82</v>
      </c>
      <c r="I63" s="1">
        <f>$I53+$R$13*($B63-$B53)</f>
        <v>15.64</v>
      </c>
      <c r="J63" s="1">
        <f>$J53+($R$13/2)*($B54-$B44)*1.05</f>
        <v>8.196</v>
      </c>
      <c r="K63" s="1">
        <f>$K53+$R$13*($B54-$B44)*1.05</f>
        <v>16.392</v>
      </c>
      <c r="L63" s="1">
        <f>$L53+($R$13/2)*($B54-$B44)*1.1</f>
        <v>8.572</v>
      </c>
      <c r="M63" s="1">
        <f>$M53+$R$13*($B54-$B44)*1.1</f>
        <v>17.244</v>
      </c>
      <c r="N63" s="1">
        <f>$N53+($R$13/2)*($B54-$B44)*1.15</f>
        <v>8.948</v>
      </c>
      <c r="O63" s="1">
        <f>$O53+$R$13*($B54-$B44)*1.15</f>
        <v>17.996</v>
      </c>
    </row>
    <row r="64" s="1" customFormat="1" spans="1:15">
      <c r="A64" s="1">
        <v>1001</v>
      </c>
      <c r="B64" s="1">
        <v>30</v>
      </c>
      <c r="C64" s="2">
        <v>1</v>
      </c>
      <c r="D64" s="6" t="str">
        <f t="shared" si="0"/>
        <v>191.1377:382.2754</v>
      </c>
      <c r="E64" s="6" t="str">
        <f t="shared" si="1"/>
        <v>200.744585:401.38917</v>
      </c>
      <c r="F64" s="6" t="str">
        <f t="shared" si="2"/>
        <v>210.25147:420.50294</v>
      </c>
      <c r="G64" s="6" t="str">
        <f t="shared" si="3"/>
        <v>219.858355:439.61671</v>
      </c>
      <c r="H64" s="1">
        <f>$H54+($R$4/2)*($B64-$B54)</f>
        <v>191.1377</v>
      </c>
      <c r="I64" s="1">
        <f>$I54+$R$4*($B64-$B54)</f>
        <v>382.2754</v>
      </c>
      <c r="J64" s="1">
        <f>$J54+($R$4/2)*($B64-$B54)*1.05</f>
        <v>200.744585</v>
      </c>
      <c r="K64" s="1">
        <f>$K54+$R$4*($B64-$B54)*1.05</f>
        <v>401.38917</v>
      </c>
      <c r="L64" s="1">
        <f>$L54+($R$4/2)*($B64-$B54)*1.1</f>
        <v>210.25147</v>
      </c>
      <c r="M64" s="1">
        <f>$M54+$R$4*($B64-$B54)*1.1</f>
        <v>420.50294</v>
      </c>
      <c r="N64" s="1">
        <f>$N54+($R$4/2)*($B64-$B54)*1.15</f>
        <v>219.858355</v>
      </c>
      <c r="O64" s="1">
        <f>$O54+$R$4*($B64-$B54)*1.15</f>
        <v>439.61671</v>
      </c>
    </row>
    <row r="65" s="1" customFormat="1" spans="1:15">
      <c r="A65" s="1">
        <v>1002</v>
      </c>
      <c r="B65" s="1">
        <v>30</v>
      </c>
      <c r="C65" s="2">
        <v>2</v>
      </c>
      <c r="D65" s="6" t="str">
        <f t="shared" si="0"/>
        <v>24.1423:48.2846</v>
      </c>
      <c r="E65" s="6" t="str">
        <f t="shared" si="1"/>
        <v>25.339415:50.67883</v>
      </c>
      <c r="F65" s="6" t="str">
        <f t="shared" si="2"/>
        <v>26.53653:53.07306</v>
      </c>
      <c r="G65" s="6" t="str">
        <f t="shared" si="3"/>
        <v>27.733645:55.46729</v>
      </c>
      <c r="H65" s="1">
        <f>$H55+($R$5/2)*($B65-$B55)</f>
        <v>24.1423</v>
      </c>
      <c r="I65" s="1">
        <f>$I55+$R$5*($B65-$B55)</f>
        <v>48.2846</v>
      </c>
      <c r="J65" s="1">
        <f>$J55+($R$5/2)*($B64-$B54)*1.05</f>
        <v>25.339415</v>
      </c>
      <c r="K65" s="1">
        <f>$K55+$R$5*($B64-$B54)*1.05</f>
        <v>50.67883</v>
      </c>
      <c r="L65" s="1">
        <f>$L55+($R$5/2)*($B64-$B54)*1.1</f>
        <v>26.53653</v>
      </c>
      <c r="M65" s="1">
        <f>$M55+$R$5*($B64-$B54)*1.1</f>
        <v>53.07306</v>
      </c>
      <c r="N65" s="1">
        <f>$N55+($R$5/2)*($B64-$B54)*1.15</f>
        <v>27.733645</v>
      </c>
      <c r="O65" s="1">
        <f>$O55+$R$5*($B64-$B54)*1.15</f>
        <v>55.46729</v>
      </c>
    </row>
    <row r="66" s="1" customFormat="1" spans="1:15">
      <c r="A66" s="1">
        <v>1003</v>
      </c>
      <c r="B66" s="1">
        <v>30</v>
      </c>
      <c r="C66" s="2">
        <v>4</v>
      </c>
      <c r="D66" s="6" t="str">
        <f t="shared" si="0"/>
        <v>15.1723:30.3446</v>
      </c>
      <c r="E66" s="6" t="str">
        <f t="shared" si="1"/>
        <v>15.935915:31.87183</v>
      </c>
      <c r="F66" s="6" t="str">
        <f t="shared" si="2"/>
        <v>16.69953:33.39906</v>
      </c>
      <c r="G66" s="6" t="str">
        <f t="shared" si="3"/>
        <v>17.463145:34.82629</v>
      </c>
      <c r="H66" s="1">
        <f>$H56+($R$6/2)*($B66-$B56)</f>
        <v>15.1723</v>
      </c>
      <c r="I66" s="1">
        <f>$I56+$R$6*($B66-$B56)</f>
        <v>30.3446</v>
      </c>
      <c r="J66" s="1">
        <f>$J56+($R$6/2)*($B64-$B54)*1.05</f>
        <v>15.935915</v>
      </c>
      <c r="K66" s="1">
        <f>$K56+$R$6*($B64-$B54)*1.05</f>
        <v>31.87183</v>
      </c>
      <c r="L66" s="1">
        <f>$L56+($R$6/2)*($B64-$B54)*1.1</f>
        <v>16.69953</v>
      </c>
      <c r="M66" s="1">
        <f>$M56+$R$6*($B64-$B54)*1.1</f>
        <v>33.39906</v>
      </c>
      <c r="N66" s="1">
        <f>$N56+($R$6/2)*($B64-$B54)*1.15</f>
        <v>17.463145</v>
      </c>
      <c r="O66" s="1">
        <f>$O56+$R$6*($B64-$B54)*1.15</f>
        <v>34.82629</v>
      </c>
    </row>
    <row r="67" s="1" customFormat="1" spans="1:15">
      <c r="A67" s="1">
        <v>1004</v>
      </c>
      <c r="B67" s="1">
        <v>30</v>
      </c>
      <c r="C67" s="2">
        <v>3</v>
      </c>
      <c r="D67" s="6" t="str">
        <f t="shared" si="0"/>
        <v>24.1423:48.2846</v>
      </c>
      <c r="E67" s="6" t="str">
        <f t="shared" si="1"/>
        <v>25.339415:50.67883</v>
      </c>
      <c r="F67" s="6" t="str">
        <f t="shared" si="2"/>
        <v>26.53653:53.07306</v>
      </c>
      <c r="G67" s="6" t="str">
        <f t="shared" si="3"/>
        <v>27.733645:55.46729</v>
      </c>
      <c r="H67" s="1">
        <f>$H57+($R$7/2)*($B67-$B57)</f>
        <v>24.1423</v>
      </c>
      <c r="I67" s="1">
        <f>$I57+$R$7*($B67-$B57)</f>
        <v>48.2846</v>
      </c>
      <c r="J67" s="1">
        <f>$J57+($R$7/2)*($B64-$B54)*1.05</f>
        <v>25.339415</v>
      </c>
      <c r="K67" s="1">
        <f>$K57+$R$7*($B64-$B54)*1.05</f>
        <v>50.67883</v>
      </c>
      <c r="L67" s="1">
        <f>$L57+($R$7/2)*($B64-$B54)*1.1</f>
        <v>26.53653</v>
      </c>
      <c r="M67" s="1">
        <f>$M57+$R$7*($B64-$B54)*1.1</f>
        <v>53.07306</v>
      </c>
      <c r="N67" s="1">
        <f>$N57+($R$7/2)*($B64-$B54)*1.15</f>
        <v>27.733645</v>
      </c>
      <c r="O67" s="1">
        <f>$O57+$R$7*($B64-$B54)*1.15</f>
        <v>55.46729</v>
      </c>
    </row>
    <row r="68" s="1" customFormat="1" spans="1:15">
      <c r="A68" s="1">
        <v>1005</v>
      </c>
      <c r="B68" s="1">
        <v>30</v>
      </c>
      <c r="C68" s="2">
        <v>27</v>
      </c>
      <c r="D68" s="6" t="str">
        <f t="shared" ref="D68:D131" si="15">H68&amp;":"&amp;I68</f>
        <v>15.1723:30.3446</v>
      </c>
      <c r="E68" s="6" t="str">
        <f t="shared" ref="E68:E131" si="16">J68&amp;":"&amp;K68</f>
        <v>15.935915:31.87183</v>
      </c>
      <c r="F68" s="6" t="str">
        <f t="shared" ref="F68:F131" si="17">L68&amp;":"&amp;M68</f>
        <v>16.69953:33.39906</v>
      </c>
      <c r="G68" s="6" t="str">
        <f t="shared" ref="G68:G131" si="18">N68&amp;":"&amp;O68</f>
        <v>17.463145:34.82629</v>
      </c>
      <c r="H68" s="1">
        <f>$H58+($R$8/2)*($B68-$B58)</f>
        <v>15.1723</v>
      </c>
      <c r="I68" s="1">
        <f>$I58+$R$8*($B68-$B58)</f>
        <v>30.3446</v>
      </c>
      <c r="J68" s="1">
        <f>$J58+($R$8/2)*($B64-$B54)*1.05</f>
        <v>15.935915</v>
      </c>
      <c r="K68" s="1">
        <f>$K58+$R$8*($B64-$B54)*1.05</f>
        <v>31.87183</v>
      </c>
      <c r="L68" s="1">
        <f>$L58+($R$8/2)*($B64-$B54)*1.1</f>
        <v>16.69953</v>
      </c>
      <c r="M68" s="1">
        <f>$M58+$R$8*($B64-$B54)*1.1</f>
        <v>33.39906</v>
      </c>
      <c r="N68" s="1">
        <f>$N58+($R$8/2)*($B64-$B54)*1.15</f>
        <v>17.463145</v>
      </c>
      <c r="O68" s="1">
        <f>$O58+$R$8*($B64-$B54)*1.15</f>
        <v>34.82629</v>
      </c>
    </row>
    <row r="69" s="1" customFormat="1" spans="1:15">
      <c r="A69" s="1">
        <v>1006</v>
      </c>
      <c r="B69" s="1">
        <v>30</v>
      </c>
      <c r="C69" s="2">
        <v>28</v>
      </c>
      <c r="D69" s="6" t="str">
        <f t="shared" si="15"/>
        <v>4.535:8.97</v>
      </c>
      <c r="E69" s="6" t="str">
        <f t="shared" si="16"/>
        <v>4.70175:9.4035</v>
      </c>
      <c r="F69" s="6" t="str">
        <f t="shared" si="17"/>
        <v>4.9685:9.837</v>
      </c>
      <c r="G69" s="6" t="str">
        <f t="shared" si="18"/>
        <v>5.13525:10.2705</v>
      </c>
      <c r="H69" s="1">
        <f>$H59+($R$9/2)*($B69-$B59)</f>
        <v>4.535</v>
      </c>
      <c r="I69" s="1">
        <f>$I59+$R$9*($B69-$B59)</f>
        <v>8.97</v>
      </c>
      <c r="J69" s="1">
        <f>$J59+($R$9/2)*($B64-$B54)*1.05</f>
        <v>4.70175</v>
      </c>
      <c r="K69" s="1">
        <f>$K59+$R$9*($B64-$B54)*1.05</f>
        <v>9.4035</v>
      </c>
      <c r="L69" s="1">
        <f>$L59+($R$9/2)*($B64-$B54)*1.1</f>
        <v>4.9685</v>
      </c>
      <c r="M69" s="1">
        <f>$M59+$R$9*($B64-$B54)*1.1</f>
        <v>9.837</v>
      </c>
      <c r="N69" s="1">
        <f>$N59+($R$9/2)*($B64-$B54)*1.15</f>
        <v>5.13525</v>
      </c>
      <c r="O69" s="1">
        <f>$O59+$R$9*($B64-$B54)*1.15</f>
        <v>10.2705</v>
      </c>
    </row>
    <row r="70" s="1" customFormat="1" spans="1:15">
      <c r="A70" s="1">
        <v>1007</v>
      </c>
      <c r="B70" s="1">
        <v>30</v>
      </c>
      <c r="C70" s="2">
        <v>7</v>
      </c>
      <c r="D70" s="6" t="str">
        <f t="shared" si="15"/>
        <v>8.97:17.94</v>
      </c>
      <c r="E70" s="6" t="str">
        <f t="shared" si="16"/>
        <v>9.4035:18.807</v>
      </c>
      <c r="F70" s="6" t="str">
        <f t="shared" si="17"/>
        <v>9.837:19.774</v>
      </c>
      <c r="G70" s="6" t="str">
        <f t="shared" si="18"/>
        <v>10.2705:20.641</v>
      </c>
      <c r="H70" s="1">
        <f>$H60+($R$10/2)*($B70-$B60)</f>
        <v>8.97</v>
      </c>
      <c r="I70" s="1">
        <f>$I60+$R$10*($B70-$B60)</f>
        <v>17.94</v>
      </c>
      <c r="J70" s="1">
        <f>$J60+($R$10/2)*($B64-$B54)*1.05</f>
        <v>9.4035</v>
      </c>
      <c r="K70" s="1">
        <f>$K60+$R$10*($B64-$B54)*1.05</f>
        <v>18.807</v>
      </c>
      <c r="L70" s="1">
        <f>$L60+($R$10/2)*($B64-$B54)*1.1</f>
        <v>9.837</v>
      </c>
      <c r="M70" s="1">
        <f>$M60+$R$10*($B64-$B54)*1.1</f>
        <v>19.774</v>
      </c>
      <c r="N70" s="1">
        <f>$N60+($R$10/2)*($B64-$B54)*1.15</f>
        <v>10.2705</v>
      </c>
      <c r="O70" s="1">
        <f>$O60+$R$10*($B64-$B54)*1.15</f>
        <v>20.641</v>
      </c>
    </row>
    <row r="71" s="1" customFormat="1" spans="1:15">
      <c r="A71" s="1">
        <v>1008</v>
      </c>
      <c r="B71" s="1">
        <v>30</v>
      </c>
      <c r="C71" s="2">
        <v>5</v>
      </c>
      <c r="D71" s="6" t="str">
        <f t="shared" si="15"/>
        <v>8.97:17.94</v>
      </c>
      <c r="E71" s="6" t="str">
        <f t="shared" si="16"/>
        <v>9.4035:18.807</v>
      </c>
      <c r="F71" s="6" t="str">
        <f t="shared" si="17"/>
        <v>9.837:19.774</v>
      </c>
      <c r="G71" s="6" t="str">
        <f t="shared" si="18"/>
        <v>10.2705:20.641</v>
      </c>
      <c r="H71" s="1">
        <f>$H61+($R$11/2)*($B71-$B61)</f>
        <v>8.97</v>
      </c>
      <c r="I71" s="1">
        <f>$I61+$R$11*($B71-$B61)</f>
        <v>17.94</v>
      </c>
      <c r="J71" s="1">
        <f>$J61+($R$11/2)*($B64-$B54)*1.05</f>
        <v>9.4035</v>
      </c>
      <c r="K71" s="1">
        <f>$K61+$R$11*($B64-$B54)*1.05</f>
        <v>18.807</v>
      </c>
      <c r="L71" s="1">
        <f>$L61+($R$11/2)*($B64-$B54)*1.1</f>
        <v>9.837</v>
      </c>
      <c r="M71" s="1">
        <f>$M61+$R$11*($B64-$B54)*1.1</f>
        <v>19.774</v>
      </c>
      <c r="N71" s="1">
        <f>$N61+($R$11/2)*($B64-$B54)*1.15</f>
        <v>10.2705</v>
      </c>
      <c r="O71" s="1">
        <f>$O61+$R$11*($B64-$B54)*1.15</f>
        <v>20.641</v>
      </c>
    </row>
    <row r="72" s="1" customFormat="1" spans="1:15">
      <c r="A72" s="1">
        <v>1009</v>
      </c>
      <c r="B72" s="1">
        <v>30</v>
      </c>
      <c r="C72" s="2">
        <v>12</v>
      </c>
      <c r="D72" s="6" t="str">
        <f t="shared" si="15"/>
        <v>1.794:3.588</v>
      </c>
      <c r="E72" s="6" t="str">
        <f t="shared" si="16"/>
        <v>1.8807:3.7614</v>
      </c>
      <c r="F72" s="6" t="str">
        <f t="shared" si="17"/>
        <v>1.9674:3.9548</v>
      </c>
      <c r="G72" s="6" t="str">
        <f t="shared" si="18"/>
        <v>2.0541:4.1282</v>
      </c>
      <c r="H72" s="1">
        <f>$H62+($R$12/2)*($B72-$B62)</f>
        <v>1.794</v>
      </c>
      <c r="I72" s="1">
        <f>$I62+$R$12*($B72-$B62)</f>
        <v>3.588</v>
      </c>
      <c r="J72" s="1">
        <f>$J62+($R$12/2)*($B64-$B54)*1.05</f>
        <v>1.8807</v>
      </c>
      <c r="K72" s="1">
        <f>$K62+$R$12*($B64-$B54)*1.05</f>
        <v>3.7614</v>
      </c>
      <c r="L72" s="1">
        <f>$L62+($R$12/2)*($B64-$B54)*1.1</f>
        <v>1.9674</v>
      </c>
      <c r="M72" s="1">
        <f>$M62+$R$12*($B64-$B54)*1.1</f>
        <v>3.9548</v>
      </c>
      <c r="N72" s="1">
        <f>$N62+($R$12/2)*($B64-$B54)*1.15</f>
        <v>2.0541</v>
      </c>
      <c r="O72" s="1">
        <f>$O62+$R$12*($B64-$B54)*1.15</f>
        <v>4.1282</v>
      </c>
    </row>
    <row r="73" s="1" customFormat="1" spans="1:15">
      <c r="A73" s="1">
        <v>1010</v>
      </c>
      <c r="B73" s="1">
        <v>30</v>
      </c>
      <c r="C73" s="2">
        <v>13</v>
      </c>
      <c r="D73" s="6" t="str">
        <f t="shared" si="15"/>
        <v>8.97:17.94</v>
      </c>
      <c r="E73" s="6" t="str">
        <f t="shared" si="16"/>
        <v>9.4035:18.807</v>
      </c>
      <c r="F73" s="6" t="str">
        <f t="shared" si="17"/>
        <v>9.837:19.774</v>
      </c>
      <c r="G73" s="6" t="str">
        <f t="shared" si="18"/>
        <v>10.2705:20.641</v>
      </c>
      <c r="H73" s="1">
        <f>$H63+($R$13/2)*($B73-$B63)</f>
        <v>8.97</v>
      </c>
      <c r="I73" s="1">
        <f>$I63+$R$13*($B73-$B63)</f>
        <v>17.94</v>
      </c>
      <c r="J73" s="1">
        <f>$J63+($R$13/2)*($B64-$B54)*1.05</f>
        <v>9.4035</v>
      </c>
      <c r="K73" s="1">
        <f>$K63+$R$13*($B64-$B54)*1.05</f>
        <v>18.807</v>
      </c>
      <c r="L73" s="1">
        <f>$L63+($R$13/2)*($B64-$B54)*1.1</f>
        <v>9.837</v>
      </c>
      <c r="M73" s="1">
        <f>$M63+$R$13*($B64-$B54)*1.1</f>
        <v>19.774</v>
      </c>
      <c r="N73" s="1">
        <f>$N63+($R$13/2)*($B64-$B54)*1.15</f>
        <v>10.2705</v>
      </c>
      <c r="O73" s="1">
        <f>$O63+$R$13*($B64-$B54)*1.15</f>
        <v>20.641</v>
      </c>
    </row>
    <row r="74" s="1" customFormat="1" spans="1:15">
      <c r="A74" s="1">
        <v>1001</v>
      </c>
      <c r="B74" s="1">
        <v>45</v>
      </c>
      <c r="C74" s="2">
        <v>1</v>
      </c>
      <c r="D74" s="6" t="str">
        <f t="shared" si="15"/>
        <v>264.6572:529.3144</v>
      </c>
      <c r="E74" s="6" t="str">
        <f t="shared" si="16"/>
        <v>277.94006:555.78012</v>
      </c>
      <c r="F74" s="6" t="str">
        <f t="shared" si="17"/>
        <v>291.12292:582.24584</v>
      </c>
      <c r="G74" s="6" t="str">
        <f t="shared" si="18"/>
        <v>304.40578:608.71156</v>
      </c>
      <c r="H74" s="1">
        <f>$H64+($R$4/2)*($B74-$B64)</f>
        <v>264.6572</v>
      </c>
      <c r="I74" s="1">
        <f>$I64+$R$4*($B74-$B64)</f>
        <v>529.3144</v>
      </c>
      <c r="J74" s="1">
        <f>$J64+($R$4/2)*($B74-$B64)*1.05</f>
        <v>277.94006</v>
      </c>
      <c r="K74" s="1">
        <f>$K64+$R$4*($B74-$B64)*1.05</f>
        <v>555.78012</v>
      </c>
      <c r="L74" s="1">
        <f>$L64+($R$4/2)*($B74-$B64)*1.1</f>
        <v>291.12292</v>
      </c>
      <c r="M74" s="1">
        <f>$M64+$R$4*($B74-$B64)*1.1</f>
        <v>582.24584</v>
      </c>
      <c r="N74" s="1">
        <f>$N64+($R$4/2)*($B74-$B64)*1.15</f>
        <v>304.40578</v>
      </c>
      <c r="O74" s="1">
        <f>$O64+$R$4*($B74-$B64)*1.15</f>
        <v>608.71156</v>
      </c>
    </row>
    <row r="75" s="1" customFormat="1" spans="1:15">
      <c r="A75" s="1">
        <v>1002</v>
      </c>
      <c r="B75" s="1">
        <v>45</v>
      </c>
      <c r="C75" s="2">
        <v>2</v>
      </c>
      <c r="D75" s="6" t="str">
        <f t="shared" si="15"/>
        <v>33.4228:66.8456</v>
      </c>
      <c r="E75" s="6" t="str">
        <f t="shared" si="16"/>
        <v>35.08394:70.16788</v>
      </c>
      <c r="F75" s="6" t="str">
        <f t="shared" si="17"/>
        <v>36.74508:73.49016</v>
      </c>
      <c r="G75" s="6" t="str">
        <f t="shared" si="18"/>
        <v>38.40622:76.81244</v>
      </c>
      <c r="H75" s="1">
        <f>$H65+($R$5/2)*($B75-$B65)</f>
        <v>33.4228</v>
      </c>
      <c r="I75" s="1">
        <f>$I65+$R$5*($B75-$B65)</f>
        <v>66.8456</v>
      </c>
      <c r="J75" s="1">
        <f>$J65+($R$5/2)*($B74-$B64)*1.05</f>
        <v>35.08394</v>
      </c>
      <c r="K75" s="1">
        <f>$K65+$R$5*($B74-$B64)*1.05</f>
        <v>70.16788</v>
      </c>
      <c r="L75" s="1">
        <f>$L65+($R$5/2)*($B74-$B64)*1.1</f>
        <v>36.74508</v>
      </c>
      <c r="M75" s="1">
        <f>$M65+$R$5*($B74-$B64)*1.1</f>
        <v>73.49016</v>
      </c>
      <c r="N75" s="1">
        <f>$N65+($R$5/2)*($B74-$B64)*1.15</f>
        <v>38.40622</v>
      </c>
      <c r="O75" s="1">
        <f>$O65+$R$5*($B74-$B64)*1.15</f>
        <v>76.81244</v>
      </c>
    </row>
    <row r="76" s="1" customFormat="1" spans="1:15">
      <c r="A76" s="1">
        <v>1003</v>
      </c>
      <c r="B76" s="1">
        <v>45</v>
      </c>
      <c r="C76" s="2">
        <v>4</v>
      </c>
      <c r="D76" s="6" t="str">
        <f t="shared" si="15"/>
        <v>21.0028:42.0056</v>
      </c>
      <c r="E76" s="6" t="str">
        <f t="shared" si="16"/>
        <v>22.05794:44.11588</v>
      </c>
      <c r="F76" s="6" t="str">
        <f t="shared" si="17"/>
        <v>23.11308:46.22616</v>
      </c>
      <c r="G76" s="6" t="str">
        <f t="shared" si="18"/>
        <v>24.16822:48.23644</v>
      </c>
      <c r="H76" s="1">
        <f>$H66+($R$6/2)*($B76-$B66)</f>
        <v>21.0028</v>
      </c>
      <c r="I76" s="1">
        <f>$I66+$R$6*($B76-$B66)</f>
        <v>42.0056</v>
      </c>
      <c r="J76" s="1">
        <f>$J66+($R$6/2)*($B74-$B64)*1.05</f>
        <v>22.05794</v>
      </c>
      <c r="K76" s="1">
        <f>$K66+$R$6*($B74-$B64)*1.05</f>
        <v>44.11588</v>
      </c>
      <c r="L76" s="1">
        <f>$L66+($R$6/2)*($B74-$B64)*1.1</f>
        <v>23.11308</v>
      </c>
      <c r="M76" s="1">
        <f>$M66+$R$6*($B74-$B64)*1.1</f>
        <v>46.22616</v>
      </c>
      <c r="N76" s="1">
        <f>$N66+($R$6/2)*($B74-$B64)*1.15</f>
        <v>24.16822</v>
      </c>
      <c r="O76" s="1">
        <f>$O66+$R$6*($B74-$B64)*1.15</f>
        <v>48.23644</v>
      </c>
    </row>
    <row r="77" s="1" customFormat="1" spans="1:15">
      <c r="A77" s="1">
        <v>1004</v>
      </c>
      <c r="B77" s="1">
        <v>45</v>
      </c>
      <c r="C77" s="2">
        <v>3</v>
      </c>
      <c r="D77" s="6" t="str">
        <f t="shared" si="15"/>
        <v>33.4228:66.8456</v>
      </c>
      <c r="E77" s="6" t="str">
        <f t="shared" si="16"/>
        <v>35.08394:70.16788</v>
      </c>
      <c r="F77" s="6" t="str">
        <f t="shared" si="17"/>
        <v>36.74508:73.49016</v>
      </c>
      <c r="G77" s="6" t="str">
        <f t="shared" si="18"/>
        <v>38.40622:76.81244</v>
      </c>
      <c r="H77" s="1">
        <f>$H67+($R$7/2)*($B77-$B67)</f>
        <v>33.4228</v>
      </c>
      <c r="I77" s="1">
        <f>$I67+$R$7*($B77-$B67)</f>
        <v>66.8456</v>
      </c>
      <c r="J77" s="1">
        <f>$J67+($R$7/2)*($B74-$B64)*1.05</f>
        <v>35.08394</v>
      </c>
      <c r="K77" s="1">
        <f>$K67+$R$7*($B74-$B64)*1.05</f>
        <v>70.16788</v>
      </c>
      <c r="L77" s="1">
        <f>$L67+($R$7/2)*($B74-$B64)*1.1</f>
        <v>36.74508</v>
      </c>
      <c r="M77" s="1">
        <f>$M67+$R$7*($B74-$B64)*1.1</f>
        <v>73.49016</v>
      </c>
      <c r="N77" s="1">
        <f>$N67+($R$7/2)*($B74-$B64)*1.15</f>
        <v>38.40622</v>
      </c>
      <c r="O77" s="1">
        <f>$O67+$R$7*($B74-$B64)*1.15</f>
        <v>76.81244</v>
      </c>
    </row>
    <row r="78" s="1" customFormat="1" spans="1:15">
      <c r="A78" s="1">
        <v>1005</v>
      </c>
      <c r="B78" s="1">
        <v>45</v>
      </c>
      <c r="C78" s="2">
        <v>27</v>
      </c>
      <c r="D78" s="6" t="str">
        <f t="shared" si="15"/>
        <v>21.0028:42.0056</v>
      </c>
      <c r="E78" s="6" t="str">
        <f t="shared" si="16"/>
        <v>22.05794:44.11588</v>
      </c>
      <c r="F78" s="6" t="str">
        <f t="shared" si="17"/>
        <v>23.11308:46.22616</v>
      </c>
      <c r="G78" s="6" t="str">
        <f t="shared" si="18"/>
        <v>24.16822:48.23644</v>
      </c>
      <c r="H78" s="1">
        <f>$H68+($R$8/2)*($B78-$B68)</f>
        <v>21.0028</v>
      </c>
      <c r="I78" s="1">
        <f>$I68+$R$8*($B78-$B68)</f>
        <v>42.0056</v>
      </c>
      <c r="J78" s="1">
        <f>$J68+($R$8/2)*($B74-$B64)*1.05</f>
        <v>22.05794</v>
      </c>
      <c r="K78" s="1">
        <f>$K68+$R$8*($B74-$B64)*1.05</f>
        <v>44.11588</v>
      </c>
      <c r="L78" s="1">
        <f>$L68+($R$8/2)*($B74-$B64)*1.1</f>
        <v>23.11308</v>
      </c>
      <c r="M78" s="1">
        <f>$M68+$R$8*($B74-$B64)*1.1</f>
        <v>46.22616</v>
      </c>
      <c r="N78" s="1">
        <f>$N68+($R$8/2)*($B74-$B64)*1.15</f>
        <v>24.16822</v>
      </c>
      <c r="O78" s="1">
        <f>$O68+$R$8*($B74-$B64)*1.15</f>
        <v>48.23644</v>
      </c>
    </row>
    <row r="79" s="1" customFormat="1" spans="1:15">
      <c r="A79" s="1">
        <v>1006</v>
      </c>
      <c r="B79" s="1">
        <v>45</v>
      </c>
      <c r="C79" s="2">
        <v>28</v>
      </c>
      <c r="D79" s="6" t="str">
        <f t="shared" si="15"/>
        <v>6.26:12.42</v>
      </c>
      <c r="E79" s="6" t="str">
        <f t="shared" si="16"/>
        <v>6.513:13.026</v>
      </c>
      <c r="F79" s="6" t="str">
        <f t="shared" si="17"/>
        <v>6.866:13.632</v>
      </c>
      <c r="G79" s="6" t="str">
        <f t="shared" si="18"/>
        <v>7.119:14.238</v>
      </c>
      <c r="H79" s="1">
        <f>$H69+($R$9/2)*($B79-$B69)</f>
        <v>6.26</v>
      </c>
      <c r="I79" s="1">
        <f>$I69+$R$9*($B79-$B69)</f>
        <v>12.42</v>
      </c>
      <c r="J79" s="1">
        <f>$J69+($R$9/2)*($B74-$B64)*1.05</f>
        <v>6.513</v>
      </c>
      <c r="K79" s="1">
        <f>$K69+$R$9*($B74-$B64)*1.05</f>
        <v>13.026</v>
      </c>
      <c r="L79" s="1">
        <f>$L69+($R$9/2)*($B74-$B64)*1.1</f>
        <v>6.866</v>
      </c>
      <c r="M79" s="1">
        <f>$M69+$R$9*($B74-$B64)*1.1</f>
        <v>13.632</v>
      </c>
      <c r="N79" s="1">
        <f>$N69+($R$9/2)*($B74-$B64)*1.15</f>
        <v>7.119</v>
      </c>
      <c r="O79" s="1">
        <f>$O69+$R$9*($B74-$B64)*1.15</f>
        <v>14.238</v>
      </c>
    </row>
    <row r="80" s="1" customFormat="1" spans="1:15">
      <c r="A80" s="1">
        <v>1007</v>
      </c>
      <c r="B80" s="1">
        <v>45</v>
      </c>
      <c r="C80" s="2">
        <v>7</v>
      </c>
      <c r="D80" s="6" t="str">
        <f t="shared" si="15"/>
        <v>12.42:24.84</v>
      </c>
      <c r="E80" s="6" t="str">
        <f t="shared" si="16"/>
        <v>13.026:26.052</v>
      </c>
      <c r="F80" s="6" t="str">
        <f t="shared" si="17"/>
        <v>13.632:27.364</v>
      </c>
      <c r="G80" s="6" t="str">
        <f t="shared" si="18"/>
        <v>14.238:28.576</v>
      </c>
      <c r="H80" s="1">
        <f>$H70+($R$10/2)*($B80-$B70)</f>
        <v>12.42</v>
      </c>
      <c r="I80" s="1">
        <f>$I70+$R$10*($B80-$B70)</f>
        <v>24.84</v>
      </c>
      <c r="J80" s="1">
        <f>$J70+($R$10/2)*($B74-$B64)*1.05</f>
        <v>13.026</v>
      </c>
      <c r="K80" s="1">
        <f>$K70+$R$10*($B74-$B64)*1.05</f>
        <v>26.052</v>
      </c>
      <c r="L80" s="1">
        <f>$L70+($R$10/2)*($B74-$B64)*1.1</f>
        <v>13.632</v>
      </c>
      <c r="M80" s="1">
        <f>$M70+$R$10*($B74-$B64)*1.1</f>
        <v>27.364</v>
      </c>
      <c r="N80" s="1">
        <f>$N70+($R$10/2)*($B74-$B64)*1.15</f>
        <v>14.238</v>
      </c>
      <c r="O80" s="1">
        <f>$O70+$R$10*($B74-$B64)*1.15</f>
        <v>28.576</v>
      </c>
    </row>
    <row r="81" s="1" customFormat="1" spans="1:15">
      <c r="A81" s="1">
        <v>1008</v>
      </c>
      <c r="B81" s="1">
        <v>45</v>
      </c>
      <c r="C81" s="2">
        <v>5</v>
      </c>
      <c r="D81" s="6" t="str">
        <f t="shared" si="15"/>
        <v>12.42:24.84</v>
      </c>
      <c r="E81" s="6" t="str">
        <f t="shared" si="16"/>
        <v>13.026:26.052</v>
      </c>
      <c r="F81" s="6" t="str">
        <f t="shared" si="17"/>
        <v>13.632:27.364</v>
      </c>
      <c r="G81" s="6" t="str">
        <f t="shared" si="18"/>
        <v>14.238:28.576</v>
      </c>
      <c r="H81" s="1">
        <f>$H71+($R$11/2)*($B81-$B71)</f>
        <v>12.42</v>
      </c>
      <c r="I81" s="1">
        <f>$I71+$R$11*($B81-$B71)</f>
        <v>24.84</v>
      </c>
      <c r="J81" s="1">
        <f>$J71+($R$11/2)*($B74-$B64)*1.05</f>
        <v>13.026</v>
      </c>
      <c r="K81" s="1">
        <f>$K71+$R$11*($B74-$B64)*1.05</f>
        <v>26.052</v>
      </c>
      <c r="L81" s="1">
        <f>$L71+($R$11/2)*($B74-$B64)*1.1</f>
        <v>13.632</v>
      </c>
      <c r="M81" s="1">
        <f>$M71+$R$11*($B74-$B64)*1.1</f>
        <v>27.364</v>
      </c>
      <c r="N81" s="1">
        <f>$N71+($R$11/2)*($B74-$B64)*1.15</f>
        <v>14.238</v>
      </c>
      <c r="O81" s="1">
        <f>$O71+$R$11*($B74-$B64)*1.15</f>
        <v>28.576</v>
      </c>
    </row>
    <row r="82" s="1" customFormat="1" spans="1:15">
      <c r="A82" s="1">
        <v>1009</v>
      </c>
      <c r="B82" s="1">
        <v>45</v>
      </c>
      <c r="C82" s="2">
        <v>12</v>
      </c>
      <c r="D82" s="6" t="str">
        <f t="shared" si="15"/>
        <v>2.484:4.968</v>
      </c>
      <c r="E82" s="6" t="str">
        <f t="shared" si="16"/>
        <v>2.6052:5.2104</v>
      </c>
      <c r="F82" s="6" t="str">
        <f t="shared" si="17"/>
        <v>2.7264:5.4728</v>
      </c>
      <c r="G82" s="6" t="str">
        <f t="shared" si="18"/>
        <v>2.8476:5.7152</v>
      </c>
      <c r="H82" s="1">
        <f>$H72+($R$12/2)*($B82-$B72)</f>
        <v>2.484</v>
      </c>
      <c r="I82" s="1">
        <f>$I72+$R$12*($B82-$B72)</f>
        <v>4.968</v>
      </c>
      <c r="J82" s="1">
        <f>$J72+($R$12/2)*($B74-$B64)*1.05</f>
        <v>2.6052</v>
      </c>
      <c r="K82" s="1">
        <f>$K72+$R$12*($B74-$B64)*1.05</f>
        <v>5.2104</v>
      </c>
      <c r="L82" s="1">
        <f>$L72+($R$12/2)*($B74-$B64)*1.1</f>
        <v>2.7264</v>
      </c>
      <c r="M82" s="1">
        <f>$M72+$R$12*($B74-$B64)*1.1</f>
        <v>5.4728</v>
      </c>
      <c r="N82" s="1">
        <f>$N72+($R$12/2)*($B74-$B64)*1.15</f>
        <v>2.8476</v>
      </c>
      <c r="O82" s="1">
        <f>$O72+$R$12*($B74-$B64)*1.15</f>
        <v>5.7152</v>
      </c>
    </row>
    <row r="83" s="1" customFormat="1" spans="1:15">
      <c r="A83" s="1">
        <v>1010</v>
      </c>
      <c r="B83" s="1">
        <v>45</v>
      </c>
      <c r="C83" s="2">
        <v>13</v>
      </c>
      <c r="D83" s="6" t="str">
        <f t="shared" si="15"/>
        <v>12.42:24.84</v>
      </c>
      <c r="E83" s="6" t="str">
        <f t="shared" si="16"/>
        <v>13.026:26.052</v>
      </c>
      <c r="F83" s="6" t="str">
        <f t="shared" si="17"/>
        <v>13.632:27.364</v>
      </c>
      <c r="G83" s="6" t="str">
        <f t="shared" si="18"/>
        <v>14.238:28.576</v>
      </c>
      <c r="H83" s="1">
        <f>$H73+($R$13/2)*($B83-$B73)</f>
        <v>12.42</v>
      </c>
      <c r="I83" s="1">
        <f>$I73+$R$13*($B83-$B73)</f>
        <v>24.84</v>
      </c>
      <c r="J83" s="1">
        <f>$J73+($R$13/2)*($B74-$B64)*1.05</f>
        <v>13.026</v>
      </c>
      <c r="K83" s="1">
        <f>$K73+$R$13*($B74-$B64)*1.05</f>
        <v>26.052</v>
      </c>
      <c r="L83" s="1">
        <f>$L73+($R$13/2)*($B74-$B64)*1.1</f>
        <v>13.632</v>
      </c>
      <c r="M83" s="1">
        <f>$M73+$R$13*($B74-$B64)*1.1</f>
        <v>27.364</v>
      </c>
      <c r="N83" s="1">
        <f>$N73+($R$13/2)*($B74-$B64)*1.15</f>
        <v>14.238</v>
      </c>
      <c r="O83" s="1">
        <f>$O73+$R$13*($B74-$B64)*1.15</f>
        <v>28.576</v>
      </c>
    </row>
    <row r="84" s="1" customFormat="1" spans="1:15">
      <c r="A84" s="1">
        <v>1001</v>
      </c>
      <c r="B84" s="1">
        <v>50</v>
      </c>
      <c r="C84" s="2">
        <v>1</v>
      </c>
      <c r="D84" s="6" t="str">
        <f t="shared" si="15"/>
        <v>289.1637:578.3274</v>
      </c>
      <c r="E84" s="6" t="str">
        <f t="shared" si="16"/>
        <v>303.671885:607.24377</v>
      </c>
      <c r="F84" s="6" t="str">
        <f t="shared" si="17"/>
        <v>318.08007:636.16014</v>
      </c>
      <c r="G84" s="6" t="str">
        <f t="shared" si="18"/>
        <v>332.588255:665.07651</v>
      </c>
      <c r="H84" s="1">
        <f>$H74+($R$4/2)*($B84-$B74)</f>
        <v>289.1637</v>
      </c>
      <c r="I84" s="1">
        <f>$I74+$R$4*($B84-$B74)</f>
        <v>578.3274</v>
      </c>
      <c r="J84" s="1">
        <f>$J74+($R$4/2)*($B84-$B74)*1.05</f>
        <v>303.671885</v>
      </c>
      <c r="K84" s="1">
        <f>$K74+$R$4*($B84-$B74)*1.05</f>
        <v>607.24377</v>
      </c>
      <c r="L84" s="1">
        <f>$L74+($R$4/2)*($B84-$B74)*1.1</f>
        <v>318.08007</v>
      </c>
      <c r="M84" s="1">
        <f>$M74+$R$4*($B84-$B74)*1.1</f>
        <v>636.16014</v>
      </c>
      <c r="N84" s="1">
        <f>$N74+($R$4/2)*($B84-$B74)*1.15</f>
        <v>332.588255</v>
      </c>
      <c r="O84" s="1">
        <f>$O74+$R$4*($B84-$B74)*1.15</f>
        <v>665.07651</v>
      </c>
    </row>
    <row r="85" s="1" customFormat="1" spans="1:15">
      <c r="A85" s="1">
        <v>1002</v>
      </c>
      <c r="B85" s="1">
        <v>50</v>
      </c>
      <c r="C85" s="2">
        <v>2</v>
      </c>
      <c r="D85" s="6" t="str">
        <f t="shared" si="15"/>
        <v>36.5163:73.0326</v>
      </c>
      <c r="E85" s="6" t="str">
        <f t="shared" si="16"/>
        <v>38.332115:76.66423</v>
      </c>
      <c r="F85" s="6" t="str">
        <f t="shared" si="17"/>
        <v>40.14793:80.29586</v>
      </c>
      <c r="G85" s="6" t="str">
        <f t="shared" si="18"/>
        <v>41.963745:83.92749</v>
      </c>
      <c r="H85" s="1">
        <f>$H75+($R$5/2)*($B85-$B75)</f>
        <v>36.5163</v>
      </c>
      <c r="I85" s="1">
        <f>$I75+$R$5*($B85-$B75)</f>
        <v>73.0326</v>
      </c>
      <c r="J85" s="1">
        <f>$J75+($R$5/2)*($B84-$B74)*1.05</f>
        <v>38.332115</v>
      </c>
      <c r="K85" s="1">
        <f>$K75+$R$5*($B84-$B74)*1.05</f>
        <v>76.66423</v>
      </c>
      <c r="L85" s="1">
        <f>$L75+($R$5/2)*($B84-$B74)*1.1</f>
        <v>40.14793</v>
      </c>
      <c r="M85" s="1">
        <f>$M75+$R$5*($B84-$B74)*1.1</f>
        <v>80.29586</v>
      </c>
      <c r="N85" s="1">
        <f>$N75+($R$5/2)*($B84-$B74)*1.15</f>
        <v>41.963745</v>
      </c>
      <c r="O85" s="1">
        <f>$O75+$R$5*($B84-$B74)*1.15</f>
        <v>83.92749</v>
      </c>
    </row>
    <row r="86" s="1" customFormat="1" spans="1:15">
      <c r="A86" s="1">
        <v>1003</v>
      </c>
      <c r="B86" s="1">
        <v>50</v>
      </c>
      <c r="C86" s="2">
        <v>4</v>
      </c>
      <c r="D86" s="6" t="str">
        <f t="shared" si="15"/>
        <v>22.9463:45.8926</v>
      </c>
      <c r="E86" s="6" t="str">
        <f t="shared" si="16"/>
        <v>24.098615:48.19723</v>
      </c>
      <c r="F86" s="6" t="str">
        <f t="shared" si="17"/>
        <v>25.25093:50.50186</v>
      </c>
      <c r="G86" s="6" t="str">
        <f t="shared" si="18"/>
        <v>26.403245:52.70649</v>
      </c>
      <c r="H86" s="1">
        <f>$H76+($R$6/2)*($B86-$B76)</f>
        <v>22.9463</v>
      </c>
      <c r="I86" s="1">
        <f>$I76+$R$6*($B86-$B76)</f>
        <v>45.8926</v>
      </c>
      <c r="J86" s="1">
        <f>$J76+($R$6/2)*($B84-$B74)*1.05</f>
        <v>24.098615</v>
      </c>
      <c r="K86" s="1">
        <f>$K76+$R$6*($B84-$B74)*1.05</f>
        <v>48.19723</v>
      </c>
      <c r="L86" s="1">
        <f>$L76+($R$6/2)*($B84-$B74)*1.1</f>
        <v>25.25093</v>
      </c>
      <c r="M86" s="1">
        <f>$M76+$R$6*($B84-$B74)*1.1</f>
        <v>50.50186</v>
      </c>
      <c r="N86" s="1">
        <f>$N76+($R$6/2)*($B84-$B74)*1.15</f>
        <v>26.403245</v>
      </c>
      <c r="O86" s="1">
        <f>$O76+$R$6*($B84-$B74)*1.15</f>
        <v>52.70649</v>
      </c>
    </row>
    <row r="87" s="1" customFormat="1" spans="1:15">
      <c r="A87" s="1">
        <v>1004</v>
      </c>
      <c r="B87" s="1">
        <v>50</v>
      </c>
      <c r="C87" s="2">
        <v>3</v>
      </c>
      <c r="D87" s="6" t="str">
        <f t="shared" si="15"/>
        <v>36.5163:73.0326</v>
      </c>
      <c r="E87" s="6" t="str">
        <f t="shared" si="16"/>
        <v>38.332115:76.66423</v>
      </c>
      <c r="F87" s="6" t="str">
        <f t="shared" si="17"/>
        <v>40.14793:80.29586</v>
      </c>
      <c r="G87" s="6" t="str">
        <f t="shared" si="18"/>
        <v>41.963745:83.92749</v>
      </c>
      <c r="H87" s="1">
        <f>$H77+($R$7/2)*($B87-$B77)</f>
        <v>36.5163</v>
      </c>
      <c r="I87" s="1">
        <f>$I77+$R$7*($B87-$B77)</f>
        <v>73.0326</v>
      </c>
      <c r="J87" s="1">
        <f>$J77+($R$7/2)*($B84-$B74)*1.05</f>
        <v>38.332115</v>
      </c>
      <c r="K87" s="1">
        <f>$K77+$R$7*($B84-$B74)*1.05</f>
        <v>76.66423</v>
      </c>
      <c r="L87" s="1">
        <f>$L77+($R$7/2)*($B84-$B74)*1.1</f>
        <v>40.14793</v>
      </c>
      <c r="M87" s="1">
        <f>$M77+$R$7*($B84-$B74)*1.1</f>
        <v>80.29586</v>
      </c>
      <c r="N87" s="1">
        <f>$N77+($R$7/2)*($B84-$B74)*1.15</f>
        <v>41.963745</v>
      </c>
      <c r="O87" s="1">
        <f>$O77+$R$7*($B84-$B74)*1.15</f>
        <v>83.92749</v>
      </c>
    </row>
    <row r="88" s="1" customFormat="1" spans="1:15">
      <c r="A88" s="1">
        <v>1005</v>
      </c>
      <c r="B88" s="1">
        <v>50</v>
      </c>
      <c r="C88" s="2">
        <v>27</v>
      </c>
      <c r="D88" s="6" t="str">
        <f t="shared" si="15"/>
        <v>22.9463:45.8926</v>
      </c>
      <c r="E88" s="6" t="str">
        <f t="shared" si="16"/>
        <v>24.098615:48.19723</v>
      </c>
      <c r="F88" s="6" t="str">
        <f t="shared" si="17"/>
        <v>25.25093:50.50186</v>
      </c>
      <c r="G88" s="6" t="str">
        <f t="shared" si="18"/>
        <v>26.403245:52.70649</v>
      </c>
      <c r="H88" s="1">
        <f>$H78+($R$8/2)*($B88-$B78)</f>
        <v>22.9463</v>
      </c>
      <c r="I88" s="1">
        <f>$I78+$R$8*($B88-$B78)</f>
        <v>45.8926</v>
      </c>
      <c r="J88" s="1">
        <f>$J78+($R$8/2)*($B84-$B74)*1.05</f>
        <v>24.098615</v>
      </c>
      <c r="K88" s="1">
        <f>$K78+$R$8*($B84-$B74)*1.05</f>
        <v>48.19723</v>
      </c>
      <c r="L88" s="1">
        <f>$L78+($R$8/2)*($B84-$B74)*1.1</f>
        <v>25.25093</v>
      </c>
      <c r="M88" s="1">
        <f>$M78+$R$8*($B84-$B74)*1.1</f>
        <v>50.50186</v>
      </c>
      <c r="N88" s="1">
        <f>$N78+($R$8/2)*($B84-$B74)*1.15</f>
        <v>26.403245</v>
      </c>
      <c r="O88" s="1">
        <f>$O78+$R$8*($B84-$B74)*1.15</f>
        <v>52.70649</v>
      </c>
    </row>
    <row r="89" s="1" customFormat="1" spans="1:15">
      <c r="A89" s="1">
        <v>1006</v>
      </c>
      <c r="B89" s="1">
        <v>50</v>
      </c>
      <c r="C89" s="2">
        <v>28</v>
      </c>
      <c r="D89" s="6" t="str">
        <f t="shared" si="15"/>
        <v>6.835:13.57</v>
      </c>
      <c r="E89" s="6" t="str">
        <f t="shared" si="16"/>
        <v>7.11675:14.2335</v>
      </c>
      <c r="F89" s="6" t="str">
        <f t="shared" si="17"/>
        <v>7.4985:14.897</v>
      </c>
      <c r="G89" s="6" t="str">
        <f t="shared" si="18"/>
        <v>7.78025:15.5605</v>
      </c>
      <c r="H89" s="1">
        <f>$H79+($R$9/2)*($B89-$B79)</f>
        <v>6.835</v>
      </c>
      <c r="I89" s="1">
        <f>$I79+$R$9*($B89-$B79)</f>
        <v>13.57</v>
      </c>
      <c r="J89" s="1">
        <f>$J79+($R$9/2)*($B84-$B74)*1.05</f>
        <v>7.11675</v>
      </c>
      <c r="K89" s="1">
        <f>$K79+$R$9*($B84-$B74)*1.05</f>
        <v>14.2335</v>
      </c>
      <c r="L89" s="1">
        <f>$L79+($R$9/2)*($B84-$B74)*1.1</f>
        <v>7.4985</v>
      </c>
      <c r="M89" s="1">
        <f>$M79+$R$9*($B84-$B74)*1.1</f>
        <v>14.897</v>
      </c>
      <c r="N89" s="1">
        <f>$N79+($R$9/2)*($B84-$B74)*1.15</f>
        <v>7.78025</v>
      </c>
      <c r="O89" s="1">
        <f>$O79+$R$9*($B84-$B74)*1.15</f>
        <v>15.5605</v>
      </c>
    </row>
    <row r="90" s="1" customFormat="1" spans="1:15">
      <c r="A90" s="1">
        <v>1007</v>
      </c>
      <c r="B90" s="1">
        <v>50</v>
      </c>
      <c r="C90" s="2">
        <v>7</v>
      </c>
      <c r="D90" s="6" t="str">
        <f t="shared" si="15"/>
        <v>13.57:27.14</v>
      </c>
      <c r="E90" s="6" t="str">
        <f t="shared" si="16"/>
        <v>14.2335:28.467</v>
      </c>
      <c r="F90" s="6" t="str">
        <f t="shared" si="17"/>
        <v>14.897:29.894</v>
      </c>
      <c r="G90" s="6" t="str">
        <f t="shared" si="18"/>
        <v>15.5605:31.221</v>
      </c>
      <c r="H90" s="1">
        <f>$H80+($R$10/2)*($B90-$B80)</f>
        <v>13.57</v>
      </c>
      <c r="I90" s="1">
        <f>$I80+$R$10*($B90-$B80)</f>
        <v>27.14</v>
      </c>
      <c r="J90" s="1">
        <f>$J80+($R$10/2)*($B84-$B74)*1.05</f>
        <v>14.2335</v>
      </c>
      <c r="K90" s="1">
        <f>$K80+$R$10*($B84-$B74)*1.05</f>
        <v>28.467</v>
      </c>
      <c r="L90" s="1">
        <f>$L80+($R$10/2)*($B84-$B74)*1.1</f>
        <v>14.897</v>
      </c>
      <c r="M90" s="1">
        <f>$M80+$R$10*($B84-$B74)*1.1</f>
        <v>29.894</v>
      </c>
      <c r="N90" s="1">
        <f>$N80+($R$10/2)*($B84-$B74)*1.15</f>
        <v>15.5605</v>
      </c>
      <c r="O90" s="1">
        <f>$O80+$R$10*($B84-$B74)*1.15</f>
        <v>31.221</v>
      </c>
    </row>
    <row r="91" s="1" customFormat="1" spans="1:15">
      <c r="A91" s="1">
        <v>1008</v>
      </c>
      <c r="B91" s="1">
        <v>50</v>
      </c>
      <c r="C91" s="2">
        <v>5</v>
      </c>
      <c r="D91" s="6" t="str">
        <f t="shared" si="15"/>
        <v>13.57:27.14</v>
      </c>
      <c r="E91" s="6" t="str">
        <f t="shared" si="16"/>
        <v>14.2335:28.467</v>
      </c>
      <c r="F91" s="6" t="str">
        <f t="shared" si="17"/>
        <v>14.897:29.894</v>
      </c>
      <c r="G91" s="6" t="str">
        <f t="shared" si="18"/>
        <v>15.5605:31.221</v>
      </c>
      <c r="H91" s="1">
        <f>$H81+($R$11/2)*($B91-$B81)</f>
        <v>13.57</v>
      </c>
      <c r="I91" s="1">
        <f>$I81+$R$11*($B91-$B81)</f>
        <v>27.14</v>
      </c>
      <c r="J91" s="1">
        <f>$J81+($R$11/2)*($B84-$B74)*1.05</f>
        <v>14.2335</v>
      </c>
      <c r="K91" s="1">
        <f>$K81+$R$11*($B84-$B74)*1.05</f>
        <v>28.467</v>
      </c>
      <c r="L91" s="1">
        <f>$L81+($R$11/2)*($B84-$B74)*1.1</f>
        <v>14.897</v>
      </c>
      <c r="M91" s="1">
        <f>$M81+$R$11*($B84-$B74)*1.1</f>
        <v>29.894</v>
      </c>
      <c r="N91" s="1">
        <f>$N81+($R$11/2)*($B84-$B74)*1.15</f>
        <v>15.5605</v>
      </c>
      <c r="O91" s="1">
        <f>$O81+$R$11*($B84-$B74)*1.15</f>
        <v>31.221</v>
      </c>
    </row>
    <row r="92" s="1" customFormat="1" spans="1:15">
      <c r="A92" s="1">
        <v>1009</v>
      </c>
      <c r="B92" s="1">
        <v>50</v>
      </c>
      <c r="C92" s="2">
        <v>12</v>
      </c>
      <c r="D92" s="6" t="str">
        <f t="shared" si="15"/>
        <v>2.714:5.428</v>
      </c>
      <c r="E92" s="6" t="str">
        <f t="shared" si="16"/>
        <v>2.8467:5.6934</v>
      </c>
      <c r="F92" s="6" t="str">
        <f t="shared" si="17"/>
        <v>2.9794:5.9788</v>
      </c>
      <c r="G92" s="6" t="str">
        <f t="shared" si="18"/>
        <v>3.1121:6.2442</v>
      </c>
      <c r="H92" s="1">
        <f>$H82+($R$12/2)*($B92-$B82)</f>
        <v>2.714</v>
      </c>
      <c r="I92" s="1">
        <f>$I82+$R$12*($B92-$B82)</f>
        <v>5.428</v>
      </c>
      <c r="J92" s="1">
        <f>$J82+($R$12/2)*($B84-$B74)*1.05</f>
        <v>2.8467</v>
      </c>
      <c r="K92" s="1">
        <f>$K82+$R$12*($B84-$B74)*1.05</f>
        <v>5.6934</v>
      </c>
      <c r="L92" s="1">
        <f>$L82+($R$12/2)*($B84-$B74)*1.1</f>
        <v>2.9794</v>
      </c>
      <c r="M92" s="1">
        <f>$M82+$R$12*($B84-$B74)*1.1</f>
        <v>5.9788</v>
      </c>
      <c r="N92" s="1">
        <f>$N82+($R$12/2)*($B84-$B74)*1.15</f>
        <v>3.1121</v>
      </c>
      <c r="O92" s="1">
        <f>$O82+$R$12*($B84-$B74)*1.15</f>
        <v>6.2442</v>
      </c>
    </row>
    <row r="93" s="1" customFormat="1" spans="1:15">
      <c r="A93" s="1">
        <v>1010</v>
      </c>
      <c r="B93" s="1">
        <v>50</v>
      </c>
      <c r="C93" s="2">
        <v>13</v>
      </c>
      <c r="D93" s="6" t="str">
        <f t="shared" si="15"/>
        <v>13.57:27.14</v>
      </c>
      <c r="E93" s="6" t="str">
        <f t="shared" si="16"/>
        <v>14.2335:28.467</v>
      </c>
      <c r="F93" s="6" t="str">
        <f t="shared" si="17"/>
        <v>14.897:29.894</v>
      </c>
      <c r="G93" s="6" t="str">
        <f t="shared" si="18"/>
        <v>15.5605:31.221</v>
      </c>
      <c r="H93" s="1">
        <f>$H83+($R$13/2)*($B93-$B83)</f>
        <v>13.57</v>
      </c>
      <c r="I93" s="1">
        <f>$I83+$R$13*($B93-$B83)</f>
        <v>27.14</v>
      </c>
      <c r="J93" s="1">
        <f>$J83+($R$13/2)*($B84-$B74)*1.05</f>
        <v>14.2335</v>
      </c>
      <c r="K93" s="1">
        <f>$K83+$R$13*($B84-$B74)*1.05</f>
        <v>28.467</v>
      </c>
      <c r="L93" s="1">
        <f>$L83+($R$13/2)*($B84-$B74)*1.1</f>
        <v>14.897</v>
      </c>
      <c r="M93" s="1">
        <f>$M83+$R$13*($B84-$B74)*1.1</f>
        <v>29.894</v>
      </c>
      <c r="N93" s="1">
        <f>$N83+($R$13/2)*($B84-$B74)*1.15</f>
        <v>15.5605</v>
      </c>
      <c r="O93" s="1">
        <f>$O83+$R$13*($B84-$B74)*1.15</f>
        <v>31.221</v>
      </c>
    </row>
    <row r="94" s="1" customFormat="1" spans="1:15">
      <c r="A94" s="1">
        <v>1001</v>
      </c>
      <c r="B94" s="1">
        <v>55</v>
      </c>
      <c r="C94" s="2">
        <v>1</v>
      </c>
      <c r="D94" s="6" t="str">
        <f t="shared" si="15"/>
        <v>313.6702:627.3404</v>
      </c>
      <c r="E94" s="6" t="str">
        <f t="shared" si="16"/>
        <v>329.40371:658.70742</v>
      </c>
      <c r="F94" s="6" t="str">
        <f t="shared" si="17"/>
        <v>345.03722:690.07444</v>
      </c>
      <c r="G94" s="6" t="str">
        <f t="shared" si="18"/>
        <v>360.77073:721.44146</v>
      </c>
      <c r="H94" s="1">
        <f>$H84+($R$4/2)*($B94-$B84)</f>
        <v>313.6702</v>
      </c>
      <c r="I94" s="1">
        <f>$I84+$R$4*($B94-$B84)</f>
        <v>627.3404</v>
      </c>
      <c r="J94" s="1">
        <f>$J84+($R$4/2)*($B94-$B84)*1.05</f>
        <v>329.40371</v>
      </c>
      <c r="K94" s="1">
        <f>$K84+$R$4*($B94-$B84)*1.05</f>
        <v>658.70742</v>
      </c>
      <c r="L94" s="1">
        <f>$L84+($R$4/2)*($B94-$B84)*1.1</f>
        <v>345.03722</v>
      </c>
      <c r="M94" s="1">
        <f>$M84+$R$4*($B94-$B84)*1.1</f>
        <v>690.07444</v>
      </c>
      <c r="N94" s="1">
        <f>$N84+($R$4/2)*($B94-$B84)*1.15</f>
        <v>360.77073</v>
      </c>
      <c r="O94" s="1">
        <f>$O84+$R$4*($B94-$B84)*1.15</f>
        <v>721.44146</v>
      </c>
    </row>
    <row r="95" s="1" customFormat="1" spans="1:15">
      <c r="A95" s="1">
        <v>1002</v>
      </c>
      <c r="B95" s="1">
        <v>55</v>
      </c>
      <c r="C95" s="2">
        <v>2</v>
      </c>
      <c r="D95" s="6" t="str">
        <f t="shared" si="15"/>
        <v>39.6098:79.2196</v>
      </c>
      <c r="E95" s="6" t="str">
        <f t="shared" si="16"/>
        <v>41.58029:83.16058</v>
      </c>
      <c r="F95" s="6" t="str">
        <f t="shared" si="17"/>
        <v>43.55078:87.10156</v>
      </c>
      <c r="G95" s="6" t="str">
        <f t="shared" si="18"/>
        <v>45.52127:91.04254</v>
      </c>
      <c r="H95" s="1">
        <f>$H85+($R$5/2)*($B95-$B85)</f>
        <v>39.6098</v>
      </c>
      <c r="I95" s="1">
        <f>$I85+$R$5*($B95-$B85)</f>
        <v>79.2196</v>
      </c>
      <c r="J95" s="1">
        <f>$J85+($R$5/2)*($B94-$B84)*1.05</f>
        <v>41.58029</v>
      </c>
      <c r="K95" s="1">
        <f>$K85+$R$5*($B94-$B84)*1.05</f>
        <v>83.16058</v>
      </c>
      <c r="L95" s="1">
        <f>$L85+($R$5/2)*($B94-$B84)*1.1</f>
        <v>43.55078</v>
      </c>
      <c r="M95" s="1">
        <f>$M85+$R$5*($B94-$B84)*1.1</f>
        <v>87.10156</v>
      </c>
      <c r="N95" s="1">
        <f>$N85+($R$5/2)*($B94-$B84)*1.15</f>
        <v>45.52127</v>
      </c>
      <c r="O95" s="1">
        <f>$O85+$R$5*($B94-$B84)*1.15</f>
        <v>91.04254</v>
      </c>
    </row>
    <row r="96" s="1" customFormat="1" spans="1:15">
      <c r="A96" s="1">
        <v>1003</v>
      </c>
      <c r="B96" s="1">
        <v>55</v>
      </c>
      <c r="C96" s="2">
        <v>4</v>
      </c>
      <c r="D96" s="6" t="str">
        <f t="shared" si="15"/>
        <v>24.8898:49.7796</v>
      </c>
      <c r="E96" s="6" t="str">
        <f t="shared" si="16"/>
        <v>26.13929:52.27858</v>
      </c>
      <c r="F96" s="6" t="str">
        <f t="shared" si="17"/>
        <v>27.38878:54.77756</v>
      </c>
      <c r="G96" s="6" t="str">
        <f t="shared" si="18"/>
        <v>28.63827:57.17654</v>
      </c>
      <c r="H96" s="1">
        <f>$H86+($R$6/2)*($B96-$B86)</f>
        <v>24.8898</v>
      </c>
      <c r="I96" s="1">
        <f>$I86+$R$6*($B96-$B86)</f>
        <v>49.7796</v>
      </c>
      <c r="J96" s="1">
        <f>$J86+($R$6/2)*($B94-$B84)*1.05</f>
        <v>26.13929</v>
      </c>
      <c r="K96" s="1">
        <f>$K86+$R$6*($B94-$B84)*1.05</f>
        <v>52.27858</v>
      </c>
      <c r="L96" s="1">
        <f>$L86+($R$6/2)*($B94-$B84)*1.1</f>
        <v>27.38878</v>
      </c>
      <c r="M96" s="1">
        <f>$M86+$R$6*($B94-$B84)*1.1</f>
        <v>54.77756</v>
      </c>
      <c r="N96" s="1">
        <f>$N86+($R$6/2)*($B94-$B84)*1.15</f>
        <v>28.63827</v>
      </c>
      <c r="O96" s="1">
        <f>$O86+$R$6*($B94-$B84)*1.15</f>
        <v>57.17654</v>
      </c>
    </row>
    <row r="97" s="1" customFormat="1" spans="1:15">
      <c r="A97" s="1">
        <v>1004</v>
      </c>
      <c r="B97" s="1">
        <v>55</v>
      </c>
      <c r="C97" s="2">
        <v>3</v>
      </c>
      <c r="D97" s="6" t="str">
        <f t="shared" si="15"/>
        <v>39.6098:79.2196</v>
      </c>
      <c r="E97" s="6" t="str">
        <f t="shared" si="16"/>
        <v>41.58029:83.16058</v>
      </c>
      <c r="F97" s="6" t="str">
        <f t="shared" si="17"/>
        <v>43.55078:87.10156</v>
      </c>
      <c r="G97" s="6" t="str">
        <f t="shared" si="18"/>
        <v>45.52127:91.04254</v>
      </c>
      <c r="H97" s="1">
        <f>$H87+($R$7/2)*($B97-$B87)</f>
        <v>39.6098</v>
      </c>
      <c r="I97" s="1">
        <f>$I87+$R$7*($B97-$B87)</f>
        <v>79.2196</v>
      </c>
      <c r="J97" s="1">
        <f>$J87+($R$7/2)*($B94-$B84)*1.05</f>
        <v>41.58029</v>
      </c>
      <c r="K97" s="1">
        <f>$K87+$R$7*($B94-$B84)*1.05</f>
        <v>83.16058</v>
      </c>
      <c r="L97" s="1">
        <f>$L87+($R$7/2)*($B94-$B84)*1.1</f>
        <v>43.55078</v>
      </c>
      <c r="M97" s="1">
        <f>$M87+$R$7*($B94-$B84)*1.1</f>
        <v>87.10156</v>
      </c>
      <c r="N97" s="1">
        <f>$N87+($R$7/2)*($B94-$B84)*1.15</f>
        <v>45.52127</v>
      </c>
      <c r="O97" s="1">
        <f>$O87+$R$7*($B94-$B84)*1.15</f>
        <v>91.04254</v>
      </c>
    </row>
    <row r="98" s="1" customFormat="1" spans="1:15">
      <c r="A98" s="1">
        <v>1005</v>
      </c>
      <c r="B98" s="1">
        <v>55</v>
      </c>
      <c r="C98" s="2">
        <v>27</v>
      </c>
      <c r="D98" s="6" t="str">
        <f t="shared" si="15"/>
        <v>24.8898:49.7796</v>
      </c>
      <c r="E98" s="6" t="str">
        <f t="shared" si="16"/>
        <v>26.13929:52.27858</v>
      </c>
      <c r="F98" s="6" t="str">
        <f t="shared" si="17"/>
        <v>27.38878:54.77756</v>
      </c>
      <c r="G98" s="6" t="str">
        <f t="shared" si="18"/>
        <v>28.63827:57.17654</v>
      </c>
      <c r="H98" s="1">
        <f>$H88+($R$8/2)*($B98-$B88)</f>
        <v>24.8898</v>
      </c>
      <c r="I98" s="1">
        <f>$I88+$R$8*($B98-$B88)</f>
        <v>49.7796</v>
      </c>
      <c r="J98" s="1">
        <f>$J88+($R$8/2)*($B94-$B84)*1.05</f>
        <v>26.13929</v>
      </c>
      <c r="K98" s="1">
        <f>$K88+$R$8*($B94-$B84)*1.05</f>
        <v>52.27858</v>
      </c>
      <c r="L98" s="1">
        <f>$L88+($R$8/2)*($B94-$B84)*1.1</f>
        <v>27.38878</v>
      </c>
      <c r="M98" s="1">
        <f>$M88+$R$8*($B94-$B84)*1.1</f>
        <v>54.77756</v>
      </c>
      <c r="N98" s="1">
        <f>$N88+($R$8/2)*($B94-$B84)*1.15</f>
        <v>28.63827</v>
      </c>
      <c r="O98" s="1">
        <f>$O88+$R$8*($B94-$B84)*1.15</f>
        <v>57.17654</v>
      </c>
    </row>
    <row r="99" s="1" customFormat="1" spans="1:15">
      <c r="A99" s="1">
        <v>1006</v>
      </c>
      <c r="B99" s="1">
        <v>55</v>
      </c>
      <c r="C99" s="2">
        <v>28</v>
      </c>
      <c r="D99" s="6" t="str">
        <f t="shared" si="15"/>
        <v>7.41:14.72</v>
      </c>
      <c r="E99" s="6" t="str">
        <f t="shared" si="16"/>
        <v>7.7205:15.441</v>
      </c>
      <c r="F99" s="6" t="str">
        <f t="shared" si="17"/>
        <v>8.131:16.162</v>
      </c>
      <c r="G99" s="6" t="str">
        <f t="shared" si="18"/>
        <v>8.4415:16.883</v>
      </c>
      <c r="H99" s="1">
        <f>$H89+($R$9/2)*($B99-$B89)</f>
        <v>7.41</v>
      </c>
      <c r="I99" s="1">
        <f>$I89+$R$9*($B99-$B89)</f>
        <v>14.72</v>
      </c>
      <c r="J99" s="1">
        <f>$J89+($R$9/2)*($B94-$B84)*1.05</f>
        <v>7.7205</v>
      </c>
      <c r="K99" s="1">
        <f>$K89+$R$9*($B94-$B84)*1.05</f>
        <v>15.441</v>
      </c>
      <c r="L99" s="1">
        <f>$L89+($R$9/2)*($B94-$B84)*1.1</f>
        <v>8.131</v>
      </c>
      <c r="M99" s="1">
        <f>$M89+$R$9*($B94-$B84)*1.1</f>
        <v>16.162</v>
      </c>
      <c r="N99" s="1">
        <f>$N89+($R$9/2)*($B94-$B84)*1.15</f>
        <v>8.4415</v>
      </c>
      <c r="O99" s="1">
        <f>$O89+$R$9*($B94-$B84)*1.15</f>
        <v>16.883</v>
      </c>
    </row>
    <row r="100" s="1" customFormat="1" spans="1:15">
      <c r="A100" s="1">
        <v>1007</v>
      </c>
      <c r="B100" s="1">
        <v>55</v>
      </c>
      <c r="C100" s="2">
        <v>7</v>
      </c>
      <c r="D100" s="6" t="str">
        <f t="shared" si="15"/>
        <v>14.72:29.44</v>
      </c>
      <c r="E100" s="6" t="str">
        <f t="shared" si="16"/>
        <v>15.441:30.882</v>
      </c>
      <c r="F100" s="6" t="str">
        <f t="shared" si="17"/>
        <v>16.162:32.424</v>
      </c>
      <c r="G100" s="6" t="str">
        <f t="shared" si="18"/>
        <v>16.883:33.866</v>
      </c>
      <c r="H100" s="1">
        <f>$H90+($R$10/2)*($B100-$B90)</f>
        <v>14.72</v>
      </c>
      <c r="I100" s="1">
        <f>$I90+$R$10*($B100-$B90)</f>
        <v>29.44</v>
      </c>
      <c r="J100" s="1">
        <f>$J90+($R$10/2)*($B94-$B84)*1.05</f>
        <v>15.441</v>
      </c>
      <c r="K100" s="1">
        <f>$K90+$R$10*($B94-$B84)*1.05</f>
        <v>30.882</v>
      </c>
      <c r="L100" s="1">
        <f>$L90+($R$10/2)*($B94-$B84)*1.1</f>
        <v>16.162</v>
      </c>
      <c r="M100" s="1">
        <f>$M90+$R$10*($B94-$B84)*1.1</f>
        <v>32.424</v>
      </c>
      <c r="N100" s="1">
        <f>$N90+($R$10/2)*($B94-$B84)*1.15</f>
        <v>16.883</v>
      </c>
      <c r="O100" s="1">
        <f>$O90+$R$10*($B94-$B84)*1.15</f>
        <v>33.866</v>
      </c>
    </row>
    <row r="101" s="1" customFormat="1" spans="1:15">
      <c r="A101" s="1">
        <v>1008</v>
      </c>
      <c r="B101" s="1">
        <v>55</v>
      </c>
      <c r="C101" s="2">
        <v>5</v>
      </c>
      <c r="D101" s="6" t="str">
        <f t="shared" si="15"/>
        <v>14.72:29.44</v>
      </c>
      <c r="E101" s="6" t="str">
        <f t="shared" si="16"/>
        <v>15.441:30.882</v>
      </c>
      <c r="F101" s="6" t="str">
        <f t="shared" si="17"/>
        <v>16.162:32.424</v>
      </c>
      <c r="G101" s="6" t="str">
        <f t="shared" si="18"/>
        <v>16.883:33.866</v>
      </c>
      <c r="H101" s="1">
        <f>$H91+($R$11/2)*($B101-$B91)</f>
        <v>14.72</v>
      </c>
      <c r="I101" s="1">
        <f>$I91+$R$11*($B101-$B91)</f>
        <v>29.44</v>
      </c>
      <c r="J101" s="1">
        <f>$J91+($R$11/2)*($B94-$B84)*1.05</f>
        <v>15.441</v>
      </c>
      <c r="K101" s="1">
        <f>$K91+$R$11*($B94-$B84)*1.05</f>
        <v>30.882</v>
      </c>
      <c r="L101" s="1">
        <f>$L91+($R$11/2)*($B94-$B84)*1.1</f>
        <v>16.162</v>
      </c>
      <c r="M101" s="1">
        <f>$M91+$R$11*($B94-$B84)*1.1</f>
        <v>32.424</v>
      </c>
      <c r="N101" s="1">
        <f>$N91+($R$11/2)*($B94-$B84)*1.15</f>
        <v>16.883</v>
      </c>
      <c r="O101" s="1">
        <f>$O91+$R$11*($B94-$B84)*1.15</f>
        <v>33.866</v>
      </c>
    </row>
    <row r="102" s="1" customFormat="1" spans="1:15">
      <c r="A102" s="1">
        <v>1009</v>
      </c>
      <c r="B102" s="1">
        <v>55</v>
      </c>
      <c r="C102" s="2">
        <v>12</v>
      </c>
      <c r="D102" s="6" t="str">
        <f t="shared" si="15"/>
        <v>2.944:5.888</v>
      </c>
      <c r="E102" s="6" t="str">
        <f t="shared" si="16"/>
        <v>3.0882:6.1764</v>
      </c>
      <c r="F102" s="6" t="str">
        <f t="shared" si="17"/>
        <v>3.2324:6.4848</v>
      </c>
      <c r="G102" s="6" t="str">
        <f t="shared" si="18"/>
        <v>3.3766:6.7732</v>
      </c>
      <c r="H102" s="1">
        <f>$H92+($R$12/2)*($B102-$B92)</f>
        <v>2.944</v>
      </c>
      <c r="I102" s="1">
        <f>$I92+$R$12*($B102-$B92)</f>
        <v>5.888</v>
      </c>
      <c r="J102" s="1">
        <f>$J92+($R$12/2)*($B94-$B84)*1.05</f>
        <v>3.0882</v>
      </c>
      <c r="K102" s="1">
        <f>$K92+$R$12*($B94-$B84)*1.05</f>
        <v>6.1764</v>
      </c>
      <c r="L102" s="1">
        <f>$L92+($R$12/2)*($B94-$B84)*1.1</f>
        <v>3.2324</v>
      </c>
      <c r="M102" s="1">
        <f>$M92+$R$12*($B94-$B84)*1.1</f>
        <v>6.4848</v>
      </c>
      <c r="N102" s="1">
        <f>$N92+($R$12/2)*($B94-$B84)*1.15</f>
        <v>3.3766</v>
      </c>
      <c r="O102" s="1">
        <f>$O92+$R$12*($B94-$B84)*1.15</f>
        <v>6.7732</v>
      </c>
    </row>
    <row r="103" s="1" customFormat="1" spans="1:15">
      <c r="A103" s="1">
        <v>1010</v>
      </c>
      <c r="B103" s="1">
        <v>55</v>
      </c>
      <c r="C103" s="2">
        <v>13</v>
      </c>
      <c r="D103" s="6" t="str">
        <f t="shared" si="15"/>
        <v>14.72:29.44</v>
      </c>
      <c r="E103" s="6" t="str">
        <f t="shared" si="16"/>
        <v>15.441:30.882</v>
      </c>
      <c r="F103" s="6" t="str">
        <f t="shared" si="17"/>
        <v>16.162:32.424</v>
      </c>
      <c r="G103" s="6" t="str">
        <f t="shared" si="18"/>
        <v>16.883:33.866</v>
      </c>
      <c r="H103" s="1">
        <f>$H93+($R$13/2)*($B103-$B93)</f>
        <v>14.72</v>
      </c>
      <c r="I103" s="1">
        <f>$I93+$R$13*($B103-$B93)</f>
        <v>29.44</v>
      </c>
      <c r="J103" s="1">
        <f>$J93+($R$13/2)*($B94-$B84)*1.05</f>
        <v>15.441</v>
      </c>
      <c r="K103" s="1">
        <f>$K93+$R$13*($B94-$B84)*1.05</f>
        <v>30.882</v>
      </c>
      <c r="L103" s="1">
        <f>$L93+($R$13/2)*($B94-$B84)*1.1</f>
        <v>16.162</v>
      </c>
      <c r="M103" s="1">
        <f>$M93+$R$13*($B94-$B84)*1.1</f>
        <v>32.424</v>
      </c>
      <c r="N103" s="1">
        <f>$N93+($R$13/2)*($B94-$B84)*1.15</f>
        <v>16.883</v>
      </c>
      <c r="O103" s="1">
        <f>$O93+$R$13*($B94-$B84)*1.15</f>
        <v>33.866</v>
      </c>
    </row>
    <row r="104" s="1" customFormat="1" spans="1:15">
      <c r="A104" s="1">
        <v>1001</v>
      </c>
      <c r="B104" s="1">
        <v>60</v>
      </c>
      <c r="C104" s="2">
        <v>1</v>
      </c>
      <c r="D104" s="6" t="str">
        <f t="shared" si="15"/>
        <v>338.1767:676.3534</v>
      </c>
      <c r="E104" s="6" t="str">
        <f t="shared" si="16"/>
        <v>355.135535:710.17107</v>
      </c>
      <c r="F104" s="6" t="str">
        <f t="shared" si="17"/>
        <v>371.99437:743.98874</v>
      </c>
      <c r="G104" s="6" t="str">
        <f t="shared" si="18"/>
        <v>388.953205:777.80641</v>
      </c>
      <c r="H104" s="1">
        <f>$H94+($R$4/2)*($B104-$B94)</f>
        <v>338.1767</v>
      </c>
      <c r="I104" s="1">
        <f>$I94+$R$4*($B104-$B94)</f>
        <v>676.3534</v>
      </c>
      <c r="J104" s="1">
        <f>$J94+($R$4/2)*($B104-$B94)*1.05</f>
        <v>355.135535</v>
      </c>
      <c r="K104" s="1">
        <f>$K94+$R$4*($B104-$B94)*1.05</f>
        <v>710.17107</v>
      </c>
      <c r="L104" s="1">
        <f>$L94+($R$4/2)*($B104-$B94)*1.1</f>
        <v>371.99437</v>
      </c>
      <c r="M104" s="1">
        <f>$M94+$R$4*($B104-$B94)*1.1</f>
        <v>743.98874</v>
      </c>
      <c r="N104" s="1">
        <f>$N94+($R$4/2)*($B104-$B94)*1.15</f>
        <v>388.953205</v>
      </c>
      <c r="O104" s="1">
        <f>$O94+$R$4*($B104-$B94)*1.15</f>
        <v>777.80641</v>
      </c>
    </row>
    <row r="105" s="1" customFormat="1" spans="1:15">
      <c r="A105" s="1">
        <v>1002</v>
      </c>
      <c r="B105" s="1">
        <v>60</v>
      </c>
      <c r="C105" s="2">
        <v>2</v>
      </c>
      <c r="D105" s="6" t="str">
        <f t="shared" si="15"/>
        <v>42.7033:85.4066</v>
      </c>
      <c r="E105" s="6" t="str">
        <f t="shared" si="16"/>
        <v>44.828465:89.65693</v>
      </c>
      <c r="F105" s="6" t="str">
        <f t="shared" si="17"/>
        <v>46.95363:93.90726</v>
      </c>
      <c r="G105" s="6" t="str">
        <f t="shared" si="18"/>
        <v>49.078795:98.15759</v>
      </c>
      <c r="H105" s="1">
        <f>$H95+($R$5/2)*($B105-$B95)</f>
        <v>42.7033</v>
      </c>
      <c r="I105" s="1">
        <f>$I95+$R$5*($B105-$B95)</f>
        <v>85.4066</v>
      </c>
      <c r="J105" s="1">
        <f>$J95+($R$5/2)*($B104-$B94)*1.05</f>
        <v>44.828465</v>
      </c>
      <c r="K105" s="1">
        <f>$K95+$R$5*($B104-$B94)*1.05</f>
        <v>89.65693</v>
      </c>
      <c r="L105" s="1">
        <f>$L95+($R$5/2)*($B104-$B94)*1.1</f>
        <v>46.95363</v>
      </c>
      <c r="M105" s="1">
        <f>$M95+$R$5*($B104-$B94)*1.1</f>
        <v>93.90726</v>
      </c>
      <c r="N105" s="1">
        <f>$N95+($R$5/2)*($B104-$B94)*1.15</f>
        <v>49.078795</v>
      </c>
      <c r="O105" s="1">
        <f>$O95+$R$5*($B104-$B94)*1.15</f>
        <v>98.15759</v>
      </c>
    </row>
    <row r="106" s="1" customFormat="1" spans="1:15">
      <c r="A106" s="1">
        <v>1003</v>
      </c>
      <c r="B106" s="1">
        <v>60</v>
      </c>
      <c r="C106" s="2">
        <v>4</v>
      </c>
      <c r="D106" s="6" t="str">
        <f t="shared" si="15"/>
        <v>26.8333:53.6666</v>
      </c>
      <c r="E106" s="6" t="str">
        <f t="shared" si="16"/>
        <v>28.179965:56.35993</v>
      </c>
      <c r="F106" s="6" t="str">
        <f t="shared" si="17"/>
        <v>29.52663:59.05326</v>
      </c>
      <c r="G106" s="6" t="str">
        <f t="shared" si="18"/>
        <v>30.873295:61.64659</v>
      </c>
      <c r="H106" s="1">
        <f>$H96+($R$6/2)*($B106-$B96)</f>
        <v>26.8333</v>
      </c>
      <c r="I106" s="1">
        <f>$I96+$R$6*($B106-$B96)</f>
        <v>53.6666</v>
      </c>
      <c r="J106" s="1">
        <f>$J96+($R$6/2)*($B104-$B94)*1.05</f>
        <v>28.179965</v>
      </c>
      <c r="K106" s="1">
        <f>$K96+$R$6*($B104-$B94)*1.05</f>
        <v>56.35993</v>
      </c>
      <c r="L106" s="1">
        <f>$L96+($R$6/2)*($B104-$B94)*1.1</f>
        <v>29.52663</v>
      </c>
      <c r="M106" s="1">
        <f>$M96+$R$6*($B104-$B94)*1.1</f>
        <v>59.05326</v>
      </c>
      <c r="N106" s="1">
        <f>$N96+($R$6/2)*($B104-$B94)*1.15</f>
        <v>30.873295</v>
      </c>
      <c r="O106" s="1">
        <f>$O96+$R$6*($B104-$B94)*1.15</f>
        <v>61.64659</v>
      </c>
    </row>
    <row r="107" s="1" customFormat="1" spans="1:15">
      <c r="A107" s="1">
        <v>1004</v>
      </c>
      <c r="B107" s="1">
        <v>60</v>
      </c>
      <c r="C107" s="2">
        <v>3</v>
      </c>
      <c r="D107" s="6" t="str">
        <f t="shared" si="15"/>
        <v>42.7033:85.4066</v>
      </c>
      <c r="E107" s="6" t="str">
        <f t="shared" si="16"/>
        <v>44.828465:89.65693</v>
      </c>
      <c r="F107" s="6" t="str">
        <f t="shared" si="17"/>
        <v>46.95363:93.90726</v>
      </c>
      <c r="G107" s="6" t="str">
        <f t="shared" si="18"/>
        <v>49.078795:98.15759</v>
      </c>
      <c r="H107" s="1">
        <f>$H97+($R$7/2)*($B107-$B97)</f>
        <v>42.7033</v>
      </c>
      <c r="I107" s="1">
        <f>$I97+$R$7*($B107-$B97)</f>
        <v>85.4066</v>
      </c>
      <c r="J107" s="1">
        <f>$J97+($R$7/2)*($B104-$B94)*1.05</f>
        <v>44.828465</v>
      </c>
      <c r="K107" s="1">
        <f>$K97+$R$7*($B104-$B94)*1.05</f>
        <v>89.65693</v>
      </c>
      <c r="L107" s="1">
        <f>$L97+($R$7/2)*($B104-$B94)*1.1</f>
        <v>46.95363</v>
      </c>
      <c r="M107" s="1">
        <f>$M97+$R$7*($B104-$B94)*1.1</f>
        <v>93.90726</v>
      </c>
      <c r="N107" s="1">
        <f>$N97+($R$7/2)*($B104-$B94)*1.15</f>
        <v>49.078795</v>
      </c>
      <c r="O107" s="1">
        <f>$O97+$R$7*($B104-$B94)*1.15</f>
        <v>98.15759</v>
      </c>
    </row>
    <row r="108" s="1" customFormat="1" spans="1:15">
      <c r="A108" s="1">
        <v>1005</v>
      </c>
      <c r="B108" s="1">
        <v>60</v>
      </c>
      <c r="C108" s="2">
        <v>27</v>
      </c>
      <c r="D108" s="6" t="str">
        <f t="shared" si="15"/>
        <v>26.8333:53.6666</v>
      </c>
      <c r="E108" s="6" t="str">
        <f t="shared" si="16"/>
        <v>28.179965:56.35993</v>
      </c>
      <c r="F108" s="6" t="str">
        <f t="shared" si="17"/>
        <v>29.52663:59.05326</v>
      </c>
      <c r="G108" s="6" t="str">
        <f t="shared" si="18"/>
        <v>30.873295:61.64659</v>
      </c>
      <c r="H108" s="1">
        <f>$H98+($R$8/2)*($B108-$B98)</f>
        <v>26.8333</v>
      </c>
      <c r="I108" s="1">
        <f>$I98+$R$8*($B108-$B98)</f>
        <v>53.6666</v>
      </c>
      <c r="J108" s="1">
        <f>$J98+($R$8/2)*($B104-$B94)*1.05</f>
        <v>28.179965</v>
      </c>
      <c r="K108" s="1">
        <f>$K98+$R$8*($B104-$B94)*1.05</f>
        <v>56.35993</v>
      </c>
      <c r="L108" s="1">
        <f>$L98+($R$8/2)*($B104-$B94)*1.1</f>
        <v>29.52663</v>
      </c>
      <c r="M108" s="1">
        <f>$M98+$R$8*($B104-$B94)*1.1</f>
        <v>59.05326</v>
      </c>
      <c r="N108" s="1">
        <f>$N98+($R$8/2)*($B104-$B94)*1.15</f>
        <v>30.873295</v>
      </c>
      <c r="O108" s="1">
        <f>$O98+$R$8*($B104-$B94)*1.15</f>
        <v>61.64659</v>
      </c>
    </row>
    <row r="109" s="1" customFormat="1" spans="1:15">
      <c r="A109" s="1">
        <v>1006</v>
      </c>
      <c r="B109" s="1">
        <v>60</v>
      </c>
      <c r="C109" s="2">
        <v>28</v>
      </c>
      <c r="D109" s="6" t="str">
        <f t="shared" si="15"/>
        <v>7.985:15.87</v>
      </c>
      <c r="E109" s="6" t="str">
        <f t="shared" si="16"/>
        <v>8.32425:16.6485</v>
      </c>
      <c r="F109" s="6" t="str">
        <f t="shared" si="17"/>
        <v>8.7635:17.427</v>
      </c>
      <c r="G109" s="6" t="str">
        <f t="shared" si="18"/>
        <v>9.10275:18.2055</v>
      </c>
      <c r="H109" s="1">
        <f>$H99+($R$9/2)*($B109-$B99)</f>
        <v>7.985</v>
      </c>
      <c r="I109" s="1">
        <f>$I99+$R$9*($B109-$B99)</f>
        <v>15.87</v>
      </c>
      <c r="J109" s="1">
        <f>$J99+($R$9/2)*($B104-$B94)*1.05</f>
        <v>8.32425</v>
      </c>
      <c r="K109" s="1">
        <f>$K99+$R$9*($B104-$B94)*1.05</f>
        <v>16.6485</v>
      </c>
      <c r="L109" s="1">
        <f>$L99+($R$9/2)*($B104-$B94)*1.1</f>
        <v>8.7635</v>
      </c>
      <c r="M109" s="1">
        <f>$M99+$R$9*($B104-$B94)*1.1</f>
        <v>17.427</v>
      </c>
      <c r="N109" s="1">
        <f>$N99+($R$9/2)*($B104-$B94)*1.15</f>
        <v>9.10275</v>
      </c>
      <c r="O109" s="1">
        <f>$O99+$R$9*($B104-$B94)*1.15</f>
        <v>18.2055</v>
      </c>
    </row>
    <row r="110" s="1" customFormat="1" spans="1:15">
      <c r="A110" s="1">
        <v>1007</v>
      </c>
      <c r="B110" s="1">
        <v>60</v>
      </c>
      <c r="C110" s="2">
        <v>7</v>
      </c>
      <c r="D110" s="6" t="str">
        <f t="shared" si="15"/>
        <v>15.87:31.74</v>
      </c>
      <c r="E110" s="6" t="str">
        <f t="shared" si="16"/>
        <v>16.6485:33.297</v>
      </c>
      <c r="F110" s="6" t="str">
        <f t="shared" si="17"/>
        <v>17.427:34.954</v>
      </c>
      <c r="G110" s="6" t="str">
        <f t="shared" si="18"/>
        <v>18.2055:36.511</v>
      </c>
      <c r="H110" s="1">
        <f>$H100+($R$10/2)*($B110-$B100)</f>
        <v>15.87</v>
      </c>
      <c r="I110" s="1">
        <f>$I100+$R$10*($B110-$B100)</f>
        <v>31.74</v>
      </c>
      <c r="J110" s="1">
        <f>$J100+($R$10/2)*($B104-$B94)*1.05</f>
        <v>16.6485</v>
      </c>
      <c r="K110" s="1">
        <f>$K100+$R$10*($B104-$B94)*1.05</f>
        <v>33.297</v>
      </c>
      <c r="L110" s="1">
        <f>$L100+($R$10/2)*($B104-$B94)*1.1</f>
        <v>17.427</v>
      </c>
      <c r="M110" s="1">
        <f>$M100+$R$10*($B104-$B94)*1.1</f>
        <v>34.954</v>
      </c>
      <c r="N110" s="1">
        <f>$N100+($R$10/2)*($B104-$B94)*1.15</f>
        <v>18.2055</v>
      </c>
      <c r="O110" s="1">
        <f>$O100+$R$10*($B104-$B94)*1.15</f>
        <v>36.511</v>
      </c>
    </row>
    <row r="111" s="1" customFormat="1" spans="1:15">
      <c r="A111" s="1">
        <v>1008</v>
      </c>
      <c r="B111" s="1">
        <v>60</v>
      </c>
      <c r="C111" s="2">
        <v>5</v>
      </c>
      <c r="D111" s="6" t="str">
        <f t="shared" si="15"/>
        <v>15.87:31.74</v>
      </c>
      <c r="E111" s="6" t="str">
        <f t="shared" si="16"/>
        <v>16.6485:33.297</v>
      </c>
      <c r="F111" s="6" t="str">
        <f t="shared" si="17"/>
        <v>17.427:34.954</v>
      </c>
      <c r="G111" s="6" t="str">
        <f t="shared" si="18"/>
        <v>18.2055:36.511</v>
      </c>
      <c r="H111" s="1">
        <f>$H101+($R$11/2)*($B111-$B101)</f>
        <v>15.87</v>
      </c>
      <c r="I111" s="1">
        <f>$I101+$R$11*($B111-$B101)</f>
        <v>31.74</v>
      </c>
      <c r="J111" s="1">
        <f>$J101+($R$11/2)*($B104-$B94)*1.05</f>
        <v>16.6485</v>
      </c>
      <c r="K111" s="1">
        <f>$K101+$R$11*($B104-$B94)*1.05</f>
        <v>33.297</v>
      </c>
      <c r="L111" s="1">
        <f>$L101+($R$11/2)*($B104-$B94)*1.1</f>
        <v>17.427</v>
      </c>
      <c r="M111" s="1">
        <f>$M101+$R$11*($B104-$B94)*1.1</f>
        <v>34.954</v>
      </c>
      <c r="N111" s="1">
        <f>$N101+($R$11/2)*($B104-$B94)*1.15</f>
        <v>18.2055</v>
      </c>
      <c r="O111" s="1">
        <f>$O101+$R$11*($B104-$B94)*1.15</f>
        <v>36.511</v>
      </c>
    </row>
    <row r="112" s="1" customFormat="1" spans="1:15">
      <c r="A112" s="1">
        <v>1009</v>
      </c>
      <c r="B112" s="1">
        <v>60</v>
      </c>
      <c r="C112" s="2">
        <v>12</v>
      </c>
      <c r="D112" s="6" t="str">
        <f t="shared" si="15"/>
        <v>3.174:6.348</v>
      </c>
      <c r="E112" s="6" t="str">
        <f t="shared" si="16"/>
        <v>3.3297:6.6594</v>
      </c>
      <c r="F112" s="6" t="str">
        <f t="shared" si="17"/>
        <v>3.4854:6.9908</v>
      </c>
      <c r="G112" s="6" t="str">
        <f t="shared" si="18"/>
        <v>3.6411:7.3022</v>
      </c>
      <c r="H112" s="1">
        <f>$H102+($R$12/2)*($B112-$B102)</f>
        <v>3.174</v>
      </c>
      <c r="I112" s="1">
        <f>$I102+$R$12*($B112-$B102)</f>
        <v>6.348</v>
      </c>
      <c r="J112" s="1">
        <f>$J102+($R$12/2)*($B104-$B94)*1.05</f>
        <v>3.3297</v>
      </c>
      <c r="K112" s="1">
        <f>$K102+$R$12*($B104-$B94)*1.05</f>
        <v>6.6594</v>
      </c>
      <c r="L112" s="1">
        <f>$L102+($R$12/2)*($B104-$B94)*1.1</f>
        <v>3.4854</v>
      </c>
      <c r="M112" s="1">
        <f>$M102+$R$12*($B104-$B94)*1.1</f>
        <v>6.9908</v>
      </c>
      <c r="N112" s="1">
        <f>$N102+($R$12/2)*($B104-$B94)*1.15</f>
        <v>3.6411</v>
      </c>
      <c r="O112" s="1">
        <f>$O102+$R$12*($B104-$B94)*1.15</f>
        <v>7.3022</v>
      </c>
    </row>
    <row r="113" s="1" customFormat="1" spans="1:15">
      <c r="A113" s="1">
        <v>1010</v>
      </c>
      <c r="B113" s="1">
        <v>60</v>
      </c>
      <c r="C113" s="2">
        <v>13</v>
      </c>
      <c r="D113" s="6" t="str">
        <f t="shared" si="15"/>
        <v>15.87:31.74</v>
      </c>
      <c r="E113" s="6" t="str">
        <f t="shared" si="16"/>
        <v>16.6485:33.297</v>
      </c>
      <c r="F113" s="6" t="str">
        <f t="shared" si="17"/>
        <v>17.427:34.954</v>
      </c>
      <c r="G113" s="6" t="str">
        <f t="shared" si="18"/>
        <v>18.2055:36.511</v>
      </c>
      <c r="H113" s="1">
        <f>$H103+($R$13/2)*($B113-$B103)</f>
        <v>15.87</v>
      </c>
      <c r="I113" s="1">
        <f>$I103+$R$13*($B113-$B103)</f>
        <v>31.74</v>
      </c>
      <c r="J113" s="1">
        <f>$J103+($R$13/2)*($B104-$B94)*1.05</f>
        <v>16.6485</v>
      </c>
      <c r="K113" s="1">
        <f>$K103+$R$13*($B104-$B94)*1.05</f>
        <v>33.297</v>
      </c>
      <c r="L113" s="1">
        <f>$L103+($R$13/2)*($B104-$B94)*1.1</f>
        <v>17.427</v>
      </c>
      <c r="M113" s="1">
        <f>$M103+$R$13*($B104-$B94)*1.1</f>
        <v>34.954</v>
      </c>
      <c r="N113" s="1">
        <f>$N103+($R$13/2)*($B104-$B94)*1.15</f>
        <v>18.2055</v>
      </c>
      <c r="O113" s="1">
        <f>$O103+$R$13*($B104-$B94)*1.15</f>
        <v>36.511</v>
      </c>
    </row>
    <row r="114" s="1" customFormat="1" spans="1:15">
      <c r="A114" s="1">
        <v>1001</v>
      </c>
      <c r="B114" s="1">
        <v>65</v>
      </c>
      <c r="C114" s="2">
        <v>1</v>
      </c>
      <c r="D114" s="6" t="str">
        <f t="shared" si="15"/>
        <v>362.6832:725.3664</v>
      </c>
      <c r="E114" s="6" t="str">
        <f t="shared" si="16"/>
        <v>380.86736:761.63472</v>
      </c>
      <c r="F114" s="6" t="str">
        <f t="shared" si="17"/>
        <v>398.95152:797.90304</v>
      </c>
      <c r="G114" s="6" t="str">
        <f t="shared" si="18"/>
        <v>417.13568:834.17136</v>
      </c>
      <c r="H114" s="1">
        <f>$H104+($R$4/2)*($B114-$B104)</f>
        <v>362.6832</v>
      </c>
      <c r="I114" s="1">
        <f>$I104+$R$4*($B114-$B104)</f>
        <v>725.3664</v>
      </c>
      <c r="J114" s="1">
        <f>$J104+($R$4/2)*($B114-$B104)*1.05</f>
        <v>380.86736</v>
      </c>
      <c r="K114" s="1">
        <f>$K104+$R$4*($B114-$B104)*1.05</f>
        <v>761.63472</v>
      </c>
      <c r="L114" s="1">
        <f>$L104+($R$4/2)*($B114-$B104)*1.1</f>
        <v>398.95152</v>
      </c>
      <c r="M114" s="1">
        <f>$M104+$R$4*($B114-$B104)*1.1</f>
        <v>797.90304</v>
      </c>
      <c r="N114" s="1">
        <f>$N104+($R$4/2)*($B114-$B104)*1.15</f>
        <v>417.13568</v>
      </c>
      <c r="O114" s="1">
        <f>$O104+$R$4*($B114-$B104)*1.15</f>
        <v>834.17136</v>
      </c>
    </row>
    <row r="115" s="1" customFormat="1" spans="1:15">
      <c r="A115" s="1">
        <v>1002</v>
      </c>
      <c r="B115" s="1">
        <v>65</v>
      </c>
      <c r="C115" s="2">
        <v>2</v>
      </c>
      <c r="D115" s="6" t="str">
        <f t="shared" si="15"/>
        <v>45.7968:91.5936</v>
      </c>
      <c r="E115" s="6" t="str">
        <f t="shared" si="16"/>
        <v>48.07664:96.15328</v>
      </c>
      <c r="F115" s="6" t="str">
        <f t="shared" si="17"/>
        <v>50.35648:100.71296</v>
      </c>
      <c r="G115" s="6" t="str">
        <f t="shared" si="18"/>
        <v>52.63632:105.27264</v>
      </c>
      <c r="H115" s="1">
        <f>$H105+($R$5/2)*($B115-$B105)</f>
        <v>45.7968</v>
      </c>
      <c r="I115" s="1">
        <f>$I105+$R$5*($B115-$B105)</f>
        <v>91.5936</v>
      </c>
      <c r="J115" s="1">
        <f>$J105+($R$5/2)*($B114-$B104)*1.05</f>
        <v>48.07664</v>
      </c>
      <c r="K115" s="1">
        <f>$K105+$R$5*($B114-$B104)*1.05</f>
        <v>96.15328</v>
      </c>
      <c r="L115" s="1">
        <f>$L105+($R$5/2)*($B114-$B104)*1.1</f>
        <v>50.35648</v>
      </c>
      <c r="M115" s="1">
        <f>$M105+$R$5*($B114-$B104)*1.1</f>
        <v>100.71296</v>
      </c>
      <c r="N115" s="1">
        <f>$N105+($R$5/2)*($B114-$B104)*1.15</f>
        <v>52.63632</v>
      </c>
      <c r="O115" s="1">
        <f>$O105+$R$5*($B114-$B104)*1.15</f>
        <v>105.27264</v>
      </c>
    </row>
    <row r="116" s="1" customFormat="1" spans="1:15">
      <c r="A116" s="1">
        <v>1003</v>
      </c>
      <c r="B116" s="1">
        <v>65</v>
      </c>
      <c r="C116" s="2">
        <v>4</v>
      </c>
      <c r="D116" s="6" t="str">
        <f t="shared" si="15"/>
        <v>28.7768:57.5536</v>
      </c>
      <c r="E116" s="6" t="str">
        <f t="shared" si="16"/>
        <v>30.22064:60.44128</v>
      </c>
      <c r="F116" s="6" t="str">
        <f t="shared" si="17"/>
        <v>31.66448:63.32896</v>
      </c>
      <c r="G116" s="6" t="str">
        <f t="shared" si="18"/>
        <v>33.10832:66.11664</v>
      </c>
      <c r="H116" s="1">
        <f>$H106+($R$6/2)*($B116-$B106)</f>
        <v>28.7768</v>
      </c>
      <c r="I116" s="1">
        <f>$I106+$R$6*($B116-$B106)</f>
        <v>57.5536</v>
      </c>
      <c r="J116" s="1">
        <f>$J106+($R$6/2)*($B114-$B104)*1.05</f>
        <v>30.22064</v>
      </c>
      <c r="K116" s="1">
        <f>$K106+$R$6*($B114-$B104)*1.05</f>
        <v>60.44128</v>
      </c>
      <c r="L116" s="1">
        <f>$L106+($R$6/2)*($B114-$B104)*1.1</f>
        <v>31.66448</v>
      </c>
      <c r="M116" s="1">
        <f>$M106+$R$6*($B114-$B104)*1.1</f>
        <v>63.32896</v>
      </c>
      <c r="N116" s="1">
        <f>$N106+($R$6/2)*($B114-$B104)*1.15</f>
        <v>33.10832</v>
      </c>
      <c r="O116" s="1">
        <f>$O106+$R$6*($B114-$B104)*1.15</f>
        <v>66.11664</v>
      </c>
    </row>
    <row r="117" s="1" customFormat="1" spans="1:15">
      <c r="A117" s="1">
        <v>1004</v>
      </c>
      <c r="B117" s="1">
        <v>65</v>
      </c>
      <c r="C117" s="2">
        <v>3</v>
      </c>
      <c r="D117" s="6" t="str">
        <f t="shared" si="15"/>
        <v>45.7968:91.5936</v>
      </c>
      <c r="E117" s="6" t="str">
        <f t="shared" si="16"/>
        <v>48.07664:96.15328</v>
      </c>
      <c r="F117" s="6" t="str">
        <f t="shared" si="17"/>
        <v>50.35648:100.71296</v>
      </c>
      <c r="G117" s="6" t="str">
        <f t="shared" si="18"/>
        <v>52.63632:105.27264</v>
      </c>
      <c r="H117" s="1">
        <f>$H107+($R$7/2)*($B117-$B107)</f>
        <v>45.7968</v>
      </c>
      <c r="I117" s="1">
        <f>$I107+$R$7*($B117-$B107)</f>
        <v>91.5936</v>
      </c>
      <c r="J117" s="1">
        <f>$J107+($R$7/2)*($B114-$B104)*1.05</f>
        <v>48.07664</v>
      </c>
      <c r="K117" s="1">
        <f>$K107+$R$7*($B114-$B104)*1.05</f>
        <v>96.15328</v>
      </c>
      <c r="L117" s="1">
        <f>$L107+($R$7/2)*($B114-$B104)*1.1</f>
        <v>50.35648</v>
      </c>
      <c r="M117" s="1">
        <f>$M107+$R$7*($B114-$B104)*1.1</f>
        <v>100.71296</v>
      </c>
      <c r="N117" s="1">
        <f>$N107+($R$7/2)*($B114-$B104)*1.15</f>
        <v>52.63632</v>
      </c>
      <c r="O117" s="1">
        <f>$O107+$R$7*($B114-$B104)*1.15</f>
        <v>105.27264</v>
      </c>
    </row>
    <row r="118" s="1" customFormat="1" spans="1:15">
      <c r="A118" s="1">
        <v>1005</v>
      </c>
      <c r="B118" s="1">
        <v>65</v>
      </c>
      <c r="C118" s="2">
        <v>27</v>
      </c>
      <c r="D118" s="6" t="str">
        <f t="shared" si="15"/>
        <v>28.7768:57.5536</v>
      </c>
      <c r="E118" s="6" t="str">
        <f t="shared" si="16"/>
        <v>30.22064:60.44128</v>
      </c>
      <c r="F118" s="6" t="str">
        <f t="shared" si="17"/>
        <v>31.66448:63.32896</v>
      </c>
      <c r="G118" s="6" t="str">
        <f t="shared" si="18"/>
        <v>33.10832:66.11664</v>
      </c>
      <c r="H118" s="1">
        <f>$H108+($R$8/2)*($B118-$B108)</f>
        <v>28.7768</v>
      </c>
      <c r="I118" s="1">
        <f>$I108+$R$8*($B118-$B108)</f>
        <v>57.5536</v>
      </c>
      <c r="J118" s="1">
        <f>$J108+($R$8/2)*($B114-$B104)*1.05</f>
        <v>30.22064</v>
      </c>
      <c r="K118" s="1">
        <f>$K108+$R$8*($B114-$B104)*1.05</f>
        <v>60.44128</v>
      </c>
      <c r="L118" s="1">
        <f>$L108+($R$8/2)*($B114-$B104)*1.1</f>
        <v>31.66448</v>
      </c>
      <c r="M118" s="1">
        <f>$M108+$R$8*($B114-$B104)*1.1</f>
        <v>63.32896</v>
      </c>
      <c r="N118" s="1">
        <f>$N108+($R$8/2)*($B114-$B104)*1.15</f>
        <v>33.10832</v>
      </c>
      <c r="O118" s="1">
        <f>$O108+$R$8*($B114-$B104)*1.15</f>
        <v>66.11664</v>
      </c>
    </row>
    <row r="119" s="1" customFormat="1" spans="1:15">
      <c r="A119" s="1">
        <v>1006</v>
      </c>
      <c r="B119" s="1">
        <v>65</v>
      </c>
      <c r="C119" s="2">
        <v>28</v>
      </c>
      <c r="D119" s="6" t="str">
        <f t="shared" si="15"/>
        <v>8.56:17.02</v>
      </c>
      <c r="E119" s="6" t="str">
        <f t="shared" si="16"/>
        <v>8.928:17.856</v>
      </c>
      <c r="F119" s="6" t="str">
        <f t="shared" si="17"/>
        <v>9.396:18.692</v>
      </c>
      <c r="G119" s="6" t="str">
        <f t="shared" si="18"/>
        <v>9.764:19.528</v>
      </c>
      <c r="H119" s="1">
        <f>$H109+($R$9/2)*($B119-$B109)</f>
        <v>8.56</v>
      </c>
      <c r="I119" s="1">
        <f>$I109+$R$9*($B119-$B109)</f>
        <v>17.02</v>
      </c>
      <c r="J119" s="1">
        <f>$J109+($R$9/2)*($B114-$B104)*1.05</f>
        <v>8.928</v>
      </c>
      <c r="K119" s="1">
        <f>$K109+$R$9*($B114-$B104)*1.05</f>
        <v>17.856</v>
      </c>
      <c r="L119" s="1">
        <f>$L109+($R$9/2)*($B114-$B104)*1.1</f>
        <v>9.396</v>
      </c>
      <c r="M119" s="1">
        <f>$M109+$R$9*($B114-$B104)*1.1</f>
        <v>18.692</v>
      </c>
      <c r="N119" s="1">
        <f>$N109+($R$9/2)*($B114-$B104)*1.15</f>
        <v>9.764</v>
      </c>
      <c r="O119" s="1">
        <f>$O109+$R$9*($B114-$B104)*1.15</f>
        <v>19.528</v>
      </c>
    </row>
    <row r="120" s="1" customFormat="1" spans="1:15">
      <c r="A120" s="1">
        <v>1007</v>
      </c>
      <c r="B120" s="1">
        <v>65</v>
      </c>
      <c r="C120" s="2">
        <v>7</v>
      </c>
      <c r="D120" s="6" t="str">
        <f t="shared" si="15"/>
        <v>17.02:34.04</v>
      </c>
      <c r="E120" s="6" t="str">
        <f t="shared" si="16"/>
        <v>17.856:35.712</v>
      </c>
      <c r="F120" s="6" t="str">
        <f t="shared" si="17"/>
        <v>18.692:37.484</v>
      </c>
      <c r="G120" s="6" t="str">
        <f t="shared" si="18"/>
        <v>19.528:39.156</v>
      </c>
      <c r="H120" s="1">
        <f>$H110+($R$10/2)*($B120-$B110)</f>
        <v>17.02</v>
      </c>
      <c r="I120" s="1">
        <f>$I110+$R$10*($B120-$B110)</f>
        <v>34.04</v>
      </c>
      <c r="J120" s="1">
        <f>$J110+($R$10/2)*($B114-$B104)*1.05</f>
        <v>17.856</v>
      </c>
      <c r="K120" s="1">
        <f>$K110+$R$10*($B114-$B104)*1.05</f>
        <v>35.712</v>
      </c>
      <c r="L120" s="1">
        <f>$L110+($R$10/2)*($B114-$B104)*1.1</f>
        <v>18.692</v>
      </c>
      <c r="M120" s="1">
        <f>$M110+$R$10*($B114-$B104)*1.1</f>
        <v>37.484</v>
      </c>
      <c r="N120" s="1">
        <f>$N110+($R$10/2)*($B114-$B104)*1.15</f>
        <v>19.528</v>
      </c>
      <c r="O120" s="1">
        <f>$O110+$R$10*($B114-$B104)*1.15</f>
        <v>39.156</v>
      </c>
    </row>
    <row r="121" s="1" customFormat="1" spans="1:15">
      <c r="A121" s="1">
        <v>1008</v>
      </c>
      <c r="B121" s="1">
        <v>65</v>
      </c>
      <c r="C121" s="2">
        <v>5</v>
      </c>
      <c r="D121" s="6" t="str">
        <f t="shared" si="15"/>
        <v>17.02:34.04</v>
      </c>
      <c r="E121" s="6" t="str">
        <f t="shared" si="16"/>
        <v>17.856:35.712</v>
      </c>
      <c r="F121" s="6" t="str">
        <f t="shared" si="17"/>
        <v>18.692:37.484</v>
      </c>
      <c r="G121" s="6" t="str">
        <f t="shared" si="18"/>
        <v>19.528:39.156</v>
      </c>
      <c r="H121" s="1">
        <f>$H111+($R$11/2)*($B121-$B111)</f>
        <v>17.02</v>
      </c>
      <c r="I121" s="1">
        <f>$I111+$R$11*($B121-$B111)</f>
        <v>34.04</v>
      </c>
      <c r="J121" s="1">
        <f>$J111+($R$11/2)*($B114-$B104)*1.05</f>
        <v>17.856</v>
      </c>
      <c r="K121" s="1">
        <f>$K111+$R$11*($B114-$B104)*1.05</f>
        <v>35.712</v>
      </c>
      <c r="L121" s="1">
        <f>$L111+($R$11/2)*($B114-$B104)*1.1</f>
        <v>18.692</v>
      </c>
      <c r="M121" s="1">
        <f>$M111+$R$11*($B114-$B104)*1.1</f>
        <v>37.484</v>
      </c>
      <c r="N121" s="1">
        <f>$N111+($R$11/2)*($B114-$B104)*1.15</f>
        <v>19.528</v>
      </c>
      <c r="O121" s="1">
        <f>$O111+$R$11*($B114-$B104)*1.15</f>
        <v>39.156</v>
      </c>
    </row>
    <row r="122" s="1" customFormat="1" spans="1:15">
      <c r="A122" s="1">
        <v>1009</v>
      </c>
      <c r="B122" s="1">
        <v>65</v>
      </c>
      <c r="C122" s="2">
        <v>12</v>
      </c>
      <c r="D122" s="6" t="str">
        <f t="shared" si="15"/>
        <v>3.404:6.808</v>
      </c>
      <c r="E122" s="6" t="str">
        <f t="shared" si="16"/>
        <v>3.5712:7.1424</v>
      </c>
      <c r="F122" s="6" t="str">
        <f t="shared" si="17"/>
        <v>3.7384:7.4968</v>
      </c>
      <c r="G122" s="6" t="str">
        <f t="shared" si="18"/>
        <v>3.9056:7.8312</v>
      </c>
      <c r="H122" s="1">
        <f>$H112+($R$12/2)*($B122-$B112)</f>
        <v>3.404</v>
      </c>
      <c r="I122" s="1">
        <f>$I112+$R$12*($B122-$B112)</f>
        <v>6.808</v>
      </c>
      <c r="J122" s="1">
        <f>$J112+($R$12/2)*($B114-$B104)*1.05</f>
        <v>3.5712</v>
      </c>
      <c r="K122" s="1">
        <f>$K112+$R$12*($B114-$B104)*1.05</f>
        <v>7.1424</v>
      </c>
      <c r="L122" s="1">
        <f>$L112+($R$12/2)*($B114-$B104)*1.1</f>
        <v>3.7384</v>
      </c>
      <c r="M122" s="1">
        <f>$M112+$R$12*($B114-$B104)*1.1</f>
        <v>7.4968</v>
      </c>
      <c r="N122" s="1">
        <f>$N112+($R$12/2)*($B114-$B104)*1.15</f>
        <v>3.9056</v>
      </c>
      <c r="O122" s="1">
        <f>$O112+$R$12*($B114-$B104)*1.15</f>
        <v>7.8312</v>
      </c>
    </row>
    <row r="123" s="1" customFormat="1" spans="1:15">
      <c r="A123" s="1">
        <v>1010</v>
      </c>
      <c r="B123" s="1">
        <v>65</v>
      </c>
      <c r="C123" s="2">
        <v>13</v>
      </c>
      <c r="D123" s="6" t="str">
        <f t="shared" si="15"/>
        <v>17.02:34.04</v>
      </c>
      <c r="E123" s="6" t="str">
        <f t="shared" si="16"/>
        <v>17.856:35.712</v>
      </c>
      <c r="F123" s="6" t="str">
        <f t="shared" si="17"/>
        <v>18.692:37.484</v>
      </c>
      <c r="G123" s="6" t="str">
        <f t="shared" si="18"/>
        <v>19.528:39.156</v>
      </c>
      <c r="H123" s="1">
        <f>$H113+($R$13/2)*($B123-$B113)</f>
        <v>17.02</v>
      </c>
      <c r="I123" s="1">
        <f>$I113+$R$13*($B123-$B113)</f>
        <v>34.04</v>
      </c>
      <c r="J123" s="1">
        <f>$J113+($R$13/2)*($B114-$B104)*1.05</f>
        <v>17.856</v>
      </c>
      <c r="K123" s="1">
        <f>$K113+$R$13*($B114-$B104)*1.05</f>
        <v>35.712</v>
      </c>
      <c r="L123" s="1">
        <f>$L113+($R$13/2)*($B114-$B104)*1.1</f>
        <v>18.692</v>
      </c>
      <c r="M123" s="1">
        <f>$M113+$R$13*($B114-$B104)*1.1</f>
        <v>37.484</v>
      </c>
      <c r="N123" s="1">
        <f>$N113+($R$13/2)*($B114-$B104)*1.15</f>
        <v>19.528</v>
      </c>
      <c r="O123" s="1">
        <f>$O113+$R$13*($B114-$B104)*1.15</f>
        <v>39.156</v>
      </c>
    </row>
    <row r="124" s="1" customFormat="1" spans="1:15">
      <c r="A124" s="1">
        <v>1001</v>
      </c>
      <c r="B124" s="1">
        <v>70</v>
      </c>
      <c r="C124" s="2">
        <v>1</v>
      </c>
      <c r="D124" s="6" t="str">
        <f t="shared" si="15"/>
        <v>387.1897:774.3794</v>
      </c>
      <c r="E124" s="6" t="str">
        <f t="shared" si="16"/>
        <v>406.599185:813.09837</v>
      </c>
      <c r="F124" s="6" t="str">
        <f t="shared" si="17"/>
        <v>425.90867:851.81734</v>
      </c>
      <c r="G124" s="6" t="str">
        <f t="shared" si="18"/>
        <v>445.318155:890.53631</v>
      </c>
      <c r="H124" s="1">
        <f>$H114+($R$4/2)*($B124-$B114)</f>
        <v>387.1897</v>
      </c>
      <c r="I124" s="1">
        <f>$I114+$R$4*($B124-$B114)</f>
        <v>774.3794</v>
      </c>
      <c r="J124" s="1">
        <f>$J114+($R$4/2)*($B124-$B114)*1.05</f>
        <v>406.599185</v>
      </c>
      <c r="K124" s="1">
        <f>$K114+$R$4*($B124-$B114)*1.05</f>
        <v>813.09837</v>
      </c>
      <c r="L124" s="1">
        <f>$L114+($R$4/2)*($B124-$B114)*1.1</f>
        <v>425.90867</v>
      </c>
      <c r="M124" s="1">
        <f>$M114+$R$4*($B124-$B114)*1.1</f>
        <v>851.81734</v>
      </c>
      <c r="N124" s="1">
        <f>$N114+($R$4/2)*($B124-$B114)*1.15</f>
        <v>445.318155</v>
      </c>
      <c r="O124" s="1">
        <f>$O114+$R$4*($B124-$B114)*1.15</f>
        <v>890.53631</v>
      </c>
    </row>
    <row r="125" s="1" customFormat="1" spans="1:15">
      <c r="A125" s="1">
        <v>1002</v>
      </c>
      <c r="B125" s="1">
        <v>70</v>
      </c>
      <c r="C125" s="2">
        <v>2</v>
      </c>
      <c r="D125" s="6" t="str">
        <f t="shared" si="15"/>
        <v>48.8903:97.7806</v>
      </c>
      <c r="E125" s="6" t="str">
        <f t="shared" si="16"/>
        <v>51.324815:102.64963</v>
      </c>
      <c r="F125" s="6" t="str">
        <f t="shared" si="17"/>
        <v>53.75933:107.51866</v>
      </c>
      <c r="G125" s="6" t="str">
        <f t="shared" si="18"/>
        <v>56.193845:112.38769</v>
      </c>
      <c r="H125" s="1">
        <f>$H115+($R$5/2)*($B125-$B115)</f>
        <v>48.8903</v>
      </c>
      <c r="I125" s="1">
        <f>$I115+$R$5*($B125-$B115)</f>
        <v>97.7806</v>
      </c>
      <c r="J125" s="1">
        <f>$J115+($R$5/2)*($B124-$B114)*1.05</f>
        <v>51.324815</v>
      </c>
      <c r="K125" s="1">
        <f>$K115+$R$5*($B124-$B114)*1.05</f>
        <v>102.64963</v>
      </c>
      <c r="L125" s="1">
        <f>$L115+($R$5/2)*($B124-$B114)*1.1</f>
        <v>53.75933</v>
      </c>
      <c r="M125" s="1">
        <f>$M115+$R$5*($B124-$B114)*1.1</f>
        <v>107.51866</v>
      </c>
      <c r="N125" s="1">
        <f>$N115+($R$5/2)*($B124-$B114)*1.15</f>
        <v>56.193845</v>
      </c>
      <c r="O125" s="1">
        <f>$O115+$R$5*($B124-$B114)*1.15</f>
        <v>112.38769</v>
      </c>
    </row>
    <row r="126" s="1" customFormat="1" spans="1:15">
      <c r="A126" s="1">
        <v>1003</v>
      </c>
      <c r="B126" s="1">
        <v>70</v>
      </c>
      <c r="C126" s="2">
        <v>4</v>
      </c>
      <c r="D126" s="6" t="str">
        <f t="shared" si="15"/>
        <v>30.7203:61.4406</v>
      </c>
      <c r="E126" s="6" t="str">
        <f t="shared" si="16"/>
        <v>32.261315:64.52263</v>
      </c>
      <c r="F126" s="6" t="str">
        <f t="shared" si="17"/>
        <v>33.80233:67.60466</v>
      </c>
      <c r="G126" s="6" t="str">
        <f t="shared" si="18"/>
        <v>35.343345:70.58669</v>
      </c>
      <c r="H126" s="1">
        <f>$H116+($R$6/2)*($B126-$B116)</f>
        <v>30.7203</v>
      </c>
      <c r="I126" s="1">
        <f>$I116+$R$6*($B126-$B116)</f>
        <v>61.4406</v>
      </c>
      <c r="J126" s="1">
        <f>$J116+($R$6/2)*($B124-$B114)*1.05</f>
        <v>32.261315</v>
      </c>
      <c r="K126" s="1">
        <f>$K116+$R$6*($B124-$B114)*1.05</f>
        <v>64.52263</v>
      </c>
      <c r="L126" s="1">
        <f>$L116+($R$6/2)*($B124-$B114)*1.1</f>
        <v>33.80233</v>
      </c>
      <c r="M126" s="1">
        <f>$M116+$R$6*($B124-$B114)*1.1</f>
        <v>67.60466</v>
      </c>
      <c r="N126" s="1">
        <f>$N116+($R$6/2)*($B124-$B114)*1.15</f>
        <v>35.343345</v>
      </c>
      <c r="O126" s="1">
        <f>$O116+$R$6*($B124-$B114)*1.15</f>
        <v>70.58669</v>
      </c>
    </row>
    <row r="127" s="1" customFormat="1" spans="1:15">
      <c r="A127" s="1">
        <v>1004</v>
      </c>
      <c r="B127" s="1">
        <v>70</v>
      </c>
      <c r="C127" s="2">
        <v>3</v>
      </c>
      <c r="D127" s="6" t="str">
        <f t="shared" si="15"/>
        <v>48.8903:97.7806</v>
      </c>
      <c r="E127" s="6" t="str">
        <f t="shared" si="16"/>
        <v>51.324815:102.64963</v>
      </c>
      <c r="F127" s="6" t="str">
        <f t="shared" si="17"/>
        <v>53.75933:107.51866</v>
      </c>
      <c r="G127" s="6" t="str">
        <f t="shared" si="18"/>
        <v>56.193845:112.38769</v>
      </c>
      <c r="H127" s="1">
        <f>$H117+($R$7/2)*($B127-$B117)</f>
        <v>48.8903</v>
      </c>
      <c r="I127" s="1">
        <f>$I117+$R$7*($B127-$B117)</f>
        <v>97.7806</v>
      </c>
      <c r="J127" s="1">
        <f>$J117+($R$7/2)*($B124-$B114)*1.05</f>
        <v>51.324815</v>
      </c>
      <c r="K127" s="1">
        <f>$K117+$R$7*($B124-$B114)*1.05</f>
        <v>102.64963</v>
      </c>
      <c r="L127" s="1">
        <f>$L117+($R$7/2)*($B124-$B114)*1.1</f>
        <v>53.75933</v>
      </c>
      <c r="M127" s="1">
        <f>$M117+$R$7*($B124-$B114)*1.1</f>
        <v>107.51866</v>
      </c>
      <c r="N127" s="1">
        <f>$N117+($R$7/2)*($B124-$B114)*1.15</f>
        <v>56.193845</v>
      </c>
      <c r="O127" s="1">
        <f>$O117+$R$7*($B124-$B114)*1.15</f>
        <v>112.38769</v>
      </c>
    </row>
    <row r="128" s="1" customFormat="1" spans="1:15">
      <c r="A128" s="1">
        <v>1005</v>
      </c>
      <c r="B128" s="1">
        <v>70</v>
      </c>
      <c r="C128" s="2">
        <v>27</v>
      </c>
      <c r="D128" s="6" t="str">
        <f t="shared" si="15"/>
        <v>30.7203:61.4406</v>
      </c>
      <c r="E128" s="6" t="str">
        <f t="shared" si="16"/>
        <v>32.261315:64.52263</v>
      </c>
      <c r="F128" s="6" t="str">
        <f t="shared" si="17"/>
        <v>33.80233:67.60466</v>
      </c>
      <c r="G128" s="6" t="str">
        <f t="shared" si="18"/>
        <v>35.343345:70.58669</v>
      </c>
      <c r="H128" s="1">
        <f>$H118+($R$8/2)*($B128-$B118)</f>
        <v>30.7203</v>
      </c>
      <c r="I128" s="1">
        <f>$I118+$R$8*($B128-$B118)</f>
        <v>61.4406</v>
      </c>
      <c r="J128" s="1">
        <f>$J118+($R$8/2)*($B124-$B114)*1.05</f>
        <v>32.261315</v>
      </c>
      <c r="K128" s="1">
        <f>$K118+$R$8*($B124-$B114)*1.05</f>
        <v>64.52263</v>
      </c>
      <c r="L128" s="1">
        <f>$L118+($R$8/2)*($B124-$B114)*1.1</f>
        <v>33.80233</v>
      </c>
      <c r="M128" s="1">
        <f>$M118+$R$8*($B124-$B114)*1.1</f>
        <v>67.60466</v>
      </c>
      <c r="N128" s="1">
        <f>$N118+($R$8/2)*($B124-$B114)*1.15</f>
        <v>35.343345</v>
      </c>
      <c r="O128" s="1">
        <f>$O118+$R$8*($B124-$B114)*1.15</f>
        <v>70.58669</v>
      </c>
    </row>
    <row r="129" s="1" customFormat="1" spans="1:15">
      <c r="A129" s="1">
        <v>1006</v>
      </c>
      <c r="B129" s="1">
        <v>70</v>
      </c>
      <c r="C129" s="2">
        <v>28</v>
      </c>
      <c r="D129" s="6" t="str">
        <f t="shared" si="15"/>
        <v>9.135:18.17</v>
      </c>
      <c r="E129" s="6" t="str">
        <f t="shared" si="16"/>
        <v>9.53175:19.0635</v>
      </c>
      <c r="F129" s="6" t="str">
        <f t="shared" si="17"/>
        <v>10.0285:19.957</v>
      </c>
      <c r="G129" s="6" t="str">
        <f t="shared" si="18"/>
        <v>10.42525:20.8505</v>
      </c>
      <c r="H129" s="1">
        <f>$H119+($R$9/2)*($B129-$B119)</f>
        <v>9.135</v>
      </c>
      <c r="I129" s="1">
        <f>$I119+$R$9*($B129-$B119)</f>
        <v>18.17</v>
      </c>
      <c r="J129" s="1">
        <f>$J119+($R$9/2)*($B124-$B114)*1.05</f>
        <v>9.53175</v>
      </c>
      <c r="K129" s="1">
        <f>$K119+$R$9*($B124-$B114)*1.05</f>
        <v>19.0635</v>
      </c>
      <c r="L129" s="1">
        <f>$L119+($R$9/2)*($B124-$B114)*1.1</f>
        <v>10.0285</v>
      </c>
      <c r="M129" s="1">
        <f>$M119+$R$9*($B124-$B114)*1.1</f>
        <v>19.957</v>
      </c>
      <c r="N129" s="1">
        <f>$N119+($R$9/2)*($B124-$B114)*1.15</f>
        <v>10.42525</v>
      </c>
      <c r="O129" s="1">
        <f>$O119+$R$9*($B124-$B114)*1.15</f>
        <v>20.8505</v>
      </c>
    </row>
    <row r="130" s="1" customFormat="1" spans="1:15">
      <c r="A130" s="1">
        <v>1007</v>
      </c>
      <c r="B130" s="1">
        <v>70</v>
      </c>
      <c r="C130" s="2">
        <v>7</v>
      </c>
      <c r="D130" s="6" t="str">
        <f t="shared" si="15"/>
        <v>18.17:36.34</v>
      </c>
      <c r="E130" s="6" t="str">
        <f t="shared" si="16"/>
        <v>19.0635:38.127</v>
      </c>
      <c r="F130" s="6" t="str">
        <f t="shared" si="17"/>
        <v>19.957:40.014</v>
      </c>
      <c r="G130" s="6" t="str">
        <f t="shared" si="18"/>
        <v>20.8505:41.801</v>
      </c>
      <c r="H130" s="1">
        <f>$H120+($R$10/2)*($B130-$B120)</f>
        <v>18.17</v>
      </c>
      <c r="I130" s="1">
        <f>$I120+$R$10*($B130-$B120)</f>
        <v>36.34</v>
      </c>
      <c r="J130" s="1">
        <f>$J120+($R$10/2)*($B124-$B114)*1.05</f>
        <v>19.0635</v>
      </c>
      <c r="K130" s="1">
        <f>$K120+$R$10*($B124-$B114)*1.05</f>
        <v>38.127</v>
      </c>
      <c r="L130" s="1">
        <f>$L120+($R$10/2)*($B124-$B114)*1.1</f>
        <v>19.957</v>
      </c>
      <c r="M130" s="1">
        <f>$M120+$R$10*($B124-$B114)*1.1</f>
        <v>40.014</v>
      </c>
      <c r="N130" s="1">
        <f>$N120+($R$10/2)*($B124-$B114)*1.15</f>
        <v>20.8505</v>
      </c>
      <c r="O130" s="1">
        <f>$O120+$R$10*($B124-$B114)*1.15</f>
        <v>41.801</v>
      </c>
    </row>
    <row r="131" s="1" customFormat="1" spans="1:15">
      <c r="A131" s="1">
        <v>1008</v>
      </c>
      <c r="B131" s="1">
        <v>70</v>
      </c>
      <c r="C131" s="2">
        <v>5</v>
      </c>
      <c r="D131" s="6" t="str">
        <f t="shared" si="15"/>
        <v>18.17:36.34</v>
      </c>
      <c r="E131" s="6" t="str">
        <f t="shared" si="16"/>
        <v>19.0635:38.127</v>
      </c>
      <c r="F131" s="6" t="str">
        <f t="shared" si="17"/>
        <v>19.957:40.014</v>
      </c>
      <c r="G131" s="6" t="str">
        <f t="shared" si="18"/>
        <v>20.8505:41.801</v>
      </c>
      <c r="H131" s="1">
        <f>$H121+($R$11/2)*($B131-$B121)</f>
        <v>18.17</v>
      </c>
      <c r="I131" s="1">
        <f>$I121+$R$11*($B131-$B121)</f>
        <v>36.34</v>
      </c>
      <c r="J131" s="1">
        <f>$J121+($R$11/2)*($B124-$B114)*1.05</f>
        <v>19.0635</v>
      </c>
      <c r="K131" s="1">
        <f>$K121+$R$11*($B124-$B114)*1.05</f>
        <v>38.127</v>
      </c>
      <c r="L131" s="1">
        <f>$L121+($R$11/2)*($B124-$B114)*1.1</f>
        <v>19.957</v>
      </c>
      <c r="M131" s="1">
        <f>$M121+$R$11*($B124-$B114)*1.1</f>
        <v>40.014</v>
      </c>
      <c r="N131" s="1">
        <f>$N121+($R$11/2)*($B124-$B114)*1.15</f>
        <v>20.8505</v>
      </c>
      <c r="O131" s="1">
        <f>$O121+$R$11*($B124-$B114)*1.15</f>
        <v>41.801</v>
      </c>
    </row>
    <row r="132" s="1" customFormat="1" spans="1:15">
      <c r="A132" s="1">
        <v>1009</v>
      </c>
      <c r="B132" s="1">
        <v>70</v>
      </c>
      <c r="C132" s="2">
        <v>12</v>
      </c>
      <c r="D132" s="6" t="str">
        <f>H132&amp;":"&amp;I132</f>
        <v>3.634:7.268</v>
      </c>
      <c r="E132" s="6" t="str">
        <f>J132&amp;":"&amp;K132</f>
        <v>3.8127:7.6254</v>
      </c>
      <c r="F132" s="6" t="str">
        <f>L132&amp;":"&amp;M132</f>
        <v>3.9914:8.0028</v>
      </c>
      <c r="G132" s="6" t="str">
        <f>N132&amp;":"&amp;O132</f>
        <v>4.1701:8.3602</v>
      </c>
      <c r="H132" s="1">
        <f>$H122+($R$12/2)*($B132-$B122)</f>
        <v>3.634</v>
      </c>
      <c r="I132" s="1">
        <f>$I122+$R$12*($B132-$B122)</f>
        <v>7.268</v>
      </c>
      <c r="J132" s="1">
        <f>$J122+($R$12/2)*($B124-$B114)*1.05</f>
        <v>3.8127</v>
      </c>
      <c r="K132" s="1">
        <f>$K122+$R$12*($B124-$B114)*1.05</f>
        <v>7.6254</v>
      </c>
      <c r="L132" s="1">
        <f>$L122+($R$12/2)*($B124-$B114)*1.1</f>
        <v>3.9914</v>
      </c>
      <c r="M132" s="1">
        <f>$M122+$R$12*($B124-$B114)*1.1</f>
        <v>8.0028</v>
      </c>
      <c r="N132" s="1">
        <f>$N122+($R$12/2)*($B124-$B114)*1.15</f>
        <v>4.1701</v>
      </c>
      <c r="O132" s="1">
        <f>$O122+$R$12*($B124-$B114)*1.15</f>
        <v>8.3602</v>
      </c>
    </row>
    <row r="133" s="1" customFormat="1" spans="1:15">
      <c r="A133" s="1">
        <v>1010</v>
      </c>
      <c r="B133" s="1">
        <v>70</v>
      </c>
      <c r="C133" s="2">
        <v>13</v>
      </c>
      <c r="D133" s="6" t="str">
        <f>H133&amp;":"&amp;I133</f>
        <v>18.17:36.34</v>
      </c>
      <c r="E133" s="6" t="str">
        <f>J133&amp;":"&amp;K133</f>
        <v>19.0635:38.127</v>
      </c>
      <c r="F133" s="6" t="str">
        <f>L133&amp;":"&amp;M133</f>
        <v>19.957:40.014</v>
      </c>
      <c r="G133" s="6" t="str">
        <f>N133&amp;":"&amp;O133</f>
        <v>20.8505:41.801</v>
      </c>
      <c r="H133" s="1">
        <f>$H123+($R$13/2)*($B133-$B123)</f>
        <v>18.17</v>
      </c>
      <c r="I133" s="1">
        <f>$I123+$R$13*($B133-$B123)</f>
        <v>36.34</v>
      </c>
      <c r="J133" s="1">
        <f>$J123+($R$13/2)*($B124-$B114)*1.05</f>
        <v>19.0635</v>
      </c>
      <c r="K133" s="1">
        <f>$K123+$R$13*($B124-$B114)*1.05</f>
        <v>38.127</v>
      </c>
      <c r="L133" s="1">
        <f>$L123+($R$13/2)*($B124-$B114)*1.1</f>
        <v>19.957</v>
      </c>
      <c r="M133" s="1">
        <f>$M123+$R$13*($B124-$B114)*1.1</f>
        <v>40.014</v>
      </c>
      <c r="N133" s="1">
        <f>$N123+($R$13/2)*($B124-$B114)*1.15</f>
        <v>20.8505</v>
      </c>
      <c r="O133" s="1">
        <f>$O123+$R$13*($B124-$B114)*1.15</f>
        <v>41.801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Equipskill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2025-01-02T03:19:16Z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