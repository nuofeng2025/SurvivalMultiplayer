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CareerLv" sheetId="1" r:id="rId1"/>
    <sheet name="链接表" sheetId="2" r:id="rId2"/>
    <sheet name="Sheet3" sheetId="3" r:id="rId3"/>
    <sheet name="Sheet1" sheetId="4" r:id="rId4"/>
  </sheets>
  <definedNames>
    <definedName name="_xlnm._FilterDatabase" localSheetId="0" hidden="1">CareerLv!$A$3:$V$390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  <author>Administrator</author>
  </authors>
  <commentList>
    <comment ref="B1" authorId="0">
      <text>
        <r>
          <rPr>
            <sz val="9"/>
            <rFont val="宋体"/>
            <charset val="134"/>
          </rPr>
          <t>十万：品阶
万： 0为单线，1左分支，2右分支
千：分支做和右，0为单线
千内：预留英雄ID</t>
        </r>
      </text>
    </comment>
    <comment ref="C1" authorId="0">
      <text>
        <r>
          <rPr>
            <sz val="9"/>
            <rFont val="宋体"/>
            <charset val="134"/>
          </rPr>
          <t>当前阶段
每个职业下进阶进度
1阶可以进阶2次
2阶可以进阶3次
3阶可以进阶4次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  <comment ref="N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</commentList>
</comments>
</file>

<file path=xl/comments2.xml><?xml version="1.0" encoding="utf-8"?>
<comments xmlns="http://schemas.openxmlformats.org/spreadsheetml/2006/main">
  <authors>
    <author>NINGMEI</author>
    <author>Administrator</author>
  </authors>
  <commentList>
    <comment ref="B1" authorId="0">
      <text>
        <r>
          <rPr>
            <sz val="9"/>
            <rFont val="宋体"/>
            <charset val="134"/>
          </rPr>
          <t>十万：品阶
万： 0为单线，1左分支，2右分支
千：分支做和右，0为单线
千内：预留英雄ID</t>
        </r>
      </text>
    </comment>
    <comment ref="C1" authorId="0">
      <text>
        <r>
          <rPr>
            <sz val="9"/>
            <rFont val="宋体"/>
            <charset val="134"/>
          </rPr>
          <t>当前阶段
每个职业下进阶进度
1阶可以进阶2次
2阶可以进阶3次
3阶可以进阶4次</t>
        </r>
      </text>
    </comment>
    <comment ref="H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  <comment ref="N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实际显示和计算时，除以100
</t>
        </r>
      </text>
    </comment>
  </commentList>
</comments>
</file>

<file path=xl/sharedStrings.xml><?xml version="1.0" encoding="utf-8"?>
<sst xmlns="http://schemas.openxmlformats.org/spreadsheetml/2006/main" count="744" uniqueCount="61">
  <si>
    <t>ID</t>
  </si>
  <si>
    <t>CareerId</t>
  </si>
  <si>
    <t>Type1</t>
  </si>
  <si>
    <t>max</t>
  </si>
  <si>
    <t>UnlockLv</t>
  </si>
  <si>
    <t>CostProp</t>
  </si>
  <si>
    <t>Hp1</t>
  </si>
  <si>
    <t>Atk1</t>
  </si>
  <si>
    <t>Def1</t>
  </si>
  <si>
    <t>Ap1</t>
  </si>
  <si>
    <t>Mdef1</t>
  </si>
  <si>
    <t>Dex1</t>
  </si>
  <si>
    <t>Hp2</t>
  </si>
  <si>
    <t>Atk2</t>
  </si>
  <si>
    <t>Def2</t>
  </si>
  <si>
    <t>Ap2</t>
  </si>
  <si>
    <t>Mdef2</t>
  </si>
  <si>
    <t>Dex2</t>
  </si>
  <si>
    <t>UnlockTroop</t>
  </si>
  <si>
    <t>UnlockSkill</t>
  </si>
  <si>
    <t>UnlockProficiency</t>
  </si>
  <si>
    <t>UnlockCareer</t>
  </si>
  <si>
    <t>int</t>
  </si>
  <si>
    <t>string</t>
  </si>
  <si>
    <t>职业ID</t>
  </si>
  <si>
    <t>类型2</t>
  </si>
  <si>
    <t>最大进阶数</t>
  </si>
  <si>
    <t>等级限制</t>
  </si>
  <si>
    <t>消耗道具</t>
  </si>
  <si>
    <t>进阶生命</t>
  </si>
  <si>
    <t>进阶攻击</t>
  </si>
  <si>
    <t>进阶防御</t>
  </si>
  <si>
    <t>进阶魔力</t>
  </si>
  <si>
    <t>进阶魔防</t>
  </si>
  <si>
    <t>进阶技巧</t>
  </si>
  <si>
    <t>精通生命</t>
  </si>
  <si>
    <t>精通攻击</t>
  </si>
  <si>
    <t>精通防御</t>
  </si>
  <si>
    <t>精通魔力</t>
  </si>
  <si>
    <t>精通魔防</t>
  </si>
  <si>
    <t>精通技巧</t>
  </si>
  <si>
    <t>解锁兵种</t>
  </si>
  <si>
    <t>解锁技能</t>
  </si>
  <si>
    <t>职业精通</t>
  </si>
  <si>
    <t>解锁职业</t>
  </si>
  <si>
    <t>10010:3</t>
  </si>
  <si>
    <t>10011:3</t>
  </si>
  <si>
    <t>10010:5|10011:5|10012:5</t>
  </si>
  <si>
    <t>10010:5|10011:5|10013:5</t>
  </si>
  <si>
    <t>10010:8|10011:8|10012:10|10013:10</t>
  </si>
  <si>
    <t>10012:10|10013:10|10014:13|10015:13</t>
  </si>
  <si>
    <t>10012:15|10013:15|10014:18|10015:18</t>
  </si>
  <si>
    <t>10014:20|10015:20|10016:25|10017:25</t>
  </si>
  <si>
    <t>10014:30|10015:30|10016:40|10017:40</t>
  </si>
  <si>
    <t>关卡体力</t>
  </si>
  <si>
    <t>产出数量</t>
  </si>
  <si>
    <t>道具1</t>
  </si>
  <si>
    <t>道具2</t>
  </si>
  <si>
    <t>道具3</t>
  </si>
  <si>
    <t>道具4</t>
  </si>
  <si>
    <t>体力消耗1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</si>
</sst>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left" vertical="center"/>
    </xf>
    <xf numFmtId="0" fontId="0" fillId="2" borderId="0" xfId="0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342900</xdr:colOff>
      <xdr:row>14</xdr:row>
      <xdr:rowOff>9525</xdr:rowOff>
    </xdr:from>
    <xdr:to>
      <xdr:col>22</xdr:col>
      <xdr:colOff>666750</xdr:colOff>
      <xdr:row>40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29925" y="2943225"/>
          <a:ext cx="5124450" cy="5572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0"/>
  <sheetViews>
    <sheetView tabSelected="1" workbookViewId="0">
      <pane xSplit="2" ySplit="3" topLeftCell="C358" activePane="bottomRight" state="frozen"/>
      <selection/>
      <selection pane="topRight"/>
      <selection pane="bottomLeft"/>
      <selection pane="bottomRight" activeCell="E370" sqref="E370:E372"/>
    </sheetView>
  </sheetViews>
  <sheetFormatPr defaultColWidth="9" defaultRowHeight="13.5"/>
  <cols>
    <col min="1" max="5" width="9" style="15"/>
    <col min="6" max="6" width="34.75" style="15" customWidth="1"/>
    <col min="7" max="16" width="9" style="15"/>
    <col min="17" max="17" width="12.75" style="15" customWidth="1"/>
    <col min="18" max="18" width="9" style="15"/>
    <col min="19" max="19" width="9" style="16"/>
    <col min="20" max="20" width="9" style="15"/>
    <col min="21" max="21" width="15" style="15" customWidth="1"/>
    <col min="22" max="22" width="10.875" style="15" customWidth="1"/>
    <col min="23" max="16384" width="9" style="15"/>
  </cols>
  <sheetData>
    <row r="1" spans="1:22">
      <c r="A1" s="15" t="s">
        <v>0</v>
      </c>
      <c r="B1" s="17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7" t="s">
        <v>18</v>
      </c>
      <c r="T1" s="15" t="s">
        <v>19</v>
      </c>
      <c r="U1" s="15" t="s">
        <v>20</v>
      </c>
      <c r="V1" s="15" t="s">
        <v>21</v>
      </c>
    </row>
    <row r="2" spans="1:22">
      <c r="A2" s="15" t="s">
        <v>22</v>
      </c>
      <c r="B2" s="15" t="s">
        <v>22</v>
      </c>
      <c r="C2" s="15" t="s">
        <v>22</v>
      </c>
      <c r="D2" s="15" t="s">
        <v>22</v>
      </c>
      <c r="E2" s="15" t="s">
        <v>22</v>
      </c>
      <c r="F2" s="15" t="s">
        <v>23</v>
      </c>
      <c r="G2" s="19" t="s">
        <v>22</v>
      </c>
      <c r="H2" s="19" t="s">
        <v>22</v>
      </c>
      <c r="I2" s="19" t="s">
        <v>22</v>
      </c>
      <c r="J2" s="19" t="s">
        <v>22</v>
      </c>
      <c r="K2" s="19" t="s">
        <v>22</v>
      </c>
      <c r="L2" s="19" t="s">
        <v>22</v>
      </c>
      <c r="M2" s="19" t="s">
        <v>22</v>
      </c>
      <c r="N2" s="19" t="s">
        <v>22</v>
      </c>
      <c r="O2" s="19" t="s">
        <v>22</v>
      </c>
      <c r="P2" s="19" t="s">
        <v>22</v>
      </c>
      <c r="Q2" s="19" t="s">
        <v>22</v>
      </c>
      <c r="R2" s="19" t="s">
        <v>22</v>
      </c>
      <c r="S2" s="19" t="s">
        <v>22</v>
      </c>
      <c r="T2" s="19" t="s">
        <v>22</v>
      </c>
      <c r="U2" s="19" t="s">
        <v>22</v>
      </c>
      <c r="V2" s="15" t="s">
        <v>23</v>
      </c>
    </row>
    <row r="3" spans="1:22">
      <c r="A3" s="15" t="s">
        <v>0</v>
      </c>
      <c r="B3" s="15" t="s">
        <v>24</v>
      </c>
      <c r="C3" s="15" t="s">
        <v>25</v>
      </c>
      <c r="D3" s="15" t="s">
        <v>26</v>
      </c>
      <c r="E3" s="15" t="s">
        <v>27</v>
      </c>
      <c r="F3" s="15" t="s">
        <v>28</v>
      </c>
      <c r="G3" s="15" t="s">
        <v>29</v>
      </c>
      <c r="H3" s="19" t="s">
        <v>30</v>
      </c>
      <c r="I3" s="19" t="s">
        <v>31</v>
      </c>
      <c r="J3" s="19" t="s">
        <v>32</v>
      </c>
      <c r="K3" s="19" t="s">
        <v>33</v>
      </c>
      <c r="L3" s="19" t="s">
        <v>34</v>
      </c>
      <c r="M3" s="19" t="s">
        <v>35</v>
      </c>
      <c r="N3" s="19" t="s">
        <v>36</v>
      </c>
      <c r="O3" s="19" t="s">
        <v>37</v>
      </c>
      <c r="P3" s="19" t="s">
        <v>38</v>
      </c>
      <c r="Q3" s="19" t="s">
        <v>39</v>
      </c>
      <c r="R3" s="19" t="s">
        <v>40</v>
      </c>
      <c r="S3" s="17" t="s">
        <v>41</v>
      </c>
      <c r="T3" s="15" t="s">
        <v>42</v>
      </c>
      <c r="U3" s="17" t="s">
        <v>43</v>
      </c>
      <c r="V3" s="15" t="s">
        <v>44</v>
      </c>
    </row>
    <row r="4" spans="1:22">
      <c r="A4" s="15">
        <v>101010</v>
      </c>
      <c r="B4" s="17">
        <v>110002</v>
      </c>
      <c r="C4" s="15">
        <v>0</v>
      </c>
      <c r="D4" s="15">
        <v>2</v>
      </c>
      <c r="E4" s="15">
        <v>5</v>
      </c>
      <c r="F4" s="20" t="s">
        <v>45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22">
        <v>0</v>
      </c>
      <c r="S4" s="16">
        <v>0</v>
      </c>
      <c r="T4" s="15">
        <v>0</v>
      </c>
      <c r="U4" s="15">
        <v>0</v>
      </c>
      <c r="V4" s="15">
        <v>0</v>
      </c>
    </row>
    <row r="5" spans="1:22">
      <c r="A5" s="15">
        <v>101011</v>
      </c>
      <c r="B5" s="17">
        <v>110002</v>
      </c>
      <c r="C5" s="15">
        <v>1</v>
      </c>
      <c r="D5" s="15">
        <v>2</v>
      </c>
      <c r="E5" s="15">
        <v>10</v>
      </c>
      <c r="F5" s="20" t="s">
        <v>46</v>
      </c>
      <c r="G5" s="16">
        <v>30</v>
      </c>
      <c r="H5" s="16">
        <v>20</v>
      </c>
      <c r="I5" s="16">
        <v>8</v>
      </c>
      <c r="J5" s="16">
        <v>20</v>
      </c>
      <c r="K5" s="16">
        <v>8</v>
      </c>
      <c r="L5" s="16">
        <v>3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16">
        <v>0</v>
      </c>
      <c r="S5" s="16">
        <v>0</v>
      </c>
      <c r="T5" s="15">
        <v>0</v>
      </c>
      <c r="U5" s="15">
        <v>1</v>
      </c>
      <c r="V5" s="17">
        <f>B7</f>
        <v>210002</v>
      </c>
    </row>
    <row r="6" spans="1:22">
      <c r="A6" s="15">
        <v>101012</v>
      </c>
      <c r="B6" s="17">
        <v>110002</v>
      </c>
      <c r="C6" s="15">
        <v>2</v>
      </c>
      <c r="D6" s="15">
        <v>2</v>
      </c>
      <c r="E6" s="15">
        <v>0</v>
      </c>
      <c r="F6" s="20">
        <v>0</v>
      </c>
      <c r="G6" s="16">
        <v>50</v>
      </c>
      <c r="H6" s="16">
        <v>30</v>
      </c>
      <c r="I6" s="16">
        <v>12</v>
      </c>
      <c r="J6" s="16">
        <v>30</v>
      </c>
      <c r="K6" s="16">
        <v>12</v>
      </c>
      <c r="L6" s="16">
        <v>6</v>
      </c>
      <c r="M6" s="16">
        <v>0</v>
      </c>
      <c r="N6" s="16">
        <v>0</v>
      </c>
      <c r="O6" s="16">
        <v>15</v>
      </c>
      <c r="P6" s="16">
        <v>0</v>
      </c>
      <c r="Q6" s="16">
        <v>15</v>
      </c>
      <c r="R6" s="22">
        <v>0</v>
      </c>
      <c r="S6" s="16">
        <v>0</v>
      </c>
      <c r="T6" s="15">
        <v>210011</v>
      </c>
      <c r="U6" s="15">
        <v>0</v>
      </c>
      <c r="V6" s="15">
        <v>0</v>
      </c>
    </row>
    <row r="7" spans="1:22">
      <c r="A7" s="15">
        <v>102010</v>
      </c>
      <c r="B7" s="17">
        <v>210002</v>
      </c>
      <c r="C7" s="15">
        <v>0</v>
      </c>
      <c r="D7" s="15">
        <v>3</v>
      </c>
      <c r="E7" s="15">
        <v>15</v>
      </c>
      <c r="F7" s="20" t="s">
        <v>47</v>
      </c>
      <c r="G7" s="16">
        <v>60</v>
      </c>
      <c r="H7" s="16">
        <v>40</v>
      </c>
      <c r="I7" s="16">
        <v>16</v>
      </c>
      <c r="J7" s="16">
        <v>40</v>
      </c>
      <c r="K7" s="16">
        <v>16</v>
      </c>
      <c r="L7" s="16">
        <v>9</v>
      </c>
      <c r="M7" s="16">
        <v>0</v>
      </c>
      <c r="N7" s="16">
        <v>0</v>
      </c>
      <c r="O7" s="16">
        <v>0</v>
      </c>
      <c r="P7" s="16">
        <v>0</v>
      </c>
      <c r="Q7" s="22">
        <v>0</v>
      </c>
      <c r="R7" s="22">
        <v>0</v>
      </c>
      <c r="S7" s="16">
        <v>0</v>
      </c>
      <c r="T7" s="15">
        <v>210021</v>
      </c>
      <c r="U7" s="15">
        <v>0</v>
      </c>
      <c r="V7" s="15">
        <v>0</v>
      </c>
    </row>
    <row r="8" spans="1:22">
      <c r="A8" s="15">
        <v>102011</v>
      </c>
      <c r="B8" s="17">
        <v>210002</v>
      </c>
      <c r="C8" s="15">
        <v>1</v>
      </c>
      <c r="D8" s="15">
        <v>3</v>
      </c>
      <c r="E8" s="15">
        <v>20</v>
      </c>
      <c r="F8" s="20" t="s">
        <v>48</v>
      </c>
      <c r="G8" s="16">
        <v>80</v>
      </c>
      <c r="H8" s="16">
        <v>50</v>
      </c>
      <c r="I8" s="16">
        <v>20</v>
      </c>
      <c r="J8" s="16">
        <v>50</v>
      </c>
      <c r="K8" s="16">
        <v>20</v>
      </c>
      <c r="L8" s="16">
        <v>12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121001</v>
      </c>
      <c r="T8" s="15">
        <v>0</v>
      </c>
      <c r="U8" s="15">
        <v>0</v>
      </c>
      <c r="V8" s="15">
        <v>0</v>
      </c>
    </row>
    <row r="9" spans="1:22">
      <c r="A9" s="15">
        <v>102012</v>
      </c>
      <c r="B9" s="17">
        <v>210002</v>
      </c>
      <c r="C9" s="15">
        <v>2</v>
      </c>
      <c r="D9" s="15">
        <v>3</v>
      </c>
      <c r="E9" s="15">
        <v>25</v>
      </c>
      <c r="F9" s="20" t="s">
        <v>49</v>
      </c>
      <c r="G9" s="16">
        <v>100</v>
      </c>
      <c r="H9" s="16">
        <v>60</v>
      </c>
      <c r="I9" s="16">
        <v>24</v>
      </c>
      <c r="J9" s="16">
        <v>60</v>
      </c>
      <c r="K9" s="16">
        <v>24</v>
      </c>
      <c r="L9" s="16">
        <v>12</v>
      </c>
      <c r="M9" s="16">
        <v>0</v>
      </c>
      <c r="N9" s="16">
        <v>0</v>
      </c>
      <c r="O9" s="16">
        <v>20</v>
      </c>
      <c r="P9" s="16">
        <v>0</v>
      </c>
      <c r="Q9" s="16">
        <v>20</v>
      </c>
      <c r="R9" s="16">
        <v>0</v>
      </c>
      <c r="S9" s="16">
        <v>0</v>
      </c>
      <c r="T9" s="15">
        <v>0</v>
      </c>
      <c r="U9" s="15">
        <v>1</v>
      </c>
      <c r="V9" s="17">
        <f>B11</f>
        <v>310002</v>
      </c>
    </row>
    <row r="10" spans="1:22">
      <c r="A10" s="15">
        <v>102013</v>
      </c>
      <c r="B10" s="17">
        <v>210002</v>
      </c>
      <c r="C10" s="15">
        <v>3</v>
      </c>
      <c r="D10" s="15">
        <v>3</v>
      </c>
      <c r="E10" s="15">
        <v>0</v>
      </c>
      <c r="F10" s="20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5">
        <v>210031</v>
      </c>
      <c r="U10" s="15">
        <v>0</v>
      </c>
      <c r="V10" s="15">
        <v>0</v>
      </c>
    </row>
    <row r="11" spans="1:22">
      <c r="A11" s="15">
        <v>103010</v>
      </c>
      <c r="B11" s="17">
        <v>310002</v>
      </c>
      <c r="C11" s="15">
        <v>0</v>
      </c>
      <c r="D11" s="15">
        <v>4</v>
      </c>
      <c r="E11" s="15">
        <v>30</v>
      </c>
      <c r="F11" s="20" t="s">
        <v>50</v>
      </c>
      <c r="G11" s="16">
        <v>5</v>
      </c>
      <c r="H11" s="16">
        <v>5</v>
      </c>
      <c r="I11" s="16">
        <v>4</v>
      </c>
      <c r="J11" s="16">
        <v>10</v>
      </c>
      <c r="K11" s="16">
        <v>4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5">
        <v>0</v>
      </c>
      <c r="U11" s="15">
        <v>0</v>
      </c>
      <c r="V11" s="15">
        <v>0</v>
      </c>
    </row>
    <row r="12" spans="1:22">
      <c r="A12" s="15">
        <v>103011</v>
      </c>
      <c r="B12" s="17">
        <v>310002</v>
      </c>
      <c r="C12" s="15">
        <v>1</v>
      </c>
      <c r="D12" s="15">
        <v>4</v>
      </c>
      <c r="E12" s="15">
        <v>35</v>
      </c>
      <c r="F12" s="20" t="s">
        <v>51</v>
      </c>
      <c r="G12" s="16">
        <v>30</v>
      </c>
      <c r="H12" s="16">
        <v>20</v>
      </c>
      <c r="I12" s="16">
        <v>8</v>
      </c>
      <c r="J12" s="16">
        <v>20</v>
      </c>
      <c r="K12" s="16">
        <v>8</v>
      </c>
      <c r="L12" s="16">
        <v>3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131001</v>
      </c>
      <c r="T12" s="15">
        <v>0</v>
      </c>
      <c r="U12" s="15">
        <v>0</v>
      </c>
      <c r="V12" s="15">
        <v>0</v>
      </c>
    </row>
    <row r="13" spans="1:22">
      <c r="A13" s="15">
        <v>103012</v>
      </c>
      <c r="B13" s="17">
        <v>310002</v>
      </c>
      <c r="C13" s="15">
        <v>2</v>
      </c>
      <c r="D13" s="15">
        <v>4</v>
      </c>
      <c r="E13" s="15">
        <v>40</v>
      </c>
      <c r="F13" s="20" t="s">
        <v>52</v>
      </c>
      <c r="G13" s="16">
        <v>50</v>
      </c>
      <c r="H13" s="16">
        <v>30</v>
      </c>
      <c r="I13" s="16">
        <v>12</v>
      </c>
      <c r="J13" s="16">
        <v>30</v>
      </c>
      <c r="K13" s="16">
        <v>12</v>
      </c>
      <c r="L13" s="16">
        <v>6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5">
        <v>210041</v>
      </c>
      <c r="U13" s="15">
        <v>0</v>
      </c>
      <c r="V13" s="15">
        <v>0</v>
      </c>
    </row>
    <row r="14" spans="1:22">
      <c r="A14" s="15">
        <v>103013</v>
      </c>
      <c r="B14" s="17">
        <v>310002</v>
      </c>
      <c r="C14" s="15">
        <v>3</v>
      </c>
      <c r="D14" s="15">
        <v>4</v>
      </c>
      <c r="E14" s="15">
        <v>45</v>
      </c>
      <c r="F14" s="20" t="s">
        <v>53</v>
      </c>
      <c r="G14" s="16">
        <v>60</v>
      </c>
      <c r="H14" s="16">
        <v>40</v>
      </c>
      <c r="I14" s="16">
        <v>16</v>
      </c>
      <c r="J14" s="16">
        <v>40</v>
      </c>
      <c r="K14" s="16">
        <v>16</v>
      </c>
      <c r="L14" s="16">
        <v>9</v>
      </c>
      <c r="M14" s="16">
        <v>120</v>
      </c>
      <c r="N14" s="16">
        <v>30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5">
        <v>0</v>
      </c>
      <c r="U14" s="15">
        <v>1</v>
      </c>
      <c r="V14" s="15">
        <v>0</v>
      </c>
    </row>
    <row r="15" spans="1:22">
      <c r="A15" s="15">
        <v>103014</v>
      </c>
      <c r="B15" s="17">
        <v>310002</v>
      </c>
      <c r="C15" s="15">
        <v>4</v>
      </c>
      <c r="D15" s="15">
        <v>4</v>
      </c>
      <c r="E15" s="15">
        <v>0</v>
      </c>
      <c r="F15" s="20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5">
        <v>0</v>
      </c>
      <c r="U15" s="15">
        <v>0</v>
      </c>
      <c r="V15" s="15">
        <v>0</v>
      </c>
    </row>
    <row r="16" s="13" customFormat="1" spans="1:22">
      <c r="A16" s="13">
        <v>101020</v>
      </c>
      <c r="B16" s="21">
        <v>110003</v>
      </c>
      <c r="C16" s="13">
        <v>0</v>
      </c>
      <c r="D16" s="13">
        <v>2</v>
      </c>
      <c r="E16" s="15">
        <v>5</v>
      </c>
      <c r="F16" s="20" t="s">
        <v>45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22">
        <v>0</v>
      </c>
      <c r="S16" s="22">
        <v>0</v>
      </c>
      <c r="T16" s="13">
        <v>0</v>
      </c>
      <c r="U16" s="13">
        <v>0</v>
      </c>
      <c r="V16" s="13">
        <v>0</v>
      </c>
    </row>
    <row r="17" s="13" customFormat="1" spans="1:22">
      <c r="A17" s="13">
        <v>101021</v>
      </c>
      <c r="B17" s="21">
        <v>110003</v>
      </c>
      <c r="C17" s="13">
        <v>1</v>
      </c>
      <c r="D17" s="13">
        <v>2</v>
      </c>
      <c r="E17" s="15">
        <v>10</v>
      </c>
      <c r="F17" s="20" t="s">
        <v>46</v>
      </c>
      <c r="G17" s="22">
        <v>30</v>
      </c>
      <c r="H17" s="22">
        <v>20</v>
      </c>
      <c r="I17" s="22">
        <v>8</v>
      </c>
      <c r="J17" s="22">
        <v>20</v>
      </c>
      <c r="K17" s="22">
        <v>8</v>
      </c>
      <c r="L17" s="22">
        <v>3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13">
        <v>0</v>
      </c>
      <c r="U17" s="13">
        <v>1</v>
      </c>
      <c r="V17" s="17">
        <f>B19</f>
        <v>210003</v>
      </c>
    </row>
    <row r="18" s="13" customFormat="1" spans="1:22">
      <c r="A18" s="13">
        <v>101022</v>
      </c>
      <c r="B18" s="21">
        <v>110003</v>
      </c>
      <c r="C18" s="13">
        <v>2</v>
      </c>
      <c r="D18" s="13">
        <v>2</v>
      </c>
      <c r="E18" s="15">
        <v>0</v>
      </c>
      <c r="F18" s="20">
        <v>0</v>
      </c>
      <c r="G18" s="22">
        <v>50</v>
      </c>
      <c r="H18" s="22">
        <v>30</v>
      </c>
      <c r="I18" s="22">
        <v>12</v>
      </c>
      <c r="J18" s="22">
        <v>30</v>
      </c>
      <c r="K18" s="22">
        <v>12</v>
      </c>
      <c r="L18" s="22">
        <v>6</v>
      </c>
      <c r="M18" s="22">
        <v>0</v>
      </c>
      <c r="N18" s="22">
        <v>0</v>
      </c>
      <c r="O18" s="22">
        <v>15</v>
      </c>
      <c r="P18" s="22">
        <v>0</v>
      </c>
      <c r="Q18" s="22">
        <v>15</v>
      </c>
      <c r="R18" s="22">
        <v>0</v>
      </c>
      <c r="S18" s="22">
        <v>0</v>
      </c>
      <c r="T18" s="13">
        <v>210071</v>
      </c>
      <c r="U18" s="13">
        <v>0</v>
      </c>
      <c r="V18" s="13">
        <v>0</v>
      </c>
    </row>
    <row r="19" s="13" customFormat="1" spans="1:22">
      <c r="A19" s="13">
        <v>102020</v>
      </c>
      <c r="B19" s="21">
        <v>210003</v>
      </c>
      <c r="C19" s="13">
        <v>0</v>
      </c>
      <c r="D19" s="13">
        <v>3</v>
      </c>
      <c r="E19" s="15">
        <v>15</v>
      </c>
      <c r="F19" s="20" t="s">
        <v>47</v>
      </c>
      <c r="G19" s="22">
        <v>60</v>
      </c>
      <c r="H19" s="22">
        <v>40</v>
      </c>
      <c r="I19" s="22">
        <v>16</v>
      </c>
      <c r="J19" s="22">
        <v>40</v>
      </c>
      <c r="K19" s="22">
        <v>16</v>
      </c>
      <c r="L19" s="22">
        <v>9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221001</v>
      </c>
      <c r="T19" s="13">
        <v>0</v>
      </c>
      <c r="U19" s="13">
        <v>0</v>
      </c>
      <c r="V19" s="13">
        <v>0</v>
      </c>
    </row>
    <row r="20" s="13" customFormat="1" spans="1:22">
      <c r="A20" s="13">
        <v>102021</v>
      </c>
      <c r="B20" s="21">
        <v>210003</v>
      </c>
      <c r="C20" s="13">
        <v>1</v>
      </c>
      <c r="D20" s="13">
        <v>3</v>
      </c>
      <c r="E20" s="15">
        <v>20</v>
      </c>
      <c r="F20" s="20" t="s">
        <v>48</v>
      </c>
      <c r="G20" s="22">
        <v>80</v>
      </c>
      <c r="H20" s="22">
        <v>50</v>
      </c>
      <c r="I20" s="22">
        <v>20</v>
      </c>
      <c r="J20" s="22">
        <v>50</v>
      </c>
      <c r="K20" s="22">
        <v>20</v>
      </c>
      <c r="L20" s="22">
        <v>12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13">
        <v>210081</v>
      </c>
      <c r="U20" s="13">
        <v>0</v>
      </c>
      <c r="V20" s="13">
        <v>0</v>
      </c>
    </row>
    <row r="21" s="13" customFormat="1" spans="1:22">
      <c r="A21" s="13">
        <v>102022</v>
      </c>
      <c r="B21" s="21">
        <v>210003</v>
      </c>
      <c r="C21" s="13">
        <v>2</v>
      </c>
      <c r="D21" s="13">
        <v>3</v>
      </c>
      <c r="E21" s="15">
        <v>25</v>
      </c>
      <c r="F21" s="20" t="s">
        <v>49</v>
      </c>
      <c r="G21" s="22">
        <v>100</v>
      </c>
      <c r="H21" s="22">
        <v>60</v>
      </c>
      <c r="I21" s="22">
        <v>24</v>
      </c>
      <c r="J21" s="22">
        <v>60</v>
      </c>
      <c r="K21" s="22">
        <v>24</v>
      </c>
      <c r="L21" s="22">
        <v>12</v>
      </c>
      <c r="M21" s="22">
        <v>0</v>
      </c>
      <c r="N21" s="22">
        <v>0</v>
      </c>
      <c r="O21" s="22">
        <v>20</v>
      </c>
      <c r="P21" s="22">
        <v>0</v>
      </c>
      <c r="Q21" s="22">
        <v>20</v>
      </c>
      <c r="R21" s="22">
        <v>0</v>
      </c>
      <c r="S21" s="22">
        <v>0</v>
      </c>
      <c r="T21" s="13">
        <v>0</v>
      </c>
      <c r="U21" s="13">
        <v>1</v>
      </c>
      <c r="V21" s="17">
        <f>B23</f>
        <v>310003</v>
      </c>
    </row>
    <row r="22" s="13" customFormat="1" spans="1:22">
      <c r="A22" s="13">
        <v>102023</v>
      </c>
      <c r="B22" s="21">
        <v>210003</v>
      </c>
      <c r="C22" s="13">
        <v>3</v>
      </c>
      <c r="D22" s="13">
        <v>3</v>
      </c>
      <c r="E22" s="15">
        <v>0</v>
      </c>
      <c r="F22" s="20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231001</v>
      </c>
      <c r="T22" s="13">
        <v>0</v>
      </c>
      <c r="U22" s="13">
        <v>0</v>
      </c>
      <c r="V22" s="13">
        <v>0</v>
      </c>
    </row>
    <row r="23" s="13" customFormat="1" spans="1:22">
      <c r="A23" s="13">
        <v>103020</v>
      </c>
      <c r="B23" s="21">
        <v>310003</v>
      </c>
      <c r="C23" s="13">
        <v>0</v>
      </c>
      <c r="D23" s="13">
        <v>4</v>
      </c>
      <c r="E23" s="15">
        <v>30</v>
      </c>
      <c r="F23" s="20" t="s">
        <v>50</v>
      </c>
      <c r="G23" s="22">
        <v>5</v>
      </c>
      <c r="H23" s="22">
        <v>5</v>
      </c>
      <c r="I23" s="22">
        <v>4</v>
      </c>
      <c r="J23" s="22">
        <v>10</v>
      </c>
      <c r="K23" s="22">
        <v>4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13">
        <v>210091</v>
      </c>
      <c r="U23" s="13">
        <v>0</v>
      </c>
      <c r="V23" s="13">
        <v>0</v>
      </c>
    </row>
    <row r="24" s="13" customFormat="1" spans="1:22">
      <c r="A24" s="13">
        <v>103021</v>
      </c>
      <c r="B24" s="21">
        <v>310003</v>
      </c>
      <c r="C24" s="13">
        <v>1</v>
      </c>
      <c r="D24" s="13">
        <v>4</v>
      </c>
      <c r="E24" s="15">
        <v>35</v>
      </c>
      <c r="F24" s="20" t="s">
        <v>51</v>
      </c>
      <c r="G24" s="22">
        <v>30</v>
      </c>
      <c r="H24" s="22">
        <v>20</v>
      </c>
      <c r="I24" s="22">
        <v>8</v>
      </c>
      <c r="J24" s="22">
        <v>20</v>
      </c>
      <c r="K24" s="22">
        <v>8</v>
      </c>
      <c r="L24" s="22">
        <v>3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13">
        <v>210101</v>
      </c>
      <c r="U24" s="13">
        <v>0</v>
      </c>
      <c r="V24" s="13">
        <v>0</v>
      </c>
    </row>
    <row r="25" s="13" customFormat="1" spans="1:22">
      <c r="A25" s="13">
        <v>103022</v>
      </c>
      <c r="B25" s="21">
        <v>310003</v>
      </c>
      <c r="C25" s="13">
        <v>2</v>
      </c>
      <c r="D25" s="13">
        <v>4</v>
      </c>
      <c r="E25" s="15">
        <v>40</v>
      </c>
      <c r="F25" s="20" t="s">
        <v>52</v>
      </c>
      <c r="G25" s="22">
        <v>50</v>
      </c>
      <c r="H25" s="22">
        <v>30</v>
      </c>
      <c r="I25" s="22">
        <v>12</v>
      </c>
      <c r="J25" s="22">
        <v>30</v>
      </c>
      <c r="K25" s="22">
        <v>12</v>
      </c>
      <c r="L25" s="22">
        <v>6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231002</v>
      </c>
      <c r="T25" s="13">
        <v>0</v>
      </c>
      <c r="U25" s="13">
        <v>0</v>
      </c>
      <c r="V25" s="13">
        <v>0</v>
      </c>
    </row>
    <row r="26" s="13" customFormat="1" spans="1:22">
      <c r="A26" s="13">
        <v>103023</v>
      </c>
      <c r="B26" s="21">
        <v>310003</v>
      </c>
      <c r="C26" s="13">
        <v>3</v>
      </c>
      <c r="D26" s="13">
        <v>4</v>
      </c>
      <c r="E26" s="15">
        <v>45</v>
      </c>
      <c r="F26" s="20" t="s">
        <v>53</v>
      </c>
      <c r="G26" s="22">
        <v>60</v>
      </c>
      <c r="H26" s="22">
        <v>40</v>
      </c>
      <c r="I26" s="22">
        <v>16</v>
      </c>
      <c r="J26" s="22">
        <v>40</v>
      </c>
      <c r="K26" s="22">
        <v>16</v>
      </c>
      <c r="L26" s="22">
        <v>9</v>
      </c>
      <c r="M26" s="22">
        <v>120</v>
      </c>
      <c r="N26" s="22">
        <v>30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13">
        <v>0</v>
      </c>
      <c r="U26" s="13">
        <v>1</v>
      </c>
      <c r="V26" s="13">
        <v>0</v>
      </c>
    </row>
    <row r="27" s="13" customFormat="1" spans="1:22">
      <c r="A27" s="13">
        <v>103024</v>
      </c>
      <c r="B27" s="21">
        <v>310003</v>
      </c>
      <c r="C27" s="13">
        <v>4</v>
      </c>
      <c r="D27" s="13">
        <v>4</v>
      </c>
      <c r="E27" s="13">
        <v>0</v>
      </c>
      <c r="F27" s="23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13">
        <v>0</v>
      </c>
      <c r="U27" s="13">
        <v>0</v>
      </c>
      <c r="V27" s="13">
        <v>0</v>
      </c>
    </row>
    <row r="28" s="13" customFormat="1" spans="1:22">
      <c r="A28" s="13">
        <v>101030</v>
      </c>
      <c r="B28" s="13">
        <v>110004</v>
      </c>
      <c r="C28" s="13">
        <v>0</v>
      </c>
      <c r="D28" s="13">
        <v>2</v>
      </c>
      <c r="E28" s="15">
        <v>5</v>
      </c>
      <c r="F28" s="20" t="s">
        <v>45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13">
        <v>0</v>
      </c>
      <c r="U28" s="13">
        <v>0</v>
      </c>
      <c r="V28" s="13">
        <v>0</v>
      </c>
    </row>
    <row r="29" s="13" customFormat="1" spans="1:22">
      <c r="A29" s="13">
        <v>101031</v>
      </c>
      <c r="B29" s="13">
        <v>110004</v>
      </c>
      <c r="C29" s="13">
        <v>1</v>
      </c>
      <c r="D29" s="13">
        <v>2</v>
      </c>
      <c r="E29" s="15">
        <v>10</v>
      </c>
      <c r="F29" s="20" t="s">
        <v>46</v>
      </c>
      <c r="G29" s="22">
        <v>30</v>
      </c>
      <c r="H29" s="22">
        <v>20</v>
      </c>
      <c r="I29" s="22">
        <v>8</v>
      </c>
      <c r="J29" s="22">
        <v>20</v>
      </c>
      <c r="K29" s="22">
        <v>8</v>
      </c>
      <c r="L29" s="22">
        <v>3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13">
        <v>0</v>
      </c>
      <c r="U29" s="13">
        <v>1</v>
      </c>
      <c r="V29" s="21">
        <f>B31</f>
        <v>210004</v>
      </c>
    </row>
    <row r="30" s="13" customFormat="1" spans="1:22">
      <c r="A30" s="13">
        <v>101032</v>
      </c>
      <c r="B30" s="13">
        <v>110004</v>
      </c>
      <c r="C30" s="13">
        <v>2</v>
      </c>
      <c r="D30" s="13">
        <v>2</v>
      </c>
      <c r="E30" s="15">
        <v>0</v>
      </c>
      <c r="F30" s="20">
        <v>0</v>
      </c>
      <c r="G30" s="22">
        <v>50</v>
      </c>
      <c r="H30" s="22">
        <v>30</v>
      </c>
      <c r="I30" s="22">
        <v>12</v>
      </c>
      <c r="J30" s="22">
        <v>30</v>
      </c>
      <c r="K30" s="22">
        <v>12</v>
      </c>
      <c r="L30" s="22">
        <v>6</v>
      </c>
      <c r="M30" s="22">
        <v>0</v>
      </c>
      <c r="N30" s="22">
        <v>0</v>
      </c>
      <c r="O30" s="22">
        <v>15</v>
      </c>
      <c r="P30" s="22">
        <v>0</v>
      </c>
      <c r="Q30" s="22">
        <v>15</v>
      </c>
      <c r="R30" s="22">
        <v>0</v>
      </c>
      <c r="S30" s="22">
        <v>0</v>
      </c>
      <c r="T30" s="13">
        <v>210121</v>
      </c>
      <c r="U30" s="13">
        <v>0</v>
      </c>
      <c r="V30" s="13">
        <v>0</v>
      </c>
    </row>
    <row r="31" s="13" customFormat="1" spans="1:22">
      <c r="A31" s="13">
        <v>102030</v>
      </c>
      <c r="B31" s="13">
        <v>210004</v>
      </c>
      <c r="C31" s="13">
        <v>0</v>
      </c>
      <c r="D31" s="13">
        <v>3</v>
      </c>
      <c r="E31" s="15">
        <v>15</v>
      </c>
      <c r="F31" s="20" t="s">
        <v>47</v>
      </c>
      <c r="G31" s="22">
        <v>60</v>
      </c>
      <c r="H31" s="22">
        <v>40</v>
      </c>
      <c r="I31" s="22">
        <v>16</v>
      </c>
      <c r="J31" s="22">
        <v>40</v>
      </c>
      <c r="K31" s="22">
        <v>16</v>
      </c>
      <c r="L31" s="22">
        <v>9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321001</v>
      </c>
      <c r="T31" s="13">
        <v>0</v>
      </c>
      <c r="U31" s="13">
        <v>0</v>
      </c>
      <c r="V31" s="13">
        <v>0</v>
      </c>
    </row>
    <row r="32" s="13" customFormat="1" spans="1:22">
      <c r="A32" s="13">
        <v>102031</v>
      </c>
      <c r="B32" s="13">
        <v>210004</v>
      </c>
      <c r="C32" s="13">
        <v>1</v>
      </c>
      <c r="D32" s="13">
        <v>3</v>
      </c>
      <c r="E32" s="15">
        <v>20</v>
      </c>
      <c r="F32" s="20" t="s">
        <v>48</v>
      </c>
      <c r="G32" s="22">
        <v>80</v>
      </c>
      <c r="H32" s="22">
        <v>50</v>
      </c>
      <c r="I32" s="22">
        <v>20</v>
      </c>
      <c r="J32" s="22">
        <v>50</v>
      </c>
      <c r="K32" s="22">
        <v>20</v>
      </c>
      <c r="L32" s="22">
        <v>12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13">
        <v>210131</v>
      </c>
      <c r="U32" s="13">
        <v>0</v>
      </c>
      <c r="V32" s="13">
        <v>0</v>
      </c>
    </row>
    <row r="33" s="13" customFormat="1" spans="1:22">
      <c r="A33" s="13">
        <v>102032</v>
      </c>
      <c r="B33" s="13">
        <v>210004</v>
      </c>
      <c r="C33" s="13">
        <v>2</v>
      </c>
      <c r="D33" s="13">
        <v>3</v>
      </c>
      <c r="E33" s="15">
        <v>25</v>
      </c>
      <c r="F33" s="20" t="s">
        <v>49</v>
      </c>
      <c r="G33" s="22">
        <v>100</v>
      </c>
      <c r="H33" s="22">
        <v>60</v>
      </c>
      <c r="I33" s="22">
        <v>24</v>
      </c>
      <c r="J33" s="22">
        <v>60</v>
      </c>
      <c r="K33" s="22">
        <v>24</v>
      </c>
      <c r="L33" s="22">
        <v>12</v>
      </c>
      <c r="M33" s="22">
        <v>0</v>
      </c>
      <c r="N33" s="22">
        <v>0</v>
      </c>
      <c r="O33" s="22">
        <v>20</v>
      </c>
      <c r="P33" s="22">
        <v>0</v>
      </c>
      <c r="Q33" s="22">
        <v>20</v>
      </c>
      <c r="R33" s="22">
        <v>0</v>
      </c>
      <c r="S33" s="22">
        <v>0</v>
      </c>
      <c r="T33" s="13">
        <v>0</v>
      </c>
      <c r="U33" s="13">
        <v>1</v>
      </c>
      <c r="V33" s="21">
        <f>B35</f>
        <v>310004</v>
      </c>
    </row>
    <row r="34" s="13" customFormat="1" spans="1:22">
      <c r="A34" s="13">
        <v>102033</v>
      </c>
      <c r="B34" s="13">
        <v>210004</v>
      </c>
      <c r="C34" s="13">
        <v>3</v>
      </c>
      <c r="D34" s="13">
        <v>3</v>
      </c>
      <c r="E34" s="15">
        <v>0</v>
      </c>
      <c r="F34" s="20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331001</v>
      </c>
      <c r="T34" s="13">
        <v>0</v>
      </c>
      <c r="U34" s="13">
        <v>0</v>
      </c>
      <c r="V34" s="13">
        <v>0</v>
      </c>
    </row>
    <row r="35" s="13" customFormat="1" spans="1:22">
      <c r="A35" s="13">
        <v>103030</v>
      </c>
      <c r="B35" s="13">
        <v>310004</v>
      </c>
      <c r="C35" s="13">
        <v>0</v>
      </c>
      <c r="D35" s="13">
        <v>4</v>
      </c>
      <c r="E35" s="15">
        <v>30</v>
      </c>
      <c r="F35" s="20" t="s">
        <v>50</v>
      </c>
      <c r="G35" s="22">
        <v>5</v>
      </c>
      <c r="H35" s="22">
        <v>5</v>
      </c>
      <c r="I35" s="22">
        <v>4</v>
      </c>
      <c r="J35" s="22">
        <v>10</v>
      </c>
      <c r="K35" s="22">
        <v>4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13">
        <v>210141</v>
      </c>
      <c r="U35" s="13">
        <v>0</v>
      </c>
      <c r="V35" s="13">
        <v>0</v>
      </c>
    </row>
    <row r="36" s="13" customFormat="1" spans="1:22">
      <c r="A36" s="13">
        <v>103031</v>
      </c>
      <c r="B36" s="13">
        <v>310004</v>
      </c>
      <c r="C36" s="13">
        <v>1</v>
      </c>
      <c r="D36" s="13">
        <v>4</v>
      </c>
      <c r="E36" s="15">
        <v>35</v>
      </c>
      <c r="F36" s="20" t="s">
        <v>51</v>
      </c>
      <c r="G36" s="22">
        <v>30</v>
      </c>
      <c r="H36" s="22">
        <v>20</v>
      </c>
      <c r="I36" s="22">
        <v>8</v>
      </c>
      <c r="J36" s="22">
        <v>20</v>
      </c>
      <c r="K36" s="22">
        <v>8</v>
      </c>
      <c r="L36" s="22">
        <v>3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13">
        <v>210151</v>
      </c>
      <c r="U36" s="13">
        <v>0</v>
      </c>
      <c r="V36" s="13">
        <v>0</v>
      </c>
    </row>
    <row r="37" s="13" customFormat="1" spans="1:22">
      <c r="A37" s="13">
        <v>103032</v>
      </c>
      <c r="B37" s="13">
        <v>310004</v>
      </c>
      <c r="C37" s="13">
        <v>2</v>
      </c>
      <c r="D37" s="13">
        <v>4</v>
      </c>
      <c r="E37" s="15">
        <v>40</v>
      </c>
      <c r="F37" s="20" t="s">
        <v>52</v>
      </c>
      <c r="G37" s="22">
        <v>50</v>
      </c>
      <c r="H37" s="22">
        <v>30</v>
      </c>
      <c r="I37" s="22">
        <v>12</v>
      </c>
      <c r="J37" s="22">
        <v>30</v>
      </c>
      <c r="K37" s="22">
        <v>12</v>
      </c>
      <c r="L37" s="22">
        <v>6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331002</v>
      </c>
      <c r="T37" s="13">
        <v>0</v>
      </c>
      <c r="U37" s="13">
        <v>0</v>
      </c>
      <c r="V37" s="13">
        <v>0</v>
      </c>
    </row>
    <row r="38" s="13" customFormat="1" spans="1:22">
      <c r="A38" s="13">
        <v>103033</v>
      </c>
      <c r="B38" s="13">
        <v>310004</v>
      </c>
      <c r="C38" s="13">
        <v>3</v>
      </c>
      <c r="D38" s="13">
        <v>4</v>
      </c>
      <c r="E38" s="15">
        <v>45</v>
      </c>
      <c r="F38" s="20" t="s">
        <v>53</v>
      </c>
      <c r="G38" s="22">
        <v>60</v>
      </c>
      <c r="H38" s="22">
        <v>40</v>
      </c>
      <c r="I38" s="22">
        <v>16</v>
      </c>
      <c r="J38" s="22">
        <v>40</v>
      </c>
      <c r="K38" s="22">
        <v>16</v>
      </c>
      <c r="L38" s="22">
        <v>9</v>
      </c>
      <c r="M38" s="22">
        <v>120</v>
      </c>
      <c r="N38" s="22">
        <v>30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13">
        <v>0</v>
      </c>
      <c r="U38" s="13">
        <v>1</v>
      </c>
      <c r="V38" s="13">
        <v>0</v>
      </c>
    </row>
    <row r="39" s="13" customFormat="1" spans="1:22">
      <c r="A39" s="13">
        <v>103034</v>
      </c>
      <c r="B39" s="13">
        <v>310004</v>
      </c>
      <c r="C39" s="13">
        <v>4</v>
      </c>
      <c r="D39" s="13">
        <v>4</v>
      </c>
      <c r="E39" s="13">
        <v>0</v>
      </c>
      <c r="F39" s="23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13">
        <v>0</v>
      </c>
      <c r="U39" s="13">
        <v>0</v>
      </c>
      <c r="V39" s="13">
        <v>0</v>
      </c>
    </row>
    <row r="40" spans="1:22">
      <c r="A40" s="15">
        <v>103035</v>
      </c>
      <c r="B40" s="15">
        <v>110005</v>
      </c>
      <c r="C40" s="15">
        <f>IF(LEFT(B39,1)=LEFT(B40,1),(C39+1),0)</f>
        <v>0</v>
      </c>
      <c r="D40" s="15">
        <f t="shared" ref="D40:D45" si="0">LEFT(B40,1)+1</f>
        <v>2</v>
      </c>
      <c r="E40" s="15">
        <v>5</v>
      </c>
      <c r="F40" s="20" t="s">
        <v>45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15">
        <v>0</v>
      </c>
      <c r="U40" s="15">
        <v>0</v>
      </c>
      <c r="V40" s="15">
        <v>0</v>
      </c>
    </row>
    <row r="41" spans="1:22">
      <c r="A41" s="15">
        <v>103036</v>
      </c>
      <c r="B41" s="15">
        <v>110005</v>
      </c>
      <c r="C41" s="15">
        <f t="shared" ref="C41:C46" si="1">IF(LEFT(B40,1)=LEFT(B41,1),(C40+1),0)</f>
        <v>1</v>
      </c>
      <c r="D41" s="15">
        <f t="shared" si="0"/>
        <v>2</v>
      </c>
      <c r="E41" s="15">
        <v>10</v>
      </c>
      <c r="F41" s="20" t="s">
        <v>46</v>
      </c>
      <c r="G41" s="16">
        <v>30</v>
      </c>
      <c r="H41" s="16">
        <v>20</v>
      </c>
      <c r="I41" s="16">
        <v>8</v>
      </c>
      <c r="J41" s="16">
        <v>20</v>
      </c>
      <c r="K41" s="16">
        <v>8</v>
      </c>
      <c r="L41" s="16">
        <v>3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16">
        <v>0</v>
      </c>
      <c r="T41" s="15">
        <v>0</v>
      </c>
      <c r="U41" s="15">
        <v>1</v>
      </c>
      <c r="V41" s="15">
        <v>0</v>
      </c>
    </row>
    <row r="42" spans="1:22">
      <c r="A42" s="15">
        <v>103037</v>
      </c>
      <c r="B42" s="15">
        <v>110005</v>
      </c>
      <c r="C42" s="15">
        <f t="shared" si="1"/>
        <v>2</v>
      </c>
      <c r="D42" s="15">
        <f t="shared" si="0"/>
        <v>2</v>
      </c>
      <c r="E42" s="15">
        <v>0</v>
      </c>
      <c r="F42" s="20">
        <v>0</v>
      </c>
      <c r="G42" s="16">
        <v>50</v>
      </c>
      <c r="H42" s="16">
        <v>30</v>
      </c>
      <c r="I42" s="16">
        <v>12</v>
      </c>
      <c r="J42" s="16">
        <v>30</v>
      </c>
      <c r="K42" s="16">
        <v>12</v>
      </c>
      <c r="L42" s="16">
        <v>6</v>
      </c>
      <c r="M42" s="22">
        <v>0</v>
      </c>
      <c r="N42" s="22">
        <v>0</v>
      </c>
      <c r="O42" s="22">
        <v>15</v>
      </c>
      <c r="P42" s="22">
        <v>0</v>
      </c>
      <c r="Q42" s="22">
        <v>15</v>
      </c>
      <c r="R42" s="22">
        <v>0</v>
      </c>
      <c r="S42" s="16">
        <v>0</v>
      </c>
      <c r="T42" s="15">
        <v>210171</v>
      </c>
      <c r="U42" s="15">
        <v>0</v>
      </c>
      <c r="V42" s="15">
        <v>0</v>
      </c>
    </row>
    <row r="43" spans="1:22">
      <c r="A43" s="15">
        <v>103038</v>
      </c>
      <c r="B43" s="15">
        <v>210005</v>
      </c>
      <c r="C43" s="15">
        <f t="shared" si="1"/>
        <v>0</v>
      </c>
      <c r="D43" s="15">
        <f t="shared" si="0"/>
        <v>3</v>
      </c>
      <c r="E43" s="15">
        <v>15</v>
      </c>
      <c r="F43" s="20" t="s">
        <v>47</v>
      </c>
      <c r="G43" s="16">
        <v>60</v>
      </c>
      <c r="H43" s="16">
        <v>40</v>
      </c>
      <c r="I43" s="16">
        <v>16</v>
      </c>
      <c r="J43" s="16">
        <v>40</v>
      </c>
      <c r="K43" s="16">
        <v>16</v>
      </c>
      <c r="L43" s="16">
        <v>9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421001</v>
      </c>
      <c r="T43" s="15">
        <v>0</v>
      </c>
      <c r="U43" s="15">
        <v>0</v>
      </c>
      <c r="V43" s="15">
        <v>0</v>
      </c>
    </row>
    <row r="44" spans="1:22">
      <c r="A44" s="15">
        <v>103039</v>
      </c>
      <c r="B44" s="15">
        <v>210005</v>
      </c>
      <c r="C44" s="15">
        <f t="shared" si="1"/>
        <v>1</v>
      </c>
      <c r="D44" s="15">
        <f t="shared" si="0"/>
        <v>3</v>
      </c>
      <c r="E44" s="15">
        <v>20</v>
      </c>
      <c r="F44" s="20" t="s">
        <v>48</v>
      </c>
      <c r="G44" s="16">
        <v>80</v>
      </c>
      <c r="H44" s="16">
        <v>50</v>
      </c>
      <c r="I44" s="16">
        <v>20</v>
      </c>
      <c r="J44" s="16">
        <v>50</v>
      </c>
      <c r="K44" s="16">
        <v>20</v>
      </c>
      <c r="L44" s="16">
        <v>12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16">
        <v>0</v>
      </c>
      <c r="T44" s="15">
        <v>210181</v>
      </c>
      <c r="U44" s="15">
        <v>0</v>
      </c>
      <c r="V44" s="15">
        <v>0</v>
      </c>
    </row>
    <row r="45" spans="1:22">
      <c r="A45" s="15">
        <v>103040</v>
      </c>
      <c r="B45" s="15">
        <v>210005</v>
      </c>
      <c r="C45" s="15">
        <f t="shared" si="1"/>
        <v>2</v>
      </c>
      <c r="D45" s="15">
        <f t="shared" si="0"/>
        <v>3</v>
      </c>
      <c r="E45" s="15">
        <v>25</v>
      </c>
      <c r="F45" s="20" t="s">
        <v>49</v>
      </c>
      <c r="G45" s="16">
        <v>100</v>
      </c>
      <c r="H45" s="16">
        <v>60</v>
      </c>
      <c r="I45" s="16">
        <v>24</v>
      </c>
      <c r="J45" s="16">
        <v>60</v>
      </c>
      <c r="K45" s="16">
        <v>24</v>
      </c>
      <c r="L45" s="16">
        <v>12</v>
      </c>
      <c r="M45" s="22">
        <v>0</v>
      </c>
      <c r="N45" s="22">
        <v>0</v>
      </c>
      <c r="O45" s="22">
        <v>20</v>
      </c>
      <c r="P45" s="22">
        <v>0</v>
      </c>
      <c r="Q45" s="22">
        <v>20</v>
      </c>
      <c r="R45" s="22">
        <v>0</v>
      </c>
      <c r="S45" s="16">
        <v>0</v>
      </c>
      <c r="T45" s="15">
        <v>0</v>
      </c>
      <c r="U45" s="15">
        <v>1</v>
      </c>
      <c r="V45" s="15">
        <v>0</v>
      </c>
    </row>
    <row r="46" spans="1:22">
      <c r="A46" s="15">
        <v>103041</v>
      </c>
      <c r="B46" s="15">
        <v>210005</v>
      </c>
      <c r="C46" s="15">
        <f t="shared" si="1"/>
        <v>3</v>
      </c>
      <c r="D46" s="15">
        <f t="shared" ref="D46:D109" si="2">LEFT(B46,1)+1</f>
        <v>3</v>
      </c>
      <c r="E46" s="15">
        <v>0</v>
      </c>
      <c r="F46" s="20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16">
        <v>431001</v>
      </c>
      <c r="T46" s="15">
        <v>0</v>
      </c>
      <c r="U46" s="15">
        <v>0</v>
      </c>
      <c r="V46" s="15">
        <v>0</v>
      </c>
    </row>
    <row r="47" spans="1:22">
      <c r="A47" s="15">
        <v>103042</v>
      </c>
      <c r="B47" s="15">
        <v>310005</v>
      </c>
      <c r="C47" s="15">
        <f t="shared" ref="C47:C110" si="3">IF(LEFT(B46,1)=LEFT(B47,1),(C46+1),0)</f>
        <v>0</v>
      </c>
      <c r="D47" s="15">
        <f t="shared" si="2"/>
        <v>4</v>
      </c>
      <c r="E47" s="15">
        <v>30</v>
      </c>
      <c r="F47" s="20" t="s">
        <v>50</v>
      </c>
      <c r="G47" s="16">
        <v>5</v>
      </c>
      <c r="H47" s="16">
        <v>5</v>
      </c>
      <c r="I47" s="16">
        <v>4</v>
      </c>
      <c r="J47" s="16">
        <v>10</v>
      </c>
      <c r="K47" s="16">
        <v>4</v>
      </c>
      <c r="L47" s="16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15">
        <v>210191</v>
      </c>
      <c r="U47" s="15">
        <v>0</v>
      </c>
      <c r="V47" s="15">
        <v>0</v>
      </c>
    </row>
    <row r="48" spans="1:22">
      <c r="A48" s="15">
        <v>103043</v>
      </c>
      <c r="B48" s="15">
        <v>310005</v>
      </c>
      <c r="C48" s="15">
        <f t="shared" si="3"/>
        <v>1</v>
      </c>
      <c r="D48" s="15">
        <f t="shared" si="2"/>
        <v>4</v>
      </c>
      <c r="E48" s="15">
        <v>35</v>
      </c>
      <c r="F48" s="20" t="s">
        <v>51</v>
      </c>
      <c r="G48" s="16">
        <v>30</v>
      </c>
      <c r="H48" s="16">
        <v>20</v>
      </c>
      <c r="I48" s="16">
        <v>8</v>
      </c>
      <c r="J48" s="16">
        <v>20</v>
      </c>
      <c r="K48" s="16">
        <v>8</v>
      </c>
      <c r="L48" s="16">
        <v>3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16">
        <v>0</v>
      </c>
      <c r="T48" s="15">
        <v>0</v>
      </c>
      <c r="U48" s="15">
        <v>0</v>
      </c>
      <c r="V48" s="15">
        <v>0</v>
      </c>
    </row>
    <row r="49" spans="1:22">
      <c r="A49" s="15">
        <v>103044</v>
      </c>
      <c r="B49" s="15">
        <v>310005</v>
      </c>
      <c r="C49" s="15">
        <f t="shared" si="3"/>
        <v>2</v>
      </c>
      <c r="D49" s="15">
        <f t="shared" si="2"/>
        <v>4</v>
      </c>
      <c r="E49" s="15">
        <v>40</v>
      </c>
      <c r="F49" s="20" t="s">
        <v>52</v>
      </c>
      <c r="G49" s="16">
        <v>50</v>
      </c>
      <c r="H49" s="16">
        <v>30</v>
      </c>
      <c r="I49" s="16">
        <v>12</v>
      </c>
      <c r="J49" s="16">
        <v>30</v>
      </c>
      <c r="K49" s="16">
        <v>12</v>
      </c>
      <c r="L49" s="16">
        <v>6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16">
        <v>0</v>
      </c>
      <c r="T49" s="15">
        <v>210201</v>
      </c>
      <c r="U49" s="15">
        <v>0</v>
      </c>
      <c r="V49" s="15">
        <v>0</v>
      </c>
    </row>
    <row r="50" spans="1:22">
      <c r="A50" s="15">
        <v>103045</v>
      </c>
      <c r="B50" s="15">
        <v>310005</v>
      </c>
      <c r="C50" s="15">
        <f t="shared" si="3"/>
        <v>3</v>
      </c>
      <c r="D50" s="15">
        <f t="shared" si="2"/>
        <v>4</v>
      </c>
      <c r="E50" s="15">
        <v>45</v>
      </c>
      <c r="F50" s="20" t="s">
        <v>53</v>
      </c>
      <c r="G50" s="16">
        <v>60</v>
      </c>
      <c r="H50" s="16">
        <v>40</v>
      </c>
      <c r="I50" s="16">
        <v>16</v>
      </c>
      <c r="J50" s="16">
        <v>40</v>
      </c>
      <c r="K50" s="16">
        <v>16</v>
      </c>
      <c r="L50" s="16">
        <v>9</v>
      </c>
      <c r="M50" s="22">
        <v>120</v>
      </c>
      <c r="N50" s="22">
        <v>30</v>
      </c>
      <c r="O50" s="22">
        <v>0</v>
      </c>
      <c r="P50" s="22">
        <v>0</v>
      </c>
      <c r="Q50" s="22">
        <v>0</v>
      </c>
      <c r="R50" s="22">
        <v>0</v>
      </c>
      <c r="S50" s="16">
        <v>0</v>
      </c>
      <c r="T50" s="15">
        <v>0</v>
      </c>
      <c r="U50" s="15">
        <v>1</v>
      </c>
      <c r="V50" s="15">
        <v>0</v>
      </c>
    </row>
    <row r="51" spans="1:22">
      <c r="A51" s="15">
        <v>103046</v>
      </c>
      <c r="B51" s="15">
        <v>310005</v>
      </c>
      <c r="C51" s="15">
        <f t="shared" si="3"/>
        <v>4</v>
      </c>
      <c r="D51" s="15">
        <f t="shared" si="2"/>
        <v>4</v>
      </c>
      <c r="E51" s="15">
        <v>0</v>
      </c>
      <c r="F51" s="20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16">
        <v>0</v>
      </c>
      <c r="T51" s="15">
        <v>0</v>
      </c>
      <c r="U51" s="15">
        <v>0</v>
      </c>
      <c r="V51" s="15">
        <v>0</v>
      </c>
    </row>
    <row r="52" spans="1:22">
      <c r="A52" s="15">
        <v>103047</v>
      </c>
      <c r="B52" s="15">
        <v>110006</v>
      </c>
      <c r="C52" s="15">
        <f t="shared" si="3"/>
        <v>0</v>
      </c>
      <c r="D52" s="15">
        <f t="shared" si="2"/>
        <v>2</v>
      </c>
      <c r="E52" s="15">
        <v>5</v>
      </c>
      <c r="F52" s="20" t="s">
        <v>45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15">
        <v>0</v>
      </c>
      <c r="U52" s="15">
        <v>0</v>
      </c>
      <c r="V52" s="15">
        <v>0</v>
      </c>
    </row>
    <row r="53" spans="1:22">
      <c r="A53" s="15">
        <v>103048</v>
      </c>
      <c r="B53" s="15">
        <v>110006</v>
      </c>
      <c r="C53" s="15">
        <f t="shared" si="3"/>
        <v>1</v>
      </c>
      <c r="D53" s="15">
        <f t="shared" si="2"/>
        <v>2</v>
      </c>
      <c r="E53" s="15">
        <v>10</v>
      </c>
      <c r="F53" s="20" t="s">
        <v>46</v>
      </c>
      <c r="G53" s="16">
        <v>30</v>
      </c>
      <c r="H53" s="16">
        <v>20</v>
      </c>
      <c r="I53" s="16">
        <v>8</v>
      </c>
      <c r="J53" s="16">
        <v>20</v>
      </c>
      <c r="K53" s="16">
        <v>8</v>
      </c>
      <c r="L53" s="16">
        <v>3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16">
        <v>0</v>
      </c>
      <c r="T53" s="15">
        <v>0</v>
      </c>
      <c r="U53" s="15">
        <v>1</v>
      </c>
      <c r="V53" s="15">
        <v>0</v>
      </c>
    </row>
    <row r="54" spans="1:22">
      <c r="A54" s="15">
        <v>103049</v>
      </c>
      <c r="B54" s="15">
        <v>110006</v>
      </c>
      <c r="C54" s="15">
        <f t="shared" si="3"/>
        <v>2</v>
      </c>
      <c r="D54" s="15">
        <f t="shared" si="2"/>
        <v>2</v>
      </c>
      <c r="E54" s="15">
        <v>0</v>
      </c>
      <c r="F54" s="20">
        <v>0</v>
      </c>
      <c r="G54" s="16">
        <v>50</v>
      </c>
      <c r="H54" s="16">
        <v>30</v>
      </c>
      <c r="I54" s="16">
        <v>12</v>
      </c>
      <c r="J54" s="16">
        <v>30</v>
      </c>
      <c r="K54" s="16">
        <v>12</v>
      </c>
      <c r="L54" s="16">
        <v>6</v>
      </c>
      <c r="M54" s="22">
        <v>0</v>
      </c>
      <c r="N54" s="22">
        <v>0</v>
      </c>
      <c r="O54" s="22">
        <v>15</v>
      </c>
      <c r="P54" s="22">
        <v>0</v>
      </c>
      <c r="Q54" s="22">
        <v>15</v>
      </c>
      <c r="R54" s="22">
        <v>0</v>
      </c>
      <c r="S54" s="16">
        <v>0</v>
      </c>
      <c r="T54" s="15">
        <v>210221</v>
      </c>
      <c r="U54" s="15">
        <v>0</v>
      </c>
      <c r="V54" s="15">
        <v>0</v>
      </c>
    </row>
    <row r="55" spans="1:22">
      <c r="A55" s="15">
        <v>103050</v>
      </c>
      <c r="B55" s="15">
        <v>210006</v>
      </c>
      <c r="C55" s="15">
        <f t="shared" si="3"/>
        <v>0</v>
      </c>
      <c r="D55" s="15">
        <f t="shared" si="2"/>
        <v>3</v>
      </c>
      <c r="E55" s="15">
        <v>15</v>
      </c>
      <c r="F55" s="20" t="s">
        <v>47</v>
      </c>
      <c r="G55" s="16">
        <v>60</v>
      </c>
      <c r="H55" s="16">
        <v>40</v>
      </c>
      <c r="I55" s="16">
        <v>16</v>
      </c>
      <c r="J55" s="16">
        <v>40</v>
      </c>
      <c r="K55" s="16">
        <v>16</v>
      </c>
      <c r="L55" s="16">
        <v>9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521001</v>
      </c>
      <c r="T55" s="15">
        <v>0</v>
      </c>
      <c r="U55" s="15">
        <v>0</v>
      </c>
      <c r="V55" s="15">
        <v>0</v>
      </c>
    </row>
    <row r="56" spans="1:22">
      <c r="A56" s="15">
        <v>103051</v>
      </c>
      <c r="B56" s="15">
        <v>210006</v>
      </c>
      <c r="C56" s="15">
        <f t="shared" si="3"/>
        <v>1</v>
      </c>
      <c r="D56" s="15">
        <f t="shared" si="2"/>
        <v>3</v>
      </c>
      <c r="E56" s="15">
        <v>20</v>
      </c>
      <c r="F56" s="20" t="s">
        <v>48</v>
      </c>
      <c r="G56" s="16">
        <v>80</v>
      </c>
      <c r="H56" s="16">
        <v>50</v>
      </c>
      <c r="I56" s="16">
        <v>20</v>
      </c>
      <c r="J56" s="16">
        <v>50</v>
      </c>
      <c r="K56" s="16">
        <v>20</v>
      </c>
      <c r="L56" s="16">
        <v>12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16">
        <v>0</v>
      </c>
      <c r="T56" s="15">
        <v>210231</v>
      </c>
      <c r="U56" s="15">
        <v>0</v>
      </c>
      <c r="V56" s="15">
        <v>0</v>
      </c>
    </row>
    <row r="57" spans="1:22">
      <c r="A57" s="15">
        <v>103052</v>
      </c>
      <c r="B57" s="15">
        <v>210006</v>
      </c>
      <c r="C57" s="15">
        <f t="shared" si="3"/>
        <v>2</v>
      </c>
      <c r="D57" s="15">
        <f t="shared" si="2"/>
        <v>3</v>
      </c>
      <c r="E57" s="15">
        <v>25</v>
      </c>
      <c r="F57" s="20" t="s">
        <v>49</v>
      </c>
      <c r="G57" s="16">
        <v>100</v>
      </c>
      <c r="H57" s="16">
        <v>60</v>
      </c>
      <c r="I57" s="16">
        <v>24</v>
      </c>
      <c r="J57" s="16">
        <v>60</v>
      </c>
      <c r="K57" s="16">
        <v>24</v>
      </c>
      <c r="L57" s="16">
        <v>12</v>
      </c>
      <c r="M57" s="22">
        <v>0</v>
      </c>
      <c r="N57" s="22">
        <v>0</v>
      </c>
      <c r="O57" s="22">
        <v>20</v>
      </c>
      <c r="P57" s="22">
        <v>0</v>
      </c>
      <c r="Q57" s="22">
        <v>20</v>
      </c>
      <c r="R57" s="22">
        <v>0</v>
      </c>
      <c r="S57" s="16">
        <v>0</v>
      </c>
      <c r="T57" s="15">
        <v>0</v>
      </c>
      <c r="U57" s="15">
        <v>1</v>
      </c>
      <c r="V57" s="15">
        <v>0</v>
      </c>
    </row>
    <row r="58" spans="1:22">
      <c r="A58" s="15">
        <v>103053</v>
      </c>
      <c r="B58" s="15">
        <v>210006</v>
      </c>
      <c r="C58" s="15">
        <f t="shared" si="3"/>
        <v>3</v>
      </c>
      <c r="D58" s="15">
        <f t="shared" si="2"/>
        <v>3</v>
      </c>
      <c r="E58" s="15">
        <v>0</v>
      </c>
      <c r="F58" s="20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16">
        <v>531001</v>
      </c>
      <c r="T58" s="15">
        <v>0</v>
      </c>
      <c r="U58" s="15">
        <v>0</v>
      </c>
      <c r="V58" s="15">
        <v>0</v>
      </c>
    </row>
    <row r="59" spans="1:22">
      <c r="A59" s="15">
        <v>103054</v>
      </c>
      <c r="B59" s="15">
        <v>310006</v>
      </c>
      <c r="C59" s="15">
        <f t="shared" si="3"/>
        <v>0</v>
      </c>
      <c r="D59" s="15">
        <f t="shared" si="2"/>
        <v>4</v>
      </c>
      <c r="E59" s="15">
        <v>30</v>
      </c>
      <c r="F59" s="20" t="s">
        <v>50</v>
      </c>
      <c r="G59" s="16">
        <v>5</v>
      </c>
      <c r="H59" s="16">
        <v>5</v>
      </c>
      <c r="I59" s="16">
        <v>4</v>
      </c>
      <c r="J59" s="16">
        <v>10</v>
      </c>
      <c r="K59" s="16">
        <v>4</v>
      </c>
      <c r="L59" s="16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15">
        <v>210241</v>
      </c>
      <c r="U59" s="15">
        <v>0</v>
      </c>
      <c r="V59" s="15">
        <v>0</v>
      </c>
    </row>
    <row r="60" spans="1:22">
      <c r="A60" s="15">
        <v>103055</v>
      </c>
      <c r="B60" s="15">
        <v>310006</v>
      </c>
      <c r="C60" s="15">
        <f t="shared" si="3"/>
        <v>1</v>
      </c>
      <c r="D60" s="15">
        <f t="shared" si="2"/>
        <v>4</v>
      </c>
      <c r="E60" s="15">
        <v>35</v>
      </c>
      <c r="F60" s="20" t="s">
        <v>51</v>
      </c>
      <c r="G60" s="16">
        <v>30</v>
      </c>
      <c r="H60" s="16">
        <v>20</v>
      </c>
      <c r="I60" s="16">
        <v>8</v>
      </c>
      <c r="J60" s="16">
        <v>20</v>
      </c>
      <c r="K60" s="16">
        <v>8</v>
      </c>
      <c r="L60" s="16">
        <v>3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16">
        <v>0</v>
      </c>
      <c r="T60" s="15">
        <v>210251</v>
      </c>
      <c r="U60" s="15">
        <v>0</v>
      </c>
      <c r="V60" s="15">
        <v>0</v>
      </c>
    </row>
    <row r="61" spans="1:22">
      <c r="A61" s="15">
        <v>103056</v>
      </c>
      <c r="B61" s="15">
        <v>310006</v>
      </c>
      <c r="C61" s="15">
        <f t="shared" si="3"/>
        <v>2</v>
      </c>
      <c r="D61" s="15">
        <f t="shared" si="2"/>
        <v>4</v>
      </c>
      <c r="E61" s="15">
        <v>40</v>
      </c>
      <c r="F61" s="20" t="s">
        <v>52</v>
      </c>
      <c r="G61" s="16">
        <v>50</v>
      </c>
      <c r="H61" s="16">
        <v>30</v>
      </c>
      <c r="I61" s="16">
        <v>12</v>
      </c>
      <c r="J61" s="16">
        <v>30</v>
      </c>
      <c r="K61" s="16">
        <v>12</v>
      </c>
      <c r="L61" s="16">
        <v>6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16">
        <v>531002</v>
      </c>
      <c r="T61" s="15">
        <v>0</v>
      </c>
      <c r="U61" s="15">
        <v>0</v>
      </c>
      <c r="V61" s="15">
        <v>0</v>
      </c>
    </row>
    <row r="62" spans="1:22">
      <c r="A62" s="15">
        <v>103057</v>
      </c>
      <c r="B62" s="15">
        <v>310006</v>
      </c>
      <c r="C62" s="15">
        <f t="shared" si="3"/>
        <v>3</v>
      </c>
      <c r="D62" s="15">
        <f t="shared" si="2"/>
        <v>4</v>
      </c>
      <c r="E62" s="15">
        <v>45</v>
      </c>
      <c r="F62" s="20" t="s">
        <v>53</v>
      </c>
      <c r="G62" s="16">
        <v>60</v>
      </c>
      <c r="H62" s="16">
        <v>40</v>
      </c>
      <c r="I62" s="16">
        <v>16</v>
      </c>
      <c r="J62" s="16">
        <v>40</v>
      </c>
      <c r="K62" s="16">
        <v>16</v>
      </c>
      <c r="L62" s="16">
        <v>9</v>
      </c>
      <c r="M62" s="22">
        <v>120</v>
      </c>
      <c r="N62" s="22">
        <v>0</v>
      </c>
      <c r="O62" s="22">
        <v>0</v>
      </c>
      <c r="P62" s="22">
        <v>12</v>
      </c>
      <c r="Q62" s="22">
        <v>0</v>
      </c>
      <c r="R62" s="22">
        <v>0</v>
      </c>
      <c r="S62" s="16">
        <v>0</v>
      </c>
      <c r="T62" s="15">
        <v>0</v>
      </c>
      <c r="U62" s="15">
        <v>1</v>
      </c>
      <c r="V62" s="15">
        <v>0</v>
      </c>
    </row>
    <row r="63" spans="1:22">
      <c r="A63" s="15">
        <v>103058</v>
      </c>
      <c r="B63" s="15">
        <v>310006</v>
      </c>
      <c r="C63" s="15">
        <f t="shared" si="3"/>
        <v>4</v>
      </c>
      <c r="D63" s="15">
        <f t="shared" si="2"/>
        <v>4</v>
      </c>
      <c r="E63" s="15">
        <v>0</v>
      </c>
      <c r="F63" s="20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16">
        <v>0</v>
      </c>
      <c r="T63" s="15">
        <v>0</v>
      </c>
      <c r="U63" s="15">
        <v>0</v>
      </c>
      <c r="V63" s="15">
        <v>0</v>
      </c>
    </row>
    <row r="64" spans="1:22">
      <c r="A64" s="15">
        <v>103059</v>
      </c>
      <c r="B64" s="15">
        <v>110007</v>
      </c>
      <c r="C64" s="15">
        <f t="shared" si="3"/>
        <v>0</v>
      </c>
      <c r="D64" s="15">
        <f t="shared" si="2"/>
        <v>2</v>
      </c>
      <c r="E64" s="15">
        <v>5</v>
      </c>
      <c r="F64" s="20" t="s">
        <v>45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15">
        <v>0</v>
      </c>
      <c r="U64" s="15">
        <v>0</v>
      </c>
      <c r="V64" s="15">
        <v>0</v>
      </c>
    </row>
    <row r="65" spans="1:22">
      <c r="A65" s="15">
        <v>103060</v>
      </c>
      <c r="B65" s="15">
        <v>110007</v>
      </c>
      <c r="C65" s="15">
        <f t="shared" si="3"/>
        <v>1</v>
      </c>
      <c r="D65" s="15">
        <f t="shared" si="2"/>
        <v>2</v>
      </c>
      <c r="E65" s="15">
        <v>10</v>
      </c>
      <c r="F65" s="20" t="s">
        <v>46</v>
      </c>
      <c r="G65" s="16">
        <v>30</v>
      </c>
      <c r="H65" s="16">
        <v>20</v>
      </c>
      <c r="I65" s="16">
        <v>8</v>
      </c>
      <c r="J65" s="16">
        <v>20</v>
      </c>
      <c r="K65" s="16">
        <v>8</v>
      </c>
      <c r="L65" s="16">
        <v>3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16">
        <v>0</v>
      </c>
      <c r="T65" s="15">
        <v>0</v>
      </c>
      <c r="U65" s="15">
        <v>1</v>
      </c>
      <c r="V65" s="15">
        <v>0</v>
      </c>
    </row>
    <row r="66" spans="1:22">
      <c r="A66" s="15">
        <v>103061</v>
      </c>
      <c r="B66" s="15">
        <v>110007</v>
      </c>
      <c r="C66" s="15">
        <f t="shared" si="3"/>
        <v>2</v>
      </c>
      <c r="D66" s="15">
        <f t="shared" si="2"/>
        <v>2</v>
      </c>
      <c r="E66" s="15">
        <v>0</v>
      </c>
      <c r="F66" s="20">
        <v>0</v>
      </c>
      <c r="G66" s="16">
        <v>50</v>
      </c>
      <c r="H66" s="16">
        <v>30</v>
      </c>
      <c r="I66" s="16">
        <v>12</v>
      </c>
      <c r="J66" s="16">
        <v>30</v>
      </c>
      <c r="K66" s="16">
        <v>12</v>
      </c>
      <c r="L66" s="16">
        <v>6</v>
      </c>
      <c r="M66" s="22">
        <v>0</v>
      </c>
      <c r="N66" s="22">
        <v>0</v>
      </c>
      <c r="O66" s="22">
        <v>15</v>
      </c>
      <c r="P66" s="22">
        <v>0</v>
      </c>
      <c r="Q66" s="22">
        <v>15</v>
      </c>
      <c r="R66" s="22">
        <v>0</v>
      </c>
      <c r="S66" s="16">
        <v>0</v>
      </c>
      <c r="T66" s="15">
        <v>210271</v>
      </c>
      <c r="U66" s="15">
        <v>0</v>
      </c>
      <c r="V66" s="15">
        <v>0</v>
      </c>
    </row>
    <row r="67" spans="1:22">
      <c r="A67" s="15">
        <v>103062</v>
      </c>
      <c r="B67" s="15">
        <v>210007</v>
      </c>
      <c r="C67" s="15">
        <f t="shared" si="3"/>
        <v>0</v>
      </c>
      <c r="D67" s="15">
        <f t="shared" si="2"/>
        <v>3</v>
      </c>
      <c r="E67" s="15">
        <v>15</v>
      </c>
      <c r="F67" s="20" t="s">
        <v>47</v>
      </c>
      <c r="G67" s="16">
        <v>60</v>
      </c>
      <c r="H67" s="16">
        <v>40</v>
      </c>
      <c r="I67" s="16">
        <v>16</v>
      </c>
      <c r="J67" s="16">
        <v>40</v>
      </c>
      <c r="K67" s="16">
        <v>16</v>
      </c>
      <c r="L67" s="16">
        <v>9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621001</v>
      </c>
      <c r="T67" s="15">
        <v>0</v>
      </c>
      <c r="U67" s="15">
        <v>0</v>
      </c>
      <c r="V67" s="15">
        <v>0</v>
      </c>
    </row>
    <row r="68" spans="1:22">
      <c r="A68" s="15">
        <v>103063</v>
      </c>
      <c r="B68" s="15">
        <v>210007</v>
      </c>
      <c r="C68" s="15">
        <f t="shared" si="3"/>
        <v>1</v>
      </c>
      <c r="D68" s="15">
        <f t="shared" si="2"/>
        <v>3</v>
      </c>
      <c r="E68" s="15">
        <v>20</v>
      </c>
      <c r="F68" s="20" t="s">
        <v>48</v>
      </c>
      <c r="G68" s="16">
        <v>80</v>
      </c>
      <c r="H68" s="16">
        <v>50</v>
      </c>
      <c r="I68" s="16">
        <v>20</v>
      </c>
      <c r="J68" s="16">
        <v>50</v>
      </c>
      <c r="K68" s="16">
        <v>20</v>
      </c>
      <c r="L68" s="16">
        <v>12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16">
        <v>0</v>
      </c>
      <c r="T68" s="15">
        <v>210281</v>
      </c>
      <c r="U68" s="15">
        <v>0</v>
      </c>
      <c r="V68" s="15">
        <v>0</v>
      </c>
    </row>
    <row r="69" spans="1:22">
      <c r="A69" s="15">
        <v>103064</v>
      </c>
      <c r="B69" s="15">
        <v>210007</v>
      </c>
      <c r="C69" s="15">
        <f t="shared" si="3"/>
        <v>2</v>
      </c>
      <c r="D69" s="15">
        <f t="shared" si="2"/>
        <v>3</v>
      </c>
      <c r="E69" s="15">
        <v>25</v>
      </c>
      <c r="F69" s="20" t="s">
        <v>49</v>
      </c>
      <c r="G69" s="16">
        <v>100</v>
      </c>
      <c r="H69" s="16">
        <v>60</v>
      </c>
      <c r="I69" s="16">
        <v>24</v>
      </c>
      <c r="J69" s="16">
        <v>60</v>
      </c>
      <c r="K69" s="16">
        <v>24</v>
      </c>
      <c r="L69" s="16">
        <v>12</v>
      </c>
      <c r="M69" s="22">
        <v>0</v>
      </c>
      <c r="N69" s="22">
        <v>0</v>
      </c>
      <c r="O69" s="22">
        <v>20</v>
      </c>
      <c r="P69" s="22">
        <v>0</v>
      </c>
      <c r="Q69" s="22">
        <v>20</v>
      </c>
      <c r="R69" s="22">
        <v>0</v>
      </c>
      <c r="S69" s="16">
        <v>0</v>
      </c>
      <c r="T69" s="15">
        <v>0</v>
      </c>
      <c r="U69" s="15">
        <v>1</v>
      </c>
      <c r="V69" s="15">
        <v>0</v>
      </c>
    </row>
    <row r="70" spans="1:22">
      <c r="A70" s="15">
        <v>103065</v>
      </c>
      <c r="B70" s="15">
        <v>210007</v>
      </c>
      <c r="C70" s="15">
        <f t="shared" si="3"/>
        <v>3</v>
      </c>
      <c r="D70" s="15">
        <f t="shared" si="2"/>
        <v>3</v>
      </c>
      <c r="E70" s="15">
        <v>0</v>
      </c>
      <c r="F70" s="20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16">
        <v>0</v>
      </c>
      <c r="T70" s="15">
        <v>210291</v>
      </c>
      <c r="U70" s="15">
        <v>0</v>
      </c>
      <c r="V70" s="15">
        <v>0</v>
      </c>
    </row>
    <row r="71" spans="1:22">
      <c r="A71" s="15">
        <v>103066</v>
      </c>
      <c r="B71" s="15">
        <v>310007</v>
      </c>
      <c r="C71" s="15">
        <f t="shared" si="3"/>
        <v>0</v>
      </c>
      <c r="D71" s="15">
        <f t="shared" si="2"/>
        <v>4</v>
      </c>
      <c r="E71" s="15">
        <v>30</v>
      </c>
      <c r="F71" s="20" t="s">
        <v>50</v>
      </c>
      <c r="G71" s="16">
        <v>5</v>
      </c>
      <c r="H71" s="16">
        <v>5</v>
      </c>
      <c r="I71" s="16">
        <v>4</v>
      </c>
      <c r="J71" s="16">
        <v>10</v>
      </c>
      <c r="K71" s="16">
        <v>4</v>
      </c>
      <c r="L71" s="16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15">
        <v>0</v>
      </c>
      <c r="U71" s="15">
        <v>0</v>
      </c>
      <c r="V71" s="15">
        <v>0</v>
      </c>
    </row>
    <row r="72" spans="1:22">
      <c r="A72" s="15">
        <v>103067</v>
      </c>
      <c r="B72" s="15">
        <v>310007</v>
      </c>
      <c r="C72" s="15">
        <f t="shared" si="3"/>
        <v>1</v>
      </c>
      <c r="D72" s="15">
        <f t="shared" si="2"/>
        <v>4</v>
      </c>
      <c r="E72" s="15">
        <v>35</v>
      </c>
      <c r="F72" s="20" t="s">
        <v>51</v>
      </c>
      <c r="G72" s="16">
        <v>30</v>
      </c>
      <c r="H72" s="16">
        <v>20</v>
      </c>
      <c r="I72" s="16">
        <v>8</v>
      </c>
      <c r="J72" s="16">
        <v>20</v>
      </c>
      <c r="K72" s="16">
        <v>8</v>
      </c>
      <c r="L72" s="16">
        <v>3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16">
        <v>0</v>
      </c>
      <c r="T72" s="15">
        <v>210301</v>
      </c>
      <c r="U72" s="15">
        <v>0</v>
      </c>
      <c r="V72" s="15">
        <v>0</v>
      </c>
    </row>
    <row r="73" spans="1:22">
      <c r="A73" s="15">
        <v>103068</v>
      </c>
      <c r="B73" s="15">
        <v>310007</v>
      </c>
      <c r="C73" s="15">
        <f t="shared" si="3"/>
        <v>2</v>
      </c>
      <c r="D73" s="15">
        <f t="shared" si="2"/>
        <v>4</v>
      </c>
      <c r="E73" s="15">
        <v>40</v>
      </c>
      <c r="F73" s="20" t="s">
        <v>52</v>
      </c>
      <c r="G73" s="16">
        <v>50</v>
      </c>
      <c r="H73" s="16">
        <v>30</v>
      </c>
      <c r="I73" s="16">
        <v>12</v>
      </c>
      <c r="J73" s="16">
        <v>30</v>
      </c>
      <c r="K73" s="16">
        <v>12</v>
      </c>
      <c r="L73" s="16">
        <v>6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16">
        <v>631002</v>
      </c>
      <c r="T73" s="15">
        <v>0</v>
      </c>
      <c r="U73" s="15">
        <v>0</v>
      </c>
      <c r="V73" s="15">
        <v>0</v>
      </c>
    </row>
    <row r="74" spans="1:22">
      <c r="A74" s="15">
        <v>103069</v>
      </c>
      <c r="B74" s="15">
        <v>310007</v>
      </c>
      <c r="C74" s="15">
        <f t="shared" si="3"/>
        <v>3</v>
      </c>
      <c r="D74" s="15">
        <f t="shared" si="2"/>
        <v>4</v>
      </c>
      <c r="E74" s="15">
        <v>45</v>
      </c>
      <c r="F74" s="20" t="s">
        <v>53</v>
      </c>
      <c r="G74" s="16">
        <v>60</v>
      </c>
      <c r="H74" s="16">
        <v>40</v>
      </c>
      <c r="I74" s="16">
        <v>16</v>
      </c>
      <c r="J74" s="16">
        <v>40</v>
      </c>
      <c r="K74" s="16">
        <v>16</v>
      </c>
      <c r="L74" s="16">
        <v>9</v>
      </c>
      <c r="M74" s="22">
        <v>120</v>
      </c>
      <c r="N74" s="22">
        <v>0</v>
      </c>
      <c r="O74" s="22">
        <v>0</v>
      </c>
      <c r="P74" s="22">
        <v>12</v>
      </c>
      <c r="Q74" s="22">
        <v>0</v>
      </c>
      <c r="R74" s="22">
        <v>0</v>
      </c>
      <c r="S74" s="16">
        <v>0</v>
      </c>
      <c r="T74" s="15">
        <v>0</v>
      </c>
      <c r="U74" s="15">
        <v>1</v>
      </c>
      <c r="V74" s="15">
        <v>0</v>
      </c>
    </row>
    <row r="75" spans="1:22">
      <c r="A75" s="15">
        <v>103070</v>
      </c>
      <c r="B75" s="15">
        <v>310007</v>
      </c>
      <c r="C75" s="15">
        <f t="shared" si="3"/>
        <v>4</v>
      </c>
      <c r="D75" s="15">
        <f t="shared" si="2"/>
        <v>4</v>
      </c>
      <c r="E75" s="15">
        <v>0</v>
      </c>
      <c r="F75" s="20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16">
        <v>0</v>
      </c>
      <c r="T75" s="15">
        <v>0</v>
      </c>
      <c r="U75" s="15">
        <v>0</v>
      </c>
      <c r="V75" s="15">
        <v>0</v>
      </c>
    </row>
    <row r="76" spans="1:22">
      <c r="A76" s="15">
        <v>103071</v>
      </c>
      <c r="B76" s="15">
        <v>120001</v>
      </c>
      <c r="C76" s="15">
        <f t="shared" si="3"/>
        <v>0</v>
      </c>
      <c r="D76" s="15">
        <f t="shared" si="2"/>
        <v>2</v>
      </c>
      <c r="E76" s="15">
        <v>5</v>
      </c>
      <c r="F76" s="20" t="s">
        <v>45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15">
        <v>0</v>
      </c>
      <c r="U76" s="15">
        <v>0</v>
      </c>
      <c r="V76" s="15">
        <v>0</v>
      </c>
    </row>
    <row r="77" spans="1:22">
      <c r="A77" s="15">
        <v>103072</v>
      </c>
      <c r="B77" s="15">
        <v>120001</v>
      </c>
      <c r="C77" s="15">
        <f t="shared" si="3"/>
        <v>1</v>
      </c>
      <c r="D77" s="15">
        <f t="shared" si="2"/>
        <v>2</v>
      </c>
      <c r="E77" s="15">
        <v>10</v>
      </c>
      <c r="F77" s="20" t="s">
        <v>46</v>
      </c>
      <c r="G77" s="16">
        <v>30</v>
      </c>
      <c r="H77" s="16">
        <v>20</v>
      </c>
      <c r="I77" s="16">
        <v>8</v>
      </c>
      <c r="J77" s="16">
        <v>20</v>
      </c>
      <c r="K77" s="16">
        <v>8</v>
      </c>
      <c r="L77" s="16">
        <v>3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16">
        <v>0</v>
      </c>
      <c r="T77" s="15">
        <v>0</v>
      </c>
      <c r="U77" s="15">
        <v>1</v>
      </c>
      <c r="V77" s="15">
        <v>0</v>
      </c>
    </row>
    <row r="78" spans="1:22">
      <c r="A78" s="15">
        <v>103073</v>
      </c>
      <c r="B78" s="15">
        <v>120001</v>
      </c>
      <c r="C78" s="15">
        <f t="shared" si="3"/>
        <v>2</v>
      </c>
      <c r="D78" s="15">
        <f t="shared" si="2"/>
        <v>2</v>
      </c>
      <c r="E78" s="15">
        <v>0</v>
      </c>
      <c r="F78" s="20">
        <v>0</v>
      </c>
      <c r="G78" s="16">
        <v>50</v>
      </c>
      <c r="H78" s="16">
        <v>30</v>
      </c>
      <c r="I78" s="16">
        <v>12</v>
      </c>
      <c r="J78" s="16">
        <v>30</v>
      </c>
      <c r="K78" s="16">
        <v>12</v>
      </c>
      <c r="L78" s="16">
        <v>6</v>
      </c>
      <c r="M78" s="22">
        <v>0</v>
      </c>
      <c r="N78" s="22">
        <v>0</v>
      </c>
      <c r="O78" s="22">
        <v>15</v>
      </c>
      <c r="P78" s="22">
        <v>0</v>
      </c>
      <c r="Q78" s="22">
        <v>15</v>
      </c>
      <c r="R78" s="22">
        <v>0</v>
      </c>
      <c r="S78" s="16">
        <v>0</v>
      </c>
      <c r="T78" s="15">
        <v>220021</v>
      </c>
      <c r="U78" s="15">
        <v>0</v>
      </c>
      <c r="V78" s="15">
        <v>0</v>
      </c>
    </row>
    <row r="79" spans="1:22">
      <c r="A79" s="15">
        <v>103074</v>
      </c>
      <c r="B79" s="15">
        <v>220001</v>
      </c>
      <c r="C79" s="15">
        <f t="shared" si="3"/>
        <v>0</v>
      </c>
      <c r="D79" s="15">
        <f t="shared" si="2"/>
        <v>3</v>
      </c>
      <c r="E79" s="15">
        <v>15</v>
      </c>
      <c r="F79" s="20" t="s">
        <v>47</v>
      </c>
      <c r="G79" s="16">
        <v>60</v>
      </c>
      <c r="H79" s="16">
        <v>40</v>
      </c>
      <c r="I79" s="16">
        <v>16</v>
      </c>
      <c r="J79" s="16">
        <v>40</v>
      </c>
      <c r="K79" s="16">
        <v>16</v>
      </c>
      <c r="L79" s="16">
        <v>9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15">
        <v>220031</v>
      </c>
      <c r="U79" s="15">
        <v>0</v>
      </c>
      <c r="V79" s="15">
        <v>0</v>
      </c>
    </row>
    <row r="80" spans="1:22">
      <c r="A80" s="15">
        <v>103075</v>
      </c>
      <c r="B80" s="15">
        <v>220001</v>
      </c>
      <c r="C80" s="15">
        <f t="shared" si="3"/>
        <v>1</v>
      </c>
      <c r="D80" s="15">
        <f t="shared" si="2"/>
        <v>3</v>
      </c>
      <c r="E80" s="15">
        <v>20</v>
      </c>
      <c r="F80" s="20" t="s">
        <v>48</v>
      </c>
      <c r="G80" s="16">
        <v>80</v>
      </c>
      <c r="H80" s="16">
        <v>50</v>
      </c>
      <c r="I80" s="16">
        <v>20</v>
      </c>
      <c r="J80" s="16">
        <v>50</v>
      </c>
      <c r="K80" s="16">
        <v>20</v>
      </c>
      <c r="L80" s="16">
        <v>12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16">
        <v>121001</v>
      </c>
      <c r="T80" s="15">
        <v>0</v>
      </c>
      <c r="U80" s="15">
        <v>0</v>
      </c>
      <c r="V80" s="15">
        <v>0</v>
      </c>
    </row>
    <row r="81" spans="1:22">
      <c r="A81" s="15">
        <v>103076</v>
      </c>
      <c r="B81" s="15">
        <v>220001</v>
      </c>
      <c r="C81" s="15">
        <f t="shared" si="3"/>
        <v>2</v>
      </c>
      <c r="D81" s="15">
        <f t="shared" si="2"/>
        <v>3</v>
      </c>
      <c r="E81" s="15">
        <v>25</v>
      </c>
      <c r="F81" s="20" t="s">
        <v>49</v>
      </c>
      <c r="G81" s="16">
        <v>100</v>
      </c>
      <c r="H81" s="16">
        <v>60</v>
      </c>
      <c r="I81" s="16">
        <v>24</v>
      </c>
      <c r="J81" s="16">
        <v>60</v>
      </c>
      <c r="K81" s="16">
        <v>24</v>
      </c>
      <c r="L81" s="16">
        <v>12</v>
      </c>
      <c r="M81" s="22">
        <v>0</v>
      </c>
      <c r="N81" s="22">
        <v>0</v>
      </c>
      <c r="O81" s="22">
        <v>20</v>
      </c>
      <c r="P81" s="22">
        <v>0</v>
      </c>
      <c r="Q81" s="22">
        <v>20</v>
      </c>
      <c r="R81" s="22">
        <v>0</v>
      </c>
      <c r="S81" s="16">
        <v>0</v>
      </c>
      <c r="T81" s="15">
        <v>0</v>
      </c>
      <c r="U81" s="15">
        <v>1</v>
      </c>
      <c r="V81" s="15">
        <v>0</v>
      </c>
    </row>
    <row r="82" spans="1:22">
      <c r="A82" s="15">
        <v>103077</v>
      </c>
      <c r="B82" s="15">
        <v>220001</v>
      </c>
      <c r="C82" s="15">
        <f t="shared" si="3"/>
        <v>3</v>
      </c>
      <c r="D82" s="15">
        <f t="shared" si="2"/>
        <v>3</v>
      </c>
      <c r="E82" s="15">
        <v>0</v>
      </c>
      <c r="F82" s="20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16">
        <v>0</v>
      </c>
      <c r="T82" s="15">
        <v>220041</v>
      </c>
      <c r="U82" s="15">
        <v>0</v>
      </c>
      <c r="V82" s="15">
        <v>0</v>
      </c>
    </row>
    <row r="83" spans="1:22">
      <c r="A83" s="15">
        <v>103078</v>
      </c>
      <c r="B83" s="15">
        <v>320001</v>
      </c>
      <c r="C83" s="15">
        <f t="shared" si="3"/>
        <v>0</v>
      </c>
      <c r="D83" s="15">
        <f t="shared" si="2"/>
        <v>4</v>
      </c>
      <c r="E83" s="15">
        <v>30</v>
      </c>
      <c r="F83" s="20" t="s">
        <v>50</v>
      </c>
      <c r="G83" s="16">
        <v>5</v>
      </c>
      <c r="H83" s="16">
        <v>5</v>
      </c>
      <c r="I83" s="16">
        <v>4</v>
      </c>
      <c r="J83" s="16">
        <v>10</v>
      </c>
      <c r="K83" s="16">
        <v>4</v>
      </c>
      <c r="L83" s="16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15">
        <v>0</v>
      </c>
      <c r="U83" s="15">
        <v>0</v>
      </c>
      <c r="V83" s="15">
        <v>0</v>
      </c>
    </row>
    <row r="84" spans="1:22">
      <c r="A84" s="15">
        <v>103079</v>
      </c>
      <c r="B84" s="15">
        <v>320001</v>
      </c>
      <c r="C84" s="15">
        <f t="shared" si="3"/>
        <v>1</v>
      </c>
      <c r="D84" s="15">
        <f t="shared" si="2"/>
        <v>4</v>
      </c>
      <c r="E84" s="15">
        <v>35</v>
      </c>
      <c r="F84" s="20" t="s">
        <v>51</v>
      </c>
      <c r="G84" s="16">
        <v>30</v>
      </c>
      <c r="H84" s="16">
        <v>20</v>
      </c>
      <c r="I84" s="16">
        <v>8</v>
      </c>
      <c r="J84" s="16">
        <v>20</v>
      </c>
      <c r="K84" s="16">
        <v>8</v>
      </c>
      <c r="L84" s="16">
        <v>3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16">
        <v>131001</v>
      </c>
      <c r="T84" s="15">
        <v>0</v>
      </c>
      <c r="U84" s="15">
        <v>0</v>
      </c>
      <c r="V84" s="15">
        <v>0</v>
      </c>
    </row>
    <row r="85" spans="1:22">
      <c r="A85" s="15">
        <v>103080</v>
      </c>
      <c r="B85" s="15">
        <v>320001</v>
      </c>
      <c r="C85" s="15">
        <f t="shared" si="3"/>
        <v>2</v>
      </c>
      <c r="D85" s="15">
        <f t="shared" si="2"/>
        <v>4</v>
      </c>
      <c r="E85" s="15">
        <v>40</v>
      </c>
      <c r="F85" s="20" t="s">
        <v>52</v>
      </c>
      <c r="G85" s="16">
        <v>50</v>
      </c>
      <c r="H85" s="16">
        <v>30</v>
      </c>
      <c r="I85" s="16">
        <v>12</v>
      </c>
      <c r="J85" s="16">
        <v>30</v>
      </c>
      <c r="K85" s="16">
        <v>12</v>
      </c>
      <c r="L85" s="16">
        <v>6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16">
        <v>0</v>
      </c>
      <c r="T85" s="15">
        <v>220051</v>
      </c>
      <c r="U85" s="15">
        <v>0</v>
      </c>
      <c r="V85" s="15">
        <v>0</v>
      </c>
    </row>
    <row r="86" spans="1:22">
      <c r="A86" s="15">
        <v>103081</v>
      </c>
      <c r="B86" s="15">
        <v>320001</v>
      </c>
      <c r="C86" s="15">
        <f t="shared" si="3"/>
        <v>3</v>
      </c>
      <c r="D86" s="15">
        <f t="shared" si="2"/>
        <v>4</v>
      </c>
      <c r="E86" s="15">
        <v>45</v>
      </c>
      <c r="F86" s="20" t="s">
        <v>53</v>
      </c>
      <c r="G86" s="16">
        <v>60</v>
      </c>
      <c r="H86" s="16">
        <v>40</v>
      </c>
      <c r="I86" s="16">
        <v>16</v>
      </c>
      <c r="J86" s="16">
        <v>40</v>
      </c>
      <c r="K86" s="16">
        <v>16</v>
      </c>
      <c r="L86" s="16">
        <v>9</v>
      </c>
      <c r="M86" s="22">
        <v>120</v>
      </c>
      <c r="N86" s="22">
        <v>30</v>
      </c>
      <c r="O86" s="22">
        <v>0</v>
      </c>
      <c r="P86" s="22">
        <v>0</v>
      </c>
      <c r="Q86" s="22">
        <v>0</v>
      </c>
      <c r="R86" s="22">
        <v>0</v>
      </c>
      <c r="S86" s="16">
        <v>0</v>
      </c>
      <c r="T86" s="15">
        <v>0</v>
      </c>
      <c r="U86" s="15">
        <v>1</v>
      </c>
      <c r="V86" s="15">
        <v>0</v>
      </c>
    </row>
    <row r="87" spans="1:22">
      <c r="A87" s="15">
        <v>103082</v>
      </c>
      <c r="B87" s="15">
        <v>320001</v>
      </c>
      <c r="C87" s="15">
        <f t="shared" si="3"/>
        <v>4</v>
      </c>
      <c r="D87" s="15">
        <f t="shared" si="2"/>
        <v>4</v>
      </c>
      <c r="E87" s="15">
        <v>0</v>
      </c>
      <c r="F87" s="20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16">
        <v>0</v>
      </c>
      <c r="T87" s="15">
        <v>220061</v>
      </c>
      <c r="U87" s="15">
        <v>0</v>
      </c>
      <c r="V87" s="15">
        <v>0</v>
      </c>
    </row>
    <row r="88" s="14" customFormat="1" spans="1:22">
      <c r="A88" s="14">
        <v>103083</v>
      </c>
      <c r="B88" s="14">
        <v>120002</v>
      </c>
      <c r="C88" s="14">
        <f t="shared" si="3"/>
        <v>0</v>
      </c>
      <c r="D88" s="14">
        <f t="shared" si="2"/>
        <v>2</v>
      </c>
      <c r="E88" s="15">
        <v>5</v>
      </c>
      <c r="F88" s="20" t="s">
        <v>45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4">
        <v>0</v>
      </c>
      <c r="T88" s="14">
        <v>0</v>
      </c>
      <c r="U88" s="14">
        <v>0</v>
      </c>
      <c r="V88" s="14">
        <v>0</v>
      </c>
    </row>
    <row r="89" s="14" customFormat="1" spans="1:22">
      <c r="A89" s="14">
        <v>103084</v>
      </c>
      <c r="B89" s="14">
        <v>120002</v>
      </c>
      <c r="C89" s="14">
        <f t="shared" si="3"/>
        <v>1</v>
      </c>
      <c r="D89" s="14">
        <f t="shared" si="2"/>
        <v>2</v>
      </c>
      <c r="E89" s="15">
        <v>10</v>
      </c>
      <c r="F89" s="20" t="s">
        <v>46</v>
      </c>
      <c r="G89" s="24">
        <v>30</v>
      </c>
      <c r="H89" s="24">
        <v>20</v>
      </c>
      <c r="I89" s="24">
        <v>8</v>
      </c>
      <c r="J89" s="24">
        <v>20</v>
      </c>
      <c r="K89" s="24">
        <v>8</v>
      </c>
      <c r="L89" s="24">
        <v>3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4">
        <v>0</v>
      </c>
      <c r="T89" s="14">
        <v>0</v>
      </c>
      <c r="U89" s="14">
        <v>1</v>
      </c>
      <c r="V89" s="14">
        <v>0</v>
      </c>
    </row>
    <row r="90" s="14" customFormat="1" spans="1:22">
      <c r="A90" s="14">
        <v>103085</v>
      </c>
      <c r="B90" s="14">
        <v>120002</v>
      </c>
      <c r="C90" s="14">
        <f t="shared" si="3"/>
        <v>2</v>
      </c>
      <c r="D90" s="14">
        <f t="shared" si="2"/>
        <v>2</v>
      </c>
      <c r="E90" s="15">
        <v>0</v>
      </c>
      <c r="F90" s="20">
        <v>0</v>
      </c>
      <c r="G90" s="24">
        <v>50</v>
      </c>
      <c r="H90" s="24">
        <v>30</v>
      </c>
      <c r="I90" s="24">
        <v>12</v>
      </c>
      <c r="J90" s="24">
        <v>30</v>
      </c>
      <c r="K90" s="24">
        <v>12</v>
      </c>
      <c r="L90" s="24">
        <v>6</v>
      </c>
      <c r="M90" s="22">
        <v>0</v>
      </c>
      <c r="N90" s="22">
        <v>0</v>
      </c>
      <c r="O90" s="22">
        <v>15</v>
      </c>
      <c r="P90" s="22">
        <v>0</v>
      </c>
      <c r="Q90" s="22">
        <v>15</v>
      </c>
      <c r="R90" s="22">
        <v>0</v>
      </c>
      <c r="S90" s="24">
        <v>0</v>
      </c>
      <c r="T90" s="14">
        <v>220081</v>
      </c>
      <c r="U90" s="14">
        <v>0</v>
      </c>
      <c r="V90" s="14">
        <v>0</v>
      </c>
    </row>
    <row r="91" s="14" customFormat="1" spans="1:22">
      <c r="A91" s="14">
        <v>103086</v>
      </c>
      <c r="B91" s="14">
        <v>220002</v>
      </c>
      <c r="C91" s="14">
        <f t="shared" si="3"/>
        <v>0</v>
      </c>
      <c r="D91" s="14">
        <f t="shared" si="2"/>
        <v>3</v>
      </c>
      <c r="E91" s="15">
        <v>15</v>
      </c>
      <c r="F91" s="20" t="s">
        <v>47</v>
      </c>
      <c r="G91" s="24">
        <v>60</v>
      </c>
      <c r="H91" s="24">
        <v>40</v>
      </c>
      <c r="I91" s="24">
        <v>16</v>
      </c>
      <c r="J91" s="24">
        <v>40</v>
      </c>
      <c r="K91" s="24">
        <v>16</v>
      </c>
      <c r="L91" s="24">
        <v>9</v>
      </c>
      <c r="M91" s="22">
        <v>0</v>
      </c>
      <c r="N91" s="22">
        <v>0</v>
      </c>
      <c r="O91" s="22">
        <v>0</v>
      </c>
      <c r="P91" s="22">
        <v>0</v>
      </c>
      <c r="Q91" s="22">
        <v>0</v>
      </c>
      <c r="R91" s="22">
        <v>0</v>
      </c>
      <c r="S91" s="24">
        <v>221001</v>
      </c>
      <c r="T91" s="14">
        <v>0</v>
      </c>
      <c r="U91" s="14">
        <v>0</v>
      </c>
      <c r="V91" s="14">
        <v>0</v>
      </c>
    </row>
    <row r="92" s="14" customFormat="1" spans="1:22">
      <c r="A92" s="14">
        <v>103087</v>
      </c>
      <c r="B92" s="14">
        <v>220002</v>
      </c>
      <c r="C92" s="14">
        <f t="shared" si="3"/>
        <v>1</v>
      </c>
      <c r="D92" s="14">
        <f t="shared" si="2"/>
        <v>3</v>
      </c>
      <c r="E92" s="15">
        <v>20</v>
      </c>
      <c r="F92" s="20" t="s">
        <v>48</v>
      </c>
      <c r="G92" s="24">
        <v>80</v>
      </c>
      <c r="H92" s="24">
        <v>50</v>
      </c>
      <c r="I92" s="24">
        <v>20</v>
      </c>
      <c r="J92" s="24">
        <v>50</v>
      </c>
      <c r="K92" s="24">
        <v>20</v>
      </c>
      <c r="L92" s="24">
        <v>12</v>
      </c>
      <c r="M92" s="22">
        <v>0</v>
      </c>
      <c r="N92" s="22">
        <v>0</v>
      </c>
      <c r="O92" s="22">
        <v>0</v>
      </c>
      <c r="P92" s="22">
        <v>0</v>
      </c>
      <c r="Q92" s="22">
        <v>0</v>
      </c>
      <c r="R92" s="22">
        <v>0</v>
      </c>
      <c r="S92" s="24">
        <v>0</v>
      </c>
      <c r="T92" s="14">
        <v>220091</v>
      </c>
      <c r="U92" s="14">
        <v>0</v>
      </c>
      <c r="V92" s="14">
        <v>0</v>
      </c>
    </row>
    <row r="93" s="14" customFormat="1" spans="1:22">
      <c r="A93" s="14">
        <v>103088</v>
      </c>
      <c r="B93" s="14">
        <v>220002</v>
      </c>
      <c r="C93" s="14">
        <f t="shared" si="3"/>
        <v>2</v>
      </c>
      <c r="D93" s="14">
        <f t="shared" si="2"/>
        <v>3</v>
      </c>
      <c r="E93" s="15">
        <v>25</v>
      </c>
      <c r="F93" s="20" t="s">
        <v>49</v>
      </c>
      <c r="G93" s="24">
        <v>100</v>
      </c>
      <c r="H93" s="24">
        <v>60</v>
      </c>
      <c r="I93" s="24">
        <v>24</v>
      </c>
      <c r="J93" s="24">
        <v>60</v>
      </c>
      <c r="K93" s="24">
        <v>24</v>
      </c>
      <c r="L93" s="24">
        <v>12</v>
      </c>
      <c r="M93" s="22">
        <v>0</v>
      </c>
      <c r="N93" s="22">
        <v>0</v>
      </c>
      <c r="O93" s="22">
        <v>20</v>
      </c>
      <c r="P93" s="22">
        <v>0</v>
      </c>
      <c r="Q93" s="22">
        <v>20</v>
      </c>
      <c r="R93" s="22">
        <v>0</v>
      </c>
      <c r="S93" s="24">
        <v>0</v>
      </c>
      <c r="T93" s="14">
        <v>0</v>
      </c>
      <c r="U93" s="14">
        <v>1</v>
      </c>
      <c r="V93" s="14">
        <v>0</v>
      </c>
    </row>
    <row r="94" s="14" customFormat="1" spans="1:22">
      <c r="A94" s="14">
        <v>103089</v>
      </c>
      <c r="B94" s="14">
        <v>220002</v>
      </c>
      <c r="C94" s="14">
        <f t="shared" si="3"/>
        <v>3</v>
      </c>
      <c r="D94" s="14">
        <f t="shared" si="2"/>
        <v>3</v>
      </c>
      <c r="E94" s="15">
        <v>0</v>
      </c>
      <c r="F94" s="20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2">
        <v>0</v>
      </c>
      <c r="N94" s="22">
        <v>0</v>
      </c>
      <c r="O94" s="22">
        <v>0</v>
      </c>
      <c r="P94" s="22">
        <v>0</v>
      </c>
      <c r="Q94" s="22">
        <v>0</v>
      </c>
      <c r="R94" s="22">
        <v>0</v>
      </c>
      <c r="S94" s="24">
        <v>231001</v>
      </c>
      <c r="T94" s="14">
        <v>0</v>
      </c>
      <c r="U94" s="14">
        <v>0</v>
      </c>
      <c r="V94" s="14">
        <v>0</v>
      </c>
    </row>
    <row r="95" s="14" customFormat="1" spans="1:22">
      <c r="A95" s="14">
        <v>103090</v>
      </c>
      <c r="B95" s="14">
        <v>320002</v>
      </c>
      <c r="C95" s="14">
        <f t="shared" si="3"/>
        <v>0</v>
      </c>
      <c r="D95" s="14">
        <f t="shared" si="2"/>
        <v>4</v>
      </c>
      <c r="E95" s="15">
        <v>30</v>
      </c>
      <c r="F95" s="20" t="s">
        <v>50</v>
      </c>
      <c r="G95" s="24">
        <v>5</v>
      </c>
      <c r="H95" s="24">
        <v>5</v>
      </c>
      <c r="I95" s="24">
        <v>4</v>
      </c>
      <c r="J95" s="24">
        <v>10</v>
      </c>
      <c r="K95" s="24">
        <v>4</v>
      </c>
      <c r="L95" s="24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4">
        <v>0</v>
      </c>
      <c r="T95" s="14">
        <v>220101</v>
      </c>
      <c r="U95" s="14">
        <v>0</v>
      </c>
      <c r="V95" s="14">
        <v>0</v>
      </c>
    </row>
    <row r="96" s="14" customFormat="1" spans="1:22">
      <c r="A96" s="14">
        <v>103091</v>
      </c>
      <c r="B96" s="14">
        <v>320002</v>
      </c>
      <c r="C96" s="14">
        <f t="shared" si="3"/>
        <v>1</v>
      </c>
      <c r="D96" s="14">
        <f t="shared" si="2"/>
        <v>4</v>
      </c>
      <c r="E96" s="15">
        <v>35</v>
      </c>
      <c r="F96" s="20" t="s">
        <v>51</v>
      </c>
      <c r="G96" s="24">
        <v>30</v>
      </c>
      <c r="H96" s="24">
        <v>20</v>
      </c>
      <c r="I96" s="24">
        <v>8</v>
      </c>
      <c r="J96" s="24">
        <v>20</v>
      </c>
      <c r="K96" s="24">
        <v>8</v>
      </c>
      <c r="L96" s="24">
        <v>3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4">
        <v>0</v>
      </c>
      <c r="T96" s="14">
        <v>220111</v>
      </c>
      <c r="U96" s="14">
        <v>0</v>
      </c>
      <c r="V96" s="14">
        <v>0</v>
      </c>
    </row>
    <row r="97" s="14" customFormat="1" spans="1:22">
      <c r="A97" s="14">
        <v>103092</v>
      </c>
      <c r="B97" s="14">
        <v>320002</v>
      </c>
      <c r="C97" s="14">
        <f t="shared" si="3"/>
        <v>2</v>
      </c>
      <c r="D97" s="14">
        <f t="shared" si="2"/>
        <v>4</v>
      </c>
      <c r="E97" s="15">
        <v>40</v>
      </c>
      <c r="F97" s="20" t="s">
        <v>52</v>
      </c>
      <c r="G97" s="24">
        <v>50</v>
      </c>
      <c r="H97" s="24">
        <v>30</v>
      </c>
      <c r="I97" s="24">
        <v>12</v>
      </c>
      <c r="J97" s="24">
        <v>30</v>
      </c>
      <c r="K97" s="24">
        <v>12</v>
      </c>
      <c r="L97" s="24">
        <v>6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4">
        <v>231002</v>
      </c>
      <c r="T97" s="14">
        <v>0</v>
      </c>
      <c r="U97" s="14">
        <v>0</v>
      </c>
      <c r="V97" s="14">
        <v>0</v>
      </c>
    </row>
    <row r="98" s="14" customFormat="1" spans="1:22">
      <c r="A98" s="14">
        <v>103093</v>
      </c>
      <c r="B98" s="14">
        <v>320002</v>
      </c>
      <c r="C98" s="14">
        <f t="shared" si="3"/>
        <v>3</v>
      </c>
      <c r="D98" s="14">
        <f t="shared" si="2"/>
        <v>4</v>
      </c>
      <c r="E98" s="15">
        <v>45</v>
      </c>
      <c r="F98" s="20" t="s">
        <v>53</v>
      </c>
      <c r="G98" s="24">
        <v>60</v>
      </c>
      <c r="H98" s="24">
        <v>40</v>
      </c>
      <c r="I98" s="24">
        <v>16</v>
      </c>
      <c r="J98" s="24">
        <v>40</v>
      </c>
      <c r="K98" s="24">
        <v>16</v>
      </c>
      <c r="L98" s="24">
        <v>9</v>
      </c>
      <c r="M98" s="22">
        <v>120</v>
      </c>
      <c r="N98" s="22">
        <v>30</v>
      </c>
      <c r="O98" s="22">
        <v>0</v>
      </c>
      <c r="P98" s="22">
        <v>0</v>
      </c>
      <c r="Q98" s="22">
        <v>0</v>
      </c>
      <c r="R98" s="22">
        <v>0</v>
      </c>
      <c r="S98" s="24">
        <v>0</v>
      </c>
      <c r="T98" s="14">
        <v>0</v>
      </c>
      <c r="U98" s="14">
        <v>1</v>
      </c>
      <c r="V98" s="14">
        <v>0</v>
      </c>
    </row>
    <row r="99" s="14" customFormat="1" spans="1:22">
      <c r="A99" s="14">
        <v>103094</v>
      </c>
      <c r="B99" s="14">
        <v>320002</v>
      </c>
      <c r="C99" s="14">
        <f t="shared" si="3"/>
        <v>4</v>
      </c>
      <c r="D99" s="14">
        <f t="shared" si="2"/>
        <v>4</v>
      </c>
      <c r="E99" s="14">
        <v>0</v>
      </c>
      <c r="F99" s="20">
        <v>0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4">
        <v>0</v>
      </c>
      <c r="T99" s="14">
        <v>220121</v>
      </c>
      <c r="U99" s="14">
        <v>0</v>
      </c>
      <c r="V99" s="14">
        <v>0</v>
      </c>
    </row>
    <row r="100" spans="1:22">
      <c r="A100" s="15">
        <v>103095</v>
      </c>
      <c r="B100" s="15">
        <v>120003</v>
      </c>
      <c r="C100" s="15">
        <f t="shared" si="3"/>
        <v>0</v>
      </c>
      <c r="D100" s="15">
        <f t="shared" si="2"/>
        <v>2</v>
      </c>
      <c r="E100" s="15">
        <v>5</v>
      </c>
      <c r="F100" s="20" t="s">
        <v>45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15">
        <v>0</v>
      </c>
      <c r="U100" s="15">
        <v>0</v>
      </c>
      <c r="V100" s="15">
        <v>0</v>
      </c>
    </row>
    <row r="101" spans="1:22">
      <c r="A101" s="15">
        <v>103096</v>
      </c>
      <c r="B101" s="15">
        <v>120003</v>
      </c>
      <c r="C101" s="15">
        <f t="shared" si="3"/>
        <v>1</v>
      </c>
      <c r="D101" s="15">
        <f t="shared" si="2"/>
        <v>2</v>
      </c>
      <c r="E101" s="15">
        <v>10</v>
      </c>
      <c r="F101" s="20" t="s">
        <v>46</v>
      </c>
      <c r="G101" s="16">
        <v>30</v>
      </c>
      <c r="H101" s="16">
        <v>20</v>
      </c>
      <c r="I101" s="16">
        <v>8</v>
      </c>
      <c r="J101" s="16">
        <v>20</v>
      </c>
      <c r="K101" s="16">
        <v>8</v>
      </c>
      <c r="L101" s="16">
        <v>3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16">
        <v>0</v>
      </c>
      <c r="T101" s="15">
        <v>0</v>
      </c>
      <c r="U101" s="15">
        <v>1</v>
      </c>
      <c r="V101" s="15">
        <v>0</v>
      </c>
    </row>
    <row r="102" spans="1:22">
      <c r="A102" s="15">
        <v>103097</v>
      </c>
      <c r="B102" s="15">
        <v>120003</v>
      </c>
      <c r="C102" s="15">
        <f t="shared" si="3"/>
        <v>2</v>
      </c>
      <c r="D102" s="15">
        <f t="shared" si="2"/>
        <v>2</v>
      </c>
      <c r="E102" s="15">
        <v>0</v>
      </c>
      <c r="F102" s="20">
        <v>0</v>
      </c>
      <c r="G102" s="16">
        <v>50</v>
      </c>
      <c r="H102" s="16">
        <v>30</v>
      </c>
      <c r="I102" s="16">
        <v>12</v>
      </c>
      <c r="J102" s="16">
        <v>30</v>
      </c>
      <c r="K102" s="16">
        <v>12</v>
      </c>
      <c r="L102" s="16">
        <v>6</v>
      </c>
      <c r="M102" s="22">
        <v>0</v>
      </c>
      <c r="N102" s="22">
        <v>0</v>
      </c>
      <c r="O102" s="22">
        <v>15</v>
      </c>
      <c r="P102" s="22">
        <v>0</v>
      </c>
      <c r="Q102" s="22">
        <v>15</v>
      </c>
      <c r="R102" s="22">
        <v>0</v>
      </c>
      <c r="S102" s="16">
        <v>0</v>
      </c>
      <c r="T102" s="15">
        <v>220141</v>
      </c>
      <c r="U102" s="15">
        <v>0</v>
      </c>
      <c r="V102" s="15">
        <v>0</v>
      </c>
    </row>
    <row r="103" spans="1:22">
      <c r="A103" s="15">
        <v>103098</v>
      </c>
      <c r="B103" s="15">
        <v>220003</v>
      </c>
      <c r="C103" s="15">
        <f t="shared" si="3"/>
        <v>0</v>
      </c>
      <c r="D103" s="15">
        <f t="shared" si="2"/>
        <v>3</v>
      </c>
      <c r="E103" s="15">
        <v>15</v>
      </c>
      <c r="F103" s="20" t="s">
        <v>47</v>
      </c>
      <c r="G103" s="16">
        <v>60</v>
      </c>
      <c r="H103" s="16">
        <v>40</v>
      </c>
      <c r="I103" s="16">
        <v>16</v>
      </c>
      <c r="J103" s="16">
        <v>40</v>
      </c>
      <c r="K103" s="16">
        <v>16</v>
      </c>
      <c r="L103" s="16">
        <v>9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321001</v>
      </c>
      <c r="T103" s="15">
        <v>0</v>
      </c>
      <c r="U103" s="15">
        <v>0</v>
      </c>
      <c r="V103" s="15">
        <v>0</v>
      </c>
    </row>
    <row r="104" spans="1:22">
      <c r="A104" s="15">
        <v>103099</v>
      </c>
      <c r="B104" s="15">
        <v>220003</v>
      </c>
      <c r="C104" s="15">
        <f t="shared" si="3"/>
        <v>1</v>
      </c>
      <c r="D104" s="15">
        <f t="shared" si="2"/>
        <v>3</v>
      </c>
      <c r="E104" s="15">
        <v>20</v>
      </c>
      <c r="F104" s="20" t="s">
        <v>48</v>
      </c>
      <c r="G104" s="16">
        <v>80</v>
      </c>
      <c r="H104" s="16">
        <v>50</v>
      </c>
      <c r="I104" s="16">
        <v>20</v>
      </c>
      <c r="J104" s="16">
        <v>50</v>
      </c>
      <c r="K104" s="16">
        <v>20</v>
      </c>
      <c r="L104" s="16">
        <v>12</v>
      </c>
      <c r="M104" s="22">
        <v>0</v>
      </c>
      <c r="N104" s="22">
        <v>0</v>
      </c>
      <c r="O104" s="22">
        <v>0</v>
      </c>
      <c r="P104" s="22">
        <v>0</v>
      </c>
      <c r="Q104" s="22">
        <v>0</v>
      </c>
      <c r="R104" s="22">
        <v>0</v>
      </c>
      <c r="S104" s="16">
        <v>0</v>
      </c>
      <c r="T104" s="15">
        <v>220151</v>
      </c>
      <c r="U104" s="15">
        <v>0</v>
      </c>
      <c r="V104" s="15">
        <v>0</v>
      </c>
    </row>
    <row r="105" spans="1:22">
      <c r="A105" s="15">
        <v>103100</v>
      </c>
      <c r="B105" s="15">
        <v>220003</v>
      </c>
      <c r="C105" s="15">
        <f t="shared" si="3"/>
        <v>2</v>
      </c>
      <c r="D105" s="15">
        <f t="shared" si="2"/>
        <v>3</v>
      </c>
      <c r="E105" s="15">
        <v>25</v>
      </c>
      <c r="F105" s="20" t="s">
        <v>49</v>
      </c>
      <c r="G105" s="16">
        <v>100</v>
      </c>
      <c r="H105" s="16">
        <v>60</v>
      </c>
      <c r="I105" s="16">
        <v>24</v>
      </c>
      <c r="J105" s="16">
        <v>60</v>
      </c>
      <c r="K105" s="16">
        <v>24</v>
      </c>
      <c r="L105" s="16">
        <v>12</v>
      </c>
      <c r="M105" s="22">
        <v>0</v>
      </c>
      <c r="N105" s="22">
        <v>0</v>
      </c>
      <c r="O105" s="22">
        <v>20</v>
      </c>
      <c r="P105" s="22">
        <v>0</v>
      </c>
      <c r="Q105" s="22">
        <v>20</v>
      </c>
      <c r="R105" s="22">
        <v>0</v>
      </c>
      <c r="S105" s="16">
        <v>0</v>
      </c>
      <c r="T105" s="15">
        <v>0</v>
      </c>
      <c r="U105" s="15">
        <v>1</v>
      </c>
      <c r="V105" s="15">
        <v>0</v>
      </c>
    </row>
    <row r="106" spans="1:22">
      <c r="A106" s="15">
        <v>103101</v>
      </c>
      <c r="B106" s="15">
        <v>220003</v>
      </c>
      <c r="C106" s="15">
        <f t="shared" si="3"/>
        <v>3</v>
      </c>
      <c r="D106" s="15">
        <f t="shared" si="2"/>
        <v>3</v>
      </c>
      <c r="E106" s="15">
        <v>0</v>
      </c>
      <c r="F106" s="20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16">
        <v>331001</v>
      </c>
      <c r="T106" s="15">
        <v>0</v>
      </c>
      <c r="U106" s="15">
        <v>0</v>
      </c>
      <c r="V106" s="15">
        <v>0</v>
      </c>
    </row>
    <row r="107" spans="1:22">
      <c r="A107" s="15">
        <v>103102</v>
      </c>
      <c r="B107" s="15">
        <v>320003</v>
      </c>
      <c r="C107" s="15">
        <f t="shared" si="3"/>
        <v>0</v>
      </c>
      <c r="D107" s="15">
        <f t="shared" si="2"/>
        <v>4</v>
      </c>
      <c r="E107" s="15">
        <v>30</v>
      </c>
      <c r="F107" s="20" t="s">
        <v>50</v>
      </c>
      <c r="G107" s="16">
        <v>5</v>
      </c>
      <c r="H107" s="16">
        <v>5</v>
      </c>
      <c r="I107" s="16">
        <v>4</v>
      </c>
      <c r="J107" s="16">
        <v>10</v>
      </c>
      <c r="K107" s="16">
        <v>4</v>
      </c>
      <c r="L107" s="16">
        <v>0</v>
      </c>
      <c r="M107" s="22">
        <v>0</v>
      </c>
      <c r="N107" s="22">
        <v>0</v>
      </c>
      <c r="O107" s="22">
        <v>0</v>
      </c>
      <c r="P107" s="22">
        <v>0</v>
      </c>
      <c r="Q107" s="22">
        <v>0</v>
      </c>
      <c r="R107" s="22">
        <v>0</v>
      </c>
      <c r="S107" s="22">
        <v>0</v>
      </c>
      <c r="T107" s="15">
        <v>220161</v>
      </c>
      <c r="U107" s="15">
        <v>0</v>
      </c>
      <c r="V107" s="15">
        <v>0</v>
      </c>
    </row>
    <row r="108" spans="1:22">
      <c r="A108" s="15">
        <v>103103</v>
      </c>
      <c r="B108" s="15">
        <v>320003</v>
      </c>
      <c r="C108" s="15">
        <f t="shared" si="3"/>
        <v>1</v>
      </c>
      <c r="D108" s="15">
        <f t="shared" si="2"/>
        <v>4</v>
      </c>
      <c r="E108" s="15">
        <v>35</v>
      </c>
      <c r="F108" s="20" t="s">
        <v>51</v>
      </c>
      <c r="G108" s="16">
        <v>30</v>
      </c>
      <c r="H108" s="16">
        <v>20</v>
      </c>
      <c r="I108" s="16">
        <v>8</v>
      </c>
      <c r="J108" s="16">
        <v>20</v>
      </c>
      <c r="K108" s="16">
        <v>8</v>
      </c>
      <c r="L108" s="16">
        <v>3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16">
        <v>0</v>
      </c>
      <c r="T108" s="15">
        <v>220171</v>
      </c>
      <c r="U108" s="15">
        <v>0</v>
      </c>
      <c r="V108" s="15">
        <v>0</v>
      </c>
    </row>
    <row r="109" spans="1:22">
      <c r="A109" s="15">
        <v>103104</v>
      </c>
      <c r="B109" s="15">
        <v>320003</v>
      </c>
      <c r="C109" s="15">
        <f t="shared" si="3"/>
        <v>2</v>
      </c>
      <c r="D109" s="15">
        <f t="shared" si="2"/>
        <v>4</v>
      </c>
      <c r="E109" s="15">
        <v>40</v>
      </c>
      <c r="F109" s="20" t="s">
        <v>52</v>
      </c>
      <c r="G109" s="16">
        <v>50</v>
      </c>
      <c r="H109" s="16">
        <v>30</v>
      </c>
      <c r="I109" s="16">
        <v>12</v>
      </c>
      <c r="J109" s="16">
        <v>30</v>
      </c>
      <c r="K109" s="16">
        <v>12</v>
      </c>
      <c r="L109" s="16">
        <v>6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16">
        <v>331002</v>
      </c>
      <c r="T109" s="15">
        <v>0</v>
      </c>
      <c r="U109" s="15">
        <v>0</v>
      </c>
      <c r="V109" s="15">
        <v>0</v>
      </c>
    </row>
    <row r="110" spans="1:22">
      <c r="A110" s="15">
        <v>103105</v>
      </c>
      <c r="B110" s="15">
        <v>320003</v>
      </c>
      <c r="C110" s="15">
        <f t="shared" si="3"/>
        <v>3</v>
      </c>
      <c r="D110" s="15">
        <f t="shared" ref="D110:D173" si="4">LEFT(B110,1)+1</f>
        <v>4</v>
      </c>
      <c r="E110" s="15">
        <v>45</v>
      </c>
      <c r="F110" s="20" t="s">
        <v>53</v>
      </c>
      <c r="G110" s="16">
        <v>60</v>
      </c>
      <c r="H110" s="16">
        <v>40</v>
      </c>
      <c r="I110" s="16">
        <v>16</v>
      </c>
      <c r="J110" s="16">
        <v>40</v>
      </c>
      <c r="K110" s="16">
        <v>16</v>
      </c>
      <c r="L110" s="16">
        <v>9</v>
      </c>
      <c r="M110" s="22">
        <v>120</v>
      </c>
      <c r="N110" s="22">
        <v>30</v>
      </c>
      <c r="O110" s="22">
        <v>0</v>
      </c>
      <c r="P110" s="22">
        <v>0</v>
      </c>
      <c r="Q110" s="22">
        <v>0</v>
      </c>
      <c r="R110" s="22">
        <v>0</v>
      </c>
      <c r="S110" s="16">
        <v>0</v>
      </c>
      <c r="T110" s="15">
        <v>0</v>
      </c>
      <c r="U110" s="15">
        <v>1</v>
      </c>
      <c r="V110" s="15">
        <v>0</v>
      </c>
    </row>
    <row r="111" spans="1:22">
      <c r="A111" s="15">
        <v>103106</v>
      </c>
      <c r="B111" s="15">
        <v>320003</v>
      </c>
      <c r="C111" s="15">
        <f t="shared" ref="C111:C174" si="5">IF(LEFT(B110,1)=LEFT(B111,1),(C110+1),0)</f>
        <v>4</v>
      </c>
      <c r="D111" s="15">
        <f t="shared" si="4"/>
        <v>4</v>
      </c>
      <c r="E111" s="15">
        <v>0</v>
      </c>
      <c r="F111" s="20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16">
        <v>0</v>
      </c>
      <c r="T111" s="15">
        <v>220181</v>
      </c>
      <c r="U111" s="15">
        <v>0</v>
      </c>
      <c r="V111" s="15">
        <v>0</v>
      </c>
    </row>
    <row r="112" spans="1:22">
      <c r="A112" s="15">
        <v>103107</v>
      </c>
      <c r="B112" s="15">
        <v>120004</v>
      </c>
      <c r="C112" s="15">
        <f t="shared" si="5"/>
        <v>0</v>
      </c>
      <c r="D112" s="15">
        <f t="shared" si="4"/>
        <v>2</v>
      </c>
      <c r="E112" s="15">
        <v>5</v>
      </c>
      <c r="F112" s="20" t="s">
        <v>45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15">
        <v>0</v>
      </c>
      <c r="U112" s="15">
        <v>0</v>
      </c>
      <c r="V112" s="15">
        <v>0</v>
      </c>
    </row>
    <row r="113" spans="1:22">
      <c r="A113" s="15">
        <v>103108</v>
      </c>
      <c r="B113" s="15">
        <v>120004</v>
      </c>
      <c r="C113" s="15">
        <f t="shared" si="5"/>
        <v>1</v>
      </c>
      <c r="D113" s="15">
        <f t="shared" si="4"/>
        <v>2</v>
      </c>
      <c r="E113" s="15">
        <v>10</v>
      </c>
      <c r="F113" s="20" t="s">
        <v>46</v>
      </c>
      <c r="G113" s="16">
        <v>30</v>
      </c>
      <c r="H113" s="16">
        <v>20</v>
      </c>
      <c r="I113" s="16">
        <v>8</v>
      </c>
      <c r="J113" s="16">
        <v>20</v>
      </c>
      <c r="K113" s="16">
        <v>8</v>
      </c>
      <c r="L113" s="16">
        <v>3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16">
        <v>0</v>
      </c>
      <c r="T113" s="15">
        <v>0</v>
      </c>
      <c r="U113" s="15">
        <v>1</v>
      </c>
      <c r="V113" s="15">
        <v>0</v>
      </c>
    </row>
    <row r="114" spans="1:22">
      <c r="A114" s="15">
        <v>103109</v>
      </c>
      <c r="B114" s="15">
        <v>120004</v>
      </c>
      <c r="C114" s="15">
        <f t="shared" si="5"/>
        <v>2</v>
      </c>
      <c r="D114" s="15">
        <f t="shared" si="4"/>
        <v>2</v>
      </c>
      <c r="E114" s="15">
        <v>0</v>
      </c>
      <c r="F114" s="20">
        <v>0</v>
      </c>
      <c r="G114" s="16">
        <v>50</v>
      </c>
      <c r="H114" s="16">
        <v>30</v>
      </c>
      <c r="I114" s="16">
        <v>12</v>
      </c>
      <c r="J114" s="16">
        <v>30</v>
      </c>
      <c r="K114" s="16">
        <v>12</v>
      </c>
      <c r="L114" s="16">
        <v>6</v>
      </c>
      <c r="M114" s="22">
        <v>0</v>
      </c>
      <c r="N114" s="22">
        <v>0</v>
      </c>
      <c r="O114" s="22">
        <v>15</v>
      </c>
      <c r="P114" s="22">
        <v>0</v>
      </c>
      <c r="Q114" s="22">
        <v>15</v>
      </c>
      <c r="R114" s="22">
        <v>0</v>
      </c>
      <c r="S114" s="16">
        <v>0</v>
      </c>
      <c r="T114" s="15">
        <v>220201</v>
      </c>
      <c r="U114" s="15">
        <v>0</v>
      </c>
      <c r="V114" s="15">
        <v>0</v>
      </c>
    </row>
    <row r="115" spans="1:22">
      <c r="A115" s="15">
        <v>103110</v>
      </c>
      <c r="B115" s="15">
        <v>220004</v>
      </c>
      <c r="C115" s="15">
        <f t="shared" si="5"/>
        <v>0</v>
      </c>
      <c r="D115" s="15">
        <f t="shared" si="4"/>
        <v>3</v>
      </c>
      <c r="E115" s="15">
        <v>15</v>
      </c>
      <c r="F115" s="20" t="s">
        <v>47</v>
      </c>
      <c r="G115" s="16">
        <v>60</v>
      </c>
      <c r="H115" s="16">
        <v>40</v>
      </c>
      <c r="I115" s="16">
        <v>16</v>
      </c>
      <c r="J115" s="16">
        <v>40</v>
      </c>
      <c r="K115" s="16">
        <v>16</v>
      </c>
      <c r="L115" s="16">
        <v>9</v>
      </c>
      <c r="M115" s="22">
        <v>0</v>
      </c>
      <c r="N115" s="22">
        <v>0</v>
      </c>
      <c r="O115" s="22">
        <v>0</v>
      </c>
      <c r="P115" s="22">
        <v>0</v>
      </c>
      <c r="Q115" s="22">
        <v>0</v>
      </c>
      <c r="R115" s="22">
        <v>0</v>
      </c>
      <c r="S115" s="22">
        <v>421001</v>
      </c>
      <c r="T115" s="15">
        <v>0</v>
      </c>
      <c r="U115" s="15">
        <v>0</v>
      </c>
      <c r="V115" s="15">
        <v>0</v>
      </c>
    </row>
    <row r="116" spans="1:22">
      <c r="A116" s="15">
        <v>103111</v>
      </c>
      <c r="B116" s="15">
        <v>220004</v>
      </c>
      <c r="C116" s="15">
        <f t="shared" si="5"/>
        <v>1</v>
      </c>
      <c r="D116" s="15">
        <f t="shared" si="4"/>
        <v>3</v>
      </c>
      <c r="E116" s="15">
        <v>20</v>
      </c>
      <c r="F116" s="20" t="s">
        <v>48</v>
      </c>
      <c r="G116" s="16">
        <v>80</v>
      </c>
      <c r="H116" s="16">
        <v>50</v>
      </c>
      <c r="I116" s="16">
        <v>20</v>
      </c>
      <c r="J116" s="16">
        <v>50</v>
      </c>
      <c r="K116" s="16">
        <v>20</v>
      </c>
      <c r="L116" s="16">
        <v>12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16">
        <v>0</v>
      </c>
      <c r="T116" s="15">
        <v>220211</v>
      </c>
      <c r="U116" s="15">
        <v>0</v>
      </c>
      <c r="V116" s="15">
        <v>0</v>
      </c>
    </row>
    <row r="117" spans="1:22">
      <c r="A117" s="15">
        <v>103112</v>
      </c>
      <c r="B117" s="15">
        <v>220004</v>
      </c>
      <c r="C117" s="15">
        <f t="shared" si="5"/>
        <v>2</v>
      </c>
      <c r="D117" s="15">
        <f t="shared" si="4"/>
        <v>3</v>
      </c>
      <c r="E117" s="15">
        <v>25</v>
      </c>
      <c r="F117" s="20" t="s">
        <v>49</v>
      </c>
      <c r="G117" s="16">
        <v>100</v>
      </c>
      <c r="H117" s="16">
        <v>60</v>
      </c>
      <c r="I117" s="16">
        <v>24</v>
      </c>
      <c r="J117" s="16">
        <v>60</v>
      </c>
      <c r="K117" s="16">
        <v>24</v>
      </c>
      <c r="L117" s="16">
        <v>12</v>
      </c>
      <c r="M117" s="22">
        <v>0</v>
      </c>
      <c r="N117" s="22">
        <v>0</v>
      </c>
      <c r="O117" s="22">
        <v>20</v>
      </c>
      <c r="P117" s="22">
        <v>0</v>
      </c>
      <c r="Q117" s="22">
        <v>20</v>
      </c>
      <c r="R117" s="22">
        <v>0</v>
      </c>
      <c r="S117" s="16">
        <v>0</v>
      </c>
      <c r="T117" s="15">
        <v>0</v>
      </c>
      <c r="U117" s="15">
        <v>1</v>
      </c>
      <c r="V117" s="15">
        <v>0</v>
      </c>
    </row>
    <row r="118" spans="1:22">
      <c r="A118" s="15">
        <v>103113</v>
      </c>
      <c r="B118" s="15">
        <v>220004</v>
      </c>
      <c r="C118" s="15">
        <f t="shared" si="5"/>
        <v>3</v>
      </c>
      <c r="D118" s="15">
        <f t="shared" si="4"/>
        <v>3</v>
      </c>
      <c r="E118" s="15">
        <v>0</v>
      </c>
      <c r="F118" s="20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16">
        <v>431001</v>
      </c>
      <c r="T118" s="15">
        <v>0</v>
      </c>
      <c r="U118" s="15">
        <v>0</v>
      </c>
      <c r="V118" s="15">
        <v>0</v>
      </c>
    </row>
    <row r="119" spans="1:22">
      <c r="A119" s="15">
        <v>103114</v>
      </c>
      <c r="B119" s="15">
        <v>320004</v>
      </c>
      <c r="C119" s="15">
        <f t="shared" si="5"/>
        <v>0</v>
      </c>
      <c r="D119" s="15">
        <f t="shared" si="4"/>
        <v>4</v>
      </c>
      <c r="E119" s="15">
        <v>30</v>
      </c>
      <c r="F119" s="20" t="s">
        <v>50</v>
      </c>
      <c r="G119" s="16">
        <v>5</v>
      </c>
      <c r="H119" s="16">
        <v>5</v>
      </c>
      <c r="I119" s="16">
        <v>4</v>
      </c>
      <c r="J119" s="16">
        <v>10</v>
      </c>
      <c r="K119" s="16">
        <v>4</v>
      </c>
      <c r="L119" s="16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15">
        <v>220221</v>
      </c>
      <c r="U119" s="15">
        <v>0</v>
      </c>
      <c r="V119" s="15">
        <v>0</v>
      </c>
    </row>
    <row r="120" spans="1:22">
      <c r="A120" s="15">
        <v>103115</v>
      </c>
      <c r="B120" s="15">
        <v>320004</v>
      </c>
      <c r="C120" s="15">
        <f t="shared" si="5"/>
        <v>1</v>
      </c>
      <c r="D120" s="15">
        <f t="shared" si="4"/>
        <v>4</v>
      </c>
      <c r="E120" s="15">
        <v>35</v>
      </c>
      <c r="F120" s="20" t="s">
        <v>51</v>
      </c>
      <c r="G120" s="16">
        <v>30</v>
      </c>
      <c r="H120" s="16">
        <v>20</v>
      </c>
      <c r="I120" s="16">
        <v>8</v>
      </c>
      <c r="J120" s="16">
        <v>20</v>
      </c>
      <c r="K120" s="16">
        <v>8</v>
      </c>
      <c r="L120" s="16">
        <v>3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16">
        <v>0</v>
      </c>
      <c r="T120" s="15">
        <v>0</v>
      </c>
      <c r="U120" s="15">
        <v>0</v>
      </c>
      <c r="V120" s="15">
        <v>0</v>
      </c>
    </row>
    <row r="121" spans="1:22">
      <c r="A121" s="15">
        <v>103116</v>
      </c>
      <c r="B121" s="15">
        <v>320004</v>
      </c>
      <c r="C121" s="15">
        <f t="shared" si="5"/>
        <v>2</v>
      </c>
      <c r="D121" s="15">
        <f t="shared" si="4"/>
        <v>4</v>
      </c>
      <c r="E121" s="15">
        <v>40</v>
      </c>
      <c r="F121" s="20" t="s">
        <v>52</v>
      </c>
      <c r="G121" s="16">
        <v>50</v>
      </c>
      <c r="H121" s="16">
        <v>30</v>
      </c>
      <c r="I121" s="16">
        <v>12</v>
      </c>
      <c r="J121" s="16">
        <v>30</v>
      </c>
      <c r="K121" s="16">
        <v>12</v>
      </c>
      <c r="L121" s="16">
        <v>6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16">
        <v>0</v>
      </c>
      <c r="T121" s="15">
        <v>220231</v>
      </c>
      <c r="U121" s="15">
        <v>0</v>
      </c>
      <c r="V121" s="15">
        <v>0</v>
      </c>
    </row>
    <row r="122" spans="1:22">
      <c r="A122" s="15">
        <v>103117</v>
      </c>
      <c r="B122" s="15">
        <v>320004</v>
      </c>
      <c r="C122" s="15">
        <f t="shared" si="5"/>
        <v>3</v>
      </c>
      <c r="D122" s="15">
        <f t="shared" si="4"/>
        <v>4</v>
      </c>
      <c r="E122" s="15">
        <v>45</v>
      </c>
      <c r="F122" s="20" t="s">
        <v>53</v>
      </c>
      <c r="G122" s="16">
        <v>60</v>
      </c>
      <c r="H122" s="16">
        <v>40</v>
      </c>
      <c r="I122" s="16">
        <v>16</v>
      </c>
      <c r="J122" s="16">
        <v>40</v>
      </c>
      <c r="K122" s="16">
        <v>16</v>
      </c>
      <c r="L122" s="16">
        <v>9</v>
      </c>
      <c r="M122" s="22">
        <v>120</v>
      </c>
      <c r="N122" s="22">
        <v>30</v>
      </c>
      <c r="O122" s="22">
        <v>0</v>
      </c>
      <c r="P122" s="22">
        <v>0</v>
      </c>
      <c r="Q122" s="22">
        <v>0</v>
      </c>
      <c r="R122" s="22">
        <v>0</v>
      </c>
      <c r="S122" s="16">
        <v>0</v>
      </c>
      <c r="T122" s="15">
        <v>0</v>
      </c>
      <c r="U122" s="15">
        <v>1</v>
      </c>
      <c r="V122" s="15">
        <v>0</v>
      </c>
    </row>
    <row r="123" spans="1:22">
      <c r="A123" s="15">
        <v>103118</v>
      </c>
      <c r="B123" s="15">
        <v>320004</v>
      </c>
      <c r="C123" s="15">
        <f t="shared" si="5"/>
        <v>4</v>
      </c>
      <c r="D123" s="15">
        <f t="shared" si="4"/>
        <v>4</v>
      </c>
      <c r="E123" s="15">
        <v>0</v>
      </c>
      <c r="F123" s="20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0</v>
      </c>
      <c r="R123" s="22">
        <v>0</v>
      </c>
      <c r="S123" s="16">
        <v>0</v>
      </c>
      <c r="T123" s="15">
        <v>220241</v>
      </c>
      <c r="U123" s="15">
        <v>0</v>
      </c>
      <c r="V123" s="15">
        <v>0</v>
      </c>
    </row>
    <row r="124" spans="1:22">
      <c r="A124" s="15">
        <v>103119</v>
      </c>
      <c r="B124" s="15">
        <v>120005</v>
      </c>
      <c r="C124" s="15">
        <f t="shared" si="5"/>
        <v>0</v>
      </c>
      <c r="D124" s="15">
        <f t="shared" si="4"/>
        <v>2</v>
      </c>
      <c r="E124" s="15">
        <v>5</v>
      </c>
      <c r="F124" s="20" t="s">
        <v>45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15">
        <v>0</v>
      </c>
      <c r="U124" s="15">
        <v>0</v>
      </c>
      <c r="V124" s="15">
        <v>0</v>
      </c>
    </row>
    <row r="125" spans="1:22">
      <c r="A125" s="15">
        <v>103120</v>
      </c>
      <c r="B125" s="15">
        <v>120005</v>
      </c>
      <c r="C125" s="15">
        <f t="shared" si="5"/>
        <v>1</v>
      </c>
      <c r="D125" s="15">
        <f t="shared" si="4"/>
        <v>2</v>
      </c>
      <c r="E125" s="15">
        <v>10</v>
      </c>
      <c r="F125" s="20" t="s">
        <v>46</v>
      </c>
      <c r="G125" s="16">
        <v>30</v>
      </c>
      <c r="H125" s="16">
        <v>20</v>
      </c>
      <c r="I125" s="16">
        <v>8</v>
      </c>
      <c r="J125" s="16">
        <v>20</v>
      </c>
      <c r="K125" s="16">
        <v>8</v>
      </c>
      <c r="L125" s="16">
        <v>3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16">
        <v>0</v>
      </c>
      <c r="T125" s="15">
        <v>0</v>
      </c>
      <c r="U125" s="15">
        <v>1</v>
      </c>
      <c r="V125" s="15">
        <v>0</v>
      </c>
    </row>
    <row r="126" spans="1:22">
      <c r="A126" s="15">
        <v>103121</v>
      </c>
      <c r="B126" s="15">
        <v>120005</v>
      </c>
      <c r="C126" s="15">
        <f t="shared" si="5"/>
        <v>2</v>
      </c>
      <c r="D126" s="15">
        <f t="shared" si="4"/>
        <v>2</v>
      </c>
      <c r="E126" s="15">
        <v>0</v>
      </c>
      <c r="F126" s="20">
        <v>0</v>
      </c>
      <c r="G126" s="16">
        <v>50</v>
      </c>
      <c r="H126" s="16">
        <v>30</v>
      </c>
      <c r="I126" s="16">
        <v>12</v>
      </c>
      <c r="J126" s="16">
        <v>30</v>
      </c>
      <c r="K126" s="16">
        <v>12</v>
      </c>
      <c r="L126" s="16">
        <v>6</v>
      </c>
      <c r="M126" s="22">
        <v>0</v>
      </c>
      <c r="N126" s="22">
        <v>0</v>
      </c>
      <c r="O126" s="22">
        <v>15</v>
      </c>
      <c r="P126" s="22">
        <v>0</v>
      </c>
      <c r="Q126" s="22">
        <v>15</v>
      </c>
      <c r="R126" s="22">
        <v>0</v>
      </c>
      <c r="S126" s="16">
        <v>0</v>
      </c>
      <c r="T126" s="15">
        <v>220261</v>
      </c>
      <c r="U126" s="15">
        <v>0</v>
      </c>
      <c r="V126" s="15">
        <v>0</v>
      </c>
    </row>
    <row r="127" spans="1:22">
      <c r="A127" s="15">
        <v>103122</v>
      </c>
      <c r="B127" s="15">
        <v>220005</v>
      </c>
      <c r="C127" s="15">
        <f t="shared" si="5"/>
        <v>0</v>
      </c>
      <c r="D127" s="15">
        <f t="shared" si="4"/>
        <v>3</v>
      </c>
      <c r="E127" s="15">
        <v>15</v>
      </c>
      <c r="F127" s="20" t="s">
        <v>47</v>
      </c>
      <c r="G127" s="16">
        <v>60</v>
      </c>
      <c r="H127" s="16">
        <v>40</v>
      </c>
      <c r="I127" s="16">
        <v>16</v>
      </c>
      <c r="J127" s="16">
        <v>40</v>
      </c>
      <c r="K127" s="16">
        <v>16</v>
      </c>
      <c r="L127" s="16">
        <v>9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521001</v>
      </c>
      <c r="T127" s="15">
        <v>0</v>
      </c>
      <c r="U127" s="15">
        <v>0</v>
      </c>
      <c r="V127" s="15">
        <v>0</v>
      </c>
    </row>
    <row r="128" spans="1:22">
      <c r="A128" s="15">
        <v>103123</v>
      </c>
      <c r="B128" s="15">
        <v>220005</v>
      </c>
      <c r="C128" s="15">
        <f t="shared" si="5"/>
        <v>1</v>
      </c>
      <c r="D128" s="15">
        <f t="shared" si="4"/>
        <v>3</v>
      </c>
      <c r="E128" s="15">
        <v>20</v>
      </c>
      <c r="F128" s="20" t="s">
        <v>48</v>
      </c>
      <c r="G128" s="16">
        <v>80</v>
      </c>
      <c r="H128" s="16">
        <v>50</v>
      </c>
      <c r="I128" s="16">
        <v>20</v>
      </c>
      <c r="J128" s="16">
        <v>50</v>
      </c>
      <c r="K128" s="16">
        <v>20</v>
      </c>
      <c r="L128" s="16">
        <v>12</v>
      </c>
      <c r="M128" s="22">
        <v>0</v>
      </c>
      <c r="N128" s="22">
        <v>0</v>
      </c>
      <c r="O128" s="22">
        <v>0</v>
      </c>
      <c r="P128" s="22">
        <v>0</v>
      </c>
      <c r="Q128" s="22">
        <v>0</v>
      </c>
      <c r="R128" s="22">
        <v>0</v>
      </c>
      <c r="S128" s="16">
        <v>0</v>
      </c>
      <c r="T128" s="15">
        <v>220271</v>
      </c>
      <c r="U128" s="15">
        <v>0</v>
      </c>
      <c r="V128" s="15">
        <v>0</v>
      </c>
    </row>
    <row r="129" spans="1:22">
      <c r="A129" s="15">
        <v>103124</v>
      </c>
      <c r="B129" s="15">
        <v>220005</v>
      </c>
      <c r="C129" s="15">
        <f t="shared" si="5"/>
        <v>2</v>
      </c>
      <c r="D129" s="15">
        <f t="shared" si="4"/>
        <v>3</v>
      </c>
      <c r="E129" s="15">
        <v>25</v>
      </c>
      <c r="F129" s="20" t="s">
        <v>49</v>
      </c>
      <c r="G129" s="16">
        <v>100</v>
      </c>
      <c r="H129" s="16">
        <v>60</v>
      </c>
      <c r="I129" s="16">
        <v>24</v>
      </c>
      <c r="J129" s="16">
        <v>60</v>
      </c>
      <c r="K129" s="16">
        <v>24</v>
      </c>
      <c r="L129" s="16">
        <v>12</v>
      </c>
      <c r="M129" s="22">
        <v>0</v>
      </c>
      <c r="N129" s="22">
        <v>0</v>
      </c>
      <c r="O129" s="22">
        <v>20</v>
      </c>
      <c r="P129" s="22">
        <v>0</v>
      </c>
      <c r="Q129" s="22">
        <v>20</v>
      </c>
      <c r="R129" s="22">
        <v>0</v>
      </c>
      <c r="S129" s="16">
        <v>0</v>
      </c>
      <c r="T129" s="15">
        <v>0</v>
      </c>
      <c r="U129" s="15">
        <v>1</v>
      </c>
      <c r="V129" s="15">
        <v>0</v>
      </c>
    </row>
    <row r="130" spans="1:22">
      <c r="A130" s="15">
        <v>103125</v>
      </c>
      <c r="B130" s="15">
        <v>220005</v>
      </c>
      <c r="C130" s="15">
        <f t="shared" si="5"/>
        <v>3</v>
      </c>
      <c r="D130" s="15">
        <f t="shared" si="4"/>
        <v>3</v>
      </c>
      <c r="E130" s="15">
        <v>0</v>
      </c>
      <c r="F130" s="20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16">
        <v>531001</v>
      </c>
      <c r="T130" s="15">
        <v>0</v>
      </c>
      <c r="U130" s="15">
        <v>0</v>
      </c>
      <c r="V130" s="15">
        <v>0</v>
      </c>
    </row>
    <row r="131" spans="1:22">
      <c r="A131" s="15">
        <v>103126</v>
      </c>
      <c r="B131" s="15">
        <v>320005</v>
      </c>
      <c r="C131" s="15">
        <f t="shared" si="5"/>
        <v>0</v>
      </c>
      <c r="D131" s="15">
        <f t="shared" si="4"/>
        <v>4</v>
      </c>
      <c r="E131" s="15">
        <v>30</v>
      </c>
      <c r="F131" s="20" t="s">
        <v>50</v>
      </c>
      <c r="G131" s="16">
        <v>5</v>
      </c>
      <c r="H131" s="16">
        <v>5</v>
      </c>
      <c r="I131" s="16">
        <v>4</v>
      </c>
      <c r="J131" s="16">
        <v>10</v>
      </c>
      <c r="K131" s="16">
        <v>4</v>
      </c>
      <c r="L131" s="16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15">
        <v>220281</v>
      </c>
      <c r="U131" s="15">
        <v>0</v>
      </c>
      <c r="V131" s="15">
        <v>0</v>
      </c>
    </row>
    <row r="132" spans="1:22">
      <c r="A132" s="15">
        <v>103127</v>
      </c>
      <c r="B132" s="15">
        <v>320005</v>
      </c>
      <c r="C132" s="15">
        <f t="shared" si="5"/>
        <v>1</v>
      </c>
      <c r="D132" s="15">
        <f t="shared" si="4"/>
        <v>4</v>
      </c>
      <c r="E132" s="15">
        <v>35</v>
      </c>
      <c r="F132" s="20" t="s">
        <v>51</v>
      </c>
      <c r="G132" s="16">
        <v>30</v>
      </c>
      <c r="H132" s="16">
        <v>20</v>
      </c>
      <c r="I132" s="16">
        <v>8</v>
      </c>
      <c r="J132" s="16">
        <v>20</v>
      </c>
      <c r="K132" s="16">
        <v>8</v>
      </c>
      <c r="L132" s="16">
        <v>3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16">
        <v>0</v>
      </c>
      <c r="T132" s="15">
        <v>220291</v>
      </c>
      <c r="U132" s="15">
        <v>0</v>
      </c>
      <c r="V132" s="15">
        <v>0</v>
      </c>
    </row>
    <row r="133" spans="1:22">
      <c r="A133" s="15">
        <v>103128</v>
      </c>
      <c r="B133" s="15">
        <v>320005</v>
      </c>
      <c r="C133" s="15">
        <f t="shared" si="5"/>
        <v>2</v>
      </c>
      <c r="D133" s="15">
        <f t="shared" si="4"/>
        <v>4</v>
      </c>
      <c r="E133" s="15">
        <v>40</v>
      </c>
      <c r="F133" s="20" t="s">
        <v>52</v>
      </c>
      <c r="G133" s="16">
        <v>50</v>
      </c>
      <c r="H133" s="16">
        <v>30</v>
      </c>
      <c r="I133" s="16">
        <v>12</v>
      </c>
      <c r="J133" s="16">
        <v>30</v>
      </c>
      <c r="K133" s="16">
        <v>12</v>
      </c>
      <c r="L133" s="16">
        <v>6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16">
        <v>531002</v>
      </c>
      <c r="T133" s="15">
        <v>0</v>
      </c>
      <c r="U133" s="15">
        <v>0</v>
      </c>
      <c r="V133" s="15">
        <v>0</v>
      </c>
    </row>
    <row r="134" spans="1:22">
      <c r="A134" s="15">
        <v>103129</v>
      </c>
      <c r="B134" s="15">
        <v>320005</v>
      </c>
      <c r="C134" s="15">
        <f t="shared" si="5"/>
        <v>3</v>
      </c>
      <c r="D134" s="15">
        <f t="shared" si="4"/>
        <v>4</v>
      </c>
      <c r="E134" s="15">
        <v>45</v>
      </c>
      <c r="F134" s="20" t="s">
        <v>53</v>
      </c>
      <c r="G134" s="16">
        <v>60</v>
      </c>
      <c r="H134" s="16">
        <v>40</v>
      </c>
      <c r="I134" s="16">
        <v>16</v>
      </c>
      <c r="J134" s="16">
        <v>40</v>
      </c>
      <c r="K134" s="16">
        <v>16</v>
      </c>
      <c r="L134" s="16">
        <v>9</v>
      </c>
      <c r="M134" s="22">
        <v>120</v>
      </c>
      <c r="N134" s="22">
        <v>0</v>
      </c>
      <c r="O134" s="22">
        <v>0</v>
      </c>
      <c r="P134" s="22">
        <v>12</v>
      </c>
      <c r="Q134" s="22">
        <v>0</v>
      </c>
      <c r="R134" s="22">
        <v>0</v>
      </c>
      <c r="S134" s="16">
        <v>0</v>
      </c>
      <c r="T134" s="15">
        <v>0</v>
      </c>
      <c r="U134" s="15">
        <v>1</v>
      </c>
      <c r="V134" s="15">
        <v>0</v>
      </c>
    </row>
    <row r="135" spans="1:22">
      <c r="A135" s="15">
        <v>103130</v>
      </c>
      <c r="B135" s="15">
        <v>320005</v>
      </c>
      <c r="C135" s="15">
        <f t="shared" si="5"/>
        <v>4</v>
      </c>
      <c r="D135" s="15">
        <f t="shared" si="4"/>
        <v>4</v>
      </c>
      <c r="E135" s="15">
        <v>0</v>
      </c>
      <c r="F135" s="20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16">
        <v>0</v>
      </c>
      <c r="T135" s="15">
        <v>220301</v>
      </c>
      <c r="U135" s="15">
        <v>0</v>
      </c>
      <c r="V135" s="15">
        <v>0</v>
      </c>
    </row>
    <row r="136" spans="1:22">
      <c r="A136" s="15">
        <v>103131</v>
      </c>
      <c r="B136" s="15">
        <v>120006</v>
      </c>
      <c r="C136" s="15">
        <f t="shared" si="5"/>
        <v>0</v>
      </c>
      <c r="D136" s="15">
        <f t="shared" si="4"/>
        <v>2</v>
      </c>
      <c r="E136" s="15">
        <v>5</v>
      </c>
      <c r="F136" s="20" t="s">
        <v>45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15">
        <v>0</v>
      </c>
      <c r="U136" s="15">
        <v>0</v>
      </c>
      <c r="V136" s="15">
        <v>0</v>
      </c>
    </row>
    <row r="137" spans="1:22">
      <c r="A137" s="15">
        <v>103132</v>
      </c>
      <c r="B137" s="15">
        <v>120006</v>
      </c>
      <c r="C137" s="15">
        <f t="shared" si="5"/>
        <v>1</v>
      </c>
      <c r="D137" s="15">
        <f t="shared" si="4"/>
        <v>2</v>
      </c>
      <c r="E137" s="15">
        <v>10</v>
      </c>
      <c r="F137" s="20" t="s">
        <v>46</v>
      </c>
      <c r="G137" s="16">
        <v>30</v>
      </c>
      <c r="H137" s="16">
        <v>20</v>
      </c>
      <c r="I137" s="16">
        <v>8</v>
      </c>
      <c r="J137" s="16">
        <v>20</v>
      </c>
      <c r="K137" s="16">
        <v>8</v>
      </c>
      <c r="L137" s="16">
        <v>3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16">
        <v>0</v>
      </c>
      <c r="T137" s="15">
        <v>0</v>
      </c>
      <c r="U137" s="15">
        <v>1</v>
      </c>
      <c r="V137" s="15">
        <v>0</v>
      </c>
    </row>
    <row r="138" spans="1:22">
      <c r="A138" s="15">
        <v>103133</v>
      </c>
      <c r="B138" s="15">
        <v>120006</v>
      </c>
      <c r="C138" s="15">
        <f t="shared" si="5"/>
        <v>2</v>
      </c>
      <c r="D138" s="15">
        <f t="shared" si="4"/>
        <v>2</v>
      </c>
      <c r="E138" s="15">
        <v>0</v>
      </c>
      <c r="F138" s="20">
        <v>0</v>
      </c>
      <c r="G138" s="16">
        <v>50</v>
      </c>
      <c r="H138" s="16">
        <v>30</v>
      </c>
      <c r="I138" s="16">
        <v>12</v>
      </c>
      <c r="J138" s="16">
        <v>30</v>
      </c>
      <c r="K138" s="16">
        <v>12</v>
      </c>
      <c r="L138" s="16">
        <v>6</v>
      </c>
      <c r="M138" s="22">
        <v>0</v>
      </c>
      <c r="N138" s="22">
        <v>0</v>
      </c>
      <c r="O138" s="22">
        <v>15</v>
      </c>
      <c r="P138" s="22">
        <v>0</v>
      </c>
      <c r="Q138" s="22">
        <v>15</v>
      </c>
      <c r="R138" s="22">
        <v>0</v>
      </c>
      <c r="S138" s="16">
        <v>0</v>
      </c>
      <c r="T138" s="15">
        <v>220321</v>
      </c>
      <c r="U138" s="15">
        <v>0</v>
      </c>
      <c r="V138" s="15">
        <v>0</v>
      </c>
    </row>
    <row r="139" spans="1:22">
      <c r="A139" s="15">
        <v>103134</v>
      </c>
      <c r="B139" s="15">
        <v>220006</v>
      </c>
      <c r="C139" s="15">
        <f t="shared" si="5"/>
        <v>0</v>
      </c>
      <c r="D139" s="15">
        <f t="shared" si="4"/>
        <v>3</v>
      </c>
      <c r="E139" s="15">
        <v>15</v>
      </c>
      <c r="F139" s="20" t="s">
        <v>47</v>
      </c>
      <c r="G139" s="16">
        <v>60</v>
      </c>
      <c r="H139" s="16">
        <v>40</v>
      </c>
      <c r="I139" s="16">
        <v>16</v>
      </c>
      <c r="J139" s="16">
        <v>40</v>
      </c>
      <c r="K139" s="16">
        <v>16</v>
      </c>
      <c r="L139" s="16">
        <v>9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621001</v>
      </c>
      <c r="T139" s="15">
        <v>0</v>
      </c>
      <c r="U139" s="15">
        <v>0</v>
      </c>
      <c r="V139" s="15">
        <v>0</v>
      </c>
    </row>
    <row r="140" spans="1:22">
      <c r="A140" s="15">
        <v>103135</v>
      </c>
      <c r="B140" s="15">
        <v>220006</v>
      </c>
      <c r="C140" s="15">
        <f t="shared" si="5"/>
        <v>1</v>
      </c>
      <c r="D140" s="15">
        <f t="shared" si="4"/>
        <v>3</v>
      </c>
      <c r="E140" s="15">
        <v>20</v>
      </c>
      <c r="F140" s="20" t="s">
        <v>48</v>
      </c>
      <c r="G140" s="16">
        <v>80</v>
      </c>
      <c r="H140" s="16">
        <v>50</v>
      </c>
      <c r="I140" s="16">
        <v>20</v>
      </c>
      <c r="J140" s="16">
        <v>50</v>
      </c>
      <c r="K140" s="16">
        <v>20</v>
      </c>
      <c r="L140" s="16">
        <v>12</v>
      </c>
      <c r="M140" s="22">
        <v>0</v>
      </c>
      <c r="N140" s="22">
        <v>0</v>
      </c>
      <c r="O140" s="22">
        <v>0</v>
      </c>
      <c r="P140" s="22">
        <v>0</v>
      </c>
      <c r="Q140" s="22">
        <v>0</v>
      </c>
      <c r="R140" s="22">
        <v>0</v>
      </c>
      <c r="S140" s="16">
        <v>0</v>
      </c>
      <c r="T140" s="15">
        <v>220331</v>
      </c>
      <c r="U140" s="15">
        <v>0</v>
      </c>
      <c r="V140" s="15">
        <v>0</v>
      </c>
    </row>
    <row r="141" spans="1:22">
      <c r="A141" s="15">
        <v>103136</v>
      </c>
      <c r="B141" s="15">
        <v>220006</v>
      </c>
      <c r="C141" s="15">
        <f t="shared" si="5"/>
        <v>2</v>
      </c>
      <c r="D141" s="15">
        <f t="shared" si="4"/>
        <v>3</v>
      </c>
      <c r="E141" s="15">
        <v>25</v>
      </c>
      <c r="F141" s="20" t="s">
        <v>49</v>
      </c>
      <c r="G141" s="16">
        <v>100</v>
      </c>
      <c r="H141" s="16">
        <v>60</v>
      </c>
      <c r="I141" s="16">
        <v>24</v>
      </c>
      <c r="J141" s="16">
        <v>60</v>
      </c>
      <c r="K141" s="16">
        <v>24</v>
      </c>
      <c r="L141" s="16">
        <v>12</v>
      </c>
      <c r="M141" s="22">
        <v>0</v>
      </c>
      <c r="N141" s="22">
        <v>0</v>
      </c>
      <c r="O141" s="22">
        <v>20</v>
      </c>
      <c r="P141" s="22">
        <v>0</v>
      </c>
      <c r="Q141" s="22">
        <v>20</v>
      </c>
      <c r="R141" s="22">
        <v>0</v>
      </c>
      <c r="S141" s="16">
        <v>0</v>
      </c>
      <c r="T141" s="15">
        <v>0</v>
      </c>
      <c r="U141" s="15">
        <v>1</v>
      </c>
      <c r="V141" s="15">
        <v>0</v>
      </c>
    </row>
    <row r="142" spans="1:22">
      <c r="A142" s="15">
        <v>103137</v>
      </c>
      <c r="B142" s="15">
        <v>220006</v>
      </c>
      <c r="C142" s="15">
        <f t="shared" si="5"/>
        <v>3</v>
      </c>
      <c r="D142" s="15">
        <f t="shared" si="4"/>
        <v>3</v>
      </c>
      <c r="E142" s="15">
        <v>0</v>
      </c>
      <c r="F142" s="20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22">
        <v>0</v>
      </c>
      <c r="N142" s="22">
        <v>0</v>
      </c>
      <c r="O142" s="22">
        <v>0</v>
      </c>
      <c r="P142" s="22">
        <v>0</v>
      </c>
      <c r="Q142" s="22">
        <v>0</v>
      </c>
      <c r="R142" s="22">
        <v>0</v>
      </c>
      <c r="S142" s="16">
        <v>0</v>
      </c>
      <c r="T142" s="15">
        <v>220341</v>
      </c>
      <c r="U142" s="15">
        <v>0</v>
      </c>
      <c r="V142" s="15">
        <v>0</v>
      </c>
    </row>
    <row r="143" spans="1:22">
      <c r="A143" s="15">
        <v>103138</v>
      </c>
      <c r="B143" s="15">
        <v>320006</v>
      </c>
      <c r="C143" s="15">
        <f t="shared" si="5"/>
        <v>0</v>
      </c>
      <c r="D143" s="15">
        <f t="shared" si="4"/>
        <v>4</v>
      </c>
      <c r="E143" s="15">
        <v>30</v>
      </c>
      <c r="F143" s="20" t="s">
        <v>50</v>
      </c>
      <c r="G143" s="16">
        <v>5</v>
      </c>
      <c r="H143" s="16">
        <v>5</v>
      </c>
      <c r="I143" s="16">
        <v>4</v>
      </c>
      <c r="J143" s="16">
        <v>10</v>
      </c>
      <c r="K143" s="16">
        <v>4</v>
      </c>
      <c r="L143" s="16">
        <v>0</v>
      </c>
      <c r="M143" s="22">
        <v>0</v>
      </c>
      <c r="N143" s="22">
        <v>0</v>
      </c>
      <c r="O143" s="22">
        <v>0</v>
      </c>
      <c r="P143" s="22">
        <v>0</v>
      </c>
      <c r="Q143" s="22">
        <v>0</v>
      </c>
      <c r="R143" s="22">
        <v>0</v>
      </c>
      <c r="S143" s="22">
        <v>0</v>
      </c>
      <c r="T143" s="15">
        <v>0</v>
      </c>
      <c r="U143" s="15">
        <v>0</v>
      </c>
      <c r="V143" s="15">
        <v>0</v>
      </c>
    </row>
    <row r="144" spans="1:22">
      <c r="A144" s="15">
        <v>103139</v>
      </c>
      <c r="B144" s="15">
        <v>320006</v>
      </c>
      <c r="C144" s="15">
        <f t="shared" si="5"/>
        <v>1</v>
      </c>
      <c r="D144" s="15">
        <f t="shared" si="4"/>
        <v>4</v>
      </c>
      <c r="E144" s="15">
        <v>35</v>
      </c>
      <c r="F144" s="20" t="s">
        <v>51</v>
      </c>
      <c r="G144" s="16">
        <v>30</v>
      </c>
      <c r="H144" s="16">
        <v>20</v>
      </c>
      <c r="I144" s="16">
        <v>8</v>
      </c>
      <c r="J144" s="16">
        <v>20</v>
      </c>
      <c r="K144" s="16">
        <v>8</v>
      </c>
      <c r="L144" s="16">
        <v>3</v>
      </c>
      <c r="M144" s="22">
        <v>0</v>
      </c>
      <c r="N144" s="22">
        <v>0</v>
      </c>
      <c r="O144" s="22">
        <v>0</v>
      </c>
      <c r="P144" s="22">
        <v>0</v>
      </c>
      <c r="Q144" s="22">
        <v>0</v>
      </c>
      <c r="R144" s="22">
        <v>0</v>
      </c>
      <c r="S144" s="16">
        <v>0</v>
      </c>
      <c r="T144" s="15">
        <v>220351</v>
      </c>
      <c r="U144" s="15">
        <v>0</v>
      </c>
      <c r="V144" s="15">
        <v>0</v>
      </c>
    </row>
    <row r="145" spans="1:22">
      <c r="A145" s="15">
        <v>103140</v>
      </c>
      <c r="B145" s="15">
        <v>320006</v>
      </c>
      <c r="C145" s="15">
        <f t="shared" si="5"/>
        <v>2</v>
      </c>
      <c r="D145" s="15">
        <f t="shared" si="4"/>
        <v>4</v>
      </c>
      <c r="E145" s="15">
        <v>40</v>
      </c>
      <c r="F145" s="20" t="s">
        <v>52</v>
      </c>
      <c r="G145" s="16">
        <v>50</v>
      </c>
      <c r="H145" s="16">
        <v>30</v>
      </c>
      <c r="I145" s="16">
        <v>12</v>
      </c>
      <c r="J145" s="16">
        <v>30</v>
      </c>
      <c r="K145" s="16">
        <v>12</v>
      </c>
      <c r="L145" s="16">
        <v>6</v>
      </c>
      <c r="M145" s="22">
        <v>0</v>
      </c>
      <c r="N145" s="22">
        <v>0</v>
      </c>
      <c r="O145" s="22">
        <v>0</v>
      </c>
      <c r="P145" s="22">
        <v>0</v>
      </c>
      <c r="Q145" s="22">
        <v>0</v>
      </c>
      <c r="R145" s="22">
        <v>0</v>
      </c>
      <c r="S145" s="16">
        <v>631002</v>
      </c>
      <c r="T145" s="15">
        <v>0</v>
      </c>
      <c r="U145" s="15">
        <v>0</v>
      </c>
      <c r="V145" s="15">
        <v>0</v>
      </c>
    </row>
    <row r="146" spans="1:22">
      <c r="A146" s="15">
        <v>103141</v>
      </c>
      <c r="B146" s="15">
        <v>320006</v>
      </c>
      <c r="C146" s="15">
        <f t="shared" si="5"/>
        <v>3</v>
      </c>
      <c r="D146" s="15">
        <f t="shared" si="4"/>
        <v>4</v>
      </c>
      <c r="E146" s="15">
        <v>45</v>
      </c>
      <c r="F146" s="20" t="s">
        <v>53</v>
      </c>
      <c r="G146" s="16">
        <v>60</v>
      </c>
      <c r="H146" s="16">
        <v>40</v>
      </c>
      <c r="I146" s="16">
        <v>16</v>
      </c>
      <c r="J146" s="16">
        <v>40</v>
      </c>
      <c r="K146" s="16">
        <v>16</v>
      </c>
      <c r="L146" s="16">
        <v>9</v>
      </c>
      <c r="M146" s="22">
        <v>120</v>
      </c>
      <c r="N146" s="22">
        <v>0</v>
      </c>
      <c r="O146" s="22">
        <v>0</v>
      </c>
      <c r="P146" s="22">
        <v>12</v>
      </c>
      <c r="Q146" s="22">
        <v>0</v>
      </c>
      <c r="R146" s="22">
        <v>0</v>
      </c>
      <c r="S146" s="16">
        <v>0</v>
      </c>
      <c r="T146" s="15">
        <v>0</v>
      </c>
      <c r="U146" s="15">
        <v>1</v>
      </c>
      <c r="V146" s="15">
        <v>0</v>
      </c>
    </row>
    <row r="147" spans="1:22">
      <c r="A147" s="15">
        <v>103142</v>
      </c>
      <c r="B147" s="15">
        <v>320006</v>
      </c>
      <c r="C147" s="15">
        <f t="shared" si="5"/>
        <v>4</v>
      </c>
      <c r="D147" s="15">
        <f t="shared" si="4"/>
        <v>4</v>
      </c>
      <c r="E147" s="15">
        <v>0</v>
      </c>
      <c r="F147" s="20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22">
        <v>0</v>
      </c>
      <c r="N147" s="22">
        <v>0</v>
      </c>
      <c r="O147" s="22">
        <v>0</v>
      </c>
      <c r="P147" s="22">
        <v>0</v>
      </c>
      <c r="Q147" s="22">
        <v>0</v>
      </c>
      <c r="R147" s="22">
        <v>0</v>
      </c>
      <c r="S147" s="16">
        <v>0</v>
      </c>
      <c r="T147" s="15">
        <v>220361</v>
      </c>
      <c r="U147" s="15">
        <v>0</v>
      </c>
      <c r="V147" s="15">
        <v>0</v>
      </c>
    </row>
    <row r="148" spans="1:22">
      <c r="A148" s="15">
        <v>103143</v>
      </c>
      <c r="B148" s="15">
        <v>120007</v>
      </c>
      <c r="C148" s="15">
        <f t="shared" si="5"/>
        <v>0</v>
      </c>
      <c r="D148" s="15">
        <f t="shared" si="4"/>
        <v>2</v>
      </c>
      <c r="E148" s="15">
        <v>5</v>
      </c>
      <c r="F148" s="20" t="s">
        <v>45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22">
        <v>0</v>
      </c>
      <c r="N148" s="22">
        <v>0</v>
      </c>
      <c r="O148" s="22">
        <v>0</v>
      </c>
      <c r="P148" s="22">
        <v>0</v>
      </c>
      <c r="Q148" s="22">
        <v>0</v>
      </c>
      <c r="R148" s="22">
        <v>0</v>
      </c>
      <c r="S148" s="22">
        <v>0</v>
      </c>
      <c r="T148" s="15">
        <v>0</v>
      </c>
      <c r="U148" s="15">
        <v>0</v>
      </c>
      <c r="V148" s="15">
        <v>0</v>
      </c>
    </row>
    <row r="149" spans="1:22">
      <c r="A149" s="15">
        <v>103144</v>
      </c>
      <c r="B149" s="15">
        <v>120007</v>
      </c>
      <c r="C149" s="15">
        <f t="shared" si="5"/>
        <v>1</v>
      </c>
      <c r="D149" s="15">
        <f t="shared" si="4"/>
        <v>2</v>
      </c>
      <c r="E149" s="15">
        <v>10</v>
      </c>
      <c r="F149" s="20" t="s">
        <v>46</v>
      </c>
      <c r="G149" s="16">
        <v>30</v>
      </c>
      <c r="H149" s="16">
        <v>20</v>
      </c>
      <c r="I149" s="16">
        <v>8</v>
      </c>
      <c r="J149" s="16">
        <v>20</v>
      </c>
      <c r="K149" s="16">
        <v>8</v>
      </c>
      <c r="L149" s="16">
        <v>3</v>
      </c>
      <c r="M149" s="22">
        <v>0</v>
      </c>
      <c r="N149" s="22">
        <v>0</v>
      </c>
      <c r="O149" s="22">
        <v>0</v>
      </c>
      <c r="P149" s="22">
        <v>0</v>
      </c>
      <c r="Q149" s="22">
        <v>0</v>
      </c>
      <c r="R149" s="22">
        <v>0</v>
      </c>
      <c r="S149" s="16">
        <v>0</v>
      </c>
      <c r="T149" s="15">
        <v>0</v>
      </c>
      <c r="U149" s="15">
        <v>1</v>
      </c>
      <c r="V149" s="15">
        <v>0</v>
      </c>
    </row>
    <row r="150" spans="1:22">
      <c r="A150" s="15">
        <v>103145</v>
      </c>
      <c r="B150" s="15">
        <v>120007</v>
      </c>
      <c r="C150" s="15">
        <f t="shared" si="5"/>
        <v>2</v>
      </c>
      <c r="D150" s="15">
        <f t="shared" si="4"/>
        <v>2</v>
      </c>
      <c r="E150" s="15">
        <v>0</v>
      </c>
      <c r="F150" s="20">
        <v>0</v>
      </c>
      <c r="G150" s="16">
        <v>50</v>
      </c>
      <c r="H150" s="16">
        <v>30</v>
      </c>
      <c r="I150" s="16">
        <v>12</v>
      </c>
      <c r="J150" s="16">
        <v>30</v>
      </c>
      <c r="K150" s="16">
        <v>12</v>
      </c>
      <c r="L150" s="16">
        <v>6</v>
      </c>
      <c r="M150" s="22">
        <v>0</v>
      </c>
      <c r="N150" s="22">
        <v>0</v>
      </c>
      <c r="O150" s="22">
        <v>15</v>
      </c>
      <c r="P150" s="22">
        <v>0</v>
      </c>
      <c r="Q150" s="22">
        <v>15</v>
      </c>
      <c r="R150" s="22">
        <v>0</v>
      </c>
      <c r="S150" s="16">
        <v>0</v>
      </c>
      <c r="T150" s="15">
        <v>220381</v>
      </c>
      <c r="U150" s="15">
        <v>0</v>
      </c>
      <c r="V150" s="15">
        <v>0</v>
      </c>
    </row>
    <row r="151" spans="1:22">
      <c r="A151" s="15">
        <v>103146</v>
      </c>
      <c r="B151" s="15">
        <v>220007</v>
      </c>
      <c r="C151" s="15">
        <f t="shared" si="5"/>
        <v>0</v>
      </c>
      <c r="D151" s="15">
        <f t="shared" si="4"/>
        <v>3</v>
      </c>
      <c r="E151" s="15">
        <v>15</v>
      </c>
      <c r="F151" s="20" t="s">
        <v>47</v>
      </c>
      <c r="G151" s="16">
        <v>60</v>
      </c>
      <c r="H151" s="16">
        <v>40</v>
      </c>
      <c r="I151" s="16">
        <v>16</v>
      </c>
      <c r="J151" s="16">
        <v>40</v>
      </c>
      <c r="K151" s="16">
        <v>16</v>
      </c>
      <c r="L151" s="16">
        <v>9</v>
      </c>
      <c r="M151" s="22">
        <v>0</v>
      </c>
      <c r="N151" s="22">
        <v>0</v>
      </c>
      <c r="O151" s="22">
        <v>0</v>
      </c>
      <c r="P151" s="22">
        <v>0</v>
      </c>
      <c r="Q151" s="22">
        <v>0</v>
      </c>
      <c r="R151" s="22">
        <v>0</v>
      </c>
      <c r="S151" s="22">
        <v>821001</v>
      </c>
      <c r="T151" s="15">
        <v>0</v>
      </c>
      <c r="U151" s="15">
        <v>0</v>
      </c>
      <c r="V151" s="15">
        <v>0</v>
      </c>
    </row>
    <row r="152" spans="1:22">
      <c r="A152" s="15">
        <v>103147</v>
      </c>
      <c r="B152" s="15">
        <v>220007</v>
      </c>
      <c r="C152" s="15">
        <f t="shared" si="5"/>
        <v>1</v>
      </c>
      <c r="D152" s="15">
        <f t="shared" si="4"/>
        <v>3</v>
      </c>
      <c r="E152" s="15">
        <v>20</v>
      </c>
      <c r="F152" s="20" t="s">
        <v>48</v>
      </c>
      <c r="G152" s="16">
        <v>80</v>
      </c>
      <c r="H152" s="16">
        <v>50</v>
      </c>
      <c r="I152" s="16">
        <v>20</v>
      </c>
      <c r="J152" s="16">
        <v>50</v>
      </c>
      <c r="K152" s="16">
        <v>20</v>
      </c>
      <c r="L152" s="16">
        <v>12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16">
        <v>0</v>
      </c>
      <c r="T152" s="15">
        <v>220391</v>
      </c>
      <c r="U152" s="15">
        <v>0</v>
      </c>
      <c r="V152" s="15">
        <v>0</v>
      </c>
    </row>
    <row r="153" spans="1:22">
      <c r="A153" s="15">
        <v>103148</v>
      </c>
      <c r="B153" s="15">
        <v>220007</v>
      </c>
      <c r="C153" s="15">
        <f t="shared" si="5"/>
        <v>2</v>
      </c>
      <c r="D153" s="15">
        <f t="shared" si="4"/>
        <v>3</v>
      </c>
      <c r="E153" s="15">
        <v>25</v>
      </c>
      <c r="F153" s="20" t="s">
        <v>49</v>
      </c>
      <c r="G153" s="16">
        <v>100</v>
      </c>
      <c r="H153" s="16">
        <v>60</v>
      </c>
      <c r="I153" s="16">
        <v>24</v>
      </c>
      <c r="J153" s="16">
        <v>60</v>
      </c>
      <c r="K153" s="16">
        <v>24</v>
      </c>
      <c r="L153" s="16">
        <v>12</v>
      </c>
      <c r="M153" s="22">
        <v>0</v>
      </c>
      <c r="N153" s="22">
        <v>0</v>
      </c>
      <c r="O153" s="22">
        <v>20</v>
      </c>
      <c r="P153" s="22">
        <v>0</v>
      </c>
      <c r="Q153" s="22">
        <v>20</v>
      </c>
      <c r="R153" s="22">
        <v>0</v>
      </c>
      <c r="S153" s="16">
        <v>0</v>
      </c>
      <c r="T153" s="15">
        <v>0</v>
      </c>
      <c r="U153" s="15">
        <v>1</v>
      </c>
      <c r="V153" s="15">
        <v>0</v>
      </c>
    </row>
    <row r="154" spans="1:22">
      <c r="A154" s="15">
        <v>103149</v>
      </c>
      <c r="B154" s="15">
        <v>220007</v>
      </c>
      <c r="C154" s="15">
        <f t="shared" si="5"/>
        <v>3</v>
      </c>
      <c r="D154" s="15">
        <f t="shared" si="4"/>
        <v>3</v>
      </c>
      <c r="E154" s="15">
        <v>0</v>
      </c>
      <c r="F154" s="20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22">
        <v>0</v>
      </c>
      <c r="N154" s="22">
        <v>0</v>
      </c>
      <c r="O154" s="22">
        <v>0</v>
      </c>
      <c r="P154" s="22">
        <v>0</v>
      </c>
      <c r="Q154" s="22">
        <v>0</v>
      </c>
      <c r="R154" s="22">
        <v>0</v>
      </c>
      <c r="S154" s="16">
        <v>831001</v>
      </c>
      <c r="T154" s="15">
        <v>0</v>
      </c>
      <c r="U154" s="15">
        <v>0</v>
      </c>
      <c r="V154" s="15">
        <v>0</v>
      </c>
    </row>
    <row r="155" spans="1:22">
      <c r="A155" s="15">
        <v>103150</v>
      </c>
      <c r="B155" s="15">
        <v>320007</v>
      </c>
      <c r="C155" s="15">
        <f t="shared" si="5"/>
        <v>0</v>
      </c>
      <c r="D155" s="15">
        <f t="shared" si="4"/>
        <v>4</v>
      </c>
      <c r="E155" s="15">
        <v>30</v>
      </c>
      <c r="F155" s="20" t="s">
        <v>50</v>
      </c>
      <c r="G155" s="16">
        <v>5</v>
      </c>
      <c r="H155" s="16">
        <v>5</v>
      </c>
      <c r="I155" s="16">
        <v>4</v>
      </c>
      <c r="J155" s="16">
        <v>10</v>
      </c>
      <c r="K155" s="16">
        <v>4</v>
      </c>
      <c r="L155" s="16">
        <v>0</v>
      </c>
      <c r="M155" s="22">
        <v>0</v>
      </c>
      <c r="N155" s="22">
        <v>0</v>
      </c>
      <c r="O155" s="22">
        <v>0</v>
      </c>
      <c r="P155" s="22">
        <v>0</v>
      </c>
      <c r="Q155" s="22">
        <v>0</v>
      </c>
      <c r="R155" s="22">
        <v>0</v>
      </c>
      <c r="S155" s="22">
        <v>0</v>
      </c>
      <c r="T155" s="15">
        <v>220401</v>
      </c>
      <c r="U155" s="15">
        <v>0</v>
      </c>
      <c r="V155" s="15">
        <v>0</v>
      </c>
    </row>
    <row r="156" spans="1:22">
      <c r="A156" s="15">
        <v>103151</v>
      </c>
      <c r="B156" s="15">
        <v>320007</v>
      </c>
      <c r="C156" s="15">
        <f t="shared" si="5"/>
        <v>1</v>
      </c>
      <c r="D156" s="15">
        <f t="shared" si="4"/>
        <v>4</v>
      </c>
      <c r="E156" s="15">
        <v>35</v>
      </c>
      <c r="F156" s="20" t="s">
        <v>51</v>
      </c>
      <c r="G156" s="16">
        <v>30</v>
      </c>
      <c r="H156" s="16">
        <v>20</v>
      </c>
      <c r="I156" s="16">
        <v>8</v>
      </c>
      <c r="J156" s="16">
        <v>20</v>
      </c>
      <c r="K156" s="16">
        <v>8</v>
      </c>
      <c r="L156" s="16">
        <v>3</v>
      </c>
      <c r="M156" s="22">
        <v>0</v>
      </c>
      <c r="N156" s="22">
        <v>0</v>
      </c>
      <c r="O156" s="22">
        <v>0</v>
      </c>
      <c r="P156" s="22">
        <v>0</v>
      </c>
      <c r="Q156" s="22">
        <v>0</v>
      </c>
      <c r="R156" s="22">
        <v>0</v>
      </c>
      <c r="S156" s="16">
        <v>0</v>
      </c>
      <c r="T156" s="15">
        <v>220411</v>
      </c>
      <c r="U156" s="15">
        <v>0</v>
      </c>
      <c r="V156" s="15">
        <v>0</v>
      </c>
    </row>
    <row r="157" spans="1:22">
      <c r="A157" s="15">
        <v>103152</v>
      </c>
      <c r="B157" s="15">
        <v>320007</v>
      </c>
      <c r="C157" s="15">
        <f t="shared" si="5"/>
        <v>2</v>
      </c>
      <c r="D157" s="15">
        <f t="shared" si="4"/>
        <v>4</v>
      </c>
      <c r="E157" s="15">
        <v>40</v>
      </c>
      <c r="F157" s="20" t="s">
        <v>52</v>
      </c>
      <c r="G157" s="16">
        <v>50</v>
      </c>
      <c r="H157" s="16">
        <v>30</v>
      </c>
      <c r="I157" s="16">
        <v>12</v>
      </c>
      <c r="J157" s="16">
        <v>30</v>
      </c>
      <c r="K157" s="16">
        <v>12</v>
      </c>
      <c r="L157" s="16">
        <v>6</v>
      </c>
      <c r="M157" s="22">
        <v>0</v>
      </c>
      <c r="N157" s="22">
        <v>0</v>
      </c>
      <c r="O157" s="22">
        <v>0</v>
      </c>
      <c r="P157" s="22">
        <v>0</v>
      </c>
      <c r="Q157" s="22">
        <v>0</v>
      </c>
      <c r="R157" s="22">
        <v>0</v>
      </c>
      <c r="S157" s="16">
        <v>831002</v>
      </c>
      <c r="T157" s="15">
        <v>0</v>
      </c>
      <c r="U157" s="15">
        <v>0</v>
      </c>
      <c r="V157" s="15">
        <v>0</v>
      </c>
    </row>
    <row r="158" spans="1:22">
      <c r="A158" s="15">
        <v>103153</v>
      </c>
      <c r="B158" s="15">
        <v>320007</v>
      </c>
      <c r="C158" s="15">
        <f t="shared" si="5"/>
        <v>3</v>
      </c>
      <c r="D158" s="15">
        <f t="shared" si="4"/>
        <v>4</v>
      </c>
      <c r="E158" s="15">
        <v>45</v>
      </c>
      <c r="F158" s="20" t="s">
        <v>53</v>
      </c>
      <c r="G158" s="16">
        <v>60</v>
      </c>
      <c r="H158" s="16">
        <v>40</v>
      </c>
      <c r="I158" s="16">
        <v>16</v>
      </c>
      <c r="J158" s="16">
        <v>40</v>
      </c>
      <c r="K158" s="16">
        <v>16</v>
      </c>
      <c r="L158" s="16">
        <v>9</v>
      </c>
      <c r="M158" s="22">
        <v>120</v>
      </c>
      <c r="N158" s="22">
        <v>30</v>
      </c>
      <c r="O158" s="22">
        <v>0</v>
      </c>
      <c r="P158" s="22">
        <v>0</v>
      </c>
      <c r="Q158" s="22">
        <v>0</v>
      </c>
      <c r="R158" s="22">
        <v>0</v>
      </c>
      <c r="S158" s="16">
        <v>0</v>
      </c>
      <c r="T158" s="15">
        <v>0</v>
      </c>
      <c r="U158" s="15">
        <v>1</v>
      </c>
      <c r="V158" s="15">
        <v>0</v>
      </c>
    </row>
    <row r="159" spans="1:22">
      <c r="A159" s="15">
        <v>103154</v>
      </c>
      <c r="B159" s="15">
        <v>320007</v>
      </c>
      <c r="C159" s="15">
        <f t="shared" si="5"/>
        <v>4</v>
      </c>
      <c r="D159" s="15">
        <f t="shared" si="4"/>
        <v>4</v>
      </c>
      <c r="E159" s="15">
        <v>0</v>
      </c>
      <c r="F159" s="20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22">
        <v>0</v>
      </c>
      <c r="N159" s="22">
        <v>0</v>
      </c>
      <c r="O159" s="22">
        <v>0</v>
      </c>
      <c r="P159" s="22">
        <v>0</v>
      </c>
      <c r="Q159" s="22">
        <v>0</v>
      </c>
      <c r="R159" s="22">
        <v>0</v>
      </c>
      <c r="S159" s="16">
        <v>0</v>
      </c>
      <c r="T159" s="15">
        <v>220421</v>
      </c>
      <c r="U159" s="15">
        <v>0</v>
      </c>
      <c r="V159" s="15">
        <v>0</v>
      </c>
    </row>
    <row r="160" spans="1:22">
      <c r="A160" s="15">
        <v>103155</v>
      </c>
      <c r="B160" s="15">
        <v>130001</v>
      </c>
      <c r="C160" s="15">
        <f t="shared" si="5"/>
        <v>0</v>
      </c>
      <c r="D160" s="15">
        <f t="shared" si="4"/>
        <v>2</v>
      </c>
      <c r="E160" s="15">
        <v>5</v>
      </c>
      <c r="F160" s="20" t="s">
        <v>45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0</v>
      </c>
      <c r="T160" s="15">
        <v>0</v>
      </c>
      <c r="U160" s="15">
        <v>0</v>
      </c>
      <c r="V160" s="15">
        <v>0</v>
      </c>
    </row>
    <row r="161" spans="1:22">
      <c r="A161" s="15">
        <v>103156</v>
      </c>
      <c r="B161" s="15">
        <v>130001</v>
      </c>
      <c r="C161" s="15">
        <f t="shared" si="5"/>
        <v>1</v>
      </c>
      <c r="D161" s="15">
        <f t="shared" si="4"/>
        <v>2</v>
      </c>
      <c r="E161" s="15">
        <v>10</v>
      </c>
      <c r="F161" s="20" t="s">
        <v>46</v>
      </c>
      <c r="G161" s="16">
        <v>30</v>
      </c>
      <c r="H161" s="16">
        <v>20</v>
      </c>
      <c r="I161" s="16">
        <v>8</v>
      </c>
      <c r="J161" s="16">
        <v>20</v>
      </c>
      <c r="K161" s="16">
        <v>8</v>
      </c>
      <c r="L161" s="16">
        <v>3</v>
      </c>
      <c r="M161" s="22">
        <v>0</v>
      </c>
      <c r="N161" s="22">
        <v>0</v>
      </c>
      <c r="O161" s="22">
        <v>0</v>
      </c>
      <c r="P161" s="22">
        <v>0</v>
      </c>
      <c r="Q161" s="22">
        <v>0</v>
      </c>
      <c r="R161" s="22">
        <v>0</v>
      </c>
      <c r="S161" s="16">
        <v>0</v>
      </c>
      <c r="T161" s="15">
        <v>0</v>
      </c>
      <c r="U161" s="15">
        <v>1</v>
      </c>
      <c r="V161" s="15">
        <v>0</v>
      </c>
    </row>
    <row r="162" spans="1:22">
      <c r="A162" s="15">
        <v>103157</v>
      </c>
      <c r="B162" s="15">
        <v>130001</v>
      </c>
      <c r="C162" s="15">
        <f t="shared" si="5"/>
        <v>2</v>
      </c>
      <c r="D162" s="15">
        <f t="shared" si="4"/>
        <v>2</v>
      </c>
      <c r="E162" s="15">
        <v>0</v>
      </c>
      <c r="F162" s="20">
        <v>0</v>
      </c>
      <c r="G162" s="16">
        <v>50</v>
      </c>
      <c r="H162" s="16">
        <v>30</v>
      </c>
      <c r="I162" s="16">
        <v>12</v>
      </c>
      <c r="J162" s="16">
        <v>30</v>
      </c>
      <c r="K162" s="16">
        <v>12</v>
      </c>
      <c r="L162" s="16">
        <v>6</v>
      </c>
      <c r="M162" s="22">
        <v>0</v>
      </c>
      <c r="N162" s="22">
        <v>0</v>
      </c>
      <c r="O162" s="22">
        <v>15</v>
      </c>
      <c r="P162" s="22">
        <v>0</v>
      </c>
      <c r="Q162" s="22">
        <v>15</v>
      </c>
      <c r="R162" s="22">
        <v>0</v>
      </c>
      <c r="S162" s="16">
        <v>0</v>
      </c>
      <c r="T162" s="15">
        <v>230021</v>
      </c>
      <c r="U162" s="15">
        <v>0</v>
      </c>
      <c r="V162" s="15">
        <v>0</v>
      </c>
    </row>
    <row r="163" spans="1:22">
      <c r="A163" s="15">
        <v>103158</v>
      </c>
      <c r="B163" s="15">
        <v>231001</v>
      </c>
      <c r="C163" s="15">
        <f t="shared" si="5"/>
        <v>0</v>
      </c>
      <c r="D163" s="15">
        <f t="shared" si="4"/>
        <v>3</v>
      </c>
      <c r="E163" s="15">
        <v>15</v>
      </c>
      <c r="F163" s="20" t="s">
        <v>47</v>
      </c>
      <c r="G163" s="16">
        <v>60</v>
      </c>
      <c r="H163" s="16">
        <v>40</v>
      </c>
      <c r="I163" s="16">
        <v>16</v>
      </c>
      <c r="J163" s="16">
        <v>40</v>
      </c>
      <c r="K163" s="16">
        <v>16</v>
      </c>
      <c r="L163" s="16">
        <v>9</v>
      </c>
      <c r="M163" s="22">
        <v>0</v>
      </c>
      <c r="N163" s="22">
        <v>0</v>
      </c>
      <c r="O163" s="22">
        <v>0</v>
      </c>
      <c r="P163" s="22">
        <v>0</v>
      </c>
      <c r="Q163" s="22">
        <v>0</v>
      </c>
      <c r="R163" s="22">
        <v>0</v>
      </c>
      <c r="S163" s="22">
        <v>0</v>
      </c>
      <c r="T163" s="15">
        <v>0</v>
      </c>
      <c r="U163" s="15">
        <v>0</v>
      </c>
      <c r="V163" s="15">
        <v>0</v>
      </c>
    </row>
    <row r="164" spans="1:22">
      <c r="A164" s="15">
        <v>103159</v>
      </c>
      <c r="B164" s="15">
        <v>231001</v>
      </c>
      <c r="C164" s="15">
        <f t="shared" si="5"/>
        <v>1</v>
      </c>
      <c r="D164" s="15">
        <f t="shared" si="4"/>
        <v>3</v>
      </c>
      <c r="E164" s="15">
        <v>20</v>
      </c>
      <c r="F164" s="20" t="s">
        <v>48</v>
      </c>
      <c r="G164" s="16">
        <v>80</v>
      </c>
      <c r="H164" s="16">
        <v>50</v>
      </c>
      <c r="I164" s="16">
        <v>20</v>
      </c>
      <c r="J164" s="16">
        <v>50</v>
      </c>
      <c r="K164" s="16">
        <v>20</v>
      </c>
      <c r="L164" s="16">
        <v>12</v>
      </c>
      <c r="M164" s="22">
        <v>0</v>
      </c>
      <c r="N164" s="22">
        <v>0</v>
      </c>
      <c r="O164" s="22">
        <v>0</v>
      </c>
      <c r="P164" s="22">
        <v>0</v>
      </c>
      <c r="Q164" s="22">
        <v>0</v>
      </c>
      <c r="R164" s="22">
        <v>0</v>
      </c>
      <c r="S164" s="16">
        <v>0</v>
      </c>
      <c r="T164" s="15">
        <v>0</v>
      </c>
      <c r="U164" s="15">
        <v>0</v>
      </c>
      <c r="V164" s="15">
        <v>0</v>
      </c>
    </row>
    <row r="165" spans="1:22">
      <c r="A165" s="15">
        <v>103160</v>
      </c>
      <c r="B165" s="15">
        <v>231001</v>
      </c>
      <c r="C165" s="15">
        <f t="shared" si="5"/>
        <v>2</v>
      </c>
      <c r="D165" s="15">
        <f t="shared" si="4"/>
        <v>3</v>
      </c>
      <c r="E165" s="15">
        <v>25</v>
      </c>
      <c r="F165" s="20" t="s">
        <v>49</v>
      </c>
      <c r="G165" s="16">
        <v>100</v>
      </c>
      <c r="H165" s="16">
        <v>60</v>
      </c>
      <c r="I165" s="16">
        <v>24</v>
      </c>
      <c r="J165" s="16">
        <v>60</v>
      </c>
      <c r="K165" s="16">
        <v>24</v>
      </c>
      <c r="L165" s="16">
        <v>12</v>
      </c>
      <c r="M165" s="22">
        <v>0</v>
      </c>
      <c r="N165" s="22">
        <v>0</v>
      </c>
      <c r="O165" s="22">
        <v>20</v>
      </c>
      <c r="P165" s="22">
        <v>0</v>
      </c>
      <c r="Q165" s="22">
        <v>20</v>
      </c>
      <c r="R165" s="22">
        <v>0</v>
      </c>
      <c r="S165" s="16">
        <v>0</v>
      </c>
      <c r="T165" s="15">
        <v>0</v>
      </c>
      <c r="U165" s="15">
        <v>1</v>
      </c>
      <c r="V165" s="15">
        <v>0</v>
      </c>
    </row>
    <row r="166" spans="1:22">
      <c r="A166" s="15">
        <v>103161</v>
      </c>
      <c r="B166" s="15">
        <v>231001</v>
      </c>
      <c r="C166" s="15">
        <f t="shared" si="5"/>
        <v>3</v>
      </c>
      <c r="D166" s="15">
        <f t="shared" si="4"/>
        <v>3</v>
      </c>
      <c r="E166" s="15">
        <v>0</v>
      </c>
      <c r="F166" s="20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22">
        <v>0</v>
      </c>
      <c r="N166" s="22">
        <v>0</v>
      </c>
      <c r="O166" s="22">
        <v>0</v>
      </c>
      <c r="P166" s="22">
        <v>0</v>
      </c>
      <c r="Q166" s="22">
        <v>0</v>
      </c>
      <c r="R166" s="22">
        <v>0</v>
      </c>
      <c r="S166" s="16">
        <v>121001</v>
      </c>
      <c r="T166" s="15">
        <v>0</v>
      </c>
      <c r="U166" s="15">
        <v>0</v>
      </c>
      <c r="V166" s="15">
        <v>0</v>
      </c>
    </row>
    <row r="167" spans="1:22">
      <c r="A167" s="15">
        <v>103162</v>
      </c>
      <c r="B167" s="15">
        <v>331001</v>
      </c>
      <c r="C167" s="15">
        <f t="shared" si="5"/>
        <v>0</v>
      </c>
      <c r="D167" s="15">
        <f t="shared" si="4"/>
        <v>4</v>
      </c>
      <c r="E167" s="15">
        <v>30</v>
      </c>
      <c r="F167" s="20" t="s">
        <v>50</v>
      </c>
      <c r="G167" s="16">
        <v>5</v>
      </c>
      <c r="H167" s="16">
        <v>5</v>
      </c>
      <c r="I167" s="16">
        <v>4</v>
      </c>
      <c r="J167" s="16">
        <v>10</v>
      </c>
      <c r="K167" s="16">
        <v>4</v>
      </c>
      <c r="L167" s="16">
        <v>0</v>
      </c>
      <c r="M167" s="22">
        <v>0</v>
      </c>
      <c r="N167" s="22">
        <v>0</v>
      </c>
      <c r="O167" s="22">
        <v>0</v>
      </c>
      <c r="P167" s="22">
        <v>0</v>
      </c>
      <c r="Q167" s="22">
        <v>0</v>
      </c>
      <c r="R167" s="22">
        <v>0</v>
      </c>
      <c r="S167" s="22">
        <v>0</v>
      </c>
      <c r="T167" s="15">
        <v>230031</v>
      </c>
      <c r="U167" s="15">
        <v>0</v>
      </c>
      <c r="V167" s="15">
        <v>0</v>
      </c>
    </row>
    <row r="168" spans="1:22">
      <c r="A168" s="15">
        <v>103163</v>
      </c>
      <c r="B168" s="15">
        <v>331001</v>
      </c>
      <c r="C168" s="15">
        <f t="shared" si="5"/>
        <v>1</v>
      </c>
      <c r="D168" s="15">
        <f t="shared" si="4"/>
        <v>4</v>
      </c>
      <c r="E168" s="15">
        <v>35</v>
      </c>
      <c r="F168" s="20" t="s">
        <v>51</v>
      </c>
      <c r="G168" s="16">
        <v>30</v>
      </c>
      <c r="H168" s="16">
        <v>20</v>
      </c>
      <c r="I168" s="16">
        <v>8</v>
      </c>
      <c r="J168" s="16">
        <v>20</v>
      </c>
      <c r="K168" s="16">
        <v>8</v>
      </c>
      <c r="L168" s="16">
        <v>3</v>
      </c>
      <c r="M168" s="22">
        <v>0</v>
      </c>
      <c r="N168" s="22">
        <v>0</v>
      </c>
      <c r="O168" s="22">
        <v>0</v>
      </c>
      <c r="P168" s="22">
        <v>0</v>
      </c>
      <c r="Q168" s="22">
        <v>0</v>
      </c>
      <c r="R168" s="22">
        <v>0</v>
      </c>
      <c r="S168" s="16">
        <v>0</v>
      </c>
      <c r="T168" s="15">
        <v>0</v>
      </c>
      <c r="U168" s="15">
        <v>0</v>
      </c>
      <c r="V168" s="15">
        <v>0</v>
      </c>
    </row>
    <row r="169" spans="1:22">
      <c r="A169" s="15">
        <v>103164</v>
      </c>
      <c r="B169" s="15">
        <v>331001</v>
      </c>
      <c r="C169" s="15">
        <f t="shared" si="5"/>
        <v>2</v>
      </c>
      <c r="D169" s="15">
        <f t="shared" si="4"/>
        <v>4</v>
      </c>
      <c r="E169" s="15">
        <v>40</v>
      </c>
      <c r="F169" s="20" t="s">
        <v>52</v>
      </c>
      <c r="G169" s="16">
        <v>50</v>
      </c>
      <c r="H169" s="16">
        <v>30</v>
      </c>
      <c r="I169" s="16">
        <v>12</v>
      </c>
      <c r="J169" s="16">
        <v>30</v>
      </c>
      <c r="K169" s="16">
        <v>12</v>
      </c>
      <c r="L169" s="16">
        <v>6</v>
      </c>
      <c r="M169" s="22">
        <v>0</v>
      </c>
      <c r="N169" s="22">
        <v>0</v>
      </c>
      <c r="O169" s="22">
        <v>0</v>
      </c>
      <c r="P169" s="22">
        <v>0</v>
      </c>
      <c r="Q169" s="22">
        <v>0</v>
      </c>
      <c r="R169" s="22">
        <v>0</v>
      </c>
      <c r="S169" s="16">
        <v>0</v>
      </c>
      <c r="T169" s="15">
        <v>230041</v>
      </c>
      <c r="U169" s="15">
        <v>0</v>
      </c>
      <c r="V169" s="15">
        <v>0</v>
      </c>
    </row>
    <row r="170" spans="1:22">
      <c r="A170" s="15">
        <v>103165</v>
      </c>
      <c r="B170" s="15">
        <v>331001</v>
      </c>
      <c r="C170" s="15">
        <f t="shared" si="5"/>
        <v>3</v>
      </c>
      <c r="D170" s="15">
        <f t="shared" si="4"/>
        <v>4</v>
      </c>
      <c r="E170" s="15">
        <v>45</v>
      </c>
      <c r="F170" s="20" t="s">
        <v>53</v>
      </c>
      <c r="G170" s="16">
        <v>60</v>
      </c>
      <c r="H170" s="16">
        <v>40</v>
      </c>
      <c r="I170" s="16">
        <v>16</v>
      </c>
      <c r="J170" s="16">
        <v>40</v>
      </c>
      <c r="K170" s="16">
        <v>16</v>
      </c>
      <c r="L170" s="16">
        <v>9</v>
      </c>
      <c r="M170" s="22">
        <v>120</v>
      </c>
      <c r="N170" s="22">
        <v>30</v>
      </c>
      <c r="O170" s="22">
        <v>0</v>
      </c>
      <c r="P170" s="22">
        <v>0</v>
      </c>
      <c r="Q170" s="22">
        <v>0</v>
      </c>
      <c r="R170" s="22">
        <v>0</v>
      </c>
      <c r="S170" s="16">
        <v>0</v>
      </c>
      <c r="T170" s="15">
        <v>0</v>
      </c>
      <c r="U170" s="15">
        <v>1</v>
      </c>
      <c r="V170" s="15">
        <v>0</v>
      </c>
    </row>
    <row r="171" spans="1:22">
      <c r="A171" s="15">
        <v>103166</v>
      </c>
      <c r="B171" s="15">
        <v>331001</v>
      </c>
      <c r="C171" s="15">
        <f t="shared" si="5"/>
        <v>4</v>
      </c>
      <c r="D171" s="15">
        <f t="shared" si="4"/>
        <v>4</v>
      </c>
      <c r="E171" s="15">
        <v>0</v>
      </c>
      <c r="F171" s="20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16">
        <v>0</v>
      </c>
      <c r="T171" s="15">
        <v>230051</v>
      </c>
      <c r="U171" s="15">
        <v>0</v>
      </c>
      <c r="V171" s="15">
        <v>0</v>
      </c>
    </row>
    <row r="172" spans="1:22">
      <c r="A172" s="15">
        <v>103167</v>
      </c>
      <c r="B172" s="15">
        <v>232001</v>
      </c>
      <c r="C172" s="15">
        <f t="shared" si="5"/>
        <v>0</v>
      </c>
      <c r="D172" s="15">
        <f t="shared" si="4"/>
        <v>3</v>
      </c>
      <c r="E172" s="15">
        <v>15</v>
      </c>
      <c r="F172" s="20" t="s">
        <v>47</v>
      </c>
      <c r="G172" s="16">
        <v>60</v>
      </c>
      <c r="H172" s="16">
        <v>40</v>
      </c>
      <c r="I172" s="16">
        <v>16</v>
      </c>
      <c r="J172" s="16">
        <v>40</v>
      </c>
      <c r="K172" s="16">
        <v>16</v>
      </c>
      <c r="L172" s="16">
        <v>9</v>
      </c>
      <c r="M172" s="22">
        <v>0</v>
      </c>
      <c r="N172" s="22">
        <v>0</v>
      </c>
      <c r="O172" s="22">
        <v>0</v>
      </c>
      <c r="P172" s="22">
        <v>0</v>
      </c>
      <c r="Q172" s="22">
        <v>0</v>
      </c>
      <c r="R172" s="22">
        <v>0</v>
      </c>
      <c r="S172" s="22">
        <v>131001</v>
      </c>
      <c r="T172" s="15">
        <v>0</v>
      </c>
      <c r="U172" s="15">
        <v>0</v>
      </c>
      <c r="V172" s="15">
        <v>0</v>
      </c>
    </row>
    <row r="173" spans="1:22">
      <c r="A173" s="15">
        <v>103168</v>
      </c>
      <c r="B173" s="15">
        <v>232001</v>
      </c>
      <c r="C173" s="15">
        <f t="shared" si="5"/>
        <v>1</v>
      </c>
      <c r="D173" s="15">
        <f t="shared" si="4"/>
        <v>3</v>
      </c>
      <c r="E173" s="15">
        <v>20</v>
      </c>
      <c r="F173" s="20" t="s">
        <v>48</v>
      </c>
      <c r="G173" s="16">
        <v>80</v>
      </c>
      <c r="H173" s="16">
        <v>50</v>
      </c>
      <c r="I173" s="16">
        <v>20</v>
      </c>
      <c r="J173" s="16">
        <v>50</v>
      </c>
      <c r="K173" s="16">
        <v>20</v>
      </c>
      <c r="L173" s="16">
        <v>12</v>
      </c>
      <c r="M173" s="22">
        <v>0</v>
      </c>
      <c r="N173" s="22">
        <v>0</v>
      </c>
      <c r="O173" s="22">
        <v>0</v>
      </c>
      <c r="P173" s="22">
        <v>0</v>
      </c>
      <c r="Q173" s="22">
        <v>0</v>
      </c>
      <c r="R173" s="16">
        <v>0</v>
      </c>
      <c r="S173" s="16">
        <v>0</v>
      </c>
      <c r="T173" s="15">
        <v>0</v>
      </c>
      <c r="U173" s="15">
        <v>0</v>
      </c>
      <c r="V173" s="15">
        <v>0</v>
      </c>
    </row>
    <row r="174" spans="1:22">
      <c r="A174" s="15">
        <v>103169</v>
      </c>
      <c r="B174" s="15">
        <v>232001</v>
      </c>
      <c r="C174" s="15">
        <f t="shared" si="5"/>
        <v>2</v>
      </c>
      <c r="D174" s="15">
        <f t="shared" ref="D174:D237" si="6">LEFT(B174,1)+1</f>
        <v>3</v>
      </c>
      <c r="E174" s="15">
        <v>25</v>
      </c>
      <c r="F174" s="20" t="s">
        <v>49</v>
      </c>
      <c r="G174" s="16">
        <v>100</v>
      </c>
      <c r="H174" s="16">
        <v>60</v>
      </c>
      <c r="I174" s="16">
        <v>24</v>
      </c>
      <c r="J174" s="16">
        <v>60</v>
      </c>
      <c r="K174" s="16">
        <v>24</v>
      </c>
      <c r="L174" s="16">
        <v>12</v>
      </c>
      <c r="M174" s="22">
        <v>0</v>
      </c>
      <c r="N174" s="22">
        <v>0</v>
      </c>
      <c r="O174" s="22">
        <v>20</v>
      </c>
      <c r="P174" s="22">
        <v>0</v>
      </c>
      <c r="Q174" s="22">
        <v>20</v>
      </c>
      <c r="R174" s="16">
        <v>0</v>
      </c>
      <c r="S174" s="16">
        <v>0</v>
      </c>
      <c r="T174" s="15">
        <v>0</v>
      </c>
      <c r="U174" s="15">
        <v>1</v>
      </c>
      <c r="V174" s="15">
        <v>0</v>
      </c>
    </row>
    <row r="175" spans="1:22">
      <c r="A175" s="15">
        <v>103170</v>
      </c>
      <c r="B175" s="15">
        <v>232001</v>
      </c>
      <c r="C175" s="15">
        <f t="shared" ref="C175:C238" si="7">IF(LEFT(B174,1)=LEFT(B175,1),(C174+1),0)</f>
        <v>3</v>
      </c>
      <c r="D175" s="15">
        <f t="shared" si="6"/>
        <v>3</v>
      </c>
      <c r="E175" s="15">
        <v>0</v>
      </c>
      <c r="F175" s="20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22">
        <v>0</v>
      </c>
      <c r="N175" s="22">
        <v>0</v>
      </c>
      <c r="O175" s="22">
        <v>0</v>
      </c>
      <c r="P175" s="22">
        <v>0</v>
      </c>
      <c r="Q175" s="22">
        <v>0</v>
      </c>
      <c r="R175" s="16">
        <v>0</v>
      </c>
      <c r="S175" s="16">
        <v>0</v>
      </c>
      <c r="T175" s="15">
        <v>0</v>
      </c>
      <c r="U175" s="15">
        <v>0</v>
      </c>
      <c r="V175" s="15">
        <v>0</v>
      </c>
    </row>
    <row r="176" spans="1:22">
      <c r="A176" s="15">
        <v>103171</v>
      </c>
      <c r="B176" s="15">
        <v>332001</v>
      </c>
      <c r="C176" s="15">
        <f t="shared" si="7"/>
        <v>0</v>
      </c>
      <c r="D176" s="15">
        <f t="shared" si="6"/>
        <v>4</v>
      </c>
      <c r="E176" s="15">
        <v>30</v>
      </c>
      <c r="F176" s="20" t="s">
        <v>50</v>
      </c>
      <c r="G176" s="16">
        <v>5</v>
      </c>
      <c r="H176" s="16">
        <v>5</v>
      </c>
      <c r="I176" s="16">
        <v>4</v>
      </c>
      <c r="J176" s="16">
        <v>10</v>
      </c>
      <c r="K176" s="16">
        <v>4</v>
      </c>
      <c r="L176" s="16">
        <v>0</v>
      </c>
      <c r="M176" s="22">
        <v>0</v>
      </c>
      <c r="N176" s="22">
        <v>0</v>
      </c>
      <c r="O176" s="22">
        <v>0</v>
      </c>
      <c r="P176" s="22">
        <v>0</v>
      </c>
      <c r="Q176" s="22">
        <v>0</v>
      </c>
      <c r="R176" s="16">
        <v>0</v>
      </c>
      <c r="S176" s="22">
        <v>0</v>
      </c>
      <c r="T176" s="15">
        <v>230061</v>
      </c>
      <c r="U176" s="15">
        <v>0</v>
      </c>
      <c r="V176" s="15">
        <v>0</v>
      </c>
    </row>
    <row r="177" spans="1:22">
      <c r="A177" s="15">
        <v>103172</v>
      </c>
      <c r="B177" s="15">
        <v>332001</v>
      </c>
      <c r="C177" s="15">
        <f t="shared" si="7"/>
        <v>1</v>
      </c>
      <c r="D177" s="15">
        <f t="shared" si="6"/>
        <v>4</v>
      </c>
      <c r="E177" s="15">
        <v>35</v>
      </c>
      <c r="F177" s="20" t="s">
        <v>51</v>
      </c>
      <c r="G177" s="16">
        <v>30</v>
      </c>
      <c r="H177" s="16">
        <v>20</v>
      </c>
      <c r="I177" s="16">
        <v>8</v>
      </c>
      <c r="J177" s="16">
        <v>20</v>
      </c>
      <c r="K177" s="16">
        <v>8</v>
      </c>
      <c r="L177" s="16">
        <v>3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16">
        <v>0</v>
      </c>
      <c r="S177" s="16">
        <v>0</v>
      </c>
      <c r="T177" s="15">
        <v>0</v>
      </c>
      <c r="U177" s="15">
        <v>0</v>
      </c>
      <c r="V177" s="15">
        <v>0</v>
      </c>
    </row>
    <row r="178" spans="1:22">
      <c r="A178" s="15">
        <v>103173</v>
      </c>
      <c r="B178" s="15">
        <v>332001</v>
      </c>
      <c r="C178" s="15">
        <f t="shared" si="7"/>
        <v>2</v>
      </c>
      <c r="D178" s="15">
        <f t="shared" si="6"/>
        <v>4</v>
      </c>
      <c r="E178" s="15">
        <v>40</v>
      </c>
      <c r="F178" s="20" t="s">
        <v>52</v>
      </c>
      <c r="G178" s="16">
        <v>50</v>
      </c>
      <c r="H178" s="16">
        <v>30</v>
      </c>
      <c r="I178" s="16">
        <v>12</v>
      </c>
      <c r="J178" s="16">
        <v>30</v>
      </c>
      <c r="K178" s="16">
        <v>12</v>
      </c>
      <c r="L178" s="16">
        <v>6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16">
        <v>0</v>
      </c>
      <c r="S178" s="16">
        <v>0</v>
      </c>
      <c r="T178" s="15">
        <v>0</v>
      </c>
      <c r="U178" s="15">
        <v>0</v>
      </c>
      <c r="V178" s="15">
        <v>0</v>
      </c>
    </row>
    <row r="179" spans="1:22">
      <c r="A179" s="15">
        <v>103174</v>
      </c>
      <c r="B179" s="15">
        <v>332001</v>
      </c>
      <c r="C179" s="15">
        <f t="shared" si="7"/>
        <v>3</v>
      </c>
      <c r="D179" s="15">
        <f t="shared" si="6"/>
        <v>4</v>
      </c>
      <c r="E179" s="15">
        <v>45</v>
      </c>
      <c r="F179" s="20" t="s">
        <v>53</v>
      </c>
      <c r="G179" s="16">
        <v>60</v>
      </c>
      <c r="H179" s="16">
        <v>40</v>
      </c>
      <c r="I179" s="16">
        <v>16</v>
      </c>
      <c r="J179" s="16">
        <v>40</v>
      </c>
      <c r="K179" s="16">
        <v>16</v>
      </c>
      <c r="L179" s="16">
        <v>9</v>
      </c>
      <c r="M179" s="22">
        <v>120</v>
      </c>
      <c r="N179" s="22">
        <v>30</v>
      </c>
      <c r="O179" s="22">
        <v>0</v>
      </c>
      <c r="P179" s="22">
        <v>0</v>
      </c>
      <c r="Q179" s="22">
        <v>0</v>
      </c>
      <c r="R179" s="16">
        <v>0</v>
      </c>
      <c r="S179" s="16">
        <v>0</v>
      </c>
      <c r="T179" s="15">
        <v>0</v>
      </c>
      <c r="U179" s="15">
        <v>1</v>
      </c>
      <c r="V179" s="15">
        <v>0</v>
      </c>
    </row>
    <row r="180" spans="1:22">
      <c r="A180" s="15">
        <v>103175</v>
      </c>
      <c r="B180" s="15">
        <v>332001</v>
      </c>
      <c r="C180" s="15">
        <f t="shared" si="7"/>
        <v>4</v>
      </c>
      <c r="D180" s="15">
        <f t="shared" si="6"/>
        <v>4</v>
      </c>
      <c r="E180" s="15">
        <v>0</v>
      </c>
      <c r="F180" s="20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22">
        <v>0</v>
      </c>
      <c r="N180" s="22">
        <v>0</v>
      </c>
      <c r="O180" s="22">
        <v>0</v>
      </c>
      <c r="P180" s="22">
        <v>0</v>
      </c>
      <c r="Q180" s="22">
        <v>0</v>
      </c>
      <c r="R180" s="16">
        <v>0</v>
      </c>
      <c r="S180" s="16">
        <v>0</v>
      </c>
      <c r="T180" s="15">
        <v>230071</v>
      </c>
      <c r="U180" s="15">
        <v>0</v>
      </c>
      <c r="V180" s="15">
        <v>0</v>
      </c>
    </row>
    <row r="181" spans="1:22">
      <c r="A181" s="15">
        <v>103176</v>
      </c>
      <c r="B181" s="15">
        <v>130002</v>
      </c>
      <c r="C181" s="15">
        <f t="shared" si="7"/>
        <v>0</v>
      </c>
      <c r="D181" s="15">
        <f t="shared" si="6"/>
        <v>2</v>
      </c>
      <c r="E181" s="15">
        <v>5</v>
      </c>
      <c r="F181" s="20" t="s">
        <v>45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22">
        <v>0</v>
      </c>
      <c r="N181" s="22">
        <v>0</v>
      </c>
      <c r="O181" s="22">
        <v>0</v>
      </c>
      <c r="P181" s="22">
        <v>0</v>
      </c>
      <c r="Q181" s="22">
        <v>0</v>
      </c>
      <c r="R181" s="22">
        <v>0</v>
      </c>
      <c r="S181" s="22">
        <v>0</v>
      </c>
      <c r="T181" s="15">
        <v>0</v>
      </c>
      <c r="U181" s="15">
        <v>0</v>
      </c>
      <c r="V181" s="15">
        <v>0</v>
      </c>
    </row>
    <row r="182" spans="1:22">
      <c r="A182" s="15">
        <v>103177</v>
      </c>
      <c r="B182" s="15">
        <v>130002</v>
      </c>
      <c r="C182" s="15">
        <f t="shared" si="7"/>
        <v>1</v>
      </c>
      <c r="D182" s="15">
        <f t="shared" si="6"/>
        <v>2</v>
      </c>
      <c r="E182" s="15">
        <v>10</v>
      </c>
      <c r="F182" s="20" t="s">
        <v>46</v>
      </c>
      <c r="G182" s="16">
        <v>30</v>
      </c>
      <c r="H182" s="16">
        <v>20</v>
      </c>
      <c r="I182" s="16">
        <v>8</v>
      </c>
      <c r="J182" s="16">
        <v>20</v>
      </c>
      <c r="K182" s="16">
        <v>8</v>
      </c>
      <c r="L182" s="16">
        <v>3</v>
      </c>
      <c r="M182" s="22">
        <v>0</v>
      </c>
      <c r="N182" s="22">
        <v>0</v>
      </c>
      <c r="O182" s="22">
        <v>0</v>
      </c>
      <c r="P182" s="22">
        <v>0</v>
      </c>
      <c r="Q182" s="22">
        <v>0</v>
      </c>
      <c r="R182" s="16">
        <v>0</v>
      </c>
      <c r="S182" s="16">
        <v>0</v>
      </c>
      <c r="T182" s="15">
        <v>0</v>
      </c>
      <c r="U182" s="15">
        <v>1</v>
      </c>
      <c r="V182" s="15">
        <v>0</v>
      </c>
    </row>
    <row r="183" spans="1:22">
      <c r="A183" s="15">
        <v>103178</v>
      </c>
      <c r="B183" s="15">
        <v>130002</v>
      </c>
      <c r="C183" s="15">
        <f t="shared" si="7"/>
        <v>2</v>
      </c>
      <c r="D183" s="15">
        <f t="shared" si="6"/>
        <v>2</v>
      </c>
      <c r="E183" s="15">
        <v>0</v>
      </c>
      <c r="F183" s="20">
        <v>0</v>
      </c>
      <c r="G183" s="16">
        <v>50</v>
      </c>
      <c r="H183" s="16">
        <v>30</v>
      </c>
      <c r="I183" s="16">
        <v>12</v>
      </c>
      <c r="J183" s="16">
        <v>30</v>
      </c>
      <c r="K183" s="16">
        <v>12</v>
      </c>
      <c r="L183" s="16">
        <v>6</v>
      </c>
      <c r="M183" s="22">
        <v>0</v>
      </c>
      <c r="N183" s="22">
        <v>0</v>
      </c>
      <c r="O183" s="22">
        <v>15</v>
      </c>
      <c r="P183" s="22">
        <v>0</v>
      </c>
      <c r="Q183" s="22">
        <v>15</v>
      </c>
      <c r="R183" s="22">
        <v>0</v>
      </c>
      <c r="S183" s="16">
        <v>0</v>
      </c>
      <c r="T183" s="15">
        <v>0</v>
      </c>
      <c r="U183" s="15">
        <v>0</v>
      </c>
      <c r="V183" s="15">
        <v>0</v>
      </c>
    </row>
    <row r="184" spans="1:22">
      <c r="A184" s="15">
        <v>103179</v>
      </c>
      <c r="B184" s="15">
        <v>231002</v>
      </c>
      <c r="C184" s="15">
        <f t="shared" si="7"/>
        <v>0</v>
      </c>
      <c r="D184" s="15">
        <f t="shared" si="6"/>
        <v>3</v>
      </c>
      <c r="E184" s="15">
        <v>15</v>
      </c>
      <c r="F184" s="20" t="s">
        <v>47</v>
      </c>
      <c r="G184" s="16">
        <v>60</v>
      </c>
      <c r="H184" s="16">
        <v>40</v>
      </c>
      <c r="I184" s="16">
        <v>16</v>
      </c>
      <c r="J184" s="16">
        <v>40</v>
      </c>
      <c r="K184" s="16">
        <v>16</v>
      </c>
      <c r="L184" s="16">
        <v>9</v>
      </c>
      <c r="M184" s="22">
        <v>0</v>
      </c>
      <c r="N184" s="22">
        <v>0</v>
      </c>
      <c r="O184" s="22">
        <v>0</v>
      </c>
      <c r="P184" s="22">
        <v>0</v>
      </c>
      <c r="Q184" s="22">
        <v>0</v>
      </c>
      <c r="R184" s="22">
        <v>0</v>
      </c>
      <c r="S184" s="22">
        <v>0</v>
      </c>
      <c r="T184" s="15">
        <v>0</v>
      </c>
      <c r="U184" s="15">
        <v>0</v>
      </c>
      <c r="V184" s="15">
        <v>0</v>
      </c>
    </row>
    <row r="185" spans="1:22">
      <c r="A185" s="15">
        <v>103180</v>
      </c>
      <c r="B185" s="15">
        <v>231002</v>
      </c>
      <c r="C185" s="15">
        <f t="shared" si="7"/>
        <v>1</v>
      </c>
      <c r="D185" s="15">
        <f t="shared" si="6"/>
        <v>3</v>
      </c>
      <c r="E185" s="15">
        <v>20</v>
      </c>
      <c r="F185" s="20" t="s">
        <v>48</v>
      </c>
      <c r="G185" s="16">
        <v>80</v>
      </c>
      <c r="H185" s="16">
        <v>50</v>
      </c>
      <c r="I185" s="16">
        <v>20</v>
      </c>
      <c r="J185" s="16">
        <v>50</v>
      </c>
      <c r="K185" s="16">
        <v>20</v>
      </c>
      <c r="L185" s="16">
        <v>12</v>
      </c>
      <c r="M185" s="22">
        <v>0</v>
      </c>
      <c r="N185" s="22">
        <v>0</v>
      </c>
      <c r="O185" s="22">
        <v>0</v>
      </c>
      <c r="P185" s="22">
        <v>0</v>
      </c>
      <c r="Q185" s="22">
        <v>0</v>
      </c>
      <c r="R185" s="16">
        <v>0</v>
      </c>
      <c r="S185" s="16">
        <v>0</v>
      </c>
      <c r="T185" s="15">
        <v>230091</v>
      </c>
      <c r="U185" s="15">
        <v>0</v>
      </c>
      <c r="V185" s="15">
        <v>0</v>
      </c>
    </row>
    <row r="186" spans="1:22">
      <c r="A186" s="15">
        <v>103181</v>
      </c>
      <c r="B186" s="15">
        <v>231002</v>
      </c>
      <c r="C186" s="15">
        <f t="shared" si="7"/>
        <v>2</v>
      </c>
      <c r="D186" s="15">
        <f t="shared" si="6"/>
        <v>3</v>
      </c>
      <c r="E186" s="15">
        <v>25</v>
      </c>
      <c r="F186" s="20" t="s">
        <v>49</v>
      </c>
      <c r="G186" s="16">
        <v>100</v>
      </c>
      <c r="H186" s="16">
        <v>60</v>
      </c>
      <c r="I186" s="16">
        <v>24</v>
      </c>
      <c r="J186" s="16">
        <v>60</v>
      </c>
      <c r="K186" s="16">
        <v>24</v>
      </c>
      <c r="L186" s="16">
        <v>12</v>
      </c>
      <c r="M186" s="22">
        <v>0</v>
      </c>
      <c r="N186" s="22">
        <v>0</v>
      </c>
      <c r="O186" s="22">
        <v>20</v>
      </c>
      <c r="P186" s="22">
        <v>0</v>
      </c>
      <c r="Q186" s="22">
        <v>20</v>
      </c>
      <c r="R186" s="16">
        <v>0</v>
      </c>
      <c r="S186" s="16">
        <v>0</v>
      </c>
      <c r="T186" s="15">
        <v>0</v>
      </c>
      <c r="U186" s="15">
        <v>1</v>
      </c>
      <c r="V186" s="15">
        <v>0</v>
      </c>
    </row>
    <row r="187" spans="1:22">
      <c r="A187" s="15">
        <v>103182</v>
      </c>
      <c r="B187" s="15">
        <v>231002</v>
      </c>
      <c r="C187" s="15">
        <f t="shared" si="7"/>
        <v>3</v>
      </c>
      <c r="D187" s="15">
        <f t="shared" si="6"/>
        <v>3</v>
      </c>
      <c r="E187" s="15">
        <v>0</v>
      </c>
      <c r="F187" s="20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16">
        <v>0</v>
      </c>
      <c r="S187" s="16">
        <v>221001</v>
      </c>
      <c r="T187" s="15">
        <v>0</v>
      </c>
      <c r="U187" s="15">
        <v>0</v>
      </c>
      <c r="V187" s="15">
        <v>0</v>
      </c>
    </row>
    <row r="188" spans="1:22">
      <c r="A188" s="15">
        <v>103183</v>
      </c>
      <c r="B188" s="15">
        <v>331002</v>
      </c>
      <c r="C188" s="15">
        <f t="shared" si="7"/>
        <v>0</v>
      </c>
      <c r="D188" s="15">
        <f t="shared" si="6"/>
        <v>4</v>
      </c>
      <c r="E188" s="15">
        <v>30</v>
      </c>
      <c r="F188" s="20" t="s">
        <v>50</v>
      </c>
      <c r="G188" s="16">
        <v>5</v>
      </c>
      <c r="H188" s="16">
        <v>5</v>
      </c>
      <c r="I188" s="16">
        <v>4</v>
      </c>
      <c r="J188" s="16">
        <v>10</v>
      </c>
      <c r="K188" s="16">
        <v>4</v>
      </c>
      <c r="L188" s="16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16">
        <v>0</v>
      </c>
      <c r="S188" s="22">
        <v>0</v>
      </c>
      <c r="T188" s="15">
        <v>230101</v>
      </c>
      <c r="U188" s="15">
        <v>0</v>
      </c>
      <c r="V188" s="15">
        <v>0</v>
      </c>
    </row>
    <row r="189" spans="1:22">
      <c r="A189" s="15">
        <v>103184</v>
      </c>
      <c r="B189" s="15">
        <v>331002</v>
      </c>
      <c r="C189" s="15">
        <f t="shared" si="7"/>
        <v>1</v>
      </c>
      <c r="D189" s="15">
        <f t="shared" si="6"/>
        <v>4</v>
      </c>
      <c r="E189" s="15">
        <v>35</v>
      </c>
      <c r="F189" s="20" t="s">
        <v>51</v>
      </c>
      <c r="G189" s="16">
        <v>30</v>
      </c>
      <c r="H189" s="16">
        <v>20</v>
      </c>
      <c r="I189" s="16">
        <v>8</v>
      </c>
      <c r="J189" s="16">
        <v>20</v>
      </c>
      <c r="K189" s="16">
        <v>8</v>
      </c>
      <c r="L189" s="16">
        <v>3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16">
        <v>0</v>
      </c>
      <c r="S189" s="16">
        <v>0</v>
      </c>
      <c r="T189" s="15">
        <v>0</v>
      </c>
      <c r="U189" s="15">
        <v>0</v>
      </c>
      <c r="V189" s="15">
        <v>0</v>
      </c>
    </row>
    <row r="190" spans="1:22">
      <c r="A190" s="15">
        <v>103185</v>
      </c>
      <c r="B190" s="15">
        <v>331002</v>
      </c>
      <c r="C190" s="15">
        <f t="shared" si="7"/>
        <v>2</v>
      </c>
      <c r="D190" s="15">
        <f t="shared" si="6"/>
        <v>4</v>
      </c>
      <c r="E190" s="15">
        <v>40</v>
      </c>
      <c r="F190" s="20" t="s">
        <v>52</v>
      </c>
      <c r="G190" s="16">
        <v>50</v>
      </c>
      <c r="H190" s="16">
        <v>30</v>
      </c>
      <c r="I190" s="16">
        <v>12</v>
      </c>
      <c r="J190" s="16">
        <v>30</v>
      </c>
      <c r="K190" s="16">
        <v>12</v>
      </c>
      <c r="L190" s="16">
        <v>6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16">
        <v>0</v>
      </c>
      <c r="S190" s="16">
        <v>0</v>
      </c>
      <c r="T190" s="15">
        <v>230111</v>
      </c>
      <c r="U190" s="15">
        <v>0</v>
      </c>
      <c r="V190" s="15">
        <v>0</v>
      </c>
    </row>
    <row r="191" spans="1:22">
      <c r="A191" s="15">
        <v>103186</v>
      </c>
      <c r="B191" s="15">
        <v>331002</v>
      </c>
      <c r="C191" s="15">
        <f t="shared" si="7"/>
        <v>3</v>
      </c>
      <c r="D191" s="15">
        <f t="shared" si="6"/>
        <v>4</v>
      </c>
      <c r="E191" s="15">
        <v>45</v>
      </c>
      <c r="F191" s="20" t="s">
        <v>53</v>
      </c>
      <c r="G191" s="16">
        <v>60</v>
      </c>
      <c r="H191" s="16">
        <v>40</v>
      </c>
      <c r="I191" s="16">
        <v>16</v>
      </c>
      <c r="J191" s="16">
        <v>40</v>
      </c>
      <c r="K191" s="16">
        <v>16</v>
      </c>
      <c r="L191" s="16">
        <v>9</v>
      </c>
      <c r="M191" s="22">
        <v>120</v>
      </c>
      <c r="N191" s="22">
        <v>30</v>
      </c>
      <c r="O191" s="22">
        <v>0</v>
      </c>
      <c r="P191" s="22">
        <v>0</v>
      </c>
      <c r="Q191" s="22">
        <v>0</v>
      </c>
      <c r="R191" s="16">
        <v>0</v>
      </c>
      <c r="S191" s="16">
        <v>0</v>
      </c>
      <c r="T191" s="15">
        <v>0</v>
      </c>
      <c r="U191" s="15">
        <v>1</v>
      </c>
      <c r="V191" s="15">
        <v>0</v>
      </c>
    </row>
    <row r="192" spans="1:22">
      <c r="A192" s="15">
        <v>103187</v>
      </c>
      <c r="B192" s="15">
        <v>331002</v>
      </c>
      <c r="C192" s="15">
        <f t="shared" si="7"/>
        <v>4</v>
      </c>
      <c r="D192" s="15">
        <f t="shared" si="6"/>
        <v>4</v>
      </c>
      <c r="E192" s="15">
        <v>0</v>
      </c>
      <c r="F192" s="20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16">
        <v>0</v>
      </c>
      <c r="S192" s="16">
        <v>231001</v>
      </c>
      <c r="T192" s="15">
        <v>0</v>
      </c>
      <c r="U192" s="15">
        <v>0</v>
      </c>
      <c r="V192" s="15">
        <v>0</v>
      </c>
    </row>
    <row r="193" spans="1:22">
      <c r="A193" s="15">
        <v>103188</v>
      </c>
      <c r="B193" s="15">
        <v>232002</v>
      </c>
      <c r="C193" s="15">
        <f t="shared" si="7"/>
        <v>0</v>
      </c>
      <c r="D193" s="15">
        <f t="shared" si="6"/>
        <v>3</v>
      </c>
      <c r="E193" s="15">
        <v>15</v>
      </c>
      <c r="F193" s="20" t="s">
        <v>47</v>
      </c>
      <c r="G193" s="16">
        <v>60</v>
      </c>
      <c r="H193" s="16">
        <v>40</v>
      </c>
      <c r="I193" s="16">
        <v>16</v>
      </c>
      <c r="J193" s="16">
        <v>40</v>
      </c>
      <c r="K193" s="16">
        <v>16</v>
      </c>
      <c r="L193" s="16">
        <v>9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15">
        <v>230121</v>
      </c>
      <c r="U193" s="15">
        <v>0</v>
      </c>
      <c r="V193" s="15">
        <v>0</v>
      </c>
    </row>
    <row r="194" spans="1:22">
      <c r="A194" s="15">
        <v>103189</v>
      </c>
      <c r="B194" s="15">
        <v>232002</v>
      </c>
      <c r="C194" s="15">
        <f t="shared" si="7"/>
        <v>1</v>
      </c>
      <c r="D194" s="15">
        <f t="shared" si="6"/>
        <v>3</v>
      </c>
      <c r="E194" s="15">
        <v>20</v>
      </c>
      <c r="F194" s="20" t="s">
        <v>48</v>
      </c>
      <c r="G194" s="16">
        <v>80</v>
      </c>
      <c r="H194" s="16">
        <v>50</v>
      </c>
      <c r="I194" s="16">
        <v>20</v>
      </c>
      <c r="J194" s="16">
        <v>50</v>
      </c>
      <c r="K194" s="16">
        <v>20</v>
      </c>
      <c r="L194" s="16">
        <v>12</v>
      </c>
      <c r="M194" s="22">
        <v>0</v>
      </c>
      <c r="N194" s="22">
        <v>0</v>
      </c>
      <c r="O194" s="22">
        <v>0</v>
      </c>
      <c r="P194" s="22">
        <v>0</v>
      </c>
      <c r="Q194" s="22">
        <v>0</v>
      </c>
      <c r="R194" s="16">
        <v>0</v>
      </c>
      <c r="S194" s="16">
        <v>0</v>
      </c>
      <c r="T194" s="15">
        <v>0</v>
      </c>
      <c r="U194" s="15">
        <v>0</v>
      </c>
      <c r="V194" s="15">
        <v>0</v>
      </c>
    </row>
    <row r="195" spans="1:22">
      <c r="A195" s="15">
        <v>103190</v>
      </c>
      <c r="B195" s="15">
        <v>232002</v>
      </c>
      <c r="C195" s="15">
        <f t="shared" si="7"/>
        <v>2</v>
      </c>
      <c r="D195" s="15">
        <f t="shared" si="6"/>
        <v>3</v>
      </c>
      <c r="E195" s="15">
        <v>25</v>
      </c>
      <c r="F195" s="20" t="s">
        <v>49</v>
      </c>
      <c r="G195" s="16">
        <v>100</v>
      </c>
      <c r="H195" s="16">
        <v>60</v>
      </c>
      <c r="I195" s="16">
        <v>24</v>
      </c>
      <c r="J195" s="16">
        <v>60</v>
      </c>
      <c r="K195" s="16">
        <v>24</v>
      </c>
      <c r="L195" s="16">
        <v>12</v>
      </c>
      <c r="M195" s="22">
        <v>0</v>
      </c>
      <c r="N195" s="22">
        <v>0</v>
      </c>
      <c r="O195" s="22">
        <v>20</v>
      </c>
      <c r="P195" s="22">
        <v>0</v>
      </c>
      <c r="Q195" s="22">
        <v>20</v>
      </c>
      <c r="R195" s="16">
        <v>0</v>
      </c>
      <c r="S195" s="16">
        <v>0</v>
      </c>
      <c r="T195" s="15">
        <v>0</v>
      </c>
      <c r="U195" s="15">
        <v>1</v>
      </c>
      <c r="V195" s="15">
        <v>0</v>
      </c>
    </row>
    <row r="196" spans="1:22">
      <c r="A196" s="15">
        <v>103191</v>
      </c>
      <c r="B196" s="15">
        <v>232002</v>
      </c>
      <c r="C196" s="15">
        <f t="shared" si="7"/>
        <v>3</v>
      </c>
      <c r="D196" s="15">
        <f t="shared" si="6"/>
        <v>3</v>
      </c>
      <c r="E196" s="15">
        <v>0</v>
      </c>
      <c r="F196" s="20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22">
        <v>0</v>
      </c>
      <c r="N196" s="22">
        <v>0</v>
      </c>
      <c r="O196" s="22">
        <v>0</v>
      </c>
      <c r="P196" s="22">
        <v>0</v>
      </c>
      <c r="Q196" s="22">
        <v>0</v>
      </c>
      <c r="R196" s="16">
        <v>0</v>
      </c>
      <c r="S196" s="16">
        <v>231002</v>
      </c>
      <c r="T196" s="15">
        <v>0</v>
      </c>
      <c r="U196" s="15">
        <v>0</v>
      </c>
      <c r="V196" s="15">
        <v>0</v>
      </c>
    </row>
    <row r="197" spans="1:22">
      <c r="A197" s="15">
        <v>103192</v>
      </c>
      <c r="B197" s="15">
        <v>332002</v>
      </c>
      <c r="C197" s="15">
        <f t="shared" si="7"/>
        <v>0</v>
      </c>
      <c r="D197" s="15">
        <f t="shared" si="6"/>
        <v>4</v>
      </c>
      <c r="E197" s="15">
        <v>30</v>
      </c>
      <c r="F197" s="20" t="s">
        <v>50</v>
      </c>
      <c r="G197" s="16">
        <v>5</v>
      </c>
      <c r="H197" s="16">
        <v>5</v>
      </c>
      <c r="I197" s="16">
        <v>4</v>
      </c>
      <c r="J197" s="16">
        <v>10</v>
      </c>
      <c r="K197" s="16">
        <v>4</v>
      </c>
      <c r="L197" s="16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16">
        <v>0</v>
      </c>
      <c r="S197" s="22">
        <v>0</v>
      </c>
      <c r="T197" s="15">
        <v>230131</v>
      </c>
      <c r="U197" s="15">
        <v>0</v>
      </c>
      <c r="V197" s="15">
        <v>0</v>
      </c>
    </row>
    <row r="198" spans="1:22">
      <c r="A198" s="15">
        <v>103193</v>
      </c>
      <c r="B198" s="15">
        <v>332002</v>
      </c>
      <c r="C198" s="15">
        <f t="shared" si="7"/>
        <v>1</v>
      </c>
      <c r="D198" s="15">
        <f t="shared" si="6"/>
        <v>4</v>
      </c>
      <c r="E198" s="15">
        <v>35</v>
      </c>
      <c r="F198" s="20" t="s">
        <v>51</v>
      </c>
      <c r="G198" s="16">
        <v>30</v>
      </c>
      <c r="H198" s="16">
        <v>20</v>
      </c>
      <c r="I198" s="16">
        <v>8</v>
      </c>
      <c r="J198" s="16">
        <v>20</v>
      </c>
      <c r="K198" s="16">
        <v>8</v>
      </c>
      <c r="L198" s="16">
        <v>3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16">
        <v>0</v>
      </c>
      <c r="S198" s="16">
        <v>0</v>
      </c>
      <c r="T198" s="15">
        <v>0</v>
      </c>
      <c r="U198" s="15">
        <v>0</v>
      </c>
      <c r="V198" s="15">
        <v>0</v>
      </c>
    </row>
    <row r="199" spans="1:22">
      <c r="A199" s="15">
        <v>103194</v>
      </c>
      <c r="B199" s="15">
        <v>332002</v>
      </c>
      <c r="C199" s="15">
        <f t="shared" si="7"/>
        <v>2</v>
      </c>
      <c r="D199" s="15">
        <f t="shared" si="6"/>
        <v>4</v>
      </c>
      <c r="E199" s="15">
        <v>40</v>
      </c>
      <c r="F199" s="20" t="s">
        <v>52</v>
      </c>
      <c r="G199" s="16">
        <v>50</v>
      </c>
      <c r="H199" s="16">
        <v>30</v>
      </c>
      <c r="I199" s="16">
        <v>12</v>
      </c>
      <c r="J199" s="16">
        <v>30</v>
      </c>
      <c r="K199" s="16">
        <v>12</v>
      </c>
      <c r="L199" s="16">
        <v>6</v>
      </c>
      <c r="M199" s="22">
        <v>0</v>
      </c>
      <c r="N199" s="22">
        <v>0</v>
      </c>
      <c r="O199" s="22">
        <v>0</v>
      </c>
      <c r="P199" s="22">
        <v>0</v>
      </c>
      <c r="Q199" s="22">
        <v>0</v>
      </c>
      <c r="R199" s="16">
        <v>0</v>
      </c>
      <c r="S199" s="16">
        <v>0</v>
      </c>
      <c r="T199" s="15">
        <v>0</v>
      </c>
      <c r="U199" s="15">
        <v>0</v>
      </c>
      <c r="V199" s="15">
        <v>0</v>
      </c>
    </row>
    <row r="200" spans="1:22">
      <c r="A200" s="15">
        <v>103195</v>
      </c>
      <c r="B200" s="15">
        <v>332002</v>
      </c>
      <c r="C200" s="15">
        <f t="shared" si="7"/>
        <v>3</v>
      </c>
      <c r="D200" s="15">
        <f t="shared" si="6"/>
        <v>4</v>
      </c>
      <c r="E200" s="15">
        <v>45</v>
      </c>
      <c r="F200" s="20" t="s">
        <v>53</v>
      </c>
      <c r="G200" s="16">
        <v>60</v>
      </c>
      <c r="H200" s="16">
        <v>40</v>
      </c>
      <c r="I200" s="16">
        <v>16</v>
      </c>
      <c r="J200" s="16">
        <v>40</v>
      </c>
      <c r="K200" s="16">
        <v>16</v>
      </c>
      <c r="L200" s="16">
        <v>9</v>
      </c>
      <c r="M200" s="22">
        <v>120</v>
      </c>
      <c r="N200" s="22">
        <v>30</v>
      </c>
      <c r="O200" s="22">
        <v>0</v>
      </c>
      <c r="P200" s="22">
        <v>0</v>
      </c>
      <c r="Q200" s="22">
        <v>0</v>
      </c>
      <c r="R200" s="16">
        <v>0</v>
      </c>
      <c r="S200" s="16">
        <v>0</v>
      </c>
      <c r="T200" s="15">
        <v>0</v>
      </c>
      <c r="U200" s="15">
        <v>1</v>
      </c>
      <c r="V200" s="15">
        <v>0</v>
      </c>
    </row>
    <row r="201" spans="1:22">
      <c r="A201" s="15">
        <v>103196</v>
      </c>
      <c r="B201" s="15">
        <v>332002</v>
      </c>
      <c r="C201" s="15">
        <f t="shared" si="7"/>
        <v>4</v>
      </c>
      <c r="D201" s="15">
        <f t="shared" si="6"/>
        <v>4</v>
      </c>
      <c r="E201" s="15">
        <v>0</v>
      </c>
      <c r="F201" s="20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16">
        <v>0</v>
      </c>
      <c r="S201" s="16">
        <v>0</v>
      </c>
      <c r="T201" s="15">
        <v>230141</v>
      </c>
      <c r="U201" s="15">
        <v>0</v>
      </c>
      <c r="V201" s="15">
        <v>0</v>
      </c>
    </row>
    <row r="202" spans="1:22">
      <c r="A202" s="15">
        <v>103197</v>
      </c>
      <c r="B202" s="15">
        <v>130003</v>
      </c>
      <c r="C202" s="15">
        <f t="shared" si="7"/>
        <v>0</v>
      </c>
      <c r="D202" s="15">
        <f t="shared" si="6"/>
        <v>2</v>
      </c>
      <c r="E202" s="15">
        <v>5</v>
      </c>
      <c r="F202" s="20" t="s">
        <v>45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15">
        <v>0</v>
      </c>
      <c r="U202" s="15">
        <v>0</v>
      </c>
      <c r="V202" s="15">
        <v>0</v>
      </c>
    </row>
    <row r="203" spans="1:22">
      <c r="A203" s="15">
        <v>103198</v>
      </c>
      <c r="B203" s="15">
        <v>130003</v>
      </c>
      <c r="C203" s="15">
        <f t="shared" si="7"/>
        <v>1</v>
      </c>
      <c r="D203" s="15">
        <f t="shared" si="6"/>
        <v>2</v>
      </c>
      <c r="E203" s="15">
        <v>10</v>
      </c>
      <c r="F203" s="20" t="s">
        <v>46</v>
      </c>
      <c r="G203" s="16">
        <v>30</v>
      </c>
      <c r="H203" s="16">
        <v>20</v>
      </c>
      <c r="I203" s="16">
        <v>8</v>
      </c>
      <c r="J203" s="16">
        <v>20</v>
      </c>
      <c r="K203" s="16">
        <v>8</v>
      </c>
      <c r="L203" s="16">
        <v>3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16">
        <v>0</v>
      </c>
      <c r="S203" s="16">
        <v>0</v>
      </c>
      <c r="T203" s="15">
        <v>0</v>
      </c>
      <c r="U203" s="15">
        <v>1</v>
      </c>
      <c r="V203" s="15">
        <v>0</v>
      </c>
    </row>
    <row r="204" spans="1:22">
      <c r="A204" s="15">
        <v>103199</v>
      </c>
      <c r="B204" s="15">
        <v>130003</v>
      </c>
      <c r="C204" s="15">
        <f t="shared" si="7"/>
        <v>2</v>
      </c>
      <c r="D204" s="15">
        <f t="shared" si="6"/>
        <v>2</v>
      </c>
      <c r="E204" s="15">
        <v>0</v>
      </c>
      <c r="F204" s="20">
        <v>0</v>
      </c>
      <c r="G204" s="16">
        <v>50</v>
      </c>
      <c r="H204" s="16">
        <v>30</v>
      </c>
      <c r="I204" s="16">
        <v>12</v>
      </c>
      <c r="J204" s="16">
        <v>30</v>
      </c>
      <c r="K204" s="16">
        <v>12</v>
      </c>
      <c r="L204" s="16">
        <v>6</v>
      </c>
      <c r="M204" s="22">
        <v>0</v>
      </c>
      <c r="N204" s="22">
        <v>0</v>
      </c>
      <c r="O204" s="22">
        <v>15</v>
      </c>
      <c r="P204" s="22">
        <v>0</v>
      </c>
      <c r="Q204" s="22">
        <v>15</v>
      </c>
      <c r="R204" s="22">
        <v>0</v>
      </c>
      <c r="S204" s="16">
        <v>0</v>
      </c>
      <c r="T204" s="15">
        <v>0</v>
      </c>
      <c r="U204" s="15">
        <v>0</v>
      </c>
      <c r="V204" s="15">
        <v>0</v>
      </c>
    </row>
    <row r="205" spans="1:22">
      <c r="A205" s="15">
        <v>103200</v>
      </c>
      <c r="B205" s="15">
        <v>231003</v>
      </c>
      <c r="C205" s="15">
        <f t="shared" si="7"/>
        <v>0</v>
      </c>
      <c r="D205" s="15">
        <f t="shared" si="6"/>
        <v>3</v>
      </c>
      <c r="E205" s="15">
        <v>15</v>
      </c>
      <c r="F205" s="20" t="s">
        <v>47</v>
      </c>
      <c r="G205" s="16">
        <v>60</v>
      </c>
      <c r="H205" s="16">
        <v>40</v>
      </c>
      <c r="I205" s="16">
        <v>16</v>
      </c>
      <c r="J205" s="16">
        <v>40</v>
      </c>
      <c r="K205" s="16">
        <v>16</v>
      </c>
      <c r="L205" s="16">
        <v>9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15">
        <v>0</v>
      </c>
      <c r="U205" s="15">
        <v>0</v>
      </c>
      <c r="V205" s="15">
        <v>0</v>
      </c>
    </row>
    <row r="206" spans="1:22">
      <c r="A206" s="15">
        <v>103201</v>
      </c>
      <c r="B206" s="15">
        <v>231003</v>
      </c>
      <c r="C206" s="15">
        <f t="shared" si="7"/>
        <v>1</v>
      </c>
      <c r="D206" s="15">
        <f t="shared" si="6"/>
        <v>3</v>
      </c>
      <c r="E206" s="15">
        <v>20</v>
      </c>
      <c r="F206" s="20" t="s">
        <v>48</v>
      </c>
      <c r="G206" s="16">
        <v>80</v>
      </c>
      <c r="H206" s="16">
        <v>50</v>
      </c>
      <c r="I206" s="16">
        <v>20</v>
      </c>
      <c r="J206" s="16">
        <v>50</v>
      </c>
      <c r="K206" s="16">
        <v>20</v>
      </c>
      <c r="L206" s="16">
        <v>12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16">
        <v>0</v>
      </c>
      <c r="S206" s="16">
        <v>0</v>
      </c>
      <c r="T206" s="15">
        <v>230161</v>
      </c>
      <c r="U206" s="15">
        <v>0</v>
      </c>
      <c r="V206" s="15">
        <v>0</v>
      </c>
    </row>
    <row r="207" spans="1:22">
      <c r="A207" s="15">
        <v>103202</v>
      </c>
      <c r="B207" s="15">
        <v>231003</v>
      </c>
      <c r="C207" s="15">
        <f t="shared" si="7"/>
        <v>2</v>
      </c>
      <c r="D207" s="15">
        <f t="shared" si="6"/>
        <v>3</v>
      </c>
      <c r="E207" s="15">
        <v>25</v>
      </c>
      <c r="F207" s="20" t="s">
        <v>49</v>
      </c>
      <c r="G207" s="16">
        <v>100</v>
      </c>
      <c r="H207" s="16">
        <v>60</v>
      </c>
      <c r="I207" s="16">
        <v>24</v>
      </c>
      <c r="J207" s="16">
        <v>60</v>
      </c>
      <c r="K207" s="16">
        <v>24</v>
      </c>
      <c r="L207" s="16">
        <v>12</v>
      </c>
      <c r="M207" s="22">
        <v>0</v>
      </c>
      <c r="N207" s="22">
        <v>0</v>
      </c>
      <c r="O207" s="22">
        <v>20</v>
      </c>
      <c r="P207" s="22">
        <v>0</v>
      </c>
      <c r="Q207" s="22">
        <v>20</v>
      </c>
      <c r="R207" s="16">
        <v>0</v>
      </c>
      <c r="S207" s="16">
        <v>0</v>
      </c>
      <c r="T207" s="15">
        <v>0</v>
      </c>
      <c r="U207" s="15">
        <v>1</v>
      </c>
      <c r="V207" s="15">
        <v>0</v>
      </c>
    </row>
    <row r="208" spans="1:22">
      <c r="A208" s="15">
        <v>103203</v>
      </c>
      <c r="B208" s="15">
        <v>231003</v>
      </c>
      <c r="C208" s="15">
        <f t="shared" si="7"/>
        <v>3</v>
      </c>
      <c r="D208" s="15">
        <f t="shared" si="6"/>
        <v>3</v>
      </c>
      <c r="E208" s="15">
        <v>0</v>
      </c>
      <c r="F208" s="20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16">
        <v>0</v>
      </c>
      <c r="S208" s="16">
        <v>321001</v>
      </c>
      <c r="T208" s="15">
        <v>0</v>
      </c>
      <c r="U208" s="15">
        <v>0</v>
      </c>
      <c r="V208" s="15">
        <v>0</v>
      </c>
    </row>
    <row r="209" spans="1:22">
      <c r="A209" s="15">
        <v>103204</v>
      </c>
      <c r="B209" s="15">
        <v>331003</v>
      </c>
      <c r="C209" s="15">
        <f t="shared" si="7"/>
        <v>0</v>
      </c>
      <c r="D209" s="15">
        <f t="shared" si="6"/>
        <v>4</v>
      </c>
      <c r="E209" s="15">
        <v>30</v>
      </c>
      <c r="F209" s="20" t="s">
        <v>50</v>
      </c>
      <c r="G209" s="16">
        <v>5</v>
      </c>
      <c r="H209" s="16">
        <v>5</v>
      </c>
      <c r="I209" s="16">
        <v>4</v>
      </c>
      <c r="J209" s="16">
        <v>10</v>
      </c>
      <c r="K209" s="16">
        <v>4</v>
      </c>
      <c r="L209" s="16">
        <v>0</v>
      </c>
      <c r="M209" s="22">
        <v>0</v>
      </c>
      <c r="N209" s="22">
        <v>0</v>
      </c>
      <c r="O209" s="22">
        <v>0</v>
      </c>
      <c r="P209" s="22">
        <v>0</v>
      </c>
      <c r="Q209" s="22">
        <v>0</v>
      </c>
      <c r="R209" s="16">
        <v>0</v>
      </c>
      <c r="S209" s="22">
        <v>0</v>
      </c>
      <c r="T209" s="15">
        <v>230171</v>
      </c>
      <c r="U209" s="15">
        <v>0</v>
      </c>
      <c r="V209" s="15">
        <v>0</v>
      </c>
    </row>
    <row r="210" spans="1:22">
      <c r="A210" s="15">
        <v>103205</v>
      </c>
      <c r="B210" s="15">
        <v>331003</v>
      </c>
      <c r="C210" s="15">
        <f t="shared" si="7"/>
        <v>1</v>
      </c>
      <c r="D210" s="15">
        <f t="shared" si="6"/>
        <v>4</v>
      </c>
      <c r="E210" s="15">
        <v>35</v>
      </c>
      <c r="F210" s="20" t="s">
        <v>51</v>
      </c>
      <c r="G210" s="16">
        <v>30</v>
      </c>
      <c r="H210" s="16">
        <v>20</v>
      </c>
      <c r="I210" s="16">
        <v>8</v>
      </c>
      <c r="J210" s="16">
        <v>20</v>
      </c>
      <c r="K210" s="16">
        <v>8</v>
      </c>
      <c r="L210" s="16">
        <v>3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16">
        <v>0</v>
      </c>
      <c r="S210" s="16">
        <v>0</v>
      </c>
      <c r="T210" s="15">
        <v>0</v>
      </c>
      <c r="U210" s="15">
        <v>0</v>
      </c>
      <c r="V210" s="15">
        <v>0</v>
      </c>
    </row>
    <row r="211" spans="1:22">
      <c r="A211" s="15">
        <v>103206</v>
      </c>
      <c r="B211" s="15">
        <v>331003</v>
      </c>
      <c r="C211" s="15">
        <f t="shared" si="7"/>
        <v>2</v>
      </c>
      <c r="D211" s="15">
        <f t="shared" si="6"/>
        <v>4</v>
      </c>
      <c r="E211" s="15">
        <v>40</v>
      </c>
      <c r="F211" s="20" t="s">
        <v>52</v>
      </c>
      <c r="G211" s="16">
        <v>50</v>
      </c>
      <c r="H211" s="16">
        <v>30</v>
      </c>
      <c r="I211" s="16">
        <v>12</v>
      </c>
      <c r="J211" s="16">
        <v>30</v>
      </c>
      <c r="K211" s="16">
        <v>12</v>
      </c>
      <c r="L211" s="16">
        <v>6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16">
        <v>0</v>
      </c>
      <c r="S211" s="16">
        <v>0</v>
      </c>
      <c r="T211" s="15">
        <v>230181</v>
      </c>
      <c r="U211" s="15">
        <v>0</v>
      </c>
      <c r="V211" s="15">
        <v>0</v>
      </c>
    </row>
    <row r="212" spans="1:22">
      <c r="A212" s="15">
        <v>103207</v>
      </c>
      <c r="B212" s="15">
        <v>331003</v>
      </c>
      <c r="C212" s="15">
        <f t="shared" si="7"/>
        <v>3</v>
      </c>
      <c r="D212" s="15">
        <f t="shared" si="6"/>
        <v>4</v>
      </c>
      <c r="E212" s="15">
        <v>45</v>
      </c>
      <c r="F212" s="20" t="s">
        <v>53</v>
      </c>
      <c r="G212" s="16">
        <v>60</v>
      </c>
      <c r="H212" s="16">
        <v>40</v>
      </c>
      <c r="I212" s="16">
        <v>16</v>
      </c>
      <c r="J212" s="16">
        <v>40</v>
      </c>
      <c r="K212" s="16">
        <v>16</v>
      </c>
      <c r="L212" s="16">
        <v>9</v>
      </c>
      <c r="M212" s="22">
        <v>120</v>
      </c>
      <c r="N212" s="22">
        <v>30</v>
      </c>
      <c r="O212" s="22">
        <v>0</v>
      </c>
      <c r="P212" s="22">
        <v>0</v>
      </c>
      <c r="Q212" s="22">
        <v>0</v>
      </c>
      <c r="R212" s="16">
        <v>0</v>
      </c>
      <c r="S212" s="16">
        <v>0</v>
      </c>
      <c r="T212" s="15">
        <v>0</v>
      </c>
      <c r="U212" s="15">
        <v>1</v>
      </c>
      <c r="V212" s="15">
        <v>0</v>
      </c>
    </row>
    <row r="213" spans="1:22">
      <c r="A213" s="15">
        <v>103208</v>
      </c>
      <c r="B213" s="15">
        <v>331003</v>
      </c>
      <c r="C213" s="15">
        <f t="shared" si="7"/>
        <v>4</v>
      </c>
      <c r="D213" s="15">
        <f t="shared" si="6"/>
        <v>4</v>
      </c>
      <c r="E213" s="15">
        <v>0</v>
      </c>
      <c r="F213" s="20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16">
        <v>0</v>
      </c>
      <c r="S213" s="16">
        <v>331001</v>
      </c>
      <c r="T213" s="15">
        <v>0</v>
      </c>
      <c r="U213" s="15">
        <v>0</v>
      </c>
      <c r="V213" s="15">
        <v>0</v>
      </c>
    </row>
    <row r="214" spans="1:22">
      <c r="A214" s="15">
        <v>103209</v>
      </c>
      <c r="B214" s="15">
        <v>232003</v>
      </c>
      <c r="C214" s="15">
        <f t="shared" si="7"/>
        <v>0</v>
      </c>
      <c r="D214" s="15">
        <f t="shared" si="6"/>
        <v>3</v>
      </c>
      <c r="E214" s="15">
        <v>15</v>
      </c>
      <c r="F214" s="20" t="s">
        <v>47</v>
      </c>
      <c r="G214" s="16">
        <v>60</v>
      </c>
      <c r="H214" s="16">
        <v>40</v>
      </c>
      <c r="I214" s="16">
        <v>16</v>
      </c>
      <c r="J214" s="16">
        <v>40</v>
      </c>
      <c r="K214" s="16">
        <v>16</v>
      </c>
      <c r="L214" s="16">
        <v>9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15">
        <v>230191</v>
      </c>
      <c r="U214" s="15">
        <v>0</v>
      </c>
      <c r="V214" s="15">
        <v>0</v>
      </c>
    </row>
    <row r="215" spans="1:22">
      <c r="A215" s="15">
        <v>103210</v>
      </c>
      <c r="B215" s="15">
        <v>232003</v>
      </c>
      <c r="C215" s="15">
        <f t="shared" si="7"/>
        <v>1</v>
      </c>
      <c r="D215" s="15">
        <f t="shared" si="6"/>
        <v>3</v>
      </c>
      <c r="E215" s="15">
        <v>20</v>
      </c>
      <c r="F215" s="20" t="s">
        <v>48</v>
      </c>
      <c r="G215" s="16">
        <v>80</v>
      </c>
      <c r="H215" s="16">
        <v>50</v>
      </c>
      <c r="I215" s="16">
        <v>20</v>
      </c>
      <c r="J215" s="16">
        <v>50</v>
      </c>
      <c r="K215" s="16">
        <v>20</v>
      </c>
      <c r="L215" s="16">
        <v>12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16">
        <v>0</v>
      </c>
      <c r="S215" s="16">
        <v>0</v>
      </c>
      <c r="T215" s="15">
        <v>0</v>
      </c>
      <c r="U215" s="15">
        <v>0</v>
      </c>
      <c r="V215" s="15">
        <v>0</v>
      </c>
    </row>
    <row r="216" spans="1:22">
      <c r="A216" s="15">
        <v>103211</v>
      </c>
      <c r="B216" s="15">
        <v>232003</v>
      </c>
      <c r="C216" s="15">
        <f t="shared" si="7"/>
        <v>2</v>
      </c>
      <c r="D216" s="15">
        <f t="shared" si="6"/>
        <v>3</v>
      </c>
      <c r="E216" s="15">
        <v>25</v>
      </c>
      <c r="F216" s="20" t="s">
        <v>49</v>
      </c>
      <c r="G216" s="16">
        <v>100</v>
      </c>
      <c r="H216" s="16">
        <v>60</v>
      </c>
      <c r="I216" s="16">
        <v>24</v>
      </c>
      <c r="J216" s="16">
        <v>60</v>
      </c>
      <c r="K216" s="16">
        <v>24</v>
      </c>
      <c r="L216" s="16">
        <v>12</v>
      </c>
      <c r="M216" s="22">
        <v>0</v>
      </c>
      <c r="N216" s="22">
        <v>0</v>
      </c>
      <c r="O216" s="22">
        <v>20</v>
      </c>
      <c r="P216" s="22">
        <v>0</v>
      </c>
      <c r="Q216" s="22">
        <v>20</v>
      </c>
      <c r="R216" s="16">
        <v>0</v>
      </c>
      <c r="S216" s="16">
        <v>0</v>
      </c>
      <c r="T216" s="15">
        <v>0</v>
      </c>
      <c r="U216" s="15">
        <v>1</v>
      </c>
      <c r="V216" s="15">
        <v>0</v>
      </c>
    </row>
    <row r="217" spans="1:22">
      <c r="A217" s="15">
        <v>103212</v>
      </c>
      <c r="B217" s="15">
        <v>232003</v>
      </c>
      <c r="C217" s="15">
        <f t="shared" si="7"/>
        <v>3</v>
      </c>
      <c r="D217" s="15">
        <f t="shared" si="6"/>
        <v>3</v>
      </c>
      <c r="E217" s="15">
        <v>0</v>
      </c>
      <c r="F217" s="20">
        <v>0</v>
      </c>
      <c r="G217" s="16">
        <v>0</v>
      </c>
      <c r="H217" s="16">
        <v>0</v>
      </c>
      <c r="I217" s="16">
        <v>0</v>
      </c>
      <c r="J217" s="16">
        <v>0</v>
      </c>
      <c r="K217" s="16">
        <v>0</v>
      </c>
      <c r="L217" s="16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16">
        <v>0</v>
      </c>
      <c r="S217" s="16">
        <v>331002</v>
      </c>
      <c r="T217" s="15">
        <v>0</v>
      </c>
      <c r="U217" s="15">
        <v>0</v>
      </c>
      <c r="V217" s="15">
        <v>0</v>
      </c>
    </row>
    <row r="218" spans="1:22">
      <c r="A218" s="15">
        <v>103213</v>
      </c>
      <c r="B218" s="15">
        <v>332003</v>
      </c>
      <c r="C218" s="15">
        <f t="shared" si="7"/>
        <v>0</v>
      </c>
      <c r="D218" s="15">
        <f t="shared" si="6"/>
        <v>4</v>
      </c>
      <c r="E218" s="15">
        <v>30</v>
      </c>
      <c r="F218" s="20" t="s">
        <v>50</v>
      </c>
      <c r="G218" s="16">
        <v>5</v>
      </c>
      <c r="H218" s="16">
        <v>5</v>
      </c>
      <c r="I218" s="16">
        <v>4</v>
      </c>
      <c r="J218" s="16">
        <v>10</v>
      </c>
      <c r="K218" s="16">
        <v>4</v>
      </c>
      <c r="L218" s="16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16">
        <v>0</v>
      </c>
      <c r="S218" s="22">
        <v>0</v>
      </c>
      <c r="T218" s="15">
        <v>230201</v>
      </c>
      <c r="U218" s="15">
        <v>0</v>
      </c>
      <c r="V218" s="15">
        <v>0</v>
      </c>
    </row>
    <row r="219" spans="1:22">
      <c r="A219" s="15">
        <v>103214</v>
      </c>
      <c r="B219" s="15">
        <v>332003</v>
      </c>
      <c r="C219" s="15">
        <f t="shared" si="7"/>
        <v>1</v>
      </c>
      <c r="D219" s="15">
        <f t="shared" si="6"/>
        <v>4</v>
      </c>
      <c r="E219" s="15">
        <v>35</v>
      </c>
      <c r="F219" s="20" t="s">
        <v>51</v>
      </c>
      <c r="G219" s="16">
        <v>30</v>
      </c>
      <c r="H219" s="16">
        <v>20</v>
      </c>
      <c r="I219" s="16">
        <v>8</v>
      </c>
      <c r="J219" s="16">
        <v>20</v>
      </c>
      <c r="K219" s="16">
        <v>8</v>
      </c>
      <c r="L219" s="16">
        <v>3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16">
        <v>0</v>
      </c>
      <c r="S219" s="16">
        <v>0</v>
      </c>
      <c r="T219" s="15">
        <v>0</v>
      </c>
      <c r="U219" s="15">
        <v>0</v>
      </c>
      <c r="V219" s="15">
        <v>0</v>
      </c>
    </row>
    <row r="220" spans="1:22">
      <c r="A220" s="15">
        <v>103215</v>
      </c>
      <c r="B220" s="15">
        <v>332003</v>
      </c>
      <c r="C220" s="15">
        <f t="shared" si="7"/>
        <v>2</v>
      </c>
      <c r="D220" s="15">
        <f t="shared" si="6"/>
        <v>4</v>
      </c>
      <c r="E220" s="15">
        <v>40</v>
      </c>
      <c r="F220" s="20" t="s">
        <v>52</v>
      </c>
      <c r="G220" s="16">
        <v>50</v>
      </c>
      <c r="H220" s="16">
        <v>30</v>
      </c>
      <c r="I220" s="16">
        <v>12</v>
      </c>
      <c r="J220" s="16">
        <v>30</v>
      </c>
      <c r="K220" s="16">
        <v>12</v>
      </c>
      <c r="L220" s="16">
        <v>6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16">
        <v>0</v>
      </c>
      <c r="S220" s="16">
        <v>0</v>
      </c>
      <c r="T220" s="15">
        <v>0</v>
      </c>
      <c r="U220" s="15">
        <v>0</v>
      </c>
      <c r="V220" s="15">
        <v>0</v>
      </c>
    </row>
    <row r="221" spans="1:22">
      <c r="A221" s="15">
        <v>103216</v>
      </c>
      <c r="B221" s="15">
        <v>332003</v>
      </c>
      <c r="C221" s="15">
        <f t="shared" si="7"/>
        <v>3</v>
      </c>
      <c r="D221" s="15">
        <f t="shared" si="6"/>
        <v>4</v>
      </c>
      <c r="E221" s="15">
        <v>45</v>
      </c>
      <c r="F221" s="20" t="s">
        <v>53</v>
      </c>
      <c r="G221" s="16">
        <v>60</v>
      </c>
      <c r="H221" s="16">
        <v>40</v>
      </c>
      <c r="I221" s="16">
        <v>16</v>
      </c>
      <c r="J221" s="16">
        <v>40</v>
      </c>
      <c r="K221" s="16">
        <v>16</v>
      </c>
      <c r="L221" s="16">
        <v>9</v>
      </c>
      <c r="M221" s="22">
        <v>120</v>
      </c>
      <c r="N221" s="22">
        <v>30</v>
      </c>
      <c r="O221" s="22">
        <v>0</v>
      </c>
      <c r="P221" s="22">
        <v>0</v>
      </c>
      <c r="Q221" s="22">
        <v>0</v>
      </c>
      <c r="R221" s="16">
        <v>0</v>
      </c>
      <c r="S221" s="16">
        <v>0</v>
      </c>
      <c r="T221" s="15">
        <v>0</v>
      </c>
      <c r="U221" s="15">
        <v>1</v>
      </c>
      <c r="V221" s="15">
        <v>0</v>
      </c>
    </row>
    <row r="222" spans="1:22">
      <c r="A222" s="15">
        <v>103217</v>
      </c>
      <c r="B222" s="15">
        <v>332003</v>
      </c>
      <c r="C222" s="15">
        <f t="shared" si="7"/>
        <v>4</v>
      </c>
      <c r="D222" s="15">
        <f t="shared" si="6"/>
        <v>4</v>
      </c>
      <c r="E222" s="15">
        <v>0</v>
      </c>
      <c r="F222" s="20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22">
        <v>0</v>
      </c>
      <c r="N222" s="22">
        <v>0</v>
      </c>
      <c r="O222" s="22">
        <v>0</v>
      </c>
      <c r="P222" s="22">
        <v>0</v>
      </c>
      <c r="Q222" s="22">
        <v>0</v>
      </c>
      <c r="R222" s="16">
        <v>0</v>
      </c>
      <c r="S222" s="16">
        <v>0</v>
      </c>
      <c r="T222" s="15">
        <v>230211</v>
      </c>
      <c r="U222" s="15">
        <v>0</v>
      </c>
      <c r="V222" s="15">
        <v>0</v>
      </c>
    </row>
    <row r="223" spans="1:22">
      <c r="A223" s="15">
        <v>103218</v>
      </c>
      <c r="B223" s="15">
        <v>130004</v>
      </c>
      <c r="C223" s="15">
        <f t="shared" si="7"/>
        <v>0</v>
      </c>
      <c r="D223" s="15">
        <f t="shared" si="6"/>
        <v>2</v>
      </c>
      <c r="E223" s="15">
        <v>5</v>
      </c>
      <c r="F223" s="20" t="s">
        <v>45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22">
        <v>0</v>
      </c>
      <c r="N223" s="22">
        <v>0</v>
      </c>
      <c r="O223" s="22">
        <v>0</v>
      </c>
      <c r="P223" s="22">
        <v>0</v>
      </c>
      <c r="Q223" s="22">
        <v>0</v>
      </c>
      <c r="R223" s="22">
        <v>0</v>
      </c>
      <c r="S223" s="22">
        <v>0</v>
      </c>
      <c r="T223" s="15">
        <v>0</v>
      </c>
      <c r="U223" s="15">
        <v>0</v>
      </c>
      <c r="V223" s="15">
        <v>0</v>
      </c>
    </row>
    <row r="224" spans="1:22">
      <c r="A224" s="15">
        <v>103219</v>
      </c>
      <c r="B224" s="15">
        <v>130004</v>
      </c>
      <c r="C224" s="15">
        <f t="shared" si="7"/>
        <v>1</v>
      </c>
      <c r="D224" s="15">
        <f t="shared" si="6"/>
        <v>2</v>
      </c>
      <c r="E224" s="15">
        <v>10</v>
      </c>
      <c r="F224" s="20" t="s">
        <v>46</v>
      </c>
      <c r="G224" s="16">
        <v>30</v>
      </c>
      <c r="H224" s="16">
        <v>20</v>
      </c>
      <c r="I224" s="16">
        <v>8</v>
      </c>
      <c r="J224" s="16">
        <v>20</v>
      </c>
      <c r="K224" s="16">
        <v>8</v>
      </c>
      <c r="L224" s="16">
        <v>3</v>
      </c>
      <c r="M224" s="22">
        <v>0</v>
      </c>
      <c r="N224" s="22">
        <v>0</v>
      </c>
      <c r="O224" s="22">
        <v>0</v>
      </c>
      <c r="P224" s="22">
        <v>0</v>
      </c>
      <c r="Q224" s="22">
        <v>0</v>
      </c>
      <c r="R224" s="16">
        <v>0</v>
      </c>
      <c r="S224" s="16">
        <v>0</v>
      </c>
      <c r="T224" s="15">
        <v>0</v>
      </c>
      <c r="U224" s="15">
        <v>1</v>
      </c>
      <c r="V224" s="15">
        <v>0</v>
      </c>
    </row>
    <row r="225" spans="1:22">
      <c r="A225" s="15">
        <v>103220</v>
      </c>
      <c r="B225" s="15">
        <v>130004</v>
      </c>
      <c r="C225" s="15">
        <f t="shared" si="7"/>
        <v>2</v>
      </c>
      <c r="D225" s="15">
        <f t="shared" si="6"/>
        <v>2</v>
      </c>
      <c r="E225" s="15">
        <v>0</v>
      </c>
      <c r="F225" s="20">
        <v>0</v>
      </c>
      <c r="G225" s="16">
        <v>50</v>
      </c>
      <c r="H225" s="16">
        <v>30</v>
      </c>
      <c r="I225" s="16">
        <v>12</v>
      </c>
      <c r="J225" s="16">
        <v>30</v>
      </c>
      <c r="K225" s="16">
        <v>12</v>
      </c>
      <c r="L225" s="16">
        <v>6</v>
      </c>
      <c r="M225" s="22">
        <v>0</v>
      </c>
      <c r="N225" s="22">
        <v>0</v>
      </c>
      <c r="O225" s="22">
        <v>15</v>
      </c>
      <c r="P225" s="22">
        <v>0</v>
      </c>
      <c r="Q225" s="22">
        <v>15</v>
      </c>
      <c r="R225" s="22">
        <v>0</v>
      </c>
      <c r="S225" s="16">
        <v>0</v>
      </c>
      <c r="T225" s="15">
        <v>0</v>
      </c>
      <c r="U225" s="15">
        <v>0</v>
      </c>
      <c r="V225" s="15">
        <v>0</v>
      </c>
    </row>
    <row r="226" spans="1:22">
      <c r="A226" s="15">
        <v>103221</v>
      </c>
      <c r="B226" s="15">
        <v>231004</v>
      </c>
      <c r="C226" s="15">
        <f t="shared" si="7"/>
        <v>0</v>
      </c>
      <c r="D226" s="15">
        <f t="shared" si="6"/>
        <v>3</v>
      </c>
      <c r="E226" s="15">
        <v>15</v>
      </c>
      <c r="F226" s="20" t="s">
        <v>47</v>
      </c>
      <c r="G226" s="16">
        <v>60</v>
      </c>
      <c r="H226" s="16">
        <v>40</v>
      </c>
      <c r="I226" s="16">
        <v>16</v>
      </c>
      <c r="J226" s="16">
        <v>40</v>
      </c>
      <c r="K226" s="16">
        <v>16</v>
      </c>
      <c r="L226" s="16">
        <v>9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15">
        <v>0</v>
      </c>
      <c r="U226" s="15">
        <v>0</v>
      </c>
      <c r="V226" s="15">
        <v>0</v>
      </c>
    </row>
    <row r="227" spans="1:22">
      <c r="A227" s="15">
        <v>103222</v>
      </c>
      <c r="B227" s="15">
        <v>231004</v>
      </c>
      <c r="C227" s="15">
        <f t="shared" si="7"/>
        <v>1</v>
      </c>
      <c r="D227" s="15">
        <f t="shared" si="6"/>
        <v>3</v>
      </c>
      <c r="E227" s="15">
        <v>20</v>
      </c>
      <c r="F227" s="20" t="s">
        <v>48</v>
      </c>
      <c r="G227" s="16">
        <v>80</v>
      </c>
      <c r="H227" s="16">
        <v>50</v>
      </c>
      <c r="I227" s="16">
        <v>20</v>
      </c>
      <c r="J227" s="16">
        <v>50</v>
      </c>
      <c r="K227" s="16">
        <v>20</v>
      </c>
      <c r="L227" s="16">
        <v>12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16">
        <v>0</v>
      </c>
      <c r="S227" s="16">
        <v>0</v>
      </c>
      <c r="T227" s="15">
        <v>230231</v>
      </c>
      <c r="U227" s="15">
        <v>0</v>
      </c>
      <c r="V227" s="15">
        <v>0</v>
      </c>
    </row>
    <row r="228" spans="1:22">
      <c r="A228" s="15">
        <v>103223</v>
      </c>
      <c r="B228" s="15">
        <v>231004</v>
      </c>
      <c r="C228" s="15">
        <f t="shared" si="7"/>
        <v>2</v>
      </c>
      <c r="D228" s="15">
        <f t="shared" si="6"/>
        <v>3</v>
      </c>
      <c r="E228" s="15">
        <v>25</v>
      </c>
      <c r="F228" s="20" t="s">
        <v>49</v>
      </c>
      <c r="G228" s="16">
        <v>100</v>
      </c>
      <c r="H228" s="16">
        <v>60</v>
      </c>
      <c r="I228" s="16">
        <v>24</v>
      </c>
      <c r="J228" s="16">
        <v>60</v>
      </c>
      <c r="K228" s="16">
        <v>24</v>
      </c>
      <c r="L228" s="16">
        <v>12</v>
      </c>
      <c r="M228" s="22">
        <v>0</v>
      </c>
      <c r="N228" s="22">
        <v>0</v>
      </c>
      <c r="O228" s="22">
        <v>20</v>
      </c>
      <c r="P228" s="22">
        <v>0</v>
      </c>
      <c r="Q228" s="22">
        <v>20</v>
      </c>
      <c r="R228" s="16">
        <v>0</v>
      </c>
      <c r="S228" s="16">
        <v>0</v>
      </c>
      <c r="T228" s="15">
        <v>0</v>
      </c>
      <c r="U228" s="15">
        <v>1</v>
      </c>
      <c r="V228" s="15">
        <v>0</v>
      </c>
    </row>
    <row r="229" spans="1:22">
      <c r="A229" s="15">
        <v>103224</v>
      </c>
      <c r="B229" s="15">
        <v>231004</v>
      </c>
      <c r="C229" s="15">
        <f t="shared" si="7"/>
        <v>3</v>
      </c>
      <c r="D229" s="15">
        <f t="shared" si="6"/>
        <v>3</v>
      </c>
      <c r="E229" s="15">
        <v>0</v>
      </c>
      <c r="F229" s="20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16">
        <v>0</v>
      </c>
      <c r="S229" s="16">
        <v>121001</v>
      </c>
      <c r="T229" s="15">
        <v>0</v>
      </c>
      <c r="U229" s="15">
        <v>0</v>
      </c>
      <c r="V229" s="15">
        <v>0</v>
      </c>
    </row>
    <row r="230" spans="1:22">
      <c r="A230" s="15">
        <v>103225</v>
      </c>
      <c r="B230" s="15">
        <v>331004</v>
      </c>
      <c r="C230" s="15">
        <f t="shared" si="7"/>
        <v>0</v>
      </c>
      <c r="D230" s="15">
        <f t="shared" si="6"/>
        <v>4</v>
      </c>
      <c r="E230" s="15">
        <v>30</v>
      </c>
      <c r="F230" s="20" t="s">
        <v>50</v>
      </c>
      <c r="G230" s="16">
        <v>5</v>
      </c>
      <c r="H230" s="16">
        <v>5</v>
      </c>
      <c r="I230" s="16">
        <v>4</v>
      </c>
      <c r="J230" s="16">
        <v>10</v>
      </c>
      <c r="K230" s="16">
        <v>4</v>
      </c>
      <c r="L230" s="16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16">
        <v>0</v>
      </c>
      <c r="S230" s="22">
        <v>0</v>
      </c>
      <c r="T230" s="15">
        <v>230241</v>
      </c>
      <c r="U230" s="15">
        <v>0</v>
      </c>
      <c r="V230" s="15">
        <v>0</v>
      </c>
    </row>
    <row r="231" spans="1:22">
      <c r="A231" s="15">
        <v>103226</v>
      </c>
      <c r="B231" s="15">
        <v>331004</v>
      </c>
      <c r="C231" s="15">
        <f t="shared" si="7"/>
        <v>1</v>
      </c>
      <c r="D231" s="15">
        <f t="shared" si="6"/>
        <v>4</v>
      </c>
      <c r="E231" s="15">
        <v>35</v>
      </c>
      <c r="F231" s="20" t="s">
        <v>51</v>
      </c>
      <c r="G231" s="16">
        <v>30</v>
      </c>
      <c r="H231" s="16">
        <v>20</v>
      </c>
      <c r="I231" s="16">
        <v>8</v>
      </c>
      <c r="J231" s="16">
        <v>20</v>
      </c>
      <c r="K231" s="16">
        <v>8</v>
      </c>
      <c r="L231" s="16">
        <v>3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16">
        <v>0</v>
      </c>
      <c r="S231" s="16">
        <v>0</v>
      </c>
      <c r="T231" s="15">
        <v>0</v>
      </c>
      <c r="U231" s="15">
        <v>0</v>
      </c>
      <c r="V231" s="15">
        <v>0</v>
      </c>
    </row>
    <row r="232" spans="1:22">
      <c r="A232" s="15">
        <v>103227</v>
      </c>
      <c r="B232" s="15">
        <v>331004</v>
      </c>
      <c r="C232" s="15">
        <f t="shared" si="7"/>
        <v>2</v>
      </c>
      <c r="D232" s="15">
        <f t="shared" si="6"/>
        <v>4</v>
      </c>
      <c r="E232" s="15">
        <v>40</v>
      </c>
      <c r="F232" s="20" t="s">
        <v>52</v>
      </c>
      <c r="G232" s="16">
        <v>50</v>
      </c>
      <c r="H232" s="16">
        <v>30</v>
      </c>
      <c r="I232" s="16">
        <v>12</v>
      </c>
      <c r="J232" s="16">
        <v>30</v>
      </c>
      <c r="K232" s="16">
        <v>12</v>
      </c>
      <c r="L232" s="16">
        <v>6</v>
      </c>
      <c r="M232" s="22">
        <v>0</v>
      </c>
      <c r="N232" s="22">
        <v>0</v>
      </c>
      <c r="O232" s="22">
        <v>0</v>
      </c>
      <c r="P232" s="22">
        <v>0</v>
      </c>
      <c r="Q232" s="22">
        <v>0</v>
      </c>
      <c r="R232" s="16">
        <v>0</v>
      </c>
      <c r="S232" s="16">
        <v>0</v>
      </c>
      <c r="T232" s="15">
        <v>230251</v>
      </c>
      <c r="U232" s="15">
        <v>0</v>
      </c>
      <c r="V232" s="15">
        <v>0</v>
      </c>
    </row>
    <row r="233" spans="1:22">
      <c r="A233" s="15">
        <v>103228</v>
      </c>
      <c r="B233" s="15">
        <v>331004</v>
      </c>
      <c r="C233" s="15">
        <f t="shared" si="7"/>
        <v>3</v>
      </c>
      <c r="D233" s="15">
        <f t="shared" si="6"/>
        <v>4</v>
      </c>
      <c r="E233" s="15">
        <v>45</v>
      </c>
      <c r="F233" s="20" t="s">
        <v>53</v>
      </c>
      <c r="G233" s="16">
        <v>60</v>
      </c>
      <c r="H233" s="16">
        <v>40</v>
      </c>
      <c r="I233" s="16">
        <v>16</v>
      </c>
      <c r="J233" s="16">
        <v>40</v>
      </c>
      <c r="K233" s="16">
        <v>16</v>
      </c>
      <c r="L233" s="16">
        <v>9</v>
      </c>
      <c r="M233" s="22">
        <v>120</v>
      </c>
      <c r="N233" s="22">
        <v>30</v>
      </c>
      <c r="O233" s="22">
        <v>0</v>
      </c>
      <c r="P233" s="22">
        <v>0</v>
      </c>
      <c r="Q233" s="22">
        <v>0</v>
      </c>
      <c r="R233" s="16">
        <v>0</v>
      </c>
      <c r="S233" s="16">
        <v>0</v>
      </c>
      <c r="T233" s="15">
        <v>0</v>
      </c>
      <c r="U233" s="15">
        <v>1</v>
      </c>
      <c r="V233" s="15">
        <v>0</v>
      </c>
    </row>
    <row r="234" spans="1:22">
      <c r="A234" s="15">
        <v>103229</v>
      </c>
      <c r="B234" s="15">
        <v>331004</v>
      </c>
      <c r="C234" s="15">
        <f t="shared" si="7"/>
        <v>4</v>
      </c>
      <c r="D234" s="15">
        <f t="shared" si="6"/>
        <v>4</v>
      </c>
      <c r="E234" s="15">
        <v>0</v>
      </c>
      <c r="F234" s="20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22">
        <v>0</v>
      </c>
      <c r="N234" s="22">
        <v>0</v>
      </c>
      <c r="O234" s="22">
        <v>0</v>
      </c>
      <c r="P234" s="22">
        <v>0</v>
      </c>
      <c r="Q234" s="22">
        <v>0</v>
      </c>
      <c r="R234" s="16">
        <v>0</v>
      </c>
      <c r="S234" s="16">
        <v>0</v>
      </c>
      <c r="T234" s="15">
        <v>230261</v>
      </c>
      <c r="U234" s="15">
        <v>0</v>
      </c>
      <c r="V234" s="15">
        <v>0</v>
      </c>
    </row>
    <row r="235" spans="1:22">
      <c r="A235" s="15">
        <v>103230</v>
      </c>
      <c r="B235" s="15">
        <v>232004</v>
      </c>
      <c r="C235" s="15">
        <f t="shared" si="7"/>
        <v>0</v>
      </c>
      <c r="D235" s="15">
        <f t="shared" si="6"/>
        <v>3</v>
      </c>
      <c r="E235" s="15">
        <v>15</v>
      </c>
      <c r="F235" s="20" t="s">
        <v>47</v>
      </c>
      <c r="G235" s="16">
        <v>60</v>
      </c>
      <c r="H235" s="16">
        <v>40</v>
      </c>
      <c r="I235" s="16">
        <v>16</v>
      </c>
      <c r="J235" s="16">
        <v>40</v>
      </c>
      <c r="K235" s="16">
        <v>16</v>
      </c>
      <c r="L235" s="16">
        <v>9</v>
      </c>
      <c r="M235" s="22">
        <v>0</v>
      </c>
      <c r="N235" s="22">
        <v>0</v>
      </c>
      <c r="O235" s="22">
        <v>0</v>
      </c>
      <c r="P235" s="22">
        <v>0</v>
      </c>
      <c r="Q235" s="22">
        <v>0</v>
      </c>
      <c r="R235" s="22">
        <v>0</v>
      </c>
      <c r="S235" s="22">
        <v>131001</v>
      </c>
      <c r="T235" s="15">
        <v>0</v>
      </c>
      <c r="U235" s="15">
        <v>0</v>
      </c>
      <c r="V235" s="15">
        <v>0</v>
      </c>
    </row>
    <row r="236" spans="1:22">
      <c r="A236" s="15">
        <v>103231</v>
      </c>
      <c r="B236" s="15">
        <v>232004</v>
      </c>
      <c r="C236" s="15">
        <f t="shared" si="7"/>
        <v>1</v>
      </c>
      <c r="D236" s="15">
        <f t="shared" si="6"/>
        <v>3</v>
      </c>
      <c r="E236" s="15">
        <v>20</v>
      </c>
      <c r="F236" s="20" t="s">
        <v>48</v>
      </c>
      <c r="G236" s="16">
        <v>80</v>
      </c>
      <c r="H236" s="16">
        <v>50</v>
      </c>
      <c r="I236" s="16">
        <v>20</v>
      </c>
      <c r="J236" s="16">
        <v>50</v>
      </c>
      <c r="K236" s="16">
        <v>20</v>
      </c>
      <c r="L236" s="16">
        <v>12</v>
      </c>
      <c r="M236" s="22">
        <v>0</v>
      </c>
      <c r="N236" s="22">
        <v>0</v>
      </c>
      <c r="O236" s="22">
        <v>0</v>
      </c>
      <c r="P236" s="22">
        <v>0</v>
      </c>
      <c r="Q236" s="22">
        <v>0</v>
      </c>
      <c r="R236" s="16">
        <v>0</v>
      </c>
      <c r="S236" s="16">
        <v>0</v>
      </c>
      <c r="T236" s="15">
        <v>0</v>
      </c>
      <c r="U236" s="15">
        <v>0</v>
      </c>
      <c r="V236" s="15">
        <v>0</v>
      </c>
    </row>
    <row r="237" spans="1:22">
      <c r="A237" s="15">
        <v>103232</v>
      </c>
      <c r="B237" s="15">
        <v>232004</v>
      </c>
      <c r="C237" s="15">
        <f t="shared" si="7"/>
        <v>2</v>
      </c>
      <c r="D237" s="15">
        <f t="shared" si="6"/>
        <v>3</v>
      </c>
      <c r="E237" s="15">
        <v>25</v>
      </c>
      <c r="F237" s="20" t="s">
        <v>49</v>
      </c>
      <c r="G237" s="16">
        <v>100</v>
      </c>
      <c r="H237" s="16">
        <v>60</v>
      </c>
      <c r="I237" s="16">
        <v>24</v>
      </c>
      <c r="J237" s="16">
        <v>60</v>
      </c>
      <c r="K237" s="16">
        <v>24</v>
      </c>
      <c r="L237" s="16">
        <v>12</v>
      </c>
      <c r="M237" s="22">
        <v>0</v>
      </c>
      <c r="N237" s="22">
        <v>0</v>
      </c>
      <c r="O237" s="22">
        <v>20</v>
      </c>
      <c r="P237" s="22">
        <v>0</v>
      </c>
      <c r="Q237" s="22">
        <v>20</v>
      </c>
      <c r="R237" s="16">
        <v>0</v>
      </c>
      <c r="S237" s="16">
        <v>0</v>
      </c>
      <c r="T237" s="15">
        <v>0</v>
      </c>
      <c r="U237" s="15">
        <v>1</v>
      </c>
      <c r="V237" s="15">
        <v>0</v>
      </c>
    </row>
    <row r="238" spans="1:22">
      <c r="A238" s="15">
        <v>103233</v>
      </c>
      <c r="B238" s="15">
        <v>232004</v>
      </c>
      <c r="C238" s="15">
        <f t="shared" si="7"/>
        <v>3</v>
      </c>
      <c r="D238" s="15">
        <f t="shared" ref="D238:D301" si="8">LEFT(B238,1)+1</f>
        <v>3</v>
      </c>
      <c r="E238" s="15">
        <v>0</v>
      </c>
      <c r="F238" s="20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22">
        <v>0</v>
      </c>
      <c r="N238" s="22">
        <v>0</v>
      </c>
      <c r="O238" s="22">
        <v>0</v>
      </c>
      <c r="P238" s="22">
        <v>0</v>
      </c>
      <c r="Q238" s="22">
        <v>0</v>
      </c>
      <c r="R238" s="16">
        <v>0</v>
      </c>
      <c r="S238" s="16">
        <v>0</v>
      </c>
      <c r="T238" s="15">
        <v>0</v>
      </c>
      <c r="U238" s="15">
        <v>0</v>
      </c>
      <c r="V238" s="15">
        <v>0</v>
      </c>
    </row>
    <row r="239" spans="1:22">
      <c r="A239" s="15">
        <v>103234</v>
      </c>
      <c r="B239" s="15">
        <v>332004</v>
      </c>
      <c r="C239" s="15">
        <f t="shared" ref="C239:C302" si="9">IF(LEFT(B238,1)=LEFT(B239,1),(C238+1),0)</f>
        <v>0</v>
      </c>
      <c r="D239" s="15">
        <f t="shared" si="8"/>
        <v>4</v>
      </c>
      <c r="E239" s="15">
        <v>30</v>
      </c>
      <c r="F239" s="20" t="s">
        <v>50</v>
      </c>
      <c r="G239" s="16">
        <v>5</v>
      </c>
      <c r="H239" s="16">
        <v>5</v>
      </c>
      <c r="I239" s="16">
        <v>4</v>
      </c>
      <c r="J239" s="16">
        <v>10</v>
      </c>
      <c r="K239" s="16">
        <v>4</v>
      </c>
      <c r="L239" s="16">
        <v>0</v>
      </c>
      <c r="M239" s="22">
        <v>0</v>
      </c>
      <c r="N239" s="22">
        <v>0</v>
      </c>
      <c r="O239" s="22">
        <v>0</v>
      </c>
      <c r="P239" s="22">
        <v>0</v>
      </c>
      <c r="Q239" s="22">
        <v>0</v>
      </c>
      <c r="R239" s="16">
        <v>0</v>
      </c>
      <c r="S239" s="22">
        <v>0</v>
      </c>
      <c r="T239" s="15">
        <v>230271</v>
      </c>
      <c r="U239" s="15">
        <v>0</v>
      </c>
      <c r="V239" s="15">
        <v>0</v>
      </c>
    </row>
    <row r="240" spans="1:22">
      <c r="A240" s="15">
        <v>103235</v>
      </c>
      <c r="B240" s="15">
        <v>332004</v>
      </c>
      <c r="C240" s="15">
        <f t="shared" si="9"/>
        <v>1</v>
      </c>
      <c r="D240" s="15">
        <f t="shared" si="8"/>
        <v>4</v>
      </c>
      <c r="E240" s="15">
        <v>35</v>
      </c>
      <c r="F240" s="20" t="s">
        <v>51</v>
      </c>
      <c r="G240" s="16">
        <v>30</v>
      </c>
      <c r="H240" s="16">
        <v>20</v>
      </c>
      <c r="I240" s="16">
        <v>8</v>
      </c>
      <c r="J240" s="16">
        <v>20</v>
      </c>
      <c r="K240" s="16">
        <v>8</v>
      </c>
      <c r="L240" s="16">
        <v>3</v>
      </c>
      <c r="M240" s="22">
        <v>0</v>
      </c>
      <c r="N240" s="22">
        <v>0</v>
      </c>
      <c r="O240" s="22">
        <v>0</v>
      </c>
      <c r="P240" s="22">
        <v>0</v>
      </c>
      <c r="Q240" s="22">
        <v>0</v>
      </c>
      <c r="R240" s="16">
        <v>0</v>
      </c>
      <c r="S240" s="16">
        <v>0</v>
      </c>
      <c r="T240" s="15">
        <v>0</v>
      </c>
      <c r="U240" s="15">
        <v>0</v>
      </c>
      <c r="V240" s="15">
        <v>0</v>
      </c>
    </row>
    <row r="241" spans="1:22">
      <c r="A241" s="15">
        <v>103236</v>
      </c>
      <c r="B241" s="15">
        <v>332004</v>
      </c>
      <c r="C241" s="15">
        <f t="shared" si="9"/>
        <v>2</v>
      </c>
      <c r="D241" s="15">
        <f t="shared" si="8"/>
        <v>4</v>
      </c>
      <c r="E241" s="15">
        <v>40</v>
      </c>
      <c r="F241" s="20" t="s">
        <v>52</v>
      </c>
      <c r="G241" s="16">
        <v>50</v>
      </c>
      <c r="H241" s="16">
        <v>30</v>
      </c>
      <c r="I241" s="16">
        <v>12</v>
      </c>
      <c r="J241" s="16">
        <v>30</v>
      </c>
      <c r="K241" s="16">
        <v>12</v>
      </c>
      <c r="L241" s="16">
        <v>6</v>
      </c>
      <c r="M241" s="22">
        <v>0</v>
      </c>
      <c r="N241" s="22">
        <v>0</v>
      </c>
      <c r="O241" s="22">
        <v>0</v>
      </c>
      <c r="P241" s="22">
        <v>0</v>
      </c>
      <c r="Q241" s="22">
        <v>0</v>
      </c>
      <c r="R241" s="16">
        <v>0</v>
      </c>
      <c r="S241" s="16">
        <v>0</v>
      </c>
      <c r="T241" s="15">
        <v>0</v>
      </c>
      <c r="U241" s="15">
        <v>0</v>
      </c>
      <c r="V241" s="15">
        <v>0</v>
      </c>
    </row>
    <row r="242" spans="1:22">
      <c r="A242" s="15">
        <v>103237</v>
      </c>
      <c r="B242" s="15">
        <v>332004</v>
      </c>
      <c r="C242" s="15">
        <f t="shared" si="9"/>
        <v>3</v>
      </c>
      <c r="D242" s="15">
        <f t="shared" si="8"/>
        <v>4</v>
      </c>
      <c r="E242" s="15">
        <v>45</v>
      </c>
      <c r="F242" s="20" t="s">
        <v>53</v>
      </c>
      <c r="G242" s="16">
        <v>60</v>
      </c>
      <c r="H242" s="16">
        <v>40</v>
      </c>
      <c r="I242" s="16">
        <v>16</v>
      </c>
      <c r="J242" s="16">
        <v>40</v>
      </c>
      <c r="K242" s="16">
        <v>16</v>
      </c>
      <c r="L242" s="16">
        <v>9</v>
      </c>
      <c r="M242" s="22">
        <v>120</v>
      </c>
      <c r="N242" s="22">
        <v>30</v>
      </c>
      <c r="O242" s="22">
        <v>0</v>
      </c>
      <c r="P242" s="22">
        <v>0</v>
      </c>
      <c r="Q242" s="22">
        <v>0</v>
      </c>
      <c r="R242" s="16">
        <v>0</v>
      </c>
      <c r="S242" s="16">
        <v>0</v>
      </c>
      <c r="T242" s="15">
        <v>0</v>
      </c>
      <c r="U242" s="15">
        <v>1</v>
      </c>
      <c r="V242" s="15">
        <v>0</v>
      </c>
    </row>
    <row r="243" spans="1:22">
      <c r="A243" s="15">
        <v>103238</v>
      </c>
      <c r="B243" s="15">
        <v>332004</v>
      </c>
      <c r="C243" s="15">
        <f t="shared" si="9"/>
        <v>4</v>
      </c>
      <c r="D243" s="15">
        <f t="shared" si="8"/>
        <v>4</v>
      </c>
      <c r="E243" s="15">
        <v>0</v>
      </c>
      <c r="F243" s="20">
        <v>0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22">
        <v>0</v>
      </c>
      <c r="N243" s="22">
        <v>0</v>
      </c>
      <c r="O243" s="22">
        <v>0</v>
      </c>
      <c r="P243" s="22">
        <v>0</v>
      </c>
      <c r="Q243" s="22">
        <v>0</v>
      </c>
      <c r="R243" s="16">
        <v>0</v>
      </c>
      <c r="S243" s="16">
        <v>0</v>
      </c>
      <c r="T243" s="15">
        <v>230281</v>
      </c>
      <c r="U243" s="15">
        <v>0</v>
      </c>
      <c r="V243" s="15">
        <v>0</v>
      </c>
    </row>
    <row r="244" spans="1:22">
      <c r="A244" s="15">
        <v>103239</v>
      </c>
      <c r="B244" s="15">
        <v>130005</v>
      </c>
      <c r="C244" s="15">
        <f t="shared" si="9"/>
        <v>0</v>
      </c>
      <c r="D244" s="15">
        <f t="shared" si="8"/>
        <v>2</v>
      </c>
      <c r="E244" s="15">
        <v>5</v>
      </c>
      <c r="F244" s="20" t="s">
        <v>45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22">
        <v>0</v>
      </c>
      <c r="N244" s="22">
        <v>0</v>
      </c>
      <c r="O244" s="22">
        <v>0</v>
      </c>
      <c r="P244" s="22">
        <v>0</v>
      </c>
      <c r="Q244" s="22">
        <v>0</v>
      </c>
      <c r="R244" s="22">
        <v>0</v>
      </c>
      <c r="S244" s="22">
        <v>0</v>
      </c>
      <c r="T244" s="15">
        <v>0</v>
      </c>
      <c r="U244" s="15">
        <v>0</v>
      </c>
      <c r="V244" s="15">
        <v>0</v>
      </c>
    </row>
    <row r="245" spans="1:22">
      <c r="A245" s="15">
        <v>103240</v>
      </c>
      <c r="B245" s="15">
        <v>130005</v>
      </c>
      <c r="C245" s="15">
        <f t="shared" si="9"/>
        <v>1</v>
      </c>
      <c r="D245" s="15">
        <f t="shared" si="8"/>
        <v>2</v>
      </c>
      <c r="E245" s="15">
        <v>10</v>
      </c>
      <c r="F245" s="20" t="s">
        <v>46</v>
      </c>
      <c r="G245" s="16">
        <v>30</v>
      </c>
      <c r="H245" s="16">
        <v>20</v>
      </c>
      <c r="I245" s="16">
        <v>8</v>
      </c>
      <c r="J245" s="16">
        <v>20</v>
      </c>
      <c r="K245" s="16">
        <v>8</v>
      </c>
      <c r="L245" s="16">
        <v>3</v>
      </c>
      <c r="M245" s="22">
        <v>0</v>
      </c>
      <c r="N245" s="22">
        <v>0</v>
      </c>
      <c r="O245" s="22">
        <v>0</v>
      </c>
      <c r="P245" s="22">
        <v>0</v>
      </c>
      <c r="Q245" s="22">
        <v>0</v>
      </c>
      <c r="R245" s="16">
        <v>0</v>
      </c>
      <c r="S245" s="16">
        <v>0</v>
      </c>
      <c r="T245" s="15">
        <v>0</v>
      </c>
      <c r="U245" s="15">
        <v>1</v>
      </c>
      <c r="V245" s="15">
        <v>0</v>
      </c>
    </row>
    <row r="246" spans="1:22">
      <c r="A246" s="15">
        <v>103241</v>
      </c>
      <c r="B246" s="15">
        <v>130005</v>
      </c>
      <c r="C246" s="15">
        <f t="shared" si="9"/>
        <v>2</v>
      </c>
      <c r="D246" s="15">
        <f t="shared" si="8"/>
        <v>2</v>
      </c>
      <c r="E246" s="15">
        <v>0</v>
      </c>
      <c r="F246" s="20">
        <v>0</v>
      </c>
      <c r="G246" s="16">
        <v>50</v>
      </c>
      <c r="H246" s="16">
        <v>30</v>
      </c>
      <c r="I246" s="16">
        <v>12</v>
      </c>
      <c r="J246" s="16">
        <v>30</v>
      </c>
      <c r="K246" s="16">
        <v>12</v>
      </c>
      <c r="L246" s="16">
        <v>6</v>
      </c>
      <c r="M246" s="22">
        <v>0</v>
      </c>
      <c r="N246" s="22">
        <v>0</v>
      </c>
      <c r="O246" s="22">
        <v>15</v>
      </c>
      <c r="P246" s="22">
        <v>0</v>
      </c>
      <c r="Q246" s="22">
        <v>15</v>
      </c>
      <c r="R246" s="22">
        <v>0</v>
      </c>
      <c r="S246" s="16">
        <v>0</v>
      </c>
      <c r="T246" s="15">
        <v>0</v>
      </c>
      <c r="U246" s="15">
        <v>0</v>
      </c>
      <c r="V246" s="15">
        <v>0</v>
      </c>
    </row>
    <row r="247" spans="1:22">
      <c r="A247" s="15">
        <v>103242</v>
      </c>
      <c r="B247" s="15">
        <v>231005</v>
      </c>
      <c r="C247" s="15">
        <f t="shared" si="9"/>
        <v>0</v>
      </c>
      <c r="D247" s="15">
        <f t="shared" si="8"/>
        <v>3</v>
      </c>
      <c r="E247" s="15">
        <v>15</v>
      </c>
      <c r="F247" s="20" t="s">
        <v>47</v>
      </c>
      <c r="G247" s="16">
        <v>60</v>
      </c>
      <c r="H247" s="16">
        <v>40</v>
      </c>
      <c r="I247" s="16">
        <v>16</v>
      </c>
      <c r="J247" s="16">
        <v>40</v>
      </c>
      <c r="K247" s="16">
        <v>16</v>
      </c>
      <c r="L247" s="16">
        <v>9</v>
      </c>
      <c r="M247" s="22">
        <v>0</v>
      </c>
      <c r="N247" s="22">
        <v>0</v>
      </c>
      <c r="O247" s="22">
        <v>0</v>
      </c>
      <c r="P247" s="22">
        <v>0</v>
      </c>
      <c r="Q247" s="22">
        <v>0</v>
      </c>
      <c r="R247" s="22">
        <v>0</v>
      </c>
      <c r="S247" s="22">
        <v>0</v>
      </c>
      <c r="T247" s="15">
        <v>0</v>
      </c>
      <c r="U247" s="15">
        <v>0</v>
      </c>
      <c r="V247" s="15">
        <v>0</v>
      </c>
    </row>
    <row r="248" spans="1:22">
      <c r="A248" s="15">
        <v>103243</v>
      </c>
      <c r="B248" s="15">
        <v>231005</v>
      </c>
      <c r="C248" s="15">
        <f t="shared" si="9"/>
        <v>1</v>
      </c>
      <c r="D248" s="15">
        <f t="shared" si="8"/>
        <v>3</v>
      </c>
      <c r="E248" s="15">
        <v>20</v>
      </c>
      <c r="F248" s="20" t="s">
        <v>48</v>
      </c>
      <c r="G248" s="16">
        <v>80</v>
      </c>
      <c r="H248" s="16">
        <v>50</v>
      </c>
      <c r="I248" s="16">
        <v>20</v>
      </c>
      <c r="J248" s="16">
        <v>50</v>
      </c>
      <c r="K248" s="16">
        <v>20</v>
      </c>
      <c r="L248" s="16">
        <v>12</v>
      </c>
      <c r="M248" s="22">
        <v>0</v>
      </c>
      <c r="N248" s="22">
        <v>0</v>
      </c>
      <c r="O248" s="22">
        <v>0</v>
      </c>
      <c r="P248" s="22">
        <v>0</v>
      </c>
      <c r="Q248" s="22">
        <v>0</v>
      </c>
      <c r="R248" s="16">
        <v>0</v>
      </c>
      <c r="S248" s="16">
        <v>0</v>
      </c>
      <c r="T248" s="15">
        <v>230301</v>
      </c>
      <c r="U248" s="15">
        <v>0</v>
      </c>
      <c r="V248" s="15">
        <v>0</v>
      </c>
    </row>
    <row r="249" spans="1:22">
      <c r="A249" s="15">
        <v>103244</v>
      </c>
      <c r="B249" s="15">
        <v>231005</v>
      </c>
      <c r="C249" s="15">
        <f t="shared" si="9"/>
        <v>2</v>
      </c>
      <c r="D249" s="15">
        <f t="shared" si="8"/>
        <v>3</v>
      </c>
      <c r="E249" s="15">
        <v>25</v>
      </c>
      <c r="F249" s="20" t="s">
        <v>49</v>
      </c>
      <c r="G249" s="16">
        <v>100</v>
      </c>
      <c r="H249" s="16">
        <v>60</v>
      </c>
      <c r="I249" s="16">
        <v>24</v>
      </c>
      <c r="J249" s="16">
        <v>60</v>
      </c>
      <c r="K249" s="16">
        <v>24</v>
      </c>
      <c r="L249" s="16">
        <v>12</v>
      </c>
      <c r="M249" s="22">
        <v>0</v>
      </c>
      <c r="N249" s="22">
        <v>0</v>
      </c>
      <c r="O249" s="22">
        <v>20</v>
      </c>
      <c r="P249" s="22">
        <v>0</v>
      </c>
      <c r="Q249" s="22">
        <v>20</v>
      </c>
      <c r="R249" s="16">
        <v>0</v>
      </c>
      <c r="S249" s="16">
        <v>0</v>
      </c>
      <c r="T249" s="15">
        <v>0</v>
      </c>
      <c r="U249" s="15">
        <v>1</v>
      </c>
      <c r="V249" s="15">
        <v>0</v>
      </c>
    </row>
    <row r="250" spans="1:22">
      <c r="A250" s="15">
        <v>103245</v>
      </c>
      <c r="B250" s="15">
        <v>231005</v>
      </c>
      <c r="C250" s="15">
        <f t="shared" si="9"/>
        <v>3</v>
      </c>
      <c r="D250" s="15">
        <f t="shared" si="8"/>
        <v>3</v>
      </c>
      <c r="E250" s="15">
        <v>0</v>
      </c>
      <c r="F250" s="20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22">
        <v>0</v>
      </c>
      <c r="N250" s="22">
        <v>0</v>
      </c>
      <c r="O250" s="22">
        <v>0</v>
      </c>
      <c r="P250" s="22">
        <v>0</v>
      </c>
      <c r="Q250" s="22">
        <v>0</v>
      </c>
      <c r="R250" s="16">
        <v>0</v>
      </c>
      <c r="S250" s="16">
        <v>421001</v>
      </c>
      <c r="T250" s="15">
        <v>0</v>
      </c>
      <c r="U250" s="15">
        <v>0</v>
      </c>
      <c r="V250" s="15">
        <v>0</v>
      </c>
    </row>
    <row r="251" spans="1:22">
      <c r="A251" s="15">
        <v>103246</v>
      </c>
      <c r="B251" s="15">
        <v>331005</v>
      </c>
      <c r="C251" s="15">
        <f t="shared" si="9"/>
        <v>0</v>
      </c>
      <c r="D251" s="15">
        <f t="shared" si="8"/>
        <v>4</v>
      </c>
      <c r="E251" s="15">
        <v>30</v>
      </c>
      <c r="F251" s="20" t="s">
        <v>50</v>
      </c>
      <c r="G251" s="16">
        <v>5</v>
      </c>
      <c r="H251" s="16">
        <v>5</v>
      </c>
      <c r="I251" s="16">
        <v>4</v>
      </c>
      <c r="J251" s="16">
        <v>10</v>
      </c>
      <c r="K251" s="16">
        <v>4</v>
      </c>
      <c r="L251" s="16">
        <v>0</v>
      </c>
      <c r="M251" s="22">
        <v>0</v>
      </c>
      <c r="N251" s="22">
        <v>0</v>
      </c>
      <c r="O251" s="22">
        <v>0</v>
      </c>
      <c r="P251" s="22">
        <v>0</v>
      </c>
      <c r="Q251" s="22">
        <v>0</v>
      </c>
      <c r="R251" s="16">
        <v>0</v>
      </c>
      <c r="S251" s="22">
        <v>0</v>
      </c>
      <c r="T251" s="15">
        <v>230311</v>
      </c>
      <c r="U251" s="15">
        <v>0</v>
      </c>
      <c r="V251" s="15">
        <v>0</v>
      </c>
    </row>
    <row r="252" spans="1:22">
      <c r="A252" s="15">
        <v>103247</v>
      </c>
      <c r="B252" s="15">
        <v>331005</v>
      </c>
      <c r="C252" s="15">
        <f t="shared" si="9"/>
        <v>1</v>
      </c>
      <c r="D252" s="15">
        <f t="shared" si="8"/>
        <v>4</v>
      </c>
      <c r="E252" s="15">
        <v>35</v>
      </c>
      <c r="F252" s="20" t="s">
        <v>51</v>
      </c>
      <c r="G252" s="16">
        <v>30</v>
      </c>
      <c r="H252" s="16">
        <v>20</v>
      </c>
      <c r="I252" s="16">
        <v>8</v>
      </c>
      <c r="J252" s="16">
        <v>20</v>
      </c>
      <c r="K252" s="16">
        <v>8</v>
      </c>
      <c r="L252" s="16">
        <v>3</v>
      </c>
      <c r="M252" s="22">
        <v>0</v>
      </c>
      <c r="N252" s="22">
        <v>0</v>
      </c>
      <c r="O252" s="22">
        <v>0</v>
      </c>
      <c r="P252" s="22">
        <v>0</v>
      </c>
      <c r="Q252" s="22">
        <v>0</v>
      </c>
      <c r="R252" s="16">
        <v>0</v>
      </c>
      <c r="S252" s="16">
        <v>0</v>
      </c>
      <c r="T252" s="15">
        <v>0</v>
      </c>
      <c r="U252" s="15">
        <v>0</v>
      </c>
      <c r="V252" s="15">
        <v>0</v>
      </c>
    </row>
    <row r="253" spans="1:22">
      <c r="A253" s="15">
        <v>103248</v>
      </c>
      <c r="B253" s="15">
        <v>331005</v>
      </c>
      <c r="C253" s="15">
        <f t="shared" si="9"/>
        <v>2</v>
      </c>
      <c r="D253" s="15">
        <f t="shared" si="8"/>
        <v>4</v>
      </c>
      <c r="E253" s="15">
        <v>40</v>
      </c>
      <c r="F253" s="20" t="s">
        <v>52</v>
      </c>
      <c r="G253" s="16">
        <v>50</v>
      </c>
      <c r="H253" s="16">
        <v>30</v>
      </c>
      <c r="I253" s="16">
        <v>12</v>
      </c>
      <c r="J253" s="16">
        <v>30</v>
      </c>
      <c r="K253" s="16">
        <v>12</v>
      </c>
      <c r="L253" s="16">
        <v>6</v>
      </c>
      <c r="M253" s="22">
        <v>0</v>
      </c>
      <c r="N253" s="22">
        <v>0</v>
      </c>
      <c r="O253" s="22">
        <v>0</v>
      </c>
      <c r="P253" s="22">
        <v>0</v>
      </c>
      <c r="Q253" s="22">
        <v>0</v>
      </c>
      <c r="R253" s="16">
        <v>0</v>
      </c>
      <c r="S253" s="16">
        <v>0</v>
      </c>
      <c r="T253" s="15">
        <v>230321</v>
      </c>
      <c r="U253" s="15">
        <v>0</v>
      </c>
      <c r="V253" s="15">
        <v>0</v>
      </c>
    </row>
    <row r="254" spans="1:22">
      <c r="A254" s="15">
        <v>103249</v>
      </c>
      <c r="B254" s="15">
        <v>331005</v>
      </c>
      <c r="C254" s="15">
        <f t="shared" si="9"/>
        <v>3</v>
      </c>
      <c r="D254" s="15">
        <f t="shared" si="8"/>
        <v>4</v>
      </c>
      <c r="E254" s="15">
        <v>45</v>
      </c>
      <c r="F254" s="20" t="s">
        <v>53</v>
      </c>
      <c r="G254" s="16">
        <v>60</v>
      </c>
      <c r="H254" s="16">
        <v>40</v>
      </c>
      <c r="I254" s="16">
        <v>16</v>
      </c>
      <c r="J254" s="16">
        <v>40</v>
      </c>
      <c r="K254" s="16">
        <v>16</v>
      </c>
      <c r="L254" s="16">
        <v>9</v>
      </c>
      <c r="M254" s="22">
        <v>120</v>
      </c>
      <c r="N254" s="22">
        <v>30</v>
      </c>
      <c r="O254" s="22">
        <v>0</v>
      </c>
      <c r="P254" s="22">
        <v>0</v>
      </c>
      <c r="Q254" s="22">
        <v>0</v>
      </c>
      <c r="R254" s="16">
        <v>0</v>
      </c>
      <c r="S254" s="16">
        <v>0</v>
      </c>
      <c r="T254" s="15">
        <v>0</v>
      </c>
      <c r="U254" s="15">
        <v>1</v>
      </c>
      <c r="V254" s="15">
        <v>0</v>
      </c>
    </row>
    <row r="255" spans="1:22">
      <c r="A255" s="15">
        <v>103250</v>
      </c>
      <c r="B255" s="15">
        <v>331005</v>
      </c>
      <c r="C255" s="15">
        <f t="shared" si="9"/>
        <v>4</v>
      </c>
      <c r="D255" s="15">
        <f t="shared" si="8"/>
        <v>4</v>
      </c>
      <c r="E255" s="15">
        <v>0</v>
      </c>
      <c r="F255" s="20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22">
        <v>0</v>
      </c>
      <c r="N255" s="22">
        <v>0</v>
      </c>
      <c r="O255" s="22">
        <v>0</v>
      </c>
      <c r="P255" s="22">
        <v>0</v>
      </c>
      <c r="Q255" s="22">
        <v>0</v>
      </c>
      <c r="R255" s="16">
        <v>0</v>
      </c>
      <c r="S255" s="16">
        <v>431001</v>
      </c>
      <c r="T255" s="15">
        <v>0</v>
      </c>
      <c r="U255" s="15">
        <v>0</v>
      </c>
      <c r="V255" s="15">
        <v>0</v>
      </c>
    </row>
    <row r="256" spans="1:22">
      <c r="A256" s="15">
        <v>103251</v>
      </c>
      <c r="B256" s="15">
        <v>232005</v>
      </c>
      <c r="C256" s="15">
        <f t="shared" si="9"/>
        <v>0</v>
      </c>
      <c r="D256" s="15">
        <f t="shared" si="8"/>
        <v>3</v>
      </c>
      <c r="E256" s="15">
        <v>15</v>
      </c>
      <c r="F256" s="20" t="s">
        <v>47</v>
      </c>
      <c r="G256" s="16">
        <v>60</v>
      </c>
      <c r="H256" s="16">
        <v>40</v>
      </c>
      <c r="I256" s="16">
        <v>16</v>
      </c>
      <c r="J256" s="16">
        <v>40</v>
      </c>
      <c r="K256" s="16">
        <v>16</v>
      </c>
      <c r="L256" s="16">
        <v>9</v>
      </c>
      <c r="M256" s="22">
        <v>0</v>
      </c>
      <c r="N256" s="22">
        <v>0</v>
      </c>
      <c r="O256" s="22">
        <v>0</v>
      </c>
      <c r="P256" s="22">
        <v>0</v>
      </c>
      <c r="Q256" s="22">
        <v>0</v>
      </c>
      <c r="R256" s="22">
        <v>0</v>
      </c>
      <c r="S256" s="22">
        <v>0</v>
      </c>
      <c r="T256" s="15">
        <v>230331</v>
      </c>
      <c r="U256" s="15">
        <v>0</v>
      </c>
      <c r="V256" s="15">
        <v>0</v>
      </c>
    </row>
    <row r="257" spans="1:22">
      <c r="A257" s="15">
        <v>103252</v>
      </c>
      <c r="B257" s="15">
        <v>232005</v>
      </c>
      <c r="C257" s="15">
        <f t="shared" si="9"/>
        <v>1</v>
      </c>
      <c r="D257" s="15">
        <f t="shared" si="8"/>
        <v>3</v>
      </c>
      <c r="E257" s="15">
        <v>20</v>
      </c>
      <c r="F257" s="20" t="s">
        <v>48</v>
      </c>
      <c r="G257" s="16">
        <v>80</v>
      </c>
      <c r="H257" s="16">
        <v>50</v>
      </c>
      <c r="I257" s="16">
        <v>20</v>
      </c>
      <c r="J257" s="16">
        <v>50</v>
      </c>
      <c r="K257" s="16">
        <v>20</v>
      </c>
      <c r="L257" s="16">
        <v>12</v>
      </c>
      <c r="M257" s="22">
        <v>0</v>
      </c>
      <c r="N257" s="22">
        <v>0</v>
      </c>
      <c r="O257" s="22">
        <v>0</v>
      </c>
      <c r="P257" s="22">
        <v>0</v>
      </c>
      <c r="Q257" s="22">
        <v>0</v>
      </c>
      <c r="R257" s="16">
        <v>0</v>
      </c>
      <c r="S257" s="16">
        <v>0</v>
      </c>
      <c r="T257" s="15">
        <v>0</v>
      </c>
      <c r="U257" s="15">
        <v>0</v>
      </c>
      <c r="V257" s="15">
        <v>0</v>
      </c>
    </row>
    <row r="258" spans="1:22">
      <c r="A258" s="15">
        <v>103253</v>
      </c>
      <c r="B258" s="15">
        <v>232005</v>
      </c>
      <c r="C258" s="15">
        <f t="shared" si="9"/>
        <v>2</v>
      </c>
      <c r="D258" s="15">
        <f t="shared" si="8"/>
        <v>3</v>
      </c>
      <c r="E258" s="15">
        <v>25</v>
      </c>
      <c r="F258" s="20" t="s">
        <v>49</v>
      </c>
      <c r="G258" s="16">
        <v>100</v>
      </c>
      <c r="H258" s="16">
        <v>60</v>
      </c>
      <c r="I258" s="16">
        <v>24</v>
      </c>
      <c r="J258" s="16">
        <v>60</v>
      </c>
      <c r="K258" s="16">
        <v>24</v>
      </c>
      <c r="L258" s="16">
        <v>12</v>
      </c>
      <c r="M258" s="22">
        <v>0</v>
      </c>
      <c r="N258" s="22">
        <v>0</v>
      </c>
      <c r="O258" s="22">
        <v>20</v>
      </c>
      <c r="P258" s="22">
        <v>0</v>
      </c>
      <c r="Q258" s="22">
        <v>20</v>
      </c>
      <c r="R258" s="16">
        <v>0</v>
      </c>
      <c r="S258" s="16">
        <v>0</v>
      </c>
      <c r="T258" s="15">
        <v>0</v>
      </c>
      <c r="U258" s="15">
        <v>1</v>
      </c>
      <c r="V258" s="15">
        <v>0</v>
      </c>
    </row>
    <row r="259" spans="1:22">
      <c r="A259" s="15">
        <v>103254</v>
      </c>
      <c r="B259" s="15">
        <v>232005</v>
      </c>
      <c r="C259" s="15">
        <f t="shared" si="9"/>
        <v>3</v>
      </c>
      <c r="D259" s="15">
        <f t="shared" si="8"/>
        <v>3</v>
      </c>
      <c r="E259" s="15">
        <v>0</v>
      </c>
      <c r="F259" s="20">
        <v>0</v>
      </c>
      <c r="G259" s="16">
        <v>0</v>
      </c>
      <c r="H259" s="16">
        <v>0</v>
      </c>
      <c r="I259" s="16">
        <v>0</v>
      </c>
      <c r="J259" s="16">
        <v>0</v>
      </c>
      <c r="K259" s="16">
        <v>0</v>
      </c>
      <c r="L259" s="16">
        <v>0</v>
      </c>
      <c r="M259" s="22">
        <v>0</v>
      </c>
      <c r="N259" s="22">
        <v>0</v>
      </c>
      <c r="O259" s="22">
        <v>0</v>
      </c>
      <c r="P259" s="22">
        <v>0</v>
      </c>
      <c r="Q259" s="22">
        <v>0</v>
      </c>
      <c r="R259" s="16">
        <v>0</v>
      </c>
      <c r="S259" s="16">
        <v>0</v>
      </c>
      <c r="T259" s="15">
        <v>0</v>
      </c>
      <c r="U259" s="15">
        <v>0</v>
      </c>
      <c r="V259" s="15">
        <v>0</v>
      </c>
    </row>
    <row r="260" spans="1:22">
      <c r="A260" s="15">
        <v>103255</v>
      </c>
      <c r="B260" s="15">
        <v>332005</v>
      </c>
      <c r="C260" s="15">
        <f t="shared" si="9"/>
        <v>0</v>
      </c>
      <c r="D260" s="15">
        <f t="shared" si="8"/>
        <v>4</v>
      </c>
      <c r="E260" s="15">
        <v>30</v>
      </c>
      <c r="F260" s="20" t="s">
        <v>50</v>
      </c>
      <c r="G260" s="16">
        <v>5</v>
      </c>
      <c r="H260" s="16">
        <v>5</v>
      </c>
      <c r="I260" s="16">
        <v>4</v>
      </c>
      <c r="J260" s="16">
        <v>10</v>
      </c>
      <c r="K260" s="16">
        <v>4</v>
      </c>
      <c r="L260" s="16">
        <v>0</v>
      </c>
      <c r="M260" s="22">
        <v>0</v>
      </c>
      <c r="N260" s="22">
        <v>0</v>
      </c>
      <c r="O260" s="22">
        <v>0</v>
      </c>
      <c r="P260" s="22">
        <v>0</v>
      </c>
      <c r="Q260" s="22">
        <v>0</v>
      </c>
      <c r="R260" s="16">
        <v>0</v>
      </c>
      <c r="S260" s="22">
        <v>0</v>
      </c>
      <c r="T260" s="15">
        <v>230341</v>
      </c>
      <c r="U260" s="15">
        <v>0</v>
      </c>
      <c r="V260" s="15">
        <v>0</v>
      </c>
    </row>
    <row r="261" spans="1:22">
      <c r="A261" s="15">
        <v>103256</v>
      </c>
      <c r="B261" s="15">
        <v>332005</v>
      </c>
      <c r="C261" s="15">
        <f t="shared" si="9"/>
        <v>1</v>
      </c>
      <c r="D261" s="15">
        <f t="shared" si="8"/>
        <v>4</v>
      </c>
      <c r="E261" s="15">
        <v>35</v>
      </c>
      <c r="F261" s="20" t="s">
        <v>51</v>
      </c>
      <c r="G261" s="16">
        <v>30</v>
      </c>
      <c r="H261" s="16">
        <v>20</v>
      </c>
      <c r="I261" s="16">
        <v>8</v>
      </c>
      <c r="J261" s="16">
        <v>20</v>
      </c>
      <c r="K261" s="16">
        <v>8</v>
      </c>
      <c r="L261" s="16">
        <v>3</v>
      </c>
      <c r="M261" s="22">
        <v>0</v>
      </c>
      <c r="N261" s="22">
        <v>0</v>
      </c>
      <c r="O261" s="22">
        <v>0</v>
      </c>
      <c r="P261" s="22">
        <v>0</v>
      </c>
      <c r="Q261" s="22">
        <v>0</v>
      </c>
      <c r="R261" s="16">
        <v>0</v>
      </c>
      <c r="S261" s="16">
        <v>0</v>
      </c>
      <c r="T261" s="15">
        <v>0</v>
      </c>
      <c r="U261" s="15">
        <v>0</v>
      </c>
      <c r="V261" s="15">
        <v>0</v>
      </c>
    </row>
    <row r="262" spans="1:22">
      <c r="A262" s="15">
        <v>103257</v>
      </c>
      <c r="B262" s="15">
        <v>332005</v>
      </c>
      <c r="C262" s="15">
        <f t="shared" si="9"/>
        <v>2</v>
      </c>
      <c r="D262" s="15">
        <f t="shared" si="8"/>
        <v>4</v>
      </c>
      <c r="E262" s="15">
        <v>40</v>
      </c>
      <c r="F262" s="20" t="s">
        <v>52</v>
      </c>
      <c r="G262" s="16">
        <v>50</v>
      </c>
      <c r="H262" s="16">
        <v>30</v>
      </c>
      <c r="I262" s="16">
        <v>12</v>
      </c>
      <c r="J262" s="16">
        <v>30</v>
      </c>
      <c r="K262" s="16">
        <v>12</v>
      </c>
      <c r="L262" s="16">
        <v>6</v>
      </c>
      <c r="M262" s="22">
        <v>0</v>
      </c>
      <c r="N262" s="22">
        <v>0</v>
      </c>
      <c r="O262" s="22">
        <v>0</v>
      </c>
      <c r="P262" s="22">
        <v>0</v>
      </c>
      <c r="Q262" s="22">
        <v>0</v>
      </c>
      <c r="R262" s="16">
        <v>0</v>
      </c>
      <c r="S262" s="16">
        <v>0</v>
      </c>
      <c r="T262" s="15">
        <v>0</v>
      </c>
      <c r="U262" s="15">
        <v>0</v>
      </c>
      <c r="V262" s="15">
        <v>0</v>
      </c>
    </row>
    <row r="263" spans="1:22">
      <c r="A263" s="15">
        <v>103258</v>
      </c>
      <c r="B263" s="15">
        <v>332005</v>
      </c>
      <c r="C263" s="15">
        <f t="shared" si="9"/>
        <v>3</v>
      </c>
      <c r="D263" s="15">
        <f t="shared" si="8"/>
        <v>4</v>
      </c>
      <c r="E263" s="15">
        <v>45</v>
      </c>
      <c r="F263" s="20" t="s">
        <v>53</v>
      </c>
      <c r="G263" s="16">
        <v>60</v>
      </c>
      <c r="H263" s="16">
        <v>40</v>
      </c>
      <c r="I263" s="16">
        <v>16</v>
      </c>
      <c r="J263" s="16">
        <v>40</v>
      </c>
      <c r="K263" s="16">
        <v>16</v>
      </c>
      <c r="L263" s="16">
        <v>9</v>
      </c>
      <c r="M263" s="22">
        <v>120</v>
      </c>
      <c r="N263" s="22">
        <v>30</v>
      </c>
      <c r="O263" s="22">
        <v>0</v>
      </c>
      <c r="P263" s="22">
        <v>0</v>
      </c>
      <c r="Q263" s="22">
        <v>0</v>
      </c>
      <c r="R263" s="16">
        <v>0</v>
      </c>
      <c r="S263" s="16">
        <v>0</v>
      </c>
      <c r="T263" s="15">
        <v>0</v>
      </c>
      <c r="U263" s="15">
        <v>1</v>
      </c>
      <c r="V263" s="15">
        <v>0</v>
      </c>
    </row>
    <row r="264" spans="1:22">
      <c r="A264" s="15">
        <v>103259</v>
      </c>
      <c r="B264" s="15">
        <v>332005</v>
      </c>
      <c r="C264" s="15">
        <f t="shared" si="9"/>
        <v>4</v>
      </c>
      <c r="D264" s="15">
        <f t="shared" si="8"/>
        <v>4</v>
      </c>
      <c r="E264" s="15">
        <v>0</v>
      </c>
      <c r="F264" s="20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22">
        <v>0</v>
      </c>
      <c r="N264" s="22">
        <v>0</v>
      </c>
      <c r="O264" s="22">
        <v>0</v>
      </c>
      <c r="P264" s="22">
        <v>0</v>
      </c>
      <c r="Q264" s="22">
        <v>0</v>
      </c>
      <c r="R264" s="16">
        <v>0</v>
      </c>
      <c r="S264" s="16">
        <v>0</v>
      </c>
      <c r="T264" s="15">
        <v>230351</v>
      </c>
      <c r="U264" s="15">
        <v>0</v>
      </c>
      <c r="V264" s="15">
        <v>0</v>
      </c>
    </row>
    <row r="265" spans="1:22">
      <c r="A265" s="15">
        <v>103260</v>
      </c>
      <c r="B265" s="15">
        <v>130006</v>
      </c>
      <c r="C265" s="15">
        <f t="shared" si="9"/>
        <v>0</v>
      </c>
      <c r="D265" s="15">
        <f t="shared" si="8"/>
        <v>2</v>
      </c>
      <c r="E265" s="15">
        <v>5</v>
      </c>
      <c r="F265" s="20" t="s">
        <v>45</v>
      </c>
      <c r="G265" s="16">
        <v>0</v>
      </c>
      <c r="H265" s="16">
        <v>0</v>
      </c>
      <c r="I265" s="16">
        <v>0</v>
      </c>
      <c r="J265" s="16">
        <v>0</v>
      </c>
      <c r="K265" s="16">
        <v>0</v>
      </c>
      <c r="L265" s="16">
        <v>0</v>
      </c>
      <c r="M265" s="22">
        <v>0</v>
      </c>
      <c r="N265" s="22">
        <v>0</v>
      </c>
      <c r="O265" s="22">
        <v>0</v>
      </c>
      <c r="P265" s="22">
        <v>0</v>
      </c>
      <c r="Q265" s="22">
        <v>0</v>
      </c>
      <c r="R265" s="22">
        <v>0</v>
      </c>
      <c r="S265" s="22">
        <v>0</v>
      </c>
      <c r="T265" s="15">
        <v>0</v>
      </c>
      <c r="U265" s="15">
        <v>0</v>
      </c>
      <c r="V265" s="15">
        <v>0</v>
      </c>
    </row>
    <row r="266" spans="1:22">
      <c r="A266" s="15">
        <v>103261</v>
      </c>
      <c r="B266" s="15">
        <v>130006</v>
      </c>
      <c r="C266" s="15">
        <f t="shared" si="9"/>
        <v>1</v>
      </c>
      <c r="D266" s="15">
        <f t="shared" si="8"/>
        <v>2</v>
      </c>
      <c r="E266" s="15">
        <v>10</v>
      </c>
      <c r="F266" s="20" t="s">
        <v>46</v>
      </c>
      <c r="G266" s="16">
        <v>30</v>
      </c>
      <c r="H266" s="16">
        <v>20</v>
      </c>
      <c r="I266" s="16">
        <v>8</v>
      </c>
      <c r="J266" s="16">
        <v>20</v>
      </c>
      <c r="K266" s="16">
        <v>8</v>
      </c>
      <c r="L266" s="16">
        <v>3</v>
      </c>
      <c r="M266" s="22">
        <v>0</v>
      </c>
      <c r="N266" s="22">
        <v>0</v>
      </c>
      <c r="O266" s="22">
        <v>0</v>
      </c>
      <c r="P266" s="22">
        <v>0</v>
      </c>
      <c r="Q266" s="22">
        <v>0</v>
      </c>
      <c r="R266" s="16">
        <v>0</v>
      </c>
      <c r="S266" s="16">
        <v>0</v>
      </c>
      <c r="T266" s="15">
        <v>0</v>
      </c>
      <c r="U266" s="15">
        <v>1</v>
      </c>
      <c r="V266" s="15">
        <v>0</v>
      </c>
    </row>
    <row r="267" spans="1:22">
      <c r="A267" s="15">
        <v>103262</v>
      </c>
      <c r="B267" s="15">
        <v>130006</v>
      </c>
      <c r="C267" s="15">
        <f t="shared" si="9"/>
        <v>2</v>
      </c>
      <c r="D267" s="15">
        <f t="shared" si="8"/>
        <v>2</v>
      </c>
      <c r="E267" s="15">
        <v>0</v>
      </c>
      <c r="F267" s="20">
        <v>0</v>
      </c>
      <c r="G267" s="16">
        <v>50</v>
      </c>
      <c r="H267" s="16">
        <v>30</v>
      </c>
      <c r="I267" s="16">
        <v>12</v>
      </c>
      <c r="J267" s="16">
        <v>30</v>
      </c>
      <c r="K267" s="16">
        <v>12</v>
      </c>
      <c r="L267" s="16">
        <v>6</v>
      </c>
      <c r="M267" s="22">
        <v>0</v>
      </c>
      <c r="N267" s="22">
        <v>0</v>
      </c>
      <c r="O267" s="22">
        <v>15</v>
      </c>
      <c r="P267" s="22">
        <v>0</v>
      </c>
      <c r="Q267" s="22">
        <v>15</v>
      </c>
      <c r="R267" s="22">
        <v>0</v>
      </c>
      <c r="S267" s="16">
        <v>0</v>
      </c>
      <c r="T267" s="15">
        <v>0</v>
      </c>
      <c r="U267" s="15">
        <v>0</v>
      </c>
      <c r="V267" s="15">
        <v>0</v>
      </c>
    </row>
    <row r="268" spans="1:22">
      <c r="A268" s="15">
        <v>103263</v>
      </c>
      <c r="B268" s="15">
        <v>231006</v>
      </c>
      <c r="C268" s="15">
        <f t="shared" si="9"/>
        <v>0</v>
      </c>
      <c r="D268" s="15">
        <f t="shared" si="8"/>
        <v>3</v>
      </c>
      <c r="E268" s="15">
        <v>15</v>
      </c>
      <c r="F268" s="20" t="s">
        <v>47</v>
      </c>
      <c r="G268" s="16">
        <v>60</v>
      </c>
      <c r="H268" s="16">
        <v>40</v>
      </c>
      <c r="I268" s="16">
        <v>16</v>
      </c>
      <c r="J268" s="16">
        <v>40</v>
      </c>
      <c r="K268" s="16">
        <v>16</v>
      </c>
      <c r="L268" s="16">
        <v>9</v>
      </c>
      <c r="M268" s="22">
        <v>0</v>
      </c>
      <c r="N268" s="22">
        <v>0</v>
      </c>
      <c r="O268" s="22">
        <v>0</v>
      </c>
      <c r="P268" s="22">
        <v>0</v>
      </c>
      <c r="Q268" s="22">
        <v>0</v>
      </c>
      <c r="R268" s="22">
        <v>0</v>
      </c>
      <c r="S268" s="22">
        <v>0</v>
      </c>
      <c r="T268" s="15">
        <v>0</v>
      </c>
      <c r="U268" s="15">
        <v>0</v>
      </c>
      <c r="V268" s="15">
        <v>0</v>
      </c>
    </row>
    <row r="269" spans="1:22">
      <c r="A269" s="15">
        <v>103264</v>
      </c>
      <c r="B269" s="15">
        <v>231006</v>
      </c>
      <c r="C269" s="15">
        <f t="shared" si="9"/>
        <v>1</v>
      </c>
      <c r="D269" s="15">
        <f t="shared" si="8"/>
        <v>3</v>
      </c>
      <c r="E269" s="15">
        <v>20</v>
      </c>
      <c r="F269" s="20" t="s">
        <v>48</v>
      </c>
      <c r="G269" s="16">
        <v>80</v>
      </c>
      <c r="H269" s="16">
        <v>50</v>
      </c>
      <c r="I269" s="16">
        <v>20</v>
      </c>
      <c r="J269" s="16">
        <v>50</v>
      </c>
      <c r="K269" s="16">
        <v>20</v>
      </c>
      <c r="L269" s="16">
        <v>12</v>
      </c>
      <c r="M269" s="22">
        <v>0</v>
      </c>
      <c r="N269" s="22">
        <v>0</v>
      </c>
      <c r="O269" s="22">
        <v>0</v>
      </c>
      <c r="P269" s="22">
        <v>0</v>
      </c>
      <c r="Q269" s="22">
        <v>0</v>
      </c>
      <c r="R269" s="16">
        <v>0</v>
      </c>
      <c r="S269" s="16">
        <v>0</v>
      </c>
      <c r="T269" s="15">
        <v>230371</v>
      </c>
      <c r="U269" s="15">
        <v>0</v>
      </c>
      <c r="V269" s="15">
        <v>0</v>
      </c>
    </row>
    <row r="270" spans="1:22">
      <c r="A270" s="15">
        <v>103265</v>
      </c>
      <c r="B270" s="15">
        <v>231006</v>
      </c>
      <c r="C270" s="15">
        <f t="shared" si="9"/>
        <v>2</v>
      </c>
      <c r="D270" s="15">
        <f t="shared" si="8"/>
        <v>3</v>
      </c>
      <c r="E270" s="15">
        <v>25</v>
      </c>
      <c r="F270" s="20" t="s">
        <v>49</v>
      </c>
      <c r="G270" s="16">
        <v>100</v>
      </c>
      <c r="H270" s="16">
        <v>60</v>
      </c>
      <c r="I270" s="16">
        <v>24</v>
      </c>
      <c r="J270" s="16">
        <v>60</v>
      </c>
      <c r="K270" s="16">
        <v>24</v>
      </c>
      <c r="L270" s="16">
        <v>12</v>
      </c>
      <c r="M270" s="22">
        <v>0</v>
      </c>
      <c r="N270" s="22">
        <v>0</v>
      </c>
      <c r="O270" s="22">
        <v>20</v>
      </c>
      <c r="P270" s="22">
        <v>0</v>
      </c>
      <c r="Q270" s="22">
        <v>20</v>
      </c>
      <c r="R270" s="16">
        <v>0</v>
      </c>
      <c r="S270" s="16">
        <v>0</v>
      </c>
      <c r="T270" s="15">
        <v>0</v>
      </c>
      <c r="U270" s="15">
        <v>1</v>
      </c>
      <c r="V270" s="15">
        <v>0</v>
      </c>
    </row>
    <row r="271" spans="1:22">
      <c r="A271" s="15">
        <v>103266</v>
      </c>
      <c r="B271" s="15">
        <v>231006</v>
      </c>
      <c r="C271" s="15">
        <f t="shared" si="9"/>
        <v>3</v>
      </c>
      <c r="D271" s="15">
        <f t="shared" si="8"/>
        <v>3</v>
      </c>
      <c r="E271" s="15">
        <v>0</v>
      </c>
      <c r="F271" s="20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22">
        <v>0</v>
      </c>
      <c r="N271" s="22">
        <v>0</v>
      </c>
      <c r="O271" s="22">
        <v>0</v>
      </c>
      <c r="P271" s="22">
        <v>0</v>
      </c>
      <c r="Q271" s="22">
        <v>0</v>
      </c>
      <c r="R271" s="16">
        <v>0</v>
      </c>
      <c r="S271" s="16">
        <v>521001</v>
      </c>
      <c r="T271" s="15">
        <v>0</v>
      </c>
      <c r="U271" s="15">
        <v>0</v>
      </c>
      <c r="V271" s="15">
        <v>0</v>
      </c>
    </row>
    <row r="272" spans="1:22">
      <c r="A272" s="15">
        <v>103267</v>
      </c>
      <c r="B272" s="15">
        <v>331006</v>
      </c>
      <c r="C272" s="15">
        <f t="shared" si="9"/>
        <v>0</v>
      </c>
      <c r="D272" s="15">
        <f t="shared" si="8"/>
        <v>4</v>
      </c>
      <c r="E272" s="15">
        <v>30</v>
      </c>
      <c r="F272" s="20" t="s">
        <v>50</v>
      </c>
      <c r="G272" s="16">
        <v>5</v>
      </c>
      <c r="H272" s="16">
        <v>5</v>
      </c>
      <c r="I272" s="16">
        <v>4</v>
      </c>
      <c r="J272" s="16">
        <v>10</v>
      </c>
      <c r="K272" s="16">
        <v>4</v>
      </c>
      <c r="L272" s="16">
        <v>0</v>
      </c>
      <c r="M272" s="22">
        <v>0</v>
      </c>
      <c r="N272" s="22">
        <v>0</v>
      </c>
      <c r="O272" s="22">
        <v>0</v>
      </c>
      <c r="P272" s="22">
        <v>0</v>
      </c>
      <c r="Q272" s="22">
        <v>0</v>
      </c>
      <c r="R272" s="16">
        <v>0</v>
      </c>
      <c r="S272" s="22">
        <v>0</v>
      </c>
      <c r="T272" s="15">
        <v>230381</v>
      </c>
      <c r="U272" s="15">
        <v>0</v>
      </c>
      <c r="V272" s="15">
        <v>0</v>
      </c>
    </row>
    <row r="273" spans="1:22">
      <c r="A273" s="15">
        <v>103268</v>
      </c>
      <c r="B273" s="15">
        <v>331006</v>
      </c>
      <c r="C273" s="15">
        <f t="shared" si="9"/>
        <v>1</v>
      </c>
      <c r="D273" s="15">
        <f t="shared" si="8"/>
        <v>4</v>
      </c>
      <c r="E273" s="15">
        <v>35</v>
      </c>
      <c r="F273" s="20" t="s">
        <v>51</v>
      </c>
      <c r="G273" s="16">
        <v>30</v>
      </c>
      <c r="H273" s="16">
        <v>20</v>
      </c>
      <c r="I273" s="16">
        <v>8</v>
      </c>
      <c r="J273" s="16">
        <v>20</v>
      </c>
      <c r="K273" s="16">
        <v>8</v>
      </c>
      <c r="L273" s="16">
        <v>3</v>
      </c>
      <c r="M273" s="22">
        <v>0</v>
      </c>
      <c r="N273" s="22">
        <v>0</v>
      </c>
      <c r="O273" s="22">
        <v>0</v>
      </c>
      <c r="P273" s="22">
        <v>0</v>
      </c>
      <c r="Q273" s="22">
        <v>0</v>
      </c>
      <c r="R273" s="16">
        <v>0</v>
      </c>
      <c r="S273" s="16">
        <v>0</v>
      </c>
      <c r="T273" s="15">
        <v>0</v>
      </c>
      <c r="U273" s="15">
        <v>0</v>
      </c>
      <c r="V273" s="15">
        <v>0</v>
      </c>
    </row>
    <row r="274" spans="1:22">
      <c r="A274" s="15">
        <v>103269</v>
      </c>
      <c r="B274" s="15">
        <v>331006</v>
      </c>
      <c r="C274" s="15">
        <f t="shared" si="9"/>
        <v>2</v>
      </c>
      <c r="D274" s="15">
        <f t="shared" si="8"/>
        <v>4</v>
      </c>
      <c r="E274" s="15">
        <v>40</v>
      </c>
      <c r="F274" s="20" t="s">
        <v>52</v>
      </c>
      <c r="G274" s="16">
        <v>50</v>
      </c>
      <c r="H274" s="16">
        <v>30</v>
      </c>
      <c r="I274" s="16">
        <v>12</v>
      </c>
      <c r="J274" s="16">
        <v>30</v>
      </c>
      <c r="K274" s="16">
        <v>12</v>
      </c>
      <c r="L274" s="16">
        <v>6</v>
      </c>
      <c r="M274" s="22">
        <v>0</v>
      </c>
      <c r="N274" s="22">
        <v>0</v>
      </c>
      <c r="O274" s="22">
        <v>0</v>
      </c>
      <c r="P274" s="22">
        <v>0</v>
      </c>
      <c r="Q274" s="22">
        <v>0</v>
      </c>
      <c r="R274" s="16">
        <v>0</v>
      </c>
      <c r="S274" s="16">
        <v>0</v>
      </c>
      <c r="T274" s="15">
        <v>230391</v>
      </c>
      <c r="U274" s="15">
        <v>0</v>
      </c>
      <c r="V274" s="15">
        <v>0</v>
      </c>
    </row>
    <row r="275" spans="1:22">
      <c r="A275" s="15">
        <v>103270</v>
      </c>
      <c r="B275" s="15">
        <v>331006</v>
      </c>
      <c r="C275" s="15">
        <f t="shared" si="9"/>
        <v>3</v>
      </c>
      <c r="D275" s="15">
        <f t="shared" si="8"/>
        <v>4</v>
      </c>
      <c r="E275" s="15">
        <v>45</v>
      </c>
      <c r="F275" s="20" t="s">
        <v>53</v>
      </c>
      <c r="G275" s="16">
        <v>60</v>
      </c>
      <c r="H275" s="16">
        <v>40</v>
      </c>
      <c r="I275" s="16">
        <v>16</v>
      </c>
      <c r="J275" s="16">
        <v>40</v>
      </c>
      <c r="K275" s="16">
        <v>16</v>
      </c>
      <c r="L275" s="16">
        <v>9</v>
      </c>
      <c r="M275" s="22">
        <v>120</v>
      </c>
      <c r="N275" s="22">
        <v>0</v>
      </c>
      <c r="O275" s="22">
        <v>0</v>
      </c>
      <c r="P275" s="22">
        <v>12</v>
      </c>
      <c r="Q275" s="22">
        <v>0</v>
      </c>
      <c r="R275" s="16">
        <v>0</v>
      </c>
      <c r="S275" s="16">
        <v>0</v>
      </c>
      <c r="T275" s="15">
        <v>0</v>
      </c>
      <c r="U275" s="15">
        <v>1</v>
      </c>
      <c r="V275" s="15">
        <v>0</v>
      </c>
    </row>
    <row r="276" spans="1:22">
      <c r="A276" s="15">
        <v>103271</v>
      </c>
      <c r="B276" s="15">
        <v>331006</v>
      </c>
      <c r="C276" s="15">
        <f t="shared" si="9"/>
        <v>4</v>
      </c>
      <c r="D276" s="15">
        <f t="shared" si="8"/>
        <v>4</v>
      </c>
      <c r="E276" s="15">
        <v>0</v>
      </c>
      <c r="F276" s="20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22">
        <v>0</v>
      </c>
      <c r="N276" s="22">
        <v>0</v>
      </c>
      <c r="O276" s="22">
        <v>0</v>
      </c>
      <c r="P276" s="22">
        <v>0</v>
      </c>
      <c r="Q276" s="22">
        <v>0</v>
      </c>
      <c r="R276" s="16">
        <v>0</v>
      </c>
      <c r="S276" s="16">
        <v>531001</v>
      </c>
      <c r="T276" s="15">
        <v>0</v>
      </c>
      <c r="U276" s="15">
        <v>0</v>
      </c>
      <c r="V276" s="15">
        <v>0</v>
      </c>
    </row>
    <row r="277" spans="1:22">
      <c r="A277" s="15">
        <v>103272</v>
      </c>
      <c r="B277" s="15">
        <v>232006</v>
      </c>
      <c r="C277" s="15">
        <f t="shared" si="9"/>
        <v>0</v>
      </c>
      <c r="D277" s="15">
        <f t="shared" si="8"/>
        <v>3</v>
      </c>
      <c r="E277" s="15">
        <v>15</v>
      </c>
      <c r="F277" s="20" t="s">
        <v>47</v>
      </c>
      <c r="G277" s="16">
        <v>60</v>
      </c>
      <c r="H277" s="16">
        <v>40</v>
      </c>
      <c r="I277" s="16">
        <v>16</v>
      </c>
      <c r="J277" s="16">
        <v>40</v>
      </c>
      <c r="K277" s="16">
        <v>16</v>
      </c>
      <c r="L277" s="16">
        <v>9</v>
      </c>
      <c r="M277" s="22">
        <v>0</v>
      </c>
      <c r="N277" s="22">
        <v>0</v>
      </c>
      <c r="O277" s="22">
        <v>0</v>
      </c>
      <c r="P277" s="22">
        <v>0</v>
      </c>
      <c r="Q277" s="22">
        <v>0</v>
      </c>
      <c r="R277" s="22">
        <v>0</v>
      </c>
      <c r="S277" s="22">
        <v>0</v>
      </c>
      <c r="T277" s="15">
        <v>230401</v>
      </c>
      <c r="U277" s="15">
        <v>0</v>
      </c>
      <c r="V277" s="15">
        <v>0</v>
      </c>
    </row>
    <row r="278" spans="1:22">
      <c r="A278" s="15">
        <v>103273</v>
      </c>
      <c r="B278" s="15">
        <v>232006</v>
      </c>
      <c r="C278" s="15">
        <f t="shared" si="9"/>
        <v>1</v>
      </c>
      <c r="D278" s="15">
        <f t="shared" si="8"/>
        <v>3</v>
      </c>
      <c r="E278" s="15">
        <v>20</v>
      </c>
      <c r="F278" s="20" t="s">
        <v>48</v>
      </c>
      <c r="G278" s="16">
        <v>80</v>
      </c>
      <c r="H278" s="16">
        <v>50</v>
      </c>
      <c r="I278" s="16">
        <v>20</v>
      </c>
      <c r="J278" s="16">
        <v>50</v>
      </c>
      <c r="K278" s="16">
        <v>20</v>
      </c>
      <c r="L278" s="16">
        <v>12</v>
      </c>
      <c r="M278" s="22">
        <v>0</v>
      </c>
      <c r="N278" s="22">
        <v>0</v>
      </c>
      <c r="O278" s="22">
        <v>0</v>
      </c>
      <c r="P278" s="22">
        <v>0</v>
      </c>
      <c r="Q278" s="22">
        <v>0</v>
      </c>
      <c r="R278" s="16">
        <v>0</v>
      </c>
      <c r="S278" s="16">
        <v>0</v>
      </c>
      <c r="T278" s="15">
        <v>0</v>
      </c>
      <c r="U278" s="15">
        <v>0</v>
      </c>
      <c r="V278" s="15">
        <v>0</v>
      </c>
    </row>
    <row r="279" spans="1:22">
      <c r="A279" s="15">
        <v>103274</v>
      </c>
      <c r="B279" s="15">
        <v>232006</v>
      </c>
      <c r="C279" s="15">
        <f t="shared" si="9"/>
        <v>2</v>
      </c>
      <c r="D279" s="15">
        <f t="shared" si="8"/>
        <v>3</v>
      </c>
      <c r="E279" s="15">
        <v>25</v>
      </c>
      <c r="F279" s="20" t="s">
        <v>49</v>
      </c>
      <c r="G279" s="16">
        <v>100</v>
      </c>
      <c r="H279" s="16">
        <v>60</v>
      </c>
      <c r="I279" s="16">
        <v>24</v>
      </c>
      <c r="J279" s="16">
        <v>60</v>
      </c>
      <c r="K279" s="16">
        <v>24</v>
      </c>
      <c r="L279" s="16">
        <v>12</v>
      </c>
      <c r="M279" s="22">
        <v>0</v>
      </c>
      <c r="N279" s="22">
        <v>0</v>
      </c>
      <c r="O279" s="22">
        <v>20</v>
      </c>
      <c r="P279" s="22">
        <v>0</v>
      </c>
      <c r="Q279" s="22">
        <v>20</v>
      </c>
      <c r="R279" s="16">
        <v>0</v>
      </c>
      <c r="S279" s="16">
        <v>0</v>
      </c>
      <c r="T279" s="15">
        <v>0</v>
      </c>
      <c r="U279" s="15">
        <v>1</v>
      </c>
      <c r="V279" s="15">
        <v>0</v>
      </c>
    </row>
    <row r="280" spans="1:22">
      <c r="A280" s="15">
        <v>103275</v>
      </c>
      <c r="B280" s="15">
        <v>232006</v>
      </c>
      <c r="C280" s="15">
        <f t="shared" si="9"/>
        <v>3</v>
      </c>
      <c r="D280" s="15">
        <f t="shared" si="8"/>
        <v>3</v>
      </c>
      <c r="E280" s="15">
        <v>0</v>
      </c>
      <c r="F280" s="20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22">
        <v>0</v>
      </c>
      <c r="N280" s="22">
        <v>0</v>
      </c>
      <c r="O280" s="22">
        <v>0</v>
      </c>
      <c r="P280" s="22">
        <v>0</v>
      </c>
      <c r="Q280" s="22">
        <v>0</v>
      </c>
      <c r="R280" s="16">
        <v>0</v>
      </c>
      <c r="S280" s="16">
        <v>531002</v>
      </c>
      <c r="T280" s="15">
        <v>0</v>
      </c>
      <c r="U280" s="15">
        <v>0</v>
      </c>
      <c r="V280" s="15">
        <v>0</v>
      </c>
    </row>
    <row r="281" spans="1:22">
      <c r="A281" s="15">
        <v>103276</v>
      </c>
      <c r="B281" s="15">
        <v>332006</v>
      </c>
      <c r="C281" s="15">
        <f t="shared" si="9"/>
        <v>0</v>
      </c>
      <c r="D281" s="15">
        <f t="shared" si="8"/>
        <v>4</v>
      </c>
      <c r="E281" s="15">
        <v>30</v>
      </c>
      <c r="F281" s="20" t="s">
        <v>50</v>
      </c>
      <c r="G281" s="16">
        <v>5</v>
      </c>
      <c r="H281" s="16">
        <v>5</v>
      </c>
      <c r="I281" s="16">
        <v>4</v>
      </c>
      <c r="J281" s="16">
        <v>10</v>
      </c>
      <c r="K281" s="16">
        <v>4</v>
      </c>
      <c r="L281" s="16">
        <v>0</v>
      </c>
      <c r="M281" s="22">
        <v>0</v>
      </c>
      <c r="N281" s="22">
        <v>0</v>
      </c>
      <c r="O281" s="22">
        <v>0</v>
      </c>
      <c r="P281" s="22">
        <v>0</v>
      </c>
      <c r="Q281" s="22">
        <v>0</v>
      </c>
      <c r="R281" s="16">
        <v>0</v>
      </c>
      <c r="S281" s="22">
        <v>0</v>
      </c>
      <c r="T281" s="15">
        <v>230411</v>
      </c>
      <c r="U281" s="15">
        <v>0</v>
      </c>
      <c r="V281" s="15">
        <v>0</v>
      </c>
    </row>
    <row r="282" spans="1:22">
      <c r="A282" s="15">
        <v>103277</v>
      </c>
      <c r="B282" s="15">
        <v>332006</v>
      </c>
      <c r="C282" s="15">
        <f t="shared" si="9"/>
        <v>1</v>
      </c>
      <c r="D282" s="15">
        <f t="shared" si="8"/>
        <v>4</v>
      </c>
      <c r="E282" s="15">
        <v>35</v>
      </c>
      <c r="F282" s="20" t="s">
        <v>51</v>
      </c>
      <c r="G282" s="16">
        <v>30</v>
      </c>
      <c r="H282" s="16">
        <v>20</v>
      </c>
      <c r="I282" s="16">
        <v>8</v>
      </c>
      <c r="J282" s="16">
        <v>20</v>
      </c>
      <c r="K282" s="16">
        <v>8</v>
      </c>
      <c r="L282" s="16">
        <v>3</v>
      </c>
      <c r="M282" s="22">
        <v>0</v>
      </c>
      <c r="N282" s="22">
        <v>0</v>
      </c>
      <c r="O282" s="22">
        <v>0</v>
      </c>
      <c r="P282" s="22">
        <v>0</v>
      </c>
      <c r="Q282" s="22">
        <v>0</v>
      </c>
      <c r="R282" s="16">
        <v>0</v>
      </c>
      <c r="S282" s="16">
        <v>0</v>
      </c>
      <c r="T282" s="15">
        <v>0</v>
      </c>
      <c r="U282" s="15">
        <v>0</v>
      </c>
      <c r="V282" s="15">
        <v>0</v>
      </c>
    </row>
    <row r="283" spans="1:22">
      <c r="A283" s="15">
        <v>103278</v>
      </c>
      <c r="B283" s="15">
        <v>332006</v>
      </c>
      <c r="C283" s="15">
        <f t="shared" si="9"/>
        <v>2</v>
      </c>
      <c r="D283" s="15">
        <f t="shared" si="8"/>
        <v>4</v>
      </c>
      <c r="E283" s="15">
        <v>40</v>
      </c>
      <c r="F283" s="20" t="s">
        <v>52</v>
      </c>
      <c r="G283" s="16">
        <v>50</v>
      </c>
      <c r="H283" s="16">
        <v>30</v>
      </c>
      <c r="I283" s="16">
        <v>12</v>
      </c>
      <c r="J283" s="16">
        <v>30</v>
      </c>
      <c r="K283" s="16">
        <v>12</v>
      </c>
      <c r="L283" s="16">
        <v>6</v>
      </c>
      <c r="M283" s="22">
        <v>0</v>
      </c>
      <c r="N283" s="22">
        <v>0</v>
      </c>
      <c r="O283" s="22">
        <v>0</v>
      </c>
      <c r="P283" s="22">
        <v>0</v>
      </c>
      <c r="Q283" s="22">
        <v>0</v>
      </c>
      <c r="R283" s="16">
        <v>0</v>
      </c>
      <c r="S283" s="16">
        <v>0</v>
      </c>
      <c r="T283" s="15">
        <v>0</v>
      </c>
      <c r="U283" s="15">
        <v>0</v>
      </c>
      <c r="V283" s="15">
        <v>0</v>
      </c>
    </row>
    <row r="284" spans="1:22">
      <c r="A284" s="15">
        <v>103279</v>
      </c>
      <c r="B284" s="15">
        <v>332006</v>
      </c>
      <c r="C284" s="15">
        <f t="shared" si="9"/>
        <v>3</v>
      </c>
      <c r="D284" s="15">
        <f t="shared" si="8"/>
        <v>4</v>
      </c>
      <c r="E284" s="15">
        <v>45</v>
      </c>
      <c r="F284" s="20" t="s">
        <v>53</v>
      </c>
      <c r="G284" s="16">
        <v>60</v>
      </c>
      <c r="H284" s="16">
        <v>40</v>
      </c>
      <c r="I284" s="16">
        <v>16</v>
      </c>
      <c r="J284" s="16">
        <v>40</v>
      </c>
      <c r="K284" s="16">
        <v>16</v>
      </c>
      <c r="L284" s="16">
        <v>9</v>
      </c>
      <c r="M284" s="22">
        <v>120</v>
      </c>
      <c r="N284" s="22">
        <v>30</v>
      </c>
      <c r="O284" s="22">
        <v>0</v>
      </c>
      <c r="P284" s="22">
        <v>0</v>
      </c>
      <c r="Q284" s="22">
        <v>0</v>
      </c>
      <c r="R284" s="16">
        <v>0</v>
      </c>
      <c r="S284" s="16">
        <v>0</v>
      </c>
      <c r="T284" s="15">
        <v>0</v>
      </c>
      <c r="U284" s="15">
        <v>1</v>
      </c>
      <c r="V284" s="15">
        <v>0</v>
      </c>
    </row>
    <row r="285" spans="1:22">
      <c r="A285" s="15">
        <v>103280</v>
      </c>
      <c r="B285" s="15">
        <v>332006</v>
      </c>
      <c r="C285" s="15">
        <f t="shared" si="9"/>
        <v>4</v>
      </c>
      <c r="D285" s="15">
        <f t="shared" si="8"/>
        <v>4</v>
      </c>
      <c r="E285" s="15">
        <v>0</v>
      </c>
      <c r="F285" s="20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16">
        <v>0</v>
      </c>
      <c r="S285" s="16">
        <v>0</v>
      </c>
      <c r="T285" s="15">
        <v>230421</v>
      </c>
      <c r="U285" s="15">
        <v>0</v>
      </c>
      <c r="V285" s="15">
        <v>0</v>
      </c>
    </row>
    <row r="286" spans="1:22">
      <c r="A286" s="15">
        <v>103281</v>
      </c>
      <c r="B286" s="15">
        <v>130007</v>
      </c>
      <c r="C286" s="15">
        <f t="shared" si="9"/>
        <v>0</v>
      </c>
      <c r="D286" s="15">
        <f t="shared" si="8"/>
        <v>2</v>
      </c>
      <c r="E286" s="15">
        <v>5</v>
      </c>
      <c r="F286" s="20" t="s">
        <v>45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22">
        <v>0</v>
      </c>
      <c r="N286" s="22">
        <v>0</v>
      </c>
      <c r="O286" s="22">
        <v>0</v>
      </c>
      <c r="P286" s="22">
        <v>0</v>
      </c>
      <c r="Q286" s="22">
        <v>0</v>
      </c>
      <c r="R286" s="22">
        <v>0</v>
      </c>
      <c r="S286" s="22">
        <v>0</v>
      </c>
      <c r="T286" s="15">
        <v>0</v>
      </c>
      <c r="U286" s="15">
        <v>0</v>
      </c>
      <c r="V286" s="15">
        <v>0</v>
      </c>
    </row>
    <row r="287" spans="1:22">
      <c r="A287" s="15">
        <v>103282</v>
      </c>
      <c r="B287" s="15">
        <v>130007</v>
      </c>
      <c r="C287" s="15">
        <f t="shared" si="9"/>
        <v>1</v>
      </c>
      <c r="D287" s="15">
        <f t="shared" si="8"/>
        <v>2</v>
      </c>
      <c r="E287" s="15">
        <v>10</v>
      </c>
      <c r="F287" s="20" t="s">
        <v>46</v>
      </c>
      <c r="G287" s="16">
        <v>30</v>
      </c>
      <c r="H287" s="16">
        <v>20</v>
      </c>
      <c r="I287" s="16">
        <v>8</v>
      </c>
      <c r="J287" s="16">
        <v>20</v>
      </c>
      <c r="K287" s="16">
        <v>8</v>
      </c>
      <c r="L287" s="16">
        <v>3</v>
      </c>
      <c r="M287" s="22">
        <v>0</v>
      </c>
      <c r="N287" s="22">
        <v>0</v>
      </c>
      <c r="O287" s="22">
        <v>0</v>
      </c>
      <c r="P287" s="22">
        <v>0</v>
      </c>
      <c r="Q287" s="22">
        <v>0</v>
      </c>
      <c r="R287" s="16">
        <v>0</v>
      </c>
      <c r="S287" s="16">
        <v>0</v>
      </c>
      <c r="T287" s="15">
        <v>0</v>
      </c>
      <c r="U287" s="15">
        <v>1</v>
      </c>
      <c r="V287" s="15">
        <v>0</v>
      </c>
    </row>
    <row r="288" spans="1:22">
      <c r="A288" s="15">
        <v>103283</v>
      </c>
      <c r="B288" s="15">
        <v>130007</v>
      </c>
      <c r="C288" s="15">
        <f t="shared" si="9"/>
        <v>2</v>
      </c>
      <c r="D288" s="15">
        <f t="shared" si="8"/>
        <v>2</v>
      </c>
      <c r="E288" s="15">
        <v>0</v>
      </c>
      <c r="F288" s="20">
        <v>0</v>
      </c>
      <c r="G288" s="16">
        <v>50</v>
      </c>
      <c r="H288" s="16">
        <v>30</v>
      </c>
      <c r="I288" s="16">
        <v>12</v>
      </c>
      <c r="J288" s="16">
        <v>30</v>
      </c>
      <c r="K288" s="16">
        <v>12</v>
      </c>
      <c r="L288" s="16">
        <v>6</v>
      </c>
      <c r="M288" s="22">
        <v>0</v>
      </c>
      <c r="N288" s="22">
        <v>0</v>
      </c>
      <c r="O288" s="22">
        <v>15</v>
      </c>
      <c r="P288" s="22">
        <v>0</v>
      </c>
      <c r="Q288" s="22">
        <v>15</v>
      </c>
      <c r="R288" s="22">
        <v>0</v>
      </c>
      <c r="S288" s="16">
        <v>0</v>
      </c>
      <c r="T288" s="15">
        <v>0</v>
      </c>
      <c r="U288" s="15">
        <v>0</v>
      </c>
      <c r="V288" s="15">
        <v>0</v>
      </c>
    </row>
    <row r="289" spans="1:22">
      <c r="A289" s="15">
        <v>103284</v>
      </c>
      <c r="B289" s="15">
        <v>231007</v>
      </c>
      <c r="C289" s="15">
        <f t="shared" si="9"/>
        <v>0</v>
      </c>
      <c r="D289" s="15">
        <f t="shared" si="8"/>
        <v>3</v>
      </c>
      <c r="E289" s="15">
        <v>15</v>
      </c>
      <c r="F289" s="20" t="s">
        <v>47</v>
      </c>
      <c r="G289" s="16">
        <v>60</v>
      </c>
      <c r="H289" s="16">
        <v>40</v>
      </c>
      <c r="I289" s="16">
        <v>16</v>
      </c>
      <c r="J289" s="16">
        <v>40</v>
      </c>
      <c r="K289" s="16">
        <v>16</v>
      </c>
      <c r="L289" s="16">
        <v>9</v>
      </c>
      <c r="M289" s="22">
        <v>0</v>
      </c>
      <c r="N289" s="22">
        <v>0</v>
      </c>
      <c r="O289" s="22">
        <v>0</v>
      </c>
      <c r="P289" s="22">
        <v>0</v>
      </c>
      <c r="Q289" s="22">
        <v>0</v>
      </c>
      <c r="R289" s="22">
        <v>0</v>
      </c>
      <c r="S289" s="22">
        <v>0</v>
      </c>
      <c r="T289" s="15">
        <v>0</v>
      </c>
      <c r="U289" s="15">
        <v>0</v>
      </c>
      <c r="V289" s="15">
        <v>0</v>
      </c>
    </row>
    <row r="290" spans="1:22">
      <c r="A290" s="15">
        <v>103285</v>
      </c>
      <c r="B290" s="15">
        <v>231007</v>
      </c>
      <c r="C290" s="15">
        <f t="shared" si="9"/>
        <v>1</v>
      </c>
      <c r="D290" s="15">
        <f t="shared" si="8"/>
        <v>3</v>
      </c>
      <c r="E290" s="15">
        <v>20</v>
      </c>
      <c r="F290" s="20" t="s">
        <v>48</v>
      </c>
      <c r="G290" s="16">
        <v>80</v>
      </c>
      <c r="H290" s="16">
        <v>50</v>
      </c>
      <c r="I290" s="16">
        <v>20</v>
      </c>
      <c r="J290" s="16">
        <v>50</v>
      </c>
      <c r="K290" s="16">
        <v>20</v>
      </c>
      <c r="L290" s="16">
        <v>12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16">
        <v>0</v>
      </c>
      <c r="S290" s="16">
        <v>0</v>
      </c>
      <c r="T290" s="15">
        <v>230441</v>
      </c>
      <c r="U290" s="15">
        <v>0</v>
      </c>
      <c r="V290" s="15">
        <v>0</v>
      </c>
    </row>
    <row r="291" spans="1:22">
      <c r="A291" s="15">
        <v>103286</v>
      </c>
      <c r="B291" s="15">
        <v>231007</v>
      </c>
      <c r="C291" s="15">
        <f t="shared" si="9"/>
        <v>2</v>
      </c>
      <c r="D291" s="15">
        <f t="shared" si="8"/>
        <v>3</v>
      </c>
      <c r="E291" s="15">
        <v>25</v>
      </c>
      <c r="F291" s="20" t="s">
        <v>49</v>
      </c>
      <c r="G291" s="16">
        <v>100</v>
      </c>
      <c r="H291" s="16">
        <v>60</v>
      </c>
      <c r="I291" s="16">
        <v>24</v>
      </c>
      <c r="J291" s="16">
        <v>60</v>
      </c>
      <c r="K291" s="16">
        <v>24</v>
      </c>
      <c r="L291" s="16">
        <v>12</v>
      </c>
      <c r="M291" s="22">
        <v>0</v>
      </c>
      <c r="N291" s="22">
        <v>0</v>
      </c>
      <c r="O291" s="22">
        <v>20</v>
      </c>
      <c r="P291" s="22">
        <v>0</v>
      </c>
      <c r="Q291" s="22">
        <v>20</v>
      </c>
      <c r="R291" s="16">
        <v>0</v>
      </c>
      <c r="S291" s="16">
        <v>0</v>
      </c>
      <c r="T291" s="15">
        <v>0</v>
      </c>
      <c r="U291" s="15">
        <v>1</v>
      </c>
      <c r="V291" s="15">
        <v>0</v>
      </c>
    </row>
    <row r="292" spans="1:22">
      <c r="A292" s="15">
        <v>103287</v>
      </c>
      <c r="B292" s="15">
        <v>231007</v>
      </c>
      <c r="C292" s="15">
        <f t="shared" si="9"/>
        <v>3</v>
      </c>
      <c r="D292" s="15">
        <f t="shared" si="8"/>
        <v>3</v>
      </c>
      <c r="E292" s="15">
        <v>0</v>
      </c>
      <c r="F292" s="20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22">
        <v>0</v>
      </c>
      <c r="N292" s="22">
        <v>0</v>
      </c>
      <c r="O292" s="22">
        <v>0</v>
      </c>
      <c r="P292" s="22">
        <v>0</v>
      </c>
      <c r="Q292" s="22">
        <v>0</v>
      </c>
      <c r="R292" s="16">
        <v>0</v>
      </c>
      <c r="S292" s="16">
        <v>621001</v>
      </c>
      <c r="T292" s="15">
        <v>0</v>
      </c>
      <c r="U292" s="15">
        <v>0</v>
      </c>
      <c r="V292" s="15">
        <v>0</v>
      </c>
    </row>
    <row r="293" spans="1:22">
      <c r="A293" s="15">
        <v>103288</v>
      </c>
      <c r="B293" s="15">
        <v>331007</v>
      </c>
      <c r="C293" s="15">
        <f t="shared" si="9"/>
        <v>0</v>
      </c>
      <c r="D293" s="15">
        <f t="shared" si="8"/>
        <v>4</v>
      </c>
      <c r="E293" s="15">
        <v>30</v>
      </c>
      <c r="F293" s="20" t="s">
        <v>50</v>
      </c>
      <c r="G293" s="16">
        <v>5</v>
      </c>
      <c r="H293" s="16">
        <v>5</v>
      </c>
      <c r="I293" s="16">
        <v>4</v>
      </c>
      <c r="J293" s="16">
        <v>10</v>
      </c>
      <c r="K293" s="16">
        <v>4</v>
      </c>
      <c r="L293" s="16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16">
        <v>0</v>
      </c>
      <c r="S293" s="22">
        <v>0</v>
      </c>
      <c r="T293" s="15">
        <v>230451</v>
      </c>
      <c r="U293" s="15">
        <v>0</v>
      </c>
      <c r="V293" s="15">
        <v>0</v>
      </c>
    </row>
    <row r="294" spans="1:22">
      <c r="A294" s="15">
        <v>103289</v>
      </c>
      <c r="B294" s="15">
        <v>331007</v>
      </c>
      <c r="C294" s="15">
        <f t="shared" si="9"/>
        <v>1</v>
      </c>
      <c r="D294" s="15">
        <f t="shared" si="8"/>
        <v>4</v>
      </c>
      <c r="E294" s="15">
        <v>35</v>
      </c>
      <c r="F294" s="20" t="s">
        <v>51</v>
      </c>
      <c r="G294" s="16">
        <v>30</v>
      </c>
      <c r="H294" s="16">
        <v>20</v>
      </c>
      <c r="I294" s="16">
        <v>8</v>
      </c>
      <c r="J294" s="16">
        <v>20</v>
      </c>
      <c r="K294" s="16">
        <v>8</v>
      </c>
      <c r="L294" s="16">
        <v>3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16">
        <v>0</v>
      </c>
      <c r="S294" s="16">
        <v>0</v>
      </c>
      <c r="T294" s="15">
        <v>0</v>
      </c>
      <c r="U294" s="15">
        <v>0</v>
      </c>
      <c r="V294" s="15">
        <v>0</v>
      </c>
    </row>
    <row r="295" spans="1:22">
      <c r="A295" s="15">
        <v>103290</v>
      </c>
      <c r="B295" s="15">
        <v>331007</v>
      </c>
      <c r="C295" s="15">
        <f t="shared" si="9"/>
        <v>2</v>
      </c>
      <c r="D295" s="15">
        <f t="shared" si="8"/>
        <v>4</v>
      </c>
      <c r="E295" s="15">
        <v>40</v>
      </c>
      <c r="F295" s="20" t="s">
        <v>52</v>
      </c>
      <c r="G295" s="16">
        <v>50</v>
      </c>
      <c r="H295" s="16">
        <v>30</v>
      </c>
      <c r="I295" s="16">
        <v>12</v>
      </c>
      <c r="J295" s="16">
        <v>30</v>
      </c>
      <c r="K295" s="16">
        <v>12</v>
      </c>
      <c r="L295" s="16">
        <v>6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16">
        <v>0</v>
      </c>
      <c r="S295" s="16">
        <v>0</v>
      </c>
      <c r="T295" s="15">
        <v>230461</v>
      </c>
      <c r="U295" s="15">
        <v>0</v>
      </c>
      <c r="V295" s="15">
        <v>0</v>
      </c>
    </row>
    <row r="296" spans="1:22">
      <c r="A296" s="15">
        <v>103291</v>
      </c>
      <c r="B296" s="15">
        <v>331007</v>
      </c>
      <c r="C296" s="15">
        <f t="shared" si="9"/>
        <v>3</v>
      </c>
      <c r="D296" s="15">
        <f t="shared" si="8"/>
        <v>4</v>
      </c>
      <c r="E296" s="15">
        <v>45</v>
      </c>
      <c r="F296" s="20" t="s">
        <v>53</v>
      </c>
      <c r="G296" s="16">
        <v>60</v>
      </c>
      <c r="H296" s="16">
        <v>40</v>
      </c>
      <c r="I296" s="16">
        <v>16</v>
      </c>
      <c r="J296" s="16">
        <v>40</v>
      </c>
      <c r="K296" s="16">
        <v>16</v>
      </c>
      <c r="L296" s="16">
        <v>9</v>
      </c>
      <c r="M296" s="22">
        <v>120</v>
      </c>
      <c r="N296" s="22">
        <v>0</v>
      </c>
      <c r="O296" s="22">
        <v>0</v>
      </c>
      <c r="P296" s="22">
        <v>12</v>
      </c>
      <c r="Q296" s="22">
        <v>0</v>
      </c>
      <c r="R296" s="16">
        <v>0</v>
      </c>
      <c r="S296" s="16">
        <v>0</v>
      </c>
      <c r="T296" s="15">
        <v>0</v>
      </c>
      <c r="U296" s="15">
        <v>1</v>
      </c>
      <c r="V296" s="15">
        <v>0</v>
      </c>
    </row>
    <row r="297" spans="1:22">
      <c r="A297" s="15">
        <v>103292</v>
      </c>
      <c r="B297" s="15">
        <v>331007</v>
      </c>
      <c r="C297" s="15">
        <f t="shared" si="9"/>
        <v>4</v>
      </c>
      <c r="D297" s="15">
        <f t="shared" si="8"/>
        <v>4</v>
      </c>
      <c r="E297" s="15">
        <v>0</v>
      </c>
      <c r="F297" s="20">
        <v>0</v>
      </c>
      <c r="G297" s="16">
        <v>0</v>
      </c>
      <c r="H297" s="16">
        <v>0</v>
      </c>
      <c r="I297" s="16">
        <v>0</v>
      </c>
      <c r="J297" s="16">
        <v>0</v>
      </c>
      <c r="K297" s="16">
        <v>0</v>
      </c>
      <c r="L297" s="16">
        <v>0</v>
      </c>
      <c r="M297" s="22">
        <v>0</v>
      </c>
      <c r="N297" s="22">
        <v>0</v>
      </c>
      <c r="O297" s="22">
        <v>0</v>
      </c>
      <c r="P297" s="22">
        <v>0</v>
      </c>
      <c r="Q297" s="22">
        <v>0</v>
      </c>
      <c r="R297" s="16">
        <v>0</v>
      </c>
      <c r="S297" s="16">
        <v>0</v>
      </c>
      <c r="T297" s="15">
        <v>0</v>
      </c>
      <c r="U297" s="15">
        <v>0</v>
      </c>
      <c r="V297" s="15">
        <v>0</v>
      </c>
    </row>
    <row r="298" spans="1:22">
      <c r="A298" s="15">
        <v>103293</v>
      </c>
      <c r="B298" s="15">
        <v>232007</v>
      </c>
      <c r="C298" s="15">
        <f t="shared" si="9"/>
        <v>0</v>
      </c>
      <c r="D298" s="15">
        <f t="shared" si="8"/>
        <v>3</v>
      </c>
      <c r="E298" s="15">
        <v>15</v>
      </c>
      <c r="F298" s="20" t="s">
        <v>47</v>
      </c>
      <c r="G298" s="16">
        <v>60</v>
      </c>
      <c r="H298" s="16">
        <v>40</v>
      </c>
      <c r="I298" s="16">
        <v>16</v>
      </c>
      <c r="J298" s="16">
        <v>40</v>
      </c>
      <c r="K298" s="16">
        <v>16</v>
      </c>
      <c r="L298" s="16">
        <v>9</v>
      </c>
      <c r="M298" s="22">
        <v>0</v>
      </c>
      <c r="N298" s="22">
        <v>0</v>
      </c>
      <c r="O298" s="22">
        <v>0</v>
      </c>
      <c r="P298" s="22">
        <v>0</v>
      </c>
      <c r="Q298" s="22">
        <v>0</v>
      </c>
      <c r="R298" s="22">
        <v>0</v>
      </c>
      <c r="S298" s="22">
        <v>0</v>
      </c>
      <c r="T298" s="15">
        <v>230471</v>
      </c>
      <c r="U298" s="15">
        <v>0</v>
      </c>
      <c r="V298" s="15">
        <v>0</v>
      </c>
    </row>
    <row r="299" spans="1:22">
      <c r="A299" s="15">
        <v>103294</v>
      </c>
      <c r="B299" s="15">
        <v>232007</v>
      </c>
      <c r="C299" s="15">
        <f t="shared" si="9"/>
        <v>1</v>
      </c>
      <c r="D299" s="15">
        <f t="shared" si="8"/>
        <v>3</v>
      </c>
      <c r="E299" s="15">
        <v>20</v>
      </c>
      <c r="F299" s="20" t="s">
        <v>48</v>
      </c>
      <c r="G299" s="16">
        <v>80</v>
      </c>
      <c r="H299" s="16">
        <v>50</v>
      </c>
      <c r="I299" s="16">
        <v>20</v>
      </c>
      <c r="J299" s="16">
        <v>50</v>
      </c>
      <c r="K299" s="16">
        <v>20</v>
      </c>
      <c r="L299" s="16">
        <v>12</v>
      </c>
      <c r="M299" s="22">
        <v>0</v>
      </c>
      <c r="N299" s="22">
        <v>0</v>
      </c>
      <c r="O299" s="22">
        <v>0</v>
      </c>
      <c r="P299" s="22">
        <v>0</v>
      </c>
      <c r="Q299" s="22">
        <v>0</v>
      </c>
      <c r="R299" s="16">
        <v>0</v>
      </c>
      <c r="S299" s="16">
        <v>0</v>
      </c>
      <c r="T299" s="15">
        <v>0</v>
      </c>
      <c r="U299" s="15">
        <v>0</v>
      </c>
      <c r="V299" s="15">
        <v>0</v>
      </c>
    </row>
    <row r="300" spans="1:22">
      <c r="A300" s="15">
        <v>103295</v>
      </c>
      <c r="B300" s="15">
        <v>232007</v>
      </c>
      <c r="C300" s="15">
        <f t="shared" si="9"/>
        <v>2</v>
      </c>
      <c r="D300" s="15">
        <f t="shared" si="8"/>
        <v>3</v>
      </c>
      <c r="E300" s="15">
        <v>25</v>
      </c>
      <c r="F300" s="20" t="s">
        <v>49</v>
      </c>
      <c r="G300" s="16">
        <v>100</v>
      </c>
      <c r="H300" s="16">
        <v>60</v>
      </c>
      <c r="I300" s="16">
        <v>24</v>
      </c>
      <c r="J300" s="16">
        <v>60</v>
      </c>
      <c r="K300" s="16">
        <v>24</v>
      </c>
      <c r="L300" s="16">
        <v>12</v>
      </c>
      <c r="M300" s="22">
        <v>0</v>
      </c>
      <c r="N300" s="22">
        <v>0</v>
      </c>
      <c r="O300" s="22">
        <v>20</v>
      </c>
      <c r="P300" s="22">
        <v>0</v>
      </c>
      <c r="Q300" s="22">
        <v>20</v>
      </c>
      <c r="R300" s="16">
        <v>0</v>
      </c>
      <c r="S300" s="16">
        <v>0</v>
      </c>
      <c r="T300" s="15">
        <v>0</v>
      </c>
      <c r="U300" s="15">
        <v>1</v>
      </c>
      <c r="V300" s="15">
        <v>0</v>
      </c>
    </row>
    <row r="301" spans="1:22">
      <c r="A301" s="15">
        <v>103296</v>
      </c>
      <c r="B301" s="15">
        <v>232007</v>
      </c>
      <c r="C301" s="15">
        <f t="shared" si="9"/>
        <v>3</v>
      </c>
      <c r="D301" s="15">
        <f t="shared" si="8"/>
        <v>3</v>
      </c>
      <c r="E301" s="15">
        <v>0</v>
      </c>
      <c r="F301" s="20">
        <v>0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22">
        <v>0</v>
      </c>
      <c r="N301" s="22">
        <v>0</v>
      </c>
      <c r="O301" s="22">
        <v>0</v>
      </c>
      <c r="P301" s="22">
        <v>0</v>
      </c>
      <c r="Q301" s="22">
        <v>0</v>
      </c>
      <c r="R301" s="16">
        <v>0</v>
      </c>
      <c r="S301" s="16">
        <v>631002</v>
      </c>
      <c r="T301" s="15">
        <v>0</v>
      </c>
      <c r="U301" s="15">
        <v>0</v>
      </c>
      <c r="V301" s="15">
        <v>0</v>
      </c>
    </row>
    <row r="302" spans="1:22">
      <c r="A302" s="15">
        <v>103297</v>
      </c>
      <c r="B302" s="15">
        <v>332007</v>
      </c>
      <c r="C302" s="15">
        <f t="shared" si="9"/>
        <v>0</v>
      </c>
      <c r="D302" s="15">
        <f t="shared" ref="D302:D365" si="10">LEFT(B302,1)+1</f>
        <v>4</v>
      </c>
      <c r="E302" s="15">
        <v>30</v>
      </c>
      <c r="F302" s="20" t="s">
        <v>50</v>
      </c>
      <c r="G302" s="16">
        <v>5</v>
      </c>
      <c r="H302" s="16">
        <v>5</v>
      </c>
      <c r="I302" s="16">
        <v>4</v>
      </c>
      <c r="J302" s="16">
        <v>10</v>
      </c>
      <c r="K302" s="16">
        <v>4</v>
      </c>
      <c r="L302" s="16">
        <v>0</v>
      </c>
      <c r="M302" s="22">
        <v>0</v>
      </c>
      <c r="N302" s="22">
        <v>0</v>
      </c>
      <c r="O302" s="22">
        <v>0</v>
      </c>
      <c r="P302" s="22">
        <v>0</v>
      </c>
      <c r="Q302" s="22">
        <v>0</v>
      </c>
      <c r="R302" s="16">
        <v>0</v>
      </c>
      <c r="S302" s="22">
        <v>0</v>
      </c>
      <c r="T302" s="15">
        <v>230481</v>
      </c>
      <c r="U302" s="15">
        <v>0</v>
      </c>
      <c r="V302" s="15">
        <v>0</v>
      </c>
    </row>
    <row r="303" spans="1:22">
      <c r="A303" s="15">
        <v>103298</v>
      </c>
      <c r="B303" s="15">
        <v>332007</v>
      </c>
      <c r="C303" s="15">
        <f t="shared" ref="C303:C366" si="11">IF(LEFT(B302,1)=LEFT(B303,1),(C302+1),0)</f>
        <v>1</v>
      </c>
      <c r="D303" s="15">
        <f t="shared" si="10"/>
        <v>4</v>
      </c>
      <c r="E303" s="15">
        <v>35</v>
      </c>
      <c r="F303" s="20" t="s">
        <v>51</v>
      </c>
      <c r="G303" s="16">
        <v>30</v>
      </c>
      <c r="H303" s="16">
        <v>20</v>
      </c>
      <c r="I303" s="16">
        <v>8</v>
      </c>
      <c r="J303" s="16">
        <v>20</v>
      </c>
      <c r="K303" s="16">
        <v>8</v>
      </c>
      <c r="L303" s="16">
        <v>3</v>
      </c>
      <c r="M303" s="22">
        <v>0</v>
      </c>
      <c r="N303" s="22">
        <v>0</v>
      </c>
      <c r="O303" s="22">
        <v>0</v>
      </c>
      <c r="P303" s="22">
        <v>0</v>
      </c>
      <c r="Q303" s="22">
        <v>0</v>
      </c>
      <c r="R303" s="16">
        <v>0</v>
      </c>
      <c r="S303" s="16">
        <v>0</v>
      </c>
      <c r="T303" s="15">
        <v>0</v>
      </c>
      <c r="U303" s="15">
        <v>0</v>
      </c>
      <c r="V303" s="15">
        <v>0</v>
      </c>
    </row>
    <row r="304" spans="1:22">
      <c r="A304" s="15">
        <v>103299</v>
      </c>
      <c r="B304" s="15">
        <v>332007</v>
      </c>
      <c r="C304" s="15">
        <f t="shared" si="11"/>
        <v>2</v>
      </c>
      <c r="D304" s="15">
        <f t="shared" si="10"/>
        <v>4</v>
      </c>
      <c r="E304" s="15">
        <v>40</v>
      </c>
      <c r="F304" s="20" t="s">
        <v>52</v>
      </c>
      <c r="G304" s="16">
        <v>50</v>
      </c>
      <c r="H304" s="16">
        <v>30</v>
      </c>
      <c r="I304" s="16">
        <v>12</v>
      </c>
      <c r="J304" s="16">
        <v>30</v>
      </c>
      <c r="K304" s="16">
        <v>12</v>
      </c>
      <c r="L304" s="16">
        <v>6</v>
      </c>
      <c r="M304" s="22">
        <v>0</v>
      </c>
      <c r="N304" s="22">
        <v>0</v>
      </c>
      <c r="O304" s="22">
        <v>0</v>
      </c>
      <c r="P304" s="22">
        <v>0</v>
      </c>
      <c r="Q304" s="22">
        <v>0</v>
      </c>
      <c r="R304" s="16">
        <v>0</v>
      </c>
      <c r="S304" s="16">
        <v>0</v>
      </c>
      <c r="T304" s="15">
        <v>0</v>
      </c>
      <c r="U304" s="15">
        <v>0</v>
      </c>
      <c r="V304" s="15">
        <v>0</v>
      </c>
    </row>
    <row r="305" spans="1:22">
      <c r="A305" s="15">
        <v>103300</v>
      </c>
      <c r="B305" s="15">
        <v>332007</v>
      </c>
      <c r="C305" s="15">
        <f t="shared" si="11"/>
        <v>3</v>
      </c>
      <c r="D305" s="15">
        <f t="shared" si="10"/>
        <v>4</v>
      </c>
      <c r="E305" s="15">
        <v>45</v>
      </c>
      <c r="F305" s="20" t="s">
        <v>53</v>
      </c>
      <c r="G305" s="16">
        <v>60</v>
      </c>
      <c r="H305" s="16">
        <v>40</v>
      </c>
      <c r="I305" s="16">
        <v>16</v>
      </c>
      <c r="J305" s="16">
        <v>40</v>
      </c>
      <c r="K305" s="16">
        <v>16</v>
      </c>
      <c r="L305" s="16">
        <v>9</v>
      </c>
      <c r="M305" s="22">
        <v>120</v>
      </c>
      <c r="N305" s="22">
        <v>0</v>
      </c>
      <c r="O305" s="22">
        <v>0</v>
      </c>
      <c r="P305" s="22">
        <v>12</v>
      </c>
      <c r="Q305" s="22">
        <v>0</v>
      </c>
      <c r="R305" s="16">
        <v>0</v>
      </c>
      <c r="S305" s="16">
        <v>0</v>
      </c>
      <c r="T305" s="15">
        <v>0</v>
      </c>
      <c r="U305" s="15">
        <v>1</v>
      </c>
      <c r="V305" s="15">
        <v>0</v>
      </c>
    </row>
    <row r="306" spans="1:22">
      <c r="A306" s="15">
        <v>103301</v>
      </c>
      <c r="B306" s="15">
        <v>332007</v>
      </c>
      <c r="C306" s="15">
        <f t="shared" si="11"/>
        <v>4</v>
      </c>
      <c r="D306" s="15">
        <f t="shared" si="10"/>
        <v>4</v>
      </c>
      <c r="E306" s="15">
        <v>0</v>
      </c>
      <c r="F306" s="20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22">
        <v>0</v>
      </c>
      <c r="N306" s="22">
        <v>0</v>
      </c>
      <c r="O306" s="22">
        <v>0</v>
      </c>
      <c r="P306" s="22">
        <v>0</v>
      </c>
      <c r="Q306" s="22">
        <v>0</v>
      </c>
      <c r="R306" s="16">
        <v>0</v>
      </c>
      <c r="S306" s="16">
        <v>0</v>
      </c>
      <c r="T306" s="15">
        <v>230491</v>
      </c>
      <c r="U306" s="15">
        <v>0</v>
      </c>
      <c r="V306" s="15">
        <v>0</v>
      </c>
    </row>
    <row r="307" spans="1:22">
      <c r="A307" s="15">
        <v>103302</v>
      </c>
      <c r="B307" s="15">
        <v>130008</v>
      </c>
      <c r="C307" s="15">
        <f t="shared" si="11"/>
        <v>0</v>
      </c>
      <c r="D307" s="15">
        <f t="shared" si="10"/>
        <v>2</v>
      </c>
      <c r="E307" s="15">
        <v>5</v>
      </c>
      <c r="F307" s="20" t="s">
        <v>45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22">
        <v>0</v>
      </c>
      <c r="N307" s="22">
        <v>0</v>
      </c>
      <c r="O307" s="22">
        <v>0</v>
      </c>
      <c r="P307" s="22">
        <v>0</v>
      </c>
      <c r="Q307" s="22">
        <v>0</v>
      </c>
      <c r="R307" s="22">
        <v>0</v>
      </c>
      <c r="S307" s="22">
        <v>0</v>
      </c>
      <c r="T307" s="15">
        <v>0</v>
      </c>
      <c r="U307" s="15">
        <v>0</v>
      </c>
      <c r="V307" s="15">
        <v>0</v>
      </c>
    </row>
    <row r="308" spans="1:22">
      <c r="A308" s="15">
        <v>103303</v>
      </c>
      <c r="B308" s="15">
        <v>130008</v>
      </c>
      <c r="C308" s="15">
        <f t="shared" si="11"/>
        <v>1</v>
      </c>
      <c r="D308" s="15">
        <f t="shared" si="10"/>
        <v>2</v>
      </c>
      <c r="E308" s="15">
        <v>10</v>
      </c>
      <c r="F308" s="20" t="s">
        <v>46</v>
      </c>
      <c r="G308" s="16">
        <v>30</v>
      </c>
      <c r="H308" s="16">
        <v>20</v>
      </c>
      <c r="I308" s="16">
        <v>8</v>
      </c>
      <c r="J308" s="16">
        <v>20</v>
      </c>
      <c r="K308" s="16">
        <v>8</v>
      </c>
      <c r="L308" s="16">
        <v>3</v>
      </c>
      <c r="M308" s="22">
        <v>0</v>
      </c>
      <c r="N308" s="22">
        <v>0</v>
      </c>
      <c r="O308" s="22">
        <v>0</v>
      </c>
      <c r="P308" s="22">
        <v>0</v>
      </c>
      <c r="Q308" s="22">
        <v>0</v>
      </c>
      <c r="R308" s="16">
        <v>0</v>
      </c>
      <c r="S308" s="16">
        <v>0</v>
      </c>
      <c r="T308" s="15">
        <v>0</v>
      </c>
      <c r="U308" s="15">
        <v>1</v>
      </c>
      <c r="V308" s="15">
        <v>0</v>
      </c>
    </row>
    <row r="309" spans="1:22">
      <c r="A309" s="15">
        <v>103304</v>
      </c>
      <c r="B309" s="15">
        <v>130008</v>
      </c>
      <c r="C309" s="15">
        <f t="shared" si="11"/>
        <v>2</v>
      </c>
      <c r="D309" s="15">
        <f t="shared" si="10"/>
        <v>2</v>
      </c>
      <c r="E309" s="15">
        <v>0</v>
      </c>
      <c r="F309" s="20">
        <v>0</v>
      </c>
      <c r="G309" s="16">
        <v>50</v>
      </c>
      <c r="H309" s="16">
        <v>30</v>
      </c>
      <c r="I309" s="16">
        <v>12</v>
      </c>
      <c r="J309" s="16">
        <v>30</v>
      </c>
      <c r="K309" s="16">
        <v>12</v>
      </c>
      <c r="L309" s="16">
        <v>6</v>
      </c>
      <c r="M309" s="22">
        <v>0</v>
      </c>
      <c r="N309" s="22">
        <v>0</v>
      </c>
      <c r="O309" s="22">
        <v>15</v>
      </c>
      <c r="P309" s="22">
        <v>0</v>
      </c>
      <c r="Q309" s="22">
        <v>15</v>
      </c>
      <c r="R309" s="22">
        <v>0</v>
      </c>
      <c r="S309" s="16">
        <v>0</v>
      </c>
      <c r="T309" s="15">
        <v>0</v>
      </c>
      <c r="U309" s="15">
        <v>0</v>
      </c>
      <c r="V309" s="15">
        <v>0</v>
      </c>
    </row>
    <row r="310" spans="1:22">
      <c r="A310" s="15">
        <v>103305</v>
      </c>
      <c r="B310" s="15">
        <v>231008</v>
      </c>
      <c r="C310" s="15">
        <f t="shared" si="11"/>
        <v>0</v>
      </c>
      <c r="D310" s="15">
        <f t="shared" si="10"/>
        <v>3</v>
      </c>
      <c r="E310" s="15">
        <v>15</v>
      </c>
      <c r="F310" s="20" t="s">
        <v>47</v>
      </c>
      <c r="G310" s="16">
        <v>60</v>
      </c>
      <c r="H310" s="16">
        <v>40</v>
      </c>
      <c r="I310" s="16">
        <v>16</v>
      </c>
      <c r="J310" s="16">
        <v>40</v>
      </c>
      <c r="K310" s="16">
        <v>16</v>
      </c>
      <c r="L310" s="16">
        <v>9</v>
      </c>
      <c r="M310" s="22">
        <v>0</v>
      </c>
      <c r="N310" s="22">
        <v>0</v>
      </c>
      <c r="O310" s="22">
        <v>0</v>
      </c>
      <c r="P310" s="22">
        <v>0</v>
      </c>
      <c r="Q310" s="22">
        <v>0</v>
      </c>
      <c r="R310" s="22">
        <v>0</v>
      </c>
      <c r="S310" s="22">
        <v>0</v>
      </c>
      <c r="T310" s="15">
        <v>0</v>
      </c>
      <c r="U310" s="15">
        <v>0</v>
      </c>
      <c r="V310" s="15">
        <v>0</v>
      </c>
    </row>
    <row r="311" spans="1:22">
      <c r="A311" s="15">
        <v>103306</v>
      </c>
      <c r="B311" s="15">
        <v>231008</v>
      </c>
      <c r="C311" s="15">
        <f t="shared" si="11"/>
        <v>1</v>
      </c>
      <c r="D311" s="15">
        <f t="shared" si="10"/>
        <v>3</v>
      </c>
      <c r="E311" s="15">
        <v>20</v>
      </c>
      <c r="F311" s="20" t="s">
        <v>48</v>
      </c>
      <c r="G311" s="16">
        <v>80</v>
      </c>
      <c r="H311" s="16">
        <v>50</v>
      </c>
      <c r="I311" s="16">
        <v>20</v>
      </c>
      <c r="J311" s="16">
        <v>50</v>
      </c>
      <c r="K311" s="16">
        <v>20</v>
      </c>
      <c r="L311" s="16">
        <v>12</v>
      </c>
      <c r="M311" s="22">
        <v>0</v>
      </c>
      <c r="N311" s="22">
        <v>0</v>
      </c>
      <c r="O311" s="22">
        <v>0</v>
      </c>
      <c r="P311" s="22">
        <v>0</v>
      </c>
      <c r="Q311" s="22">
        <v>0</v>
      </c>
      <c r="R311" s="16">
        <v>0</v>
      </c>
      <c r="S311" s="16">
        <v>0</v>
      </c>
      <c r="T311" s="15">
        <v>230511</v>
      </c>
      <c r="U311" s="15">
        <v>0</v>
      </c>
      <c r="V311" s="15">
        <v>0</v>
      </c>
    </row>
    <row r="312" spans="1:22">
      <c r="A312" s="15">
        <v>103307</v>
      </c>
      <c r="B312" s="15">
        <v>231008</v>
      </c>
      <c r="C312" s="15">
        <f t="shared" si="11"/>
        <v>2</v>
      </c>
      <c r="D312" s="15">
        <f t="shared" si="10"/>
        <v>3</v>
      </c>
      <c r="E312" s="15">
        <v>25</v>
      </c>
      <c r="F312" s="20" t="s">
        <v>49</v>
      </c>
      <c r="G312" s="16">
        <v>100</v>
      </c>
      <c r="H312" s="16">
        <v>60</v>
      </c>
      <c r="I312" s="16">
        <v>24</v>
      </c>
      <c r="J312" s="16">
        <v>60</v>
      </c>
      <c r="K312" s="16">
        <v>24</v>
      </c>
      <c r="L312" s="16">
        <v>12</v>
      </c>
      <c r="M312" s="22">
        <v>0</v>
      </c>
      <c r="N312" s="22">
        <v>0</v>
      </c>
      <c r="O312" s="22">
        <v>20</v>
      </c>
      <c r="P312" s="22">
        <v>0</v>
      </c>
      <c r="Q312" s="22">
        <v>20</v>
      </c>
      <c r="R312" s="16">
        <v>0</v>
      </c>
      <c r="S312" s="16">
        <v>0</v>
      </c>
      <c r="T312" s="15">
        <v>0</v>
      </c>
      <c r="U312" s="15">
        <v>1</v>
      </c>
      <c r="V312" s="15">
        <v>0</v>
      </c>
    </row>
    <row r="313" spans="1:22">
      <c r="A313" s="15">
        <v>103308</v>
      </c>
      <c r="B313" s="15">
        <v>231008</v>
      </c>
      <c r="C313" s="15">
        <f t="shared" si="11"/>
        <v>3</v>
      </c>
      <c r="D313" s="15">
        <f t="shared" si="10"/>
        <v>3</v>
      </c>
      <c r="E313" s="15">
        <v>0</v>
      </c>
      <c r="F313" s="20">
        <v>0</v>
      </c>
      <c r="G313" s="16">
        <v>0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22">
        <v>0</v>
      </c>
      <c r="N313" s="22">
        <v>0</v>
      </c>
      <c r="O313" s="22">
        <v>0</v>
      </c>
      <c r="P313" s="22">
        <v>0</v>
      </c>
      <c r="Q313" s="22">
        <v>0</v>
      </c>
      <c r="R313" s="16">
        <v>0</v>
      </c>
      <c r="S313" s="16">
        <v>721001</v>
      </c>
      <c r="T313" s="15">
        <v>0</v>
      </c>
      <c r="U313" s="15">
        <v>0</v>
      </c>
      <c r="V313" s="15">
        <v>0</v>
      </c>
    </row>
    <row r="314" spans="1:22">
      <c r="A314" s="15">
        <v>103309</v>
      </c>
      <c r="B314" s="15">
        <v>331008</v>
      </c>
      <c r="C314" s="15">
        <f t="shared" si="11"/>
        <v>0</v>
      </c>
      <c r="D314" s="15">
        <f t="shared" si="10"/>
        <v>4</v>
      </c>
      <c r="E314" s="15">
        <v>30</v>
      </c>
      <c r="F314" s="20" t="s">
        <v>50</v>
      </c>
      <c r="G314" s="16">
        <v>5</v>
      </c>
      <c r="H314" s="16">
        <v>5</v>
      </c>
      <c r="I314" s="16">
        <v>4</v>
      </c>
      <c r="J314" s="16">
        <v>10</v>
      </c>
      <c r="K314" s="16">
        <v>4</v>
      </c>
      <c r="L314" s="16">
        <v>0</v>
      </c>
      <c r="M314" s="22">
        <v>0</v>
      </c>
      <c r="N314" s="22">
        <v>0</v>
      </c>
      <c r="O314" s="22">
        <v>0</v>
      </c>
      <c r="P314" s="22">
        <v>0</v>
      </c>
      <c r="Q314" s="22">
        <v>0</v>
      </c>
      <c r="R314" s="16">
        <v>0</v>
      </c>
      <c r="S314" s="22">
        <v>0</v>
      </c>
      <c r="T314" s="15">
        <v>230521</v>
      </c>
      <c r="U314" s="15">
        <v>0</v>
      </c>
      <c r="V314" s="15">
        <v>0</v>
      </c>
    </row>
    <row r="315" spans="1:22">
      <c r="A315" s="15">
        <v>103310</v>
      </c>
      <c r="B315" s="15">
        <v>331008</v>
      </c>
      <c r="C315" s="15">
        <f t="shared" si="11"/>
        <v>1</v>
      </c>
      <c r="D315" s="15">
        <f t="shared" si="10"/>
        <v>4</v>
      </c>
      <c r="E315" s="15">
        <v>35</v>
      </c>
      <c r="F315" s="20" t="s">
        <v>51</v>
      </c>
      <c r="G315" s="16">
        <v>30</v>
      </c>
      <c r="H315" s="16">
        <v>20</v>
      </c>
      <c r="I315" s="16">
        <v>8</v>
      </c>
      <c r="J315" s="16">
        <v>20</v>
      </c>
      <c r="K315" s="16">
        <v>8</v>
      </c>
      <c r="L315" s="16">
        <v>3</v>
      </c>
      <c r="M315" s="22">
        <v>0</v>
      </c>
      <c r="N315" s="22">
        <v>0</v>
      </c>
      <c r="O315" s="22">
        <v>0</v>
      </c>
      <c r="P315" s="22">
        <v>0</v>
      </c>
      <c r="Q315" s="22">
        <v>0</v>
      </c>
      <c r="R315" s="16">
        <v>0</v>
      </c>
      <c r="S315" s="16">
        <v>0</v>
      </c>
      <c r="T315" s="15">
        <v>0</v>
      </c>
      <c r="U315" s="15">
        <v>0</v>
      </c>
      <c r="V315" s="15">
        <v>0</v>
      </c>
    </row>
    <row r="316" spans="1:22">
      <c r="A316" s="15">
        <v>103311</v>
      </c>
      <c r="B316" s="15">
        <v>331008</v>
      </c>
      <c r="C316" s="15">
        <f t="shared" si="11"/>
        <v>2</v>
      </c>
      <c r="D316" s="15">
        <f t="shared" si="10"/>
        <v>4</v>
      </c>
      <c r="E316" s="15">
        <v>40</v>
      </c>
      <c r="F316" s="20" t="s">
        <v>52</v>
      </c>
      <c r="G316" s="16">
        <v>50</v>
      </c>
      <c r="H316" s="16">
        <v>30</v>
      </c>
      <c r="I316" s="16">
        <v>12</v>
      </c>
      <c r="J316" s="16">
        <v>30</v>
      </c>
      <c r="K316" s="16">
        <v>12</v>
      </c>
      <c r="L316" s="16">
        <v>6</v>
      </c>
      <c r="M316" s="22">
        <v>0</v>
      </c>
      <c r="N316" s="22">
        <v>0</v>
      </c>
      <c r="O316" s="22">
        <v>0</v>
      </c>
      <c r="P316" s="22">
        <v>0</v>
      </c>
      <c r="Q316" s="22">
        <v>0</v>
      </c>
      <c r="R316" s="16">
        <v>0</v>
      </c>
      <c r="S316" s="16">
        <v>0</v>
      </c>
      <c r="T316" s="15">
        <v>230531</v>
      </c>
      <c r="U316" s="15">
        <v>0</v>
      </c>
      <c r="V316" s="15">
        <v>0</v>
      </c>
    </row>
    <row r="317" spans="1:22">
      <c r="A317" s="15">
        <v>103312</v>
      </c>
      <c r="B317" s="15">
        <v>331008</v>
      </c>
      <c r="C317" s="15">
        <f t="shared" si="11"/>
        <v>3</v>
      </c>
      <c r="D317" s="15">
        <f t="shared" si="10"/>
        <v>4</v>
      </c>
      <c r="E317" s="15">
        <v>45</v>
      </c>
      <c r="F317" s="20" t="s">
        <v>53</v>
      </c>
      <c r="G317" s="16">
        <v>60</v>
      </c>
      <c r="H317" s="16">
        <v>40</v>
      </c>
      <c r="I317" s="16">
        <v>16</v>
      </c>
      <c r="J317" s="16">
        <v>40</v>
      </c>
      <c r="K317" s="16">
        <v>16</v>
      </c>
      <c r="L317" s="16">
        <v>9</v>
      </c>
      <c r="M317" s="22">
        <v>120</v>
      </c>
      <c r="N317" s="22">
        <v>30</v>
      </c>
      <c r="O317" s="22">
        <v>0</v>
      </c>
      <c r="P317" s="22">
        <v>0</v>
      </c>
      <c r="Q317" s="22">
        <v>0</v>
      </c>
      <c r="R317" s="16">
        <v>0</v>
      </c>
      <c r="S317" s="16">
        <v>0</v>
      </c>
      <c r="T317" s="15">
        <v>0</v>
      </c>
      <c r="U317" s="15">
        <v>1</v>
      </c>
      <c r="V317" s="15">
        <v>0</v>
      </c>
    </row>
    <row r="318" spans="1:22">
      <c r="A318" s="15">
        <v>103313</v>
      </c>
      <c r="B318" s="15">
        <v>331008</v>
      </c>
      <c r="C318" s="15">
        <f t="shared" si="11"/>
        <v>4</v>
      </c>
      <c r="D318" s="15">
        <f t="shared" si="10"/>
        <v>4</v>
      </c>
      <c r="E318" s="15">
        <v>0</v>
      </c>
      <c r="F318" s="20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22">
        <v>0</v>
      </c>
      <c r="N318" s="22">
        <v>0</v>
      </c>
      <c r="O318" s="22">
        <v>0</v>
      </c>
      <c r="P318" s="22">
        <v>0</v>
      </c>
      <c r="Q318" s="22">
        <v>0</v>
      </c>
      <c r="R318" s="16">
        <v>0</v>
      </c>
      <c r="S318" s="16">
        <v>731001</v>
      </c>
      <c r="T318" s="15">
        <v>0</v>
      </c>
      <c r="U318" s="15">
        <v>0</v>
      </c>
      <c r="V318" s="15">
        <v>0</v>
      </c>
    </row>
    <row r="319" spans="1:22">
      <c r="A319" s="15">
        <v>103314</v>
      </c>
      <c r="B319" s="15">
        <v>232008</v>
      </c>
      <c r="C319" s="15">
        <f t="shared" si="11"/>
        <v>0</v>
      </c>
      <c r="D319" s="15">
        <f t="shared" si="10"/>
        <v>3</v>
      </c>
      <c r="E319" s="15">
        <v>15</v>
      </c>
      <c r="F319" s="20" t="s">
        <v>47</v>
      </c>
      <c r="G319" s="16">
        <v>60</v>
      </c>
      <c r="H319" s="16">
        <v>40</v>
      </c>
      <c r="I319" s="16">
        <v>16</v>
      </c>
      <c r="J319" s="16">
        <v>40</v>
      </c>
      <c r="K319" s="16">
        <v>16</v>
      </c>
      <c r="L319" s="16">
        <v>9</v>
      </c>
      <c r="M319" s="22">
        <v>0</v>
      </c>
      <c r="N319" s="22">
        <v>0</v>
      </c>
      <c r="O319" s="22">
        <v>0</v>
      </c>
      <c r="P319" s="22">
        <v>0</v>
      </c>
      <c r="Q319" s="22">
        <v>0</v>
      </c>
      <c r="R319" s="22">
        <v>0</v>
      </c>
      <c r="S319" s="22">
        <v>0</v>
      </c>
      <c r="T319" s="15">
        <v>230541</v>
      </c>
      <c r="U319" s="15">
        <v>0</v>
      </c>
      <c r="V319" s="15">
        <v>0</v>
      </c>
    </row>
    <row r="320" spans="1:22">
      <c r="A320" s="15">
        <v>103315</v>
      </c>
      <c r="B320" s="15">
        <v>232008</v>
      </c>
      <c r="C320" s="15">
        <f t="shared" si="11"/>
        <v>1</v>
      </c>
      <c r="D320" s="15">
        <f t="shared" si="10"/>
        <v>3</v>
      </c>
      <c r="E320" s="15">
        <v>20</v>
      </c>
      <c r="F320" s="20" t="s">
        <v>48</v>
      </c>
      <c r="G320" s="16">
        <v>80</v>
      </c>
      <c r="H320" s="16">
        <v>50</v>
      </c>
      <c r="I320" s="16">
        <v>20</v>
      </c>
      <c r="J320" s="16">
        <v>50</v>
      </c>
      <c r="K320" s="16">
        <v>20</v>
      </c>
      <c r="L320" s="16">
        <v>12</v>
      </c>
      <c r="M320" s="22">
        <v>0</v>
      </c>
      <c r="N320" s="22">
        <v>0</v>
      </c>
      <c r="O320" s="22">
        <v>0</v>
      </c>
      <c r="P320" s="22">
        <v>0</v>
      </c>
      <c r="Q320" s="22">
        <v>0</v>
      </c>
      <c r="R320" s="16">
        <v>0</v>
      </c>
      <c r="S320" s="16">
        <v>0</v>
      </c>
      <c r="T320" s="15">
        <v>0</v>
      </c>
      <c r="U320" s="15">
        <v>0</v>
      </c>
      <c r="V320" s="15">
        <v>0</v>
      </c>
    </row>
    <row r="321" spans="1:22">
      <c r="A321" s="15">
        <v>103316</v>
      </c>
      <c r="B321" s="15">
        <v>232008</v>
      </c>
      <c r="C321" s="15">
        <f t="shared" si="11"/>
        <v>2</v>
      </c>
      <c r="D321" s="15">
        <f t="shared" si="10"/>
        <v>3</v>
      </c>
      <c r="E321" s="15">
        <v>25</v>
      </c>
      <c r="F321" s="20" t="s">
        <v>49</v>
      </c>
      <c r="G321" s="16">
        <v>100</v>
      </c>
      <c r="H321" s="16">
        <v>60</v>
      </c>
      <c r="I321" s="16">
        <v>24</v>
      </c>
      <c r="J321" s="16">
        <v>60</v>
      </c>
      <c r="K321" s="16">
        <v>24</v>
      </c>
      <c r="L321" s="16">
        <v>12</v>
      </c>
      <c r="M321" s="22">
        <v>0</v>
      </c>
      <c r="N321" s="22">
        <v>0</v>
      </c>
      <c r="O321" s="22">
        <v>20</v>
      </c>
      <c r="P321" s="22">
        <v>0</v>
      </c>
      <c r="Q321" s="22">
        <v>20</v>
      </c>
      <c r="R321" s="16">
        <v>0</v>
      </c>
      <c r="S321" s="16">
        <v>0</v>
      </c>
      <c r="T321" s="15">
        <v>0</v>
      </c>
      <c r="U321" s="15">
        <v>1</v>
      </c>
      <c r="V321" s="15">
        <v>0</v>
      </c>
    </row>
    <row r="322" spans="1:22">
      <c r="A322" s="15">
        <v>103317</v>
      </c>
      <c r="B322" s="15">
        <v>232008</v>
      </c>
      <c r="C322" s="15">
        <f t="shared" si="11"/>
        <v>3</v>
      </c>
      <c r="D322" s="15">
        <f t="shared" si="10"/>
        <v>3</v>
      </c>
      <c r="E322" s="15">
        <v>0</v>
      </c>
      <c r="F322" s="20">
        <v>0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0</v>
      </c>
      <c r="M322" s="22">
        <v>0</v>
      </c>
      <c r="N322" s="22">
        <v>0</v>
      </c>
      <c r="O322" s="22">
        <v>0</v>
      </c>
      <c r="P322" s="22">
        <v>0</v>
      </c>
      <c r="Q322" s="22">
        <v>0</v>
      </c>
      <c r="R322" s="16">
        <v>0</v>
      </c>
      <c r="S322" s="16">
        <v>0</v>
      </c>
      <c r="T322" s="15">
        <v>0</v>
      </c>
      <c r="U322" s="15">
        <v>0</v>
      </c>
      <c r="V322" s="15">
        <v>0</v>
      </c>
    </row>
    <row r="323" spans="1:22">
      <c r="A323" s="15">
        <v>103318</v>
      </c>
      <c r="B323" s="15">
        <v>332008</v>
      </c>
      <c r="C323" s="15">
        <f t="shared" si="11"/>
        <v>0</v>
      </c>
      <c r="D323" s="15">
        <f t="shared" si="10"/>
        <v>4</v>
      </c>
      <c r="E323" s="15">
        <v>30</v>
      </c>
      <c r="F323" s="20" t="s">
        <v>50</v>
      </c>
      <c r="G323" s="16">
        <v>5</v>
      </c>
      <c r="H323" s="16">
        <v>5</v>
      </c>
      <c r="I323" s="16">
        <v>4</v>
      </c>
      <c r="J323" s="16">
        <v>10</v>
      </c>
      <c r="K323" s="16">
        <v>4</v>
      </c>
      <c r="L323" s="16">
        <v>0</v>
      </c>
      <c r="M323" s="22">
        <v>0</v>
      </c>
      <c r="N323" s="22">
        <v>0</v>
      </c>
      <c r="O323" s="22">
        <v>0</v>
      </c>
      <c r="P323" s="22">
        <v>0</v>
      </c>
      <c r="Q323" s="22">
        <v>0</v>
      </c>
      <c r="R323" s="16">
        <v>0</v>
      </c>
      <c r="S323" s="22">
        <v>0</v>
      </c>
      <c r="T323" s="15">
        <v>230551</v>
      </c>
      <c r="U323" s="15">
        <v>0</v>
      </c>
      <c r="V323" s="15">
        <v>0</v>
      </c>
    </row>
    <row r="324" spans="1:22">
      <c r="A324" s="15">
        <v>103319</v>
      </c>
      <c r="B324" s="15">
        <v>332008</v>
      </c>
      <c r="C324" s="15">
        <f t="shared" si="11"/>
        <v>1</v>
      </c>
      <c r="D324" s="15">
        <f t="shared" si="10"/>
        <v>4</v>
      </c>
      <c r="E324" s="15">
        <v>35</v>
      </c>
      <c r="F324" s="20" t="s">
        <v>51</v>
      </c>
      <c r="G324" s="16">
        <v>30</v>
      </c>
      <c r="H324" s="16">
        <v>20</v>
      </c>
      <c r="I324" s="16">
        <v>8</v>
      </c>
      <c r="J324" s="16">
        <v>20</v>
      </c>
      <c r="K324" s="16">
        <v>8</v>
      </c>
      <c r="L324" s="16">
        <v>3</v>
      </c>
      <c r="M324" s="22">
        <v>0</v>
      </c>
      <c r="N324" s="22">
        <v>0</v>
      </c>
      <c r="O324" s="22">
        <v>0</v>
      </c>
      <c r="P324" s="22">
        <v>0</v>
      </c>
      <c r="Q324" s="22">
        <v>0</v>
      </c>
      <c r="R324" s="16">
        <v>0</v>
      </c>
      <c r="S324" s="16">
        <v>0</v>
      </c>
      <c r="T324" s="15">
        <v>0</v>
      </c>
      <c r="U324" s="15">
        <v>0</v>
      </c>
      <c r="V324" s="15">
        <v>0</v>
      </c>
    </row>
    <row r="325" spans="1:22">
      <c r="A325" s="15">
        <v>103320</v>
      </c>
      <c r="B325" s="15">
        <v>332008</v>
      </c>
      <c r="C325" s="15">
        <f t="shared" si="11"/>
        <v>2</v>
      </c>
      <c r="D325" s="15">
        <f t="shared" si="10"/>
        <v>4</v>
      </c>
      <c r="E325" s="15">
        <v>40</v>
      </c>
      <c r="F325" s="20" t="s">
        <v>52</v>
      </c>
      <c r="G325" s="16">
        <v>50</v>
      </c>
      <c r="H325" s="16">
        <v>30</v>
      </c>
      <c r="I325" s="16">
        <v>12</v>
      </c>
      <c r="J325" s="16">
        <v>30</v>
      </c>
      <c r="K325" s="16">
        <v>12</v>
      </c>
      <c r="L325" s="16">
        <v>6</v>
      </c>
      <c r="M325" s="22">
        <v>0</v>
      </c>
      <c r="N325" s="22">
        <v>0</v>
      </c>
      <c r="O325" s="22">
        <v>0</v>
      </c>
      <c r="P325" s="22">
        <v>0</v>
      </c>
      <c r="Q325" s="22">
        <v>0</v>
      </c>
      <c r="R325" s="16">
        <v>0</v>
      </c>
      <c r="S325" s="16">
        <v>0</v>
      </c>
      <c r="T325" s="15">
        <v>230561</v>
      </c>
      <c r="U325" s="15">
        <v>0</v>
      </c>
      <c r="V325" s="15">
        <v>0</v>
      </c>
    </row>
    <row r="326" spans="1:22">
      <c r="A326" s="15">
        <v>103321</v>
      </c>
      <c r="B326" s="15">
        <v>332008</v>
      </c>
      <c r="C326" s="15">
        <f t="shared" si="11"/>
        <v>3</v>
      </c>
      <c r="D326" s="15">
        <f t="shared" si="10"/>
        <v>4</v>
      </c>
      <c r="E326" s="15">
        <v>45</v>
      </c>
      <c r="F326" s="20" t="s">
        <v>53</v>
      </c>
      <c r="G326" s="16">
        <v>60</v>
      </c>
      <c r="H326" s="16">
        <v>40</v>
      </c>
      <c r="I326" s="16">
        <v>16</v>
      </c>
      <c r="J326" s="16">
        <v>40</v>
      </c>
      <c r="K326" s="16">
        <v>16</v>
      </c>
      <c r="L326" s="16">
        <v>9</v>
      </c>
      <c r="M326" s="22">
        <v>120</v>
      </c>
      <c r="N326" s="22">
        <v>30</v>
      </c>
      <c r="O326" s="22">
        <v>0</v>
      </c>
      <c r="P326" s="22">
        <v>0</v>
      </c>
      <c r="Q326" s="22">
        <v>0</v>
      </c>
      <c r="R326" s="16">
        <v>0</v>
      </c>
      <c r="S326" s="16">
        <v>0</v>
      </c>
      <c r="T326" s="15">
        <v>0</v>
      </c>
      <c r="U326" s="15">
        <v>1</v>
      </c>
      <c r="V326" s="15">
        <v>0</v>
      </c>
    </row>
    <row r="327" spans="1:22">
      <c r="A327" s="15">
        <v>103322</v>
      </c>
      <c r="B327" s="15">
        <v>332008</v>
      </c>
      <c r="C327" s="15">
        <f t="shared" si="11"/>
        <v>4</v>
      </c>
      <c r="D327" s="15">
        <f t="shared" si="10"/>
        <v>4</v>
      </c>
      <c r="E327" s="15">
        <v>0</v>
      </c>
      <c r="F327" s="20">
        <v>0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22">
        <v>0</v>
      </c>
      <c r="N327" s="22">
        <v>0</v>
      </c>
      <c r="O327" s="22">
        <v>0</v>
      </c>
      <c r="P327" s="22">
        <v>0</v>
      </c>
      <c r="Q327" s="22">
        <v>0</v>
      </c>
      <c r="R327" s="16">
        <v>0</v>
      </c>
      <c r="S327" s="16">
        <v>731003</v>
      </c>
      <c r="T327" s="15">
        <v>0</v>
      </c>
      <c r="U327" s="15">
        <v>0</v>
      </c>
      <c r="V327" s="15">
        <v>0</v>
      </c>
    </row>
    <row r="328" spans="1:22">
      <c r="A328" s="15">
        <v>103323</v>
      </c>
      <c r="B328" s="15">
        <v>130009</v>
      </c>
      <c r="C328" s="15">
        <f t="shared" si="11"/>
        <v>0</v>
      </c>
      <c r="D328" s="15">
        <f t="shared" si="10"/>
        <v>2</v>
      </c>
      <c r="E328" s="15">
        <v>5</v>
      </c>
      <c r="F328" s="20" t="s">
        <v>45</v>
      </c>
      <c r="G328" s="16">
        <v>0</v>
      </c>
      <c r="H328" s="16">
        <v>0</v>
      </c>
      <c r="I328" s="16">
        <v>0</v>
      </c>
      <c r="J328" s="16">
        <v>0</v>
      </c>
      <c r="K328" s="16">
        <v>0</v>
      </c>
      <c r="L328" s="16">
        <v>0</v>
      </c>
      <c r="M328" s="22">
        <v>0</v>
      </c>
      <c r="N328" s="22">
        <v>0</v>
      </c>
      <c r="O328" s="22">
        <v>0</v>
      </c>
      <c r="P328" s="22">
        <v>0</v>
      </c>
      <c r="Q328" s="22">
        <v>0</v>
      </c>
      <c r="R328" s="22">
        <v>0</v>
      </c>
      <c r="S328" s="22">
        <v>0</v>
      </c>
      <c r="T328" s="15">
        <v>0</v>
      </c>
      <c r="U328" s="15">
        <v>0</v>
      </c>
      <c r="V328" s="15">
        <v>0</v>
      </c>
    </row>
    <row r="329" spans="1:22">
      <c r="A329" s="15">
        <v>103324</v>
      </c>
      <c r="B329" s="15">
        <v>130009</v>
      </c>
      <c r="C329" s="15">
        <f t="shared" si="11"/>
        <v>1</v>
      </c>
      <c r="D329" s="15">
        <f t="shared" si="10"/>
        <v>2</v>
      </c>
      <c r="E329" s="15">
        <v>10</v>
      </c>
      <c r="F329" s="20" t="s">
        <v>46</v>
      </c>
      <c r="G329" s="16">
        <v>30</v>
      </c>
      <c r="H329" s="16">
        <v>20</v>
      </c>
      <c r="I329" s="16">
        <v>8</v>
      </c>
      <c r="J329" s="16">
        <v>20</v>
      </c>
      <c r="K329" s="16">
        <v>8</v>
      </c>
      <c r="L329" s="16">
        <v>3</v>
      </c>
      <c r="M329" s="22">
        <v>0</v>
      </c>
      <c r="N329" s="22">
        <v>0</v>
      </c>
      <c r="O329" s="22">
        <v>0</v>
      </c>
      <c r="P329" s="22">
        <v>0</v>
      </c>
      <c r="Q329" s="22">
        <v>0</v>
      </c>
      <c r="R329" s="16">
        <v>0</v>
      </c>
      <c r="S329" s="16">
        <v>0</v>
      </c>
      <c r="T329" s="15">
        <v>0</v>
      </c>
      <c r="U329" s="15">
        <v>1</v>
      </c>
      <c r="V329" s="15">
        <v>0</v>
      </c>
    </row>
    <row r="330" spans="1:22">
      <c r="A330" s="15">
        <v>103325</v>
      </c>
      <c r="B330" s="15">
        <v>130009</v>
      </c>
      <c r="C330" s="15">
        <f t="shared" si="11"/>
        <v>2</v>
      </c>
      <c r="D330" s="15">
        <f t="shared" si="10"/>
        <v>2</v>
      </c>
      <c r="E330" s="15">
        <v>0</v>
      </c>
      <c r="F330" s="20">
        <v>0</v>
      </c>
      <c r="G330" s="16">
        <v>50</v>
      </c>
      <c r="H330" s="16">
        <v>30</v>
      </c>
      <c r="I330" s="16">
        <v>12</v>
      </c>
      <c r="J330" s="16">
        <v>30</v>
      </c>
      <c r="K330" s="16">
        <v>12</v>
      </c>
      <c r="L330" s="16">
        <v>6</v>
      </c>
      <c r="M330" s="22">
        <v>0</v>
      </c>
      <c r="N330" s="22">
        <v>0</v>
      </c>
      <c r="O330" s="22">
        <v>15</v>
      </c>
      <c r="P330" s="22">
        <v>0</v>
      </c>
      <c r="Q330" s="22">
        <v>15</v>
      </c>
      <c r="R330" s="22">
        <v>0</v>
      </c>
      <c r="S330" s="16">
        <v>0</v>
      </c>
      <c r="T330" s="15">
        <v>0</v>
      </c>
      <c r="U330" s="15">
        <v>0</v>
      </c>
      <c r="V330" s="15">
        <v>0</v>
      </c>
    </row>
    <row r="331" spans="1:22">
      <c r="A331" s="15">
        <v>103326</v>
      </c>
      <c r="B331" s="15">
        <v>231009</v>
      </c>
      <c r="C331" s="15">
        <f t="shared" si="11"/>
        <v>0</v>
      </c>
      <c r="D331" s="15">
        <f t="shared" si="10"/>
        <v>3</v>
      </c>
      <c r="E331" s="15">
        <v>15</v>
      </c>
      <c r="F331" s="20" t="s">
        <v>47</v>
      </c>
      <c r="G331" s="16">
        <v>60</v>
      </c>
      <c r="H331" s="16">
        <v>40</v>
      </c>
      <c r="I331" s="16">
        <v>16</v>
      </c>
      <c r="J331" s="16">
        <v>40</v>
      </c>
      <c r="K331" s="16">
        <v>16</v>
      </c>
      <c r="L331" s="16">
        <v>9</v>
      </c>
      <c r="M331" s="22">
        <v>0</v>
      </c>
      <c r="N331" s="22">
        <v>0</v>
      </c>
      <c r="O331" s="22">
        <v>0</v>
      </c>
      <c r="P331" s="22">
        <v>0</v>
      </c>
      <c r="Q331" s="22">
        <v>0</v>
      </c>
      <c r="R331" s="22">
        <v>0</v>
      </c>
      <c r="S331" s="22">
        <v>0</v>
      </c>
      <c r="T331" s="15">
        <v>0</v>
      </c>
      <c r="U331" s="15">
        <v>0</v>
      </c>
      <c r="V331" s="15">
        <v>0</v>
      </c>
    </row>
    <row r="332" spans="1:22">
      <c r="A332" s="15">
        <v>103327</v>
      </c>
      <c r="B332" s="15">
        <v>231009</v>
      </c>
      <c r="C332" s="15">
        <f t="shared" si="11"/>
        <v>1</v>
      </c>
      <c r="D332" s="15">
        <f t="shared" si="10"/>
        <v>3</v>
      </c>
      <c r="E332" s="15">
        <v>20</v>
      </c>
      <c r="F332" s="20" t="s">
        <v>48</v>
      </c>
      <c r="G332" s="16">
        <v>80</v>
      </c>
      <c r="H332" s="16">
        <v>50</v>
      </c>
      <c r="I332" s="16">
        <v>20</v>
      </c>
      <c r="J332" s="16">
        <v>50</v>
      </c>
      <c r="K332" s="16">
        <v>20</v>
      </c>
      <c r="L332" s="16">
        <v>12</v>
      </c>
      <c r="M332" s="22">
        <v>0</v>
      </c>
      <c r="N332" s="22">
        <v>0</v>
      </c>
      <c r="O332" s="22">
        <v>0</v>
      </c>
      <c r="P332" s="22">
        <v>0</v>
      </c>
      <c r="Q332" s="22">
        <v>0</v>
      </c>
      <c r="R332" s="16">
        <v>0</v>
      </c>
      <c r="S332" s="16">
        <v>0</v>
      </c>
      <c r="T332" s="15">
        <v>230581</v>
      </c>
      <c r="U332" s="15">
        <v>0</v>
      </c>
      <c r="V332" s="15">
        <v>0</v>
      </c>
    </row>
    <row r="333" spans="1:22">
      <c r="A333" s="15">
        <v>103328</v>
      </c>
      <c r="B333" s="15">
        <v>231009</v>
      </c>
      <c r="C333" s="15">
        <f t="shared" si="11"/>
        <v>2</v>
      </c>
      <c r="D333" s="15">
        <f t="shared" si="10"/>
        <v>3</v>
      </c>
      <c r="E333" s="15">
        <v>25</v>
      </c>
      <c r="F333" s="20" t="s">
        <v>49</v>
      </c>
      <c r="G333" s="16">
        <v>100</v>
      </c>
      <c r="H333" s="16">
        <v>60</v>
      </c>
      <c r="I333" s="16">
        <v>24</v>
      </c>
      <c r="J333" s="16">
        <v>60</v>
      </c>
      <c r="K333" s="16">
        <v>24</v>
      </c>
      <c r="L333" s="16">
        <v>12</v>
      </c>
      <c r="M333" s="22">
        <v>0</v>
      </c>
      <c r="N333" s="22">
        <v>0</v>
      </c>
      <c r="O333" s="22">
        <v>20</v>
      </c>
      <c r="P333" s="22">
        <v>0</v>
      </c>
      <c r="Q333" s="22">
        <v>20</v>
      </c>
      <c r="R333" s="16">
        <v>0</v>
      </c>
      <c r="S333" s="16">
        <v>0</v>
      </c>
      <c r="T333" s="15">
        <v>0</v>
      </c>
      <c r="U333" s="15">
        <v>1</v>
      </c>
      <c r="V333" s="15">
        <v>0</v>
      </c>
    </row>
    <row r="334" spans="1:22">
      <c r="A334" s="15">
        <v>103329</v>
      </c>
      <c r="B334" s="15">
        <v>231009</v>
      </c>
      <c r="C334" s="15">
        <f t="shared" si="11"/>
        <v>3</v>
      </c>
      <c r="D334" s="15">
        <f t="shared" si="10"/>
        <v>3</v>
      </c>
      <c r="E334" s="15">
        <v>0</v>
      </c>
      <c r="F334" s="20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22">
        <v>0</v>
      </c>
      <c r="N334" s="22">
        <v>0</v>
      </c>
      <c r="O334" s="22">
        <v>0</v>
      </c>
      <c r="P334" s="22">
        <v>0</v>
      </c>
      <c r="Q334" s="22">
        <v>0</v>
      </c>
      <c r="R334" s="16">
        <v>0</v>
      </c>
      <c r="S334" s="16">
        <v>821001</v>
      </c>
      <c r="T334" s="15">
        <v>0</v>
      </c>
      <c r="U334" s="15">
        <v>0</v>
      </c>
      <c r="V334" s="15">
        <v>0</v>
      </c>
    </row>
    <row r="335" spans="1:22">
      <c r="A335" s="15">
        <v>103330</v>
      </c>
      <c r="B335" s="15">
        <v>331009</v>
      </c>
      <c r="C335" s="15">
        <f t="shared" si="11"/>
        <v>0</v>
      </c>
      <c r="D335" s="15">
        <f t="shared" si="10"/>
        <v>4</v>
      </c>
      <c r="E335" s="15">
        <v>30</v>
      </c>
      <c r="F335" s="20" t="s">
        <v>50</v>
      </c>
      <c r="G335" s="16">
        <v>5</v>
      </c>
      <c r="H335" s="16">
        <v>5</v>
      </c>
      <c r="I335" s="16">
        <v>4</v>
      </c>
      <c r="J335" s="16">
        <v>10</v>
      </c>
      <c r="K335" s="16">
        <v>4</v>
      </c>
      <c r="L335" s="16">
        <v>0</v>
      </c>
      <c r="M335" s="22">
        <v>0</v>
      </c>
      <c r="N335" s="22">
        <v>0</v>
      </c>
      <c r="O335" s="22">
        <v>0</v>
      </c>
      <c r="P335" s="22">
        <v>0</v>
      </c>
      <c r="Q335" s="22">
        <v>0</v>
      </c>
      <c r="R335" s="16">
        <v>0</v>
      </c>
      <c r="S335" s="22">
        <v>0</v>
      </c>
      <c r="T335" s="15">
        <v>230591</v>
      </c>
      <c r="U335" s="15">
        <v>0</v>
      </c>
      <c r="V335" s="15">
        <v>0</v>
      </c>
    </row>
    <row r="336" spans="1:22">
      <c r="A336" s="15">
        <v>103331</v>
      </c>
      <c r="B336" s="15">
        <v>331009</v>
      </c>
      <c r="C336" s="15">
        <f t="shared" si="11"/>
        <v>1</v>
      </c>
      <c r="D336" s="15">
        <f t="shared" si="10"/>
        <v>4</v>
      </c>
      <c r="E336" s="15">
        <v>35</v>
      </c>
      <c r="F336" s="20" t="s">
        <v>51</v>
      </c>
      <c r="G336" s="16">
        <v>30</v>
      </c>
      <c r="H336" s="16">
        <v>20</v>
      </c>
      <c r="I336" s="16">
        <v>8</v>
      </c>
      <c r="J336" s="16">
        <v>20</v>
      </c>
      <c r="K336" s="16">
        <v>8</v>
      </c>
      <c r="L336" s="16">
        <v>3</v>
      </c>
      <c r="M336" s="22">
        <v>0</v>
      </c>
      <c r="N336" s="22">
        <v>0</v>
      </c>
      <c r="O336" s="22">
        <v>0</v>
      </c>
      <c r="P336" s="22">
        <v>0</v>
      </c>
      <c r="Q336" s="22">
        <v>0</v>
      </c>
      <c r="R336" s="16">
        <v>0</v>
      </c>
      <c r="S336" s="16">
        <v>0</v>
      </c>
      <c r="T336" s="15">
        <v>0</v>
      </c>
      <c r="U336" s="15">
        <v>0</v>
      </c>
      <c r="V336" s="15">
        <v>0</v>
      </c>
    </row>
    <row r="337" spans="1:22">
      <c r="A337" s="15">
        <v>103332</v>
      </c>
      <c r="B337" s="15">
        <v>331009</v>
      </c>
      <c r="C337" s="15">
        <f t="shared" si="11"/>
        <v>2</v>
      </c>
      <c r="D337" s="15">
        <f t="shared" si="10"/>
        <v>4</v>
      </c>
      <c r="E337" s="15">
        <v>40</v>
      </c>
      <c r="F337" s="20" t="s">
        <v>52</v>
      </c>
      <c r="G337" s="16">
        <v>50</v>
      </c>
      <c r="H337" s="16">
        <v>30</v>
      </c>
      <c r="I337" s="16">
        <v>12</v>
      </c>
      <c r="J337" s="16">
        <v>30</v>
      </c>
      <c r="K337" s="16">
        <v>12</v>
      </c>
      <c r="L337" s="16">
        <v>6</v>
      </c>
      <c r="M337" s="22">
        <v>0</v>
      </c>
      <c r="N337" s="22">
        <v>0</v>
      </c>
      <c r="O337" s="22">
        <v>0</v>
      </c>
      <c r="P337" s="22">
        <v>0</v>
      </c>
      <c r="Q337" s="22">
        <v>0</v>
      </c>
      <c r="R337" s="16">
        <v>0</v>
      </c>
      <c r="S337" s="16">
        <v>0</v>
      </c>
      <c r="T337" s="15">
        <v>230601</v>
      </c>
      <c r="U337" s="15">
        <v>0</v>
      </c>
      <c r="V337" s="15">
        <v>0</v>
      </c>
    </row>
    <row r="338" spans="1:22">
      <c r="A338" s="15">
        <v>103333</v>
      </c>
      <c r="B338" s="15">
        <v>331009</v>
      </c>
      <c r="C338" s="15">
        <f t="shared" si="11"/>
        <v>3</v>
      </c>
      <c r="D338" s="15">
        <f t="shared" si="10"/>
        <v>4</v>
      </c>
      <c r="E338" s="15">
        <v>45</v>
      </c>
      <c r="F338" s="20" t="s">
        <v>53</v>
      </c>
      <c r="G338" s="16">
        <v>60</v>
      </c>
      <c r="H338" s="16">
        <v>40</v>
      </c>
      <c r="I338" s="16">
        <v>16</v>
      </c>
      <c r="J338" s="16">
        <v>40</v>
      </c>
      <c r="K338" s="16">
        <v>16</v>
      </c>
      <c r="L338" s="16">
        <v>9</v>
      </c>
      <c r="M338" s="22">
        <v>120</v>
      </c>
      <c r="N338" s="22">
        <v>30</v>
      </c>
      <c r="O338" s="22">
        <v>0</v>
      </c>
      <c r="P338" s="22">
        <v>0</v>
      </c>
      <c r="Q338" s="22">
        <v>0</v>
      </c>
      <c r="R338" s="16">
        <v>0</v>
      </c>
      <c r="S338" s="16">
        <v>0</v>
      </c>
      <c r="T338" s="15">
        <v>0</v>
      </c>
      <c r="U338" s="15">
        <v>1</v>
      </c>
      <c r="V338" s="15">
        <v>0</v>
      </c>
    </row>
    <row r="339" spans="1:22">
      <c r="A339" s="15">
        <v>103334</v>
      </c>
      <c r="B339" s="15">
        <v>331009</v>
      </c>
      <c r="C339" s="15">
        <f t="shared" si="11"/>
        <v>4</v>
      </c>
      <c r="D339" s="15">
        <f t="shared" si="10"/>
        <v>4</v>
      </c>
      <c r="E339" s="15">
        <v>0</v>
      </c>
      <c r="F339" s="20">
        <v>0</v>
      </c>
      <c r="G339" s="16">
        <v>0</v>
      </c>
      <c r="H339" s="16">
        <v>0</v>
      </c>
      <c r="I339" s="16">
        <v>0</v>
      </c>
      <c r="J339" s="16">
        <v>0</v>
      </c>
      <c r="K339" s="16">
        <v>0</v>
      </c>
      <c r="L339" s="16">
        <v>0</v>
      </c>
      <c r="M339" s="22">
        <v>0</v>
      </c>
      <c r="N339" s="22">
        <v>0</v>
      </c>
      <c r="O339" s="22">
        <v>0</v>
      </c>
      <c r="P339" s="22">
        <v>0</v>
      </c>
      <c r="Q339" s="22">
        <v>0</v>
      </c>
      <c r="R339" s="16">
        <v>0</v>
      </c>
      <c r="S339" s="16">
        <v>831001</v>
      </c>
      <c r="T339" s="15">
        <v>0</v>
      </c>
      <c r="U339" s="15">
        <v>0</v>
      </c>
      <c r="V339" s="15">
        <v>0</v>
      </c>
    </row>
    <row r="340" spans="1:22">
      <c r="A340" s="15">
        <v>103335</v>
      </c>
      <c r="B340" s="15">
        <v>232009</v>
      </c>
      <c r="C340" s="15">
        <f t="shared" si="11"/>
        <v>0</v>
      </c>
      <c r="D340" s="15">
        <f t="shared" si="10"/>
        <v>3</v>
      </c>
      <c r="E340" s="15">
        <v>15</v>
      </c>
      <c r="F340" s="20" t="s">
        <v>47</v>
      </c>
      <c r="G340" s="16">
        <v>60</v>
      </c>
      <c r="H340" s="16">
        <v>40</v>
      </c>
      <c r="I340" s="16">
        <v>16</v>
      </c>
      <c r="J340" s="16">
        <v>40</v>
      </c>
      <c r="K340" s="16">
        <v>16</v>
      </c>
      <c r="L340" s="16">
        <v>9</v>
      </c>
      <c r="M340" s="22">
        <v>0</v>
      </c>
      <c r="N340" s="22">
        <v>0</v>
      </c>
      <c r="O340" s="22">
        <v>0</v>
      </c>
      <c r="P340" s="22">
        <v>0</v>
      </c>
      <c r="Q340" s="22">
        <v>0</v>
      </c>
      <c r="R340" s="22">
        <v>0</v>
      </c>
      <c r="S340" s="22">
        <v>0</v>
      </c>
      <c r="T340" s="15">
        <v>230611</v>
      </c>
      <c r="U340" s="15">
        <v>0</v>
      </c>
      <c r="V340" s="15">
        <v>0</v>
      </c>
    </row>
    <row r="341" spans="1:22">
      <c r="A341" s="15">
        <v>103336</v>
      </c>
      <c r="B341" s="15">
        <v>232009</v>
      </c>
      <c r="C341" s="15">
        <f t="shared" si="11"/>
        <v>1</v>
      </c>
      <c r="D341" s="15">
        <f t="shared" si="10"/>
        <v>3</v>
      </c>
      <c r="E341" s="15">
        <v>20</v>
      </c>
      <c r="F341" s="20" t="s">
        <v>48</v>
      </c>
      <c r="G341" s="16">
        <v>80</v>
      </c>
      <c r="H341" s="16">
        <v>50</v>
      </c>
      <c r="I341" s="16">
        <v>20</v>
      </c>
      <c r="J341" s="16">
        <v>50</v>
      </c>
      <c r="K341" s="16">
        <v>20</v>
      </c>
      <c r="L341" s="16">
        <v>12</v>
      </c>
      <c r="M341" s="22">
        <v>0</v>
      </c>
      <c r="N341" s="22">
        <v>0</v>
      </c>
      <c r="O341" s="22">
        <v>0</v>
      </c>
      <c r="P341" s="22">
        <v>0</v>
      </c>
      <c r="Q341" s="22">
        <v>0</v>
      </c>
      <c r="R341" s="16">
        <v>0</v>
      </c>
      <c r="S341" s="16">
        <v>0</v>
      </c>
      <c r="T341" s="15">
        <v>0</v>
      </c>
      <c r="U341" s="15">
        <v>0</v>
      </c>
      <c r="V341" s="15">
        <v>0</v>
      </c>
    </row>
    <row r="342" spans="1:22">
      <c r="A342" s="15">
        <v>103337</v>
      </c>
      <c r="B342" s="15">
        <v>232009</v>
      </c>
      <c r="C342" s="15">
        <f t="shared" si="11"/>
        <v>2</v>
      </c>
      <c r="D342" s="15">
        <f t="shared" si="10"/>
        <v>3</v>
      </c>
      <c r="E342" s="15">
        <v>25</v>
      </c>
      <c r="F342" s="20" t="s">
        <v>49</v>
      </c>
      <c r="G342" s="16">
        <v>100</v>
      </c>
      <c r="H342" s="16">
        <v>60</v>
      </c>
      <c r="I342" s="16">
        <v>24</v>
      </c>
      <c r="J342" s="16">
        <v>60</v>
      </c>
      <c r="K342" s="16">
        <v>24</v>
      </c>
      <c r="L342" s="16">
        <v>12</v>
      </c>
      <c r="M342" s="22">
        <v>0</v>
      </c>
      <c r="N342" s="22">
        <v>0</v>
      </c>
      <c r="O342" s="22">
        <v>20</v>
      </c>
      <c r="P342" s="22">
        <v>0</v>
      </c>
      <c r="Q342" s="22">
        <v>20</v>
      </c>
      <c r="R342" s="16">
        <v>0</v>
      </c>
      <c r="S342" s="16">
        <v>0</v>
      </c>
      <c r="T342" s="15">
        <v>0</v>
      </c>
      <c r="U342" s="15">
        <v>1</v>
      </c>
      <c r="V342" s="15">
        <v>0</v>
      </c>
    </row>
    <row r="343" spans="1:22">
      <c r="A343" s="15">
        <v>103338</v>
      </c>
      <c r="B343" s="15">
        <v>232009</v>
      </c>
      <c r="C343" s="15">
        <f t="shared" si="11"/>
        <v>3</v>
      </c>
      <c r="D343" s="15">
        <f t="shared" si="10"/>
        <v>3</v>
      </c>
      <c r="E343" s="15">
        <v>0</v>
      </c>
      <c r="F343" s="20">
        <v>0</v>
      </c>
      <c r="G343" s="16">
        <v>0</v>
      </c>
      <c r="H343" s="16">
        <v>0</v>
      </c>
      <c r="I343" s="16">
        <v>0</v>
      </c>
      <c r="J343" s="16">
        <v>0</v>
      </c>
      <c r="K343" s="16">
        <v>0</v>
      </c>
      <c r="L343" s="16">
        <v>0</v>
      </c>
      <c r="M343" s="22">
        <v>0</v>
      </c>
      <c r="N343" s="22">
        <v>0</v>
      </c>
      <c r="O343" s="22">
        <v>0</v>
      </c>
      <c r="P343" s="22">
        <v>0</v>
      </c>
      <c r="Q343" s="22">
        <v>0</v>
      </c>
      <c r="R343" s="16">
        <v>0</v>
      </c>
      <c r="S343" s="16">
        <v>831002</v>
      </c>
      <c r="T343" s="15">
        <v>0</v>
      </c>
      <c r="U343" s="15">
        <v>0</v>
      </c>
      <c r="V343" s="15">
        <v>0</v>
      </c>
    </row>
    <row r="344" spans="1:22">
      <c r="A344" s="15">
        <v>103339</v>
      </c>
      <c r="B344" s="15">
        <v>332009</v>
      </c>
      <c r="C344" s="15">
        <f t="shared" si="11"/>
        <v>0</v>
      </c>
      <c r="D344" s="15">
        <f t="shared" si="10"/>
        <v>4</v>
      </c>
      <c r="E344" s="15">
        <v>30</v>
      </c>
      <c r="F344" s="20" t="s">
        <v>50</v>
      </c>
      <c r="G344" s="16">
        <v>5</v>
      </c>
      <c r="H344" s="16">
        <v>5</v>
      </c>
      <c r="I344" s="16">
        <v>4</v>
      </c>
      <c r="J344" s="16">
        <v>10</v>
      </c>
      <c r="K344" s="16">
        <v>4</v>
      </c>
      <c r="L344" s="16">
        <v>0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16">
        <v>0</v>
      </c>
      <c r="S344" s="22">
        <v>0</v>
      </c>
      <c r="T344" s="15">
        <v>230621</v>
      </c>
      <c r="U344" s="15">
        <v>0</v>
      </c>
      <c r="V344" s="15">
        <v>0</v>
      </c>
    </row>
    <row r="345" spans="1:22">
      <c r="A345" s="15">
        <v>103340</v>
      </c>
      <c r="B345" s="15">
        <v>332009</v>
      </c>
      <c r="C345" s="15">
        <f t="shared" si="11"/>
        <v>1</v>
      </c>
      <c r="D345" s="15">
        <f t="shared" si="10"/>
        <v>4</v>
      </c>
      <c r="E345" s="15">
        <v>35</v>
      </c>
      <c r="F345" s="20" t="s">
        <v>51</v>
      </c>
      <c r="G345" s="16">
        <v>30</v>
      </c>
      <c r="H345" s="16">
        <v>20</v>
      </c>
      <c r="I345" s="16">
        <v>8</v>
      </c>
      <c r="J345" s="16">
        <v>20</v>
      </c>
      <c r="K345" s="16">
        <v>8</v>
      </c>
      <c r="L345" s="16">
        <v>3</v>
      </c>
      <c r="M345" s="22">
        <v>0</v>
      </c>
      <c r="N345" s="22">
        <v>0</v>
      </c>
      <c r="O345" s="22">
        <v>0</v>
      </c>
      <c r="P345" s="22">
        <v>0</v>
      </c>
      <c r="Q345" s="22">
        <v>0</v>
      </c>
      <c r="R345" s="16">
        <v>0</v>
      </c>
      <c r="S345" s="16">
        <v>0</v>
      </c>
      <c r="T345" s="15">
        <v>0</v>
      </c>
      <c r="U345" s="15">
        <v>0</v>
      </c>
      <c r="V345" s="15">
        <v>0</v>
      </c>
    </row>
    <row r="346" spans="1:22">
      <c r="A346" s="15">
        <v>103341</v>
      </c>
      <c r="B346" s="15">
        <v>332009</v>
      </c>
      <c r="C346" s="15">
        <f t="shared" si="11"/>
        <v>2</v>
      </c>
      <c r="D346" s="15">
        <f t="shared" si="10"/>
        <v>4</v>
      </c>
      <c r="E346" s="15">
        <v>40</v>
      </c>
      <c r="F346" s="20" t="s">
        <v>52</v>
      </c>
      <c r="G346" s="16">
        <v>50</v>
      </c>
      <c r="H346" s="16">
        <v>30</v>
      </c>
      <c r="I346" s="16">
        <v>12</v>
      </c>
      <c r="J346" s="16">
        <v>30</v>
      </c>
      <c r="K346" s="16">
        <v>12</v>
      </c>
      <c r="L346" s="16">
        <v>6</v>
      </c>
      <c r="M346" s="22">
        <v>0</v>
      </c>
      <c r="N346" s="22">
        <v>0</v>
      </c>
      <c r="O346" s="22">
        <v>0</v>
      </c>
      <c r="P346" s="22">
        <v>0</v>
      </c>
      <c r="Q346" s="22">
        <v>0</v>
      </c>
      <c r="R346" s="16">
        <v>0</v>
      </c>
      <c r="S346" s="16">
        <v>0</v>
      </c>
      <c r="T346" s="15">
        <v>0</v>
      </c>
      <c r="U346" s="15">
        <v>0</v>
      </c>
      <c r="V346" s="15">
        <v>0</v>
      </c>
    </row>
    <row r="347" spans="1:22">
      <c r="A347" s="15">
        <v>103342</v>
      </c>
      <c r="B347" s="15">
        <v>332009</v>
      </c>
      <c r="C347" s="15">
        <f t="shared" si="11"/>
        <v>3</v>
      </c>
      <c r="D347" s="15">
        <f t="shared" si="10"/>
        <v>4</v>
      </c>
      <c r="E347" s="15">
        <v>45</v>
      </c>
      <c r="F347" s="20" t="s">
        <v>53</v>
      </c>
      <c r="G347" s="16">
        <v>60</v>
      </c>
      <c r="H347" s="16">
        <v>40</v>
      </c>
      <c r="I347" s="16">
        <v>16</v>
      </c>
      <c r="J347" s="16">
        <v>40</v>
      </c>
      <c r="K347" s="16">
        <v>16</v>
      </c>
      <c r="L347" s="16">
        <v>9</v>
      </c>
      <c r="M347" s="22">
        <v>120</v>
      </c>
      <c r="N347" s="22">
        <v>0</v>
      </c>
      <c r="O347" s="22">
        <v>0</v>
      </c>
      <c r="P347" s="22">
        <v>12</v>
      </c>
      <c r="Q347" s="22">
        <v>0</v>
      </c>
      <c r="R347" s="16">
        <v>0</v>
      </c>
      <c r="S347" s="16">
        <v>0</v>
      </c>
      <c r="T347" s="15">
        <v>0</v>
      </c>
      <c r="U347" s="15">
        <v>1</v>
      </c>
      <c r="V347" s="15">
        <v>0</v>
      </c>
    </row>
    <row r="348" spans="1:22">
      <c r="A348" s="15">
        <v>103343</v>
      </c>
      <c r="B348" s="15">
        <v>332009</v>
      </c>
      <c r="C348" s="15">
        <f t="shared" si="11"/>
        <v>4</v>
      </c>
      <c r="D348" s="15">
        <f t="shared" si="10"/>
        <v>4</v>
      </c>
      <c r="E348" s="15">
        <v>0</v>
      </c>
      <c r="F348" s="20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22">
        <v>0</v>
      </c>
      <c r="N348" s="22">
        <v>0</v>
      </c>
      <c r="O348" s="22">
        <v>0</v>
      </c>
      <c r="P348" s="22">
        <v>0</v>
      </c>
      <c r="Q348" s="22">
        <v>0</v>
      </c>
      <c r="R348" s="16">
        <v>0</v>
      </c>
      <c r="S348" s="16">
        <v>0</v>
      </c>
      <c r="T348" s="15">
        <v>230631</v>
      </c>
      <c r="U348" s="15">
        <v>0</v>
      </c>
      <c r="V348" s="15">
        <v>0</v>
      </c>
    </row>
    <row r="349" spans="1:22">
      <c r="A349" s="15">
        <v>103344</v>
      </c>
      <c r="B349" s="15">
        <v>130010</v>
      </c>
      <c r="C349" s="15">
        <f t="shared" si="11"/>
        <v>0</v>
      </c>
      <c r="D349" s="15">
        <f t="shared" si="10"/>
        <v>2</v>
      </c>
      <c r="E349" s="15">
        <v>5</v>
      </c>
      <c r="F349" s="20" t="s">
        <v>45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22">
        <v>0</v>
      </c>
      <c r="N349" s="22">
        <v>0</v>
      </c>
      <c r="O349" s="22">
        <v>0</v>
      </c>
      <c r="P349" s="22">
        <v>0</v>
      </c>
      <c r="Q349" s="22">
        <v>0</v>
      </c>
      <c r="R349" s="22">
        <v>0</v>
      </c>
      <c r="S349" s="22">
        <v>0</v>
      </c>
      <c r="T349" s="15">
        <v>0</v>
      </c>
      <c r="U349" s="15">
        <v>0</v>
      </c>
      <c r="V349" s="15">
        <v>0</v>
      </c>
    </row>
    <row r="350" spans="1:22">
      <c r="A350" s="15">
        <v>103345</v>
      </c>
      <c r="B350" s="15">
        <v>130010</v>
      </c>
      <c r="C350" s="15">
        <f t="shared" si="11"/>
        <v>1</v>
      </c>
      <c r="D350" s="15">
        <f t="shared" si="10"/>
        <v>2</v>
      </c>
      <c r="E350" s="15">
        <v>10</v>
      </c>
      <c r="F350" s="20" t="s">
        <v>46</v>
      </c>
      <c r="G350" s="16">
        <v>30</v>
      </c>
      <c r="H350" s="16">
        <v>20</v>
      </c>
      <c r="I350" s="16">
        <v>8</v>
      </c>
      <c r="J350" s="16">
        <v>20</v>
      </c>
      <c r="K350" s="16">
        <v>8</v>
      </c>
      <c r="L350" s="16">
        <v>3</v>
      </c>
      <c r="M350" s="22">
        <v>0</v>
      </c>
      <c r="N350" s="22">
        <v>0</v>
      </c>
      <c r="O350" s="22">
        <v>0</v>
      </c>
      <c r="P350" s="22">
        <v>0</v>
      </c>
      <c r="Q350" s="22">
        <v>0</v>
      </c>
      <c r="R350" s="16">
        <v>0</v>
      </c>
      <c r="S350" s="16">
        <v>0</v>
      </c>
      <c r="T350" s="15">
        <v>0</v>
      </c>
      <c r="U350" s="15">
        <v>1</v>
      </c>
      <c r="V350" s="15">
        <v>0</v>
      </c>
    </row>
    <row r="351" spans="1:22">
      <c r="A351" s="15">
        <v>103346</v>
      </c>
      <c r="B351" s="15">
        <v>130010</v>
      </c>
      <c r="C351" s="15">
        <f t="shared" si="11"/>
        <v>2</v>
      </c>
      <c r="D351" s="15">
        <f t="shared" si="10"/>
        <v>2</v>
      </c>
      <c r="E351" s="15">
        <v>0</v>
      </c>
      <c r="F351" s="20">
        <v>0</v>
      </c>
      <c r="G351" s="16">
        <v>50</v>
      </c>
      <c r="H351" s="16">
        <v>30</v>
      </c>
      <c r="I351" s="16">
        <v>12</v>
      </c>
      <c r="J351" s="16">
        <v>30</v>
      </c>
      <c r="K351" s="16">
        <v>12</v>
      </c>
      <c r="L351" s="16">
        <v>6</v>
      </c>
      <c r="M351" s="22">
        <v>0</v>
      </c>
      <c r="N351" s="22">
        <v>0</v>
      </c>
      <c r="O351" s="22">
        <v>15</v>
      </c>
      <c r="P351" s="22">
        <v>0</v>
      </c>
      <c r="Q351" s="22">
        <v>15</v>
      </c>
      <c r="R351" s="22">
        <v>0</v>
      </c>
      <c r="S351" s="16">
        <v>0</v>
      </c>
      <c r="T351" s="15">
        <v>0</v>
      </c>
      <c r="U351" s="15">
        <v>0</v>
      </c>
      <c r="V351" s="15">
        <v>0</v>
      </c>
    </row>
    <row r="352" spans="1:22">
      <c r="A352" s="15">
        <v>103347</v>
      </c>
      <c r="B352" s="15">
        <v>231010</v>
      </c>
      <c r="C352" s="15">
        <f t="shared" si="11"/>
        <v>0</v>
      </c>
      <c r="D352" s="15">
        <f t="shared" si="10"/>
        <v>3</v>
      </c>
      <c r="E352" s="15">
        <v>15</v>
      </c>
      <c r="F352" s="20" t="s">
        <v>47</v>
      </c>
      <c r="G352" s="16">
        <v>60</v>
      </c>
      <c r="H352" s="16">
        <v>40</v>
      </c>
      <c r="I352" s="16">
        <v>16</v>
      </c>
      <c r="J352" s="16">
        <v>40</v>
      </c>
      <c r="K352" s="16">
        <v>16</v>
      </c>
      <c r="L352" s="16">
        <v>9</v>
      </c>
      <c r="M352" s="22">
        <v>0</v>
      </c>
      <c r="N352" s="22">
        <v>0</v>
      </c>
      <c r="O352" s="22">
        <v>0</v>
      </c>
      <c r="P352" s="22">
        <v>0</v>
      </c>
      <c r="Q352" s="22">
        <v>0</v>
      </c>
      <c r="R352" s="22">
        <v>0</v>
      </c>
      <c r="S352" s="22">
        <v>0</v>
      </c>
      <c r="T352" s="15">
        <v>0</v>
      </c>
      <c r="U352" s="15">
        <v>0</v>
      </c>
      <c r="V352" s="15">
        <v>0</v>
      </c>
    </row>
    <row r="353" spans="1:22">
      <c r="A353" s="15">
        <v>103348</v>
      </c>
      <c r="B353" s="15">
        <v>231010</v>
      </c>
      <c r="C353" s="15">
        <f t="shared" si="11"/>
        <v>1</v>
      </c>
      <c r="D353" s="15">
        <f t="shared" si="10"/>
        <v>3</v>
      </c>
      <c r="E353" s="15">
        <v>20</v>
      </c>
      <c r="F353" s="20" t="s">
        <v>48</v>
      </c>
      <c r="G353" s="16">
        <v>80</v>
      </c>
      <c r="H353" s="16">
        <v>50</v>
      </c>
      <c r="I353" s="16">
        <v>20</v>
      </c>
      <c r="J353" s="16">
        <v>50</v>
      </c>
      <c r="K353" s="16">
        <v>20</v>
      </c>
      <c r="L353" s="16">
        <v>12</v>
      </c>
      <c r="M353" s="22">
        <v>0</v>
      </c>
      <c r="N353" s="22">
        <v>0</v>
      </c>
      <c r="O353" s="22">
        <v>0</v>
      </c>
      <c r="P353" s="22">
        <v>0</v>
      </c>
      <c r="Q353" s="22">
        <v>0</v>
      </c>
      <c r="R353" s="16">
        <v>0</v>
      </c>
      <c r="S353" s="16">
        <v>0</v>
      </c>
      <c r="T353" s="15">
        <v>230651</v>
      </c>
      <c r="U353" s="15">
        <v>0</v>
      </c>
      <c r="V353" s="15">
        <v>0</v>
      </c>
    </row>
    <row r="354" spans="1:22">
      <c r="A354" s="15">
        <v>103349</v>
      </c>
      <c r="B354" s="15">
        <v>231010</v>
      </c>
      <c r="C354" s="15">
        <f t="shared" si="11"/>
        <v>2</v>
      </c>
      <c r="D354" s="15">
        <f t="shared" si="10"/>
        <v>3</v>
      </c>
      <c r="E354" s="15">
        <v>25</v>
      </c>
      <c r="F354" s="20" t="s">
        <v>49</v>
      </c>
      <c r="G354" s="16">
        <v>100</v>
      </c>
      <c r="H354" s="16">
        <v>60</v>
      </c>
      <c r="I354" s="16">
        <v>24</v>
      </c>
      <c r="J354" s="16">
        <v>60</v>
      </c>
      <c r="K354" s="16">
        <v>24</v>
      </c>
      <c r="L354" s="16">
        <v>12</v>
      </c>
      <c r="M354" s="22">
        <v>0</v>
      </c>
      <c r="N354" s="22">
        <v>0</v>
      </c>
      <c r="O354" s="22">
        <v>20</v>
      </c>
      <c r="P354" s="22">
        <v>0</v>
      </c>
      <c r="Q354" s="22">
        <v>20</v>
      </c>
      <c r="R354" s="16">
        <v>0</v>
      </c>
      <c r="S354" s="16">
        <v>0</v>
      </c>
      <c r="T354" s="15">
        <v>0</v>
      </c>
      <c r="U354" s="15">
        <v>1</v>
      </c>
      <c r="V354" s="15">
        <v>0</v>
      </c>
    </row>
    <row r="355" spans="1:22">
      <c r="A355" s="15">
        <v>103350</v>
      </c>
      <c r="B355" s="15">
        <v>231010</v>
      </c>
      <c r="C355" s="15">
        <f t="shared" si="11"/>
        <v>3</v>
      </c>
      <c r="D355" s="15">
        <f t="shared" si="10"/>
        <v>3</v>
      </c>
      <c r="E355" s="15">
        <v>0</v>
      </c>
      <c r="F355" s="20">
        <v>0</v>
      </c>
      <c r="G355" s="16">
        <v>0</v>
      </c>
      <c r="H355" s="16">
        <v>0</v>
      </c>
      <c r="I355" s="16">
        <v>0</v>
      </c>
      <c r="J355" s="16">
        <v>0</v>
      </c>
      <c r="K355" s="16">
        <v>0</v>
      </c>
      <c r="L355" s="16">
        <v>0</v>
      </c>
      <c r="M355" s="22">
        <v>0</v>
      </c>
      <c r="N355" s="22">
        <v>0</v>
      </c>
      <c r="O355" s="22">
        <v>0</v>
      </c>
      <c r="P355" s="22">
        <v>0</v>
      </c>
      <c r="Q355" s="22">
        <v>0</v>
      </c>
      <c r="R355" s="16">
        <v>0</v>
      </c>
      <c r="S355" s="16">
        <v>721001</v>
      </c>
      <c r="T355" s="15">
        <v>0</v>
      </c>
      <c r="U355" s="15">
        <v>0</v>
      </c>
      <c r="V355" s="15">
        <v>0</v>
      </c>
    </row>
    <row r="356" spans="1:22">
      <c r="A356" s="15">
        <v>103351</v>
      </c>
      <c r="B356" s="15">
        <v>331010</v>
      </c>
      <c r="C356" s="15">
        <f t="shared" si="11"/>
        <v>0</v>
      </c>
      <c r="D356" s="15">
        <f t="shared" si="10"/>
        <v>4</v>
      </c>
      <c r="E356" s="15">
        <v>30</v>
      </c>
      <c r="F356" s="20" t="s">
        <v>50</v>
      </c>
      <c r="G356" s="16">
        <v>5</v>
      </c>
      <c r="H356" s="16">
        <v>5</v>
      </c>
      <c r="I356" s="16">
        <v>4</v>
      </c>
      <c r="J356" s="16">
        <v>10</v>
      </c>
      <c r="K356" s="16">
        <v>4</v>
      </c>
      <c r="L356" s="16">
        <v>0</v>
      </c>
      <c r="M356" s="22">
        <v>0</v>
      </c>
      <c r="N356" s="22">
        <v>0</v>
      </c>
      <c r="O356" s="22">
        <v>0</v>
      </c>
      <c r="P356" s="22">
        <v>0</v>
      </c>
      <c r="Q356" s="22">
        <v>0</v>
      </c>
      <c r="R356" s="16">
        <v>0</v>
      </c>
      <c r="S356" s="22">
        <v>0</v>
      </c>
      <c r="T356" s="15">
        <v>230661</v>
      </c>
      <c r="U356" s="15">
        <v>0</v>
      </c>
      <c r="V356" s="15">
        <v>0</v>
      </c>
    </row>
    <row r="357" spans="1:22">
      <c r="A357" s="15">
        <v>103352</v>
      </c>
      <c r="B357" s="15">
        <v>331010</v>
      </c>
      <c r="C357" s="15">
        <f t="shared" si="11"/>
        <v>1</v>
      </c>
      <c r="D357" s="15">
        <f t="shared" si="10"/>
        <v>4</v>
      </c>
      <c r="E357" s="15">
        <v>35</v>
      </c>
      <c r="F357" s="20" t="s">
        <v>51</v>
      </c>
      <c r="G357" s="16">
        <v>30</v>
      </c>
      <c r="H357" s="16">
        <v>20</v>
      </c>
      <c r="I357" s="16">
        <v>8</v>
      </c>
      <c r="J357" s="16">
        <v>20</v>
      </c>
      <c r="K357" s="16">
        <v>8</v>
      </c>
      <c r="L357" s="16">
        <v>3</v>
      </c>
      <c r="M357" s="22">
        <v>0</v>
      </c>
      <c r="N357" s="22">
        <v>0</v>
      </c>
      <c r="O357" s="22">
        <v>0</v>
      </c>
      <c r="P357" s="22">
        <v>0</v>
      </c>
      <c r="Q357" s="22">
        <v>0</v>
      </c>
      <c r="R357" s="16">
        <v>0</v>
      </c>
      <c r="S357" s="16">
        <v>0</v>
      </c>
      <c r="T357" s="15">
        <v>0</v>
      </c>
      <c r="U357" s="15">
        <v>0</v>
      </c>
      <c r="V357" s="15">
        <v>0</v>
      </c>
    </row>
    <row r="358" spans="1:22">
      <c r="A358" s="15">
        <v>103353</v>
      </c>
      <c r="B358" s="15">
        <v>331010</v>
      </c>
      <c r="C358" s="15">
        <f t="shared" si="11"/>
        <v>2</v>
      </c>
      <c r="D358" s="15">
        <f t="shared" si="10"/>
        <v>4</v>
      </c>
      <c r="E358" s="15">
        <v>40</v>
      </c>
      <c r="F358" s="20" t="s">
        <v>52</v>
      </c>
      <c r="G358" s="16">
        <v>50</v>
      </c>
      <c r="H358" s="16">
        <v>30</v>
      </c>
      <c r="I358" s="16">
        <v>12</v>
      </c>
      <c r="J358" s="16">
        <v>30</v>
      </c>
      <c r="K358" s="16">
        <v>12</v>
      </c>
      <c r="L358" s="16">
        <v>6</v>
      </c>
      <c r="M358" s="22">
        <v>0</v>
      </c>
      <c r="N358" s="22">
        <v>0</v>
      </c>
      <c r="O358" s="22">
        <v>0</v>
      </c>
      <c r="P358" s="22">
        <v>0</v>
      </c>
      <c r="Q358" s="22">
        <v>0</v>
      </c>
      <c r="R358" s="16">
        <v>0</v>
      </c>
      <c r="S358" s="16">
        <v>0</v>
      </c>
      <c r="T358" s="15">
        <v>230671</v>
      </c>
      <c r="U358" s="15">
        <v>0</v>
      </c>
      <c r="V358" s="15">
        <v>0</v>
      </c>
    </row>
    <row r="359" spans="1:22">
      <c r="A359" s="15">
        <v>103354</v>
      </c>
      <c r="B359" s="15">
        <v>331010</v>
      </c>
      <c r="C359" s="15">
        <f t="shared" si="11"/>
        <v>3</v>
      </c>
      <c r="D359" s="15">
        <f t="shared" si="10"/>
        <v>4</v>
      </c>
      <c r="E359" s="15">
        <v>45</v>
      </c>
      <c r="F359" s="20" t="s">
        <v>53</v>
      </c>
      <c r="G359" s="16">
        <v>60</v>
      </c>
      <c r="H359" s="16">
        <v>40</v>
      </c>
      <c r="I359" s="16">
        <v>16</v>
      </c>
      <c r="J359" s="16">
        <v>40</v>
      </c>
      <c r="K359" s="16">
        <v>16</v>
      </c>
      <c r="L359" s="16">
        <v>9</v>
      </c>
      <c r="M359" s="22">
        <v>120</v>
      </c>
      <c r="N359" s="22">
        <v>30</v>
      </c>
      <c r="O359" s="22">
        <v>0</v>
      </c>
      <c r="P359" s="22">
        <v>0</v>
      </c>
      <c r="Q359" s="22">
        <v>0</v>
      </c>
      <c r="R359" s="16">
        <v>0</v>
      </c>
      <c r="S359" s="16">
        <v>0</v>
      </c>
      <c r="T359" s="15">
        <v>0</v>
      </c>
      <c r="U359" s="15">
        <v>1</v>
      </c>
      <c r="V359" s="15">
        <v>0</v>
      </c>
    </row>
    <row r="360" spans="1:22">
      <c r="A360" s="15">
        <v>103355</v>
      </c>
      <c r="B360" s="15">
        <v>331010</v>
      </c>
      <c r="C360" s="15">
        <f t="shared" si="11"/>
        <v>4</v>
      </c>
      <c r="D360" s="15">
        <f t="shared" si="10"/>
        <v>4</v>
      </c>
      <c r="E360" s="15">
        <v>0</v>
      </c>
      <c r="F360" s="20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22">
        <v>0</v>
      </c>
      <c r="N360" s="22">
        <v>0</v>
      </c>
      <c r="O360" s="22">
        <v>0</v>
      </c>
      <c r="P360" s="22">
        <v>0</v>
      </c>
      <c r="Q360" s="22">
        <v>0</v>
      </c>
      <c r="R360" s="16">
        <v>0</v>
      </c>
      <c r="S360" s="16">
        <v>731001</v>
      </c>
      <c r="T360" s="15">
        <v>0</v>
      </c>
      <c r="U360" s="15">
        <v>0</v>
      </c>
      <c r="V360" s="15">
        <v>0</v>
      </c>
    </row>
    <row r="361" spans="1:22">
      <c r="A361" s="15">
        <v>103356</v>
      </c>
      <c r="B361" s="15">
        <v>232010</v>
      </c>
      <c r="C361" s="15">
        <f t="shared" si="11"/>
        <v>0</v>
      </c>
      <c r="D361" s="15">
        <f t="shared" si="10"/>
        <v>3</v>
      </c>
      <c r="E361" s="15">
        <v>15</v>
      </c>
      <c r="F361" s="20" t="s">
        <v>47</v>
      </c>
      <c r="G361" s="16">
        <v>60</v>
      </c>
      <c r="H361" s="16">
        <v>40</v>
      </c>
      <c r="I361" s="16">
        <v>16</v>
      </c>
      <c r="J361" s="16">
        <v>40</v>
      </c>
      <c r="K361" s="16">
        <v>16</v>
      </c>
      <c r="L361" s="16">
        <v>9</v>
      </c>
      <c r="M361" s="22">
        <v>0</v>
      </c>
      <c r="N361" s="22">
        <v>0</v>
      </c>
      <c r="O361" s="22">
        <v>0</v>
      </c>
      <c r="P361" s="22">
        <v>0</v>
      </c>
      <c r="Q361" s="22">
        <v>0</v>
      </c>
      <c r="R361" s="22">
        <v>0</v>
      </c>
      <c r="S361" s="22">
        <v>0</v>
      </c>
      <c r="T361" s="15">
        <v>230681</v>
      </c>
      <c r="U361" s="15">
        <v>0</v>
      </c>
      <c r="V361" s="15">
        <v>0</v>
      </c>
    </row>
    <row r="362" spans="1:22">
      <c r="A362" s="15">
        <v>103357</v>
      </c>
      <c r="B362" s="15">
        <v>232010</v>
      </c>
      <c r="C362" s="15">
        <f t="shared" si="11"/>
        <v>1</v>
      </c>
      <c r="D362" s="15">
        <f t="shared" si="10"/>
        <v>3</v>
      </c>
      <c r="E362" s="15">
        <v>20</v>
      </c>
      <c r="F362" s="20" t="s">
        <v>48</v>
      </c>
      <c r="G362" s="16">
        <v>80</v>
      </c>
      <c r="H362" s="16">
        <v>50</v>
      </c>
      <c r="I362" s="16">
        <v>20</v>
      </c>
      <c r="J362" s="16">
        <v>50</v>
      </c>
      <c r="K362" s="16">
        <v>20</v>
      </c>
      <c r="L362" s="16">
        <v>12</v>
      </c>
      <c r="M362" s="22">
        <v>0</v>
      </c>
      <c r="N362" s="22">
        <v>0</v>
      </c>
      <c r="O362" s="22">
        <v>0</v>
      </c>
      <c r="P362" s="22">
        <v>0</v>
      </c>
      <c r="Q362" s="22">
        <v>0</v>
      </c>
      <c r="R362" s="16">
        <v>0</v>
      </c>
      <c r="S362" s="16">
        <v>0</v>
      </c>
      <c r="T362" s="15">
        <v>0</v>
      </c>
      <c r="U362" s="15">
        <v>0</v>
      </c>
      <c r="V362" s="15">
        <v>0</v>
      </c>
    </row>
    <row r="363" spans="1:22">
      <c r="A363" s="15">
        <v>103358</v>
      </c>
      <c r="B363" s="15">
        <v>232010</v>
      </c>
      <c r="C363" s="15">
        <f t="shared" si="11"/>
        <v>2</v>
      </c>
      <c r="D363" s="15">
        <f t="shared" si="10"/>
        <v>3</v>
      </c>
      <c r="E363" s="15">
        <v>25</v>
      </c>
      <c r="F363" s="20" t="s">
        <v>49</v>
      </c>
      <c r="G363" s="16">
        <v>100</v>
      </c>
      <c r="H363" s="16">
        <v>60</v>
      </c>
      <c r="I363" s="16">
        <v>24</v>
      </c>
      <c r="J363" s="16">
        <v>60</v>
      </c>
      <c r="K363" s="16">
        <v>24</v>
      </c>
      <c r="L363" s="16">
        <v>12</v>
      </c>
      <c r="M363" s="22">
        <v>0</v>
      </c>
      <c r="N363" s="22">
        <v>0</v>
      </c>
      <c r="O363" s="22">
        <v>20</v>
      </c>
      <c r="P363" s="22">
        <v>0</v>
      </c>
      <c r="Q363" s="22">
        <v>20</v>
      </c>
      <c r="R363" s="16">
        <v>0</v>
      </c>
      <c r="S363" s="16">
        <v>0</v>
      </c>
      <c r="T363" s="15">
        <v>0</v>
      </c>
      <c r="U363" s="15">
        <v>1</v>
      </c>
      <c r="V363" s="15">
        <v>0</v>
      </c>
    </row>
    <row r="364" spans="1:22">
      <c r="A364" s="15">
        <v>103359</v>
      </c>
      <c r="B364" s="15">
        <v>232010</v>
      </c>
      <c r="C364" s="15">
        <f t="shared" si="11"/>
        <v>3</v>
      </c>
      <c r="D364" s="15">
        <f t="shared" si="10"/>
        <v>3</v>
      </c>
      <c r="E364" s="15">
        <v>0</v>
      </c>
      <c r="F364" s="20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22">
        <v>0</v>
      </c>
      <c r="N364" s="22">
        <v>0</v>
      </c>
      <c r="O364" s="22">
        <v>0</v>
      </c>
      <c r="P364" s="22">
        <v>0</v>
      </c>
      <c r="Q364" s="22">
        <v>0</v>
      </c>
      <c r="R364" s="16">
        <v>0</v>
      </c>
      <c r="S364" s="16">
        <v>0</v>
      </c>
      <c r="T364" s="15">
        <v>0</v>
      </c>
      <c r="U364" s="15">
        <v>0</v>
      </c>
      <c r="V364" s="15">
        <v>0</v>
      </c>
    </row>
    <row r="365" spans="1:22">
      <c r="A365" s="15">
        <v>103360</v>
      </c>
      <c r="B365" s="15">
        <v>332010</v>
      </c>
      <c r="C365" s="15">
        <f t="shared" si="11"/>
        <v>0</v>
      </c>
      <c r="D365" s="15">
        <f t="shared" si="10"/>
        <v>4</v>
      </c>
      <c r="E365" s="15">
        <v>30</v>
      </c>
      <c r="F365" s="20" t="s">
        <v>50</v>
      </c>
      <c r="G365" s="16">
        <v>5</v>
      </c>
      <c r="H365" s="16">
        <v>5</v>
      </c>
      <c r="I365" s="16">
        <v>4</v>
      </c>
      <c r="J365" s="16">
        <v>10</v>
      </c>
      <c r="K365" s="16">
        <v>4</v>
      </c>
      <c r="L365" s="16">
        <v>0</v>
      </c>
      <c r="M365" s="22">
        <v>0</v>
      </c>
      <c r="N365" s="22">
        <v>0</v>
      </c>
      <c r="O365" s="22">
        <v>0</v>
      </c>
      <c r="P365" s="22">
        <v>0</v>
      </c>
      <c r="Q365" s="22">
        <v>0</v>
      </c>
      <c r="R365" s="16">
        <v>0</v>
      </c>
      <c r="S365" s="22">
        <v>0</v>
      </c>
      <c r="T365" s="15">
        <v>230691</v>
      </c>
      <c r="U365" s="15">
        <v>0</v>
      </c>
      <c r="V365" s="15">
        <v>0</v>
      </c>
    </row>
    <row r="366" spans="1:22">
      <c r="A366" s="15">
        <v>103361</v>
      </c>
      <c r="B366" s="15">
        <v>332010</v>
      </c>
      <c r="C366" s="15">
        <f t="shared" si="11"/>
        <v>1</v>
      </c>
      <c r="D366" s="15">
        <f t="shared" ref="D366:D390" si="12">LEFT(B366,1)+1</f>
        <v>4</v>
      </c>
      <c r="E366" s="15">
        <v>35</v>
      </c>
      <c r="F366" s="20" t="s">
        <v>51</v>
      </c>
      <c r="G366" s="16">
        <v>30</v>
      </c>
      <c r="H366" s="16">
        <v>20</v>
      </c>
      <c r="I366" s="16">
        <v>8</v>
      </c>
      <c r="J366" s="16">
        <v>20</v>
      </c>
      <c r="K366" s="16">
        <v>8</v>
      </c>
      <c r="L366" s="16">
        <v>3</v>
      </c>
      <c r="M366" s="22">
        <v>0</v>
      </c>
      <c r="N366" s="22">
        <v>0</v>
      </c>
      <c r="O366" s="22">
        <v>0</v>
      </c>
      <c r="P366" s="22">
        <v>0</v>
      </c>
      <c r="Q366" s="22">
        <v>0</v>
      </c>
      <c r="R366" s="16">
        <v>0</v>
      </c>
      <c r="S366" s="16">
        <v>0</v>
      </c>
      <c r="T366" s="15">
        <v>0</v>
      </c>
      <c r="U366" s="15">
        <v>0</v>
      </c>
      <c r="V366" s="15">
        <v>0</v>
      </c>
    </row>
    <row r="367" spans="1:22">
      <c r="A367" s="15">
        <v>103362</v>
      </c>
      <c r="B367" s="15">
        <v>332010</v>
      </c>
      <c r="C367" s="15">
        <f t="shared" ref="C367:C390" si="13">IF(LEFT(B366,1)=LEFT(B367,1),(C366+1),0)</f>
        <v>2</v>
      </c>
      <c r="D367" s="15">
        <f t="shared" si="12"/>
        <v>4</v>
      </c>
      <c r="E367" s="15">
        <v>40</v>
      </c>
      <c r="F367" s="20" t="s">
        <v>52</v>
      </c>
      <c r="G367" s="16">
        <v>50</v>
      </c>
      <c r="H367" s="16">
        <v>30</v>
      </c>
      <c r="I367" s="16">
        <v>12</v>
      </c>
      <c r="J367" s="16">
        <v>30</v>
      </c>
      <c r="K367" s="16">
        <v>12</v>
      </c>
      <c r="L367" s="16">
        <v>6</v>
      </c>
      <c r="M367" s="22">
        <v>0</v>
      </c>
      <c r="N367" s="22">
        <v>0</v>
      </c>
      <c r="O367" s="22">
        <v>0</v>
      </c>
      <c r="P367" s="22">
        <v>0</v>
      </c>
      <c r="Q367" s="22">
        <v>0</v>
      </c>
      <c r="R367" s="16">
        <v>0</v>
      </c>
      <c r="S367" s="16">
        <v>0</v>
      </c>
      <c r="T367" s="15">
        <v>230701</v>
      </c>
      <c r="U367" s="15">
        <v>0</v>
      </c>
      <c r="V367" s="15">
        <v>0</v>
      </c>
    </row>
    <row r="368" spans="1:22">
      <c r="A368" s="15">
        <v>103363</v>
      </c>
      <c r="B368" s="15">
        <v>332010</v>
      </c>
      <c r="C368" s="15">
        <f t="shared" si="13"/>
        <v>3</v>
      </c>
      <c r="D368" s="15">
        <f t="shared" si="12"/>
        <v>4</v>
      </c>
      <c r="E368" s="15">
        <v>45</v>
      </c>
      <c r="F368" s="20" t="s">
        <v>53</v>
      </c>
      <c r="G368" s="16">
        <v>60</v>
      </c>
      <c r="H368" s="16">
        <v>40</v>
      </c>
      <c r="I368" s="16">
        <v>16</v>
      </c>
      <c r="J368" s="16">
        <v>40</v>
      </c>
      <c r="K368" s="16">
        <v>16</v>
      </c>
      <c r="L368" s="16">
        <v>9</v>
      </c>
      <c r="M368" s="22">
        <v>120</v>
      </c>
      <c r="N368" s="22">
        <v>30</v>
      </c>
      <c r="O368" s="22">
        <v>0</v>
      </c>
      <c r="P368" s="22">
        <v>0</v>
      </c>
      <c r="Q368" s="22">
        <v>0</v>
      </c>
      <c r="R368" s="16">
        <v>0</v>
      </c>
      <c r="S368" s="16">
        <v>0</v>
      </c>
      <c r="T368" s="15">
        <v>0</v>
      </c>
      <c r="U368" s="15">
        <v>1</v>
      </c>
      <c r="V368" s="15">
        <v>0</v>
      </c>
    </row>
    <row r="369" spans="1:22">
      <c r="A369" s="15">
        <v>103364</v>
      </c>
      <c r="B369" s="15">
        <v>332010</v>
      </c>
      <c r="C369" s="15">
        <f t="shared" si="13"/>
        <v>4</v>
      </c>
      <c r="D369" s="15">
        <f t="shared" si="12"/>
        <v>4</v>
      </c>
      <c r="E369" s="15">
        <v>0</v>
      </c>
      <c r="F369" s="20">
        <v>0</v>
      </c>
      <c r="G369" s="16">
        <v>0</v>
      </c>
      <c r="H369" s="16">
        <v>0</v>
      </c>
      <c r="I369" s="16">
        <v>0</v>
      </c>
      <c r="J369" s="16">
        <v>0</v>
      </c>
      <c r="K369" s="16">
        <v>0</v>
      </c>
      <c r="L369" s="16">
        <v>0</v>
      </c>
      <c r="M369" s="22">
        <v>0</v>
      </c>
      <c r="N369" s="22">
        <v>0</v>
      </c>
      <c r="O369" s="22">
        <v>0</v>
      </c>
      <c r="P369" s="22">
        <v>0</v>
      </c>
      <c r="Q369" s="22">
        <v>0</v>
      </c>
      <c r="R369" s="16">
        <v>0</v>
      </c>
      <c r="S369" s="16">
        <v>731003</v>
      </c>
      <c r="T369" s="15">
        <v>0</v>
      </c>
      <c r="U369" s="15">
        <v>0</v>
      </c>
      <c r="V369" s="15">
        <v>0</v>
      </c>
    </row>
    <row r="370" spans="1:22">
      <c r="A370" s="15">
        <v>103365</v>
      </c>
      <c r="B370" s="15">
        <v>130011</v>
      </c>
      <c r="C370" s="15">
        <f t="shared" si="13"/>
        <v>0</v>
      </c>
      <c r="D370" s="15">
        <f t="shared" si="12"/>
        <v>2</v>
      </c>
      <c r="E370" s="15">
        <v>5</v>
      </c>
      <c r="F370" s="20" t="s">
        <v>45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22">
        <v>0</v>
      </c>
      <c r="N370" s="22">
        <v>0</v>
      </c>
      <c r="O370" s="22">
        <v>0</v>
      </c>
      <c r="P370" s="22">
        <v>0</v>
      </c>
      <c r="Q370" s="22">
        <v>0</v>
      </c>
      <c r="R370" s="22">
        <v>0</v>
      </c>
      <c r="S370" s="22">
        <v>0</v>
      </c>
      <c r="T370" s="15">
        <v>0</v>
      </c>
      <c r="U370" s="15">
        <v>0</v>
      </c>
      <c r="V370" s="15">
        <v>0</v>
      </c>
    </row>
    <row r="371" spans="1:22">
      <c r="A371" s="15">
        <v>103366</v>
      </c>
      <c r="B371" s="15">
        <v>130011</v>
      </c>
      <c r="C371" s="15">
        <f t="shared" si="13"/>
        <v>1</v>
      </c>
      <c r="D371" s="15">
        <f t="shared" si="12"/>
        <v>2</v>
      </c>
      <c r="E371" s="15">
        <v>10</v>
      </c>
      <c r="F371" s="20" t="s">
        <v>46</v>
      </c>
      <c r="G371" s="16">
        <v>30</v>
      </c>
      <c r="H371" s="16">
        <v>20</v>
      </c>
      <c r="I371" s="16">
        <v>8</v>
      </c>
      <c r="J371" s="16">
        <v>20</v>
      </c>
      <c r="K371" s="16">
        <v>8</v>
      </c>
      <c r="L371" s="16">
        <v>3</v>
      </c>
      <c r="M371" s="22">
        <v>0</v>
      </c>
      <c r="N371" s="22">
        <v>0</v>
      </c>
      <c r="O371" s="22">
        <v>0</v>
      </c>
      <c r="P371" s="22">
        <v>0</v>
      </c>
      <c r="Q371" s="22">
        <v>0</v>
      </c>
      <c r="R371" s="16">
        <v>0</v>
      </c>
      <c r="S371" s="16">
        <v>0</v>
      </c>
      <c r="T371" s="15">
        <v>0</v>
      </c>
      <c r="U371" s="15">
        <v>1</v>
      </c>
      <c r="V371" s="15">
        <v>0</v>
      </c>
    </row>
    <row r="372" spans="1:22">
      <c r="A372" s="15">
        <v>103367</v>
      </c>
      <c r="B372" s="15">
        <v>130011</v>
      </c>
      <c r="C372" s="15">
        <f t="shared" si="13"/>
        <v>2</v>
      </c>
      <c r="D372" s="15">
        <f t="shared" si="12"/>
        <v>2</v>
      </c>
      <c r="E372" s="15">
        <v>0</v>
      </c>
      <c r="F372" s="20">
        <v>0</v>
      </c>
      <c r="G372" s="16">
        <v>50</v>
      </c>
      <c r="H372" s="16">
        <v>30</v>
      </c>
      <c r="I372" s="16">
        <v>12</v>
      </c>
      <c r="J372" s="16">
        <v>30</v>
      </c>
      <c r="K372" s="16">
        <v>12</v>
      </c>
      <c r="L372" s="16">
        <v>6</v>
      </c>
      <c r="M372" s="22">
        <v>0</v>
      </c>
      <c r="N372" s="22">
        <v>0</v>
      </c>
      <c r="O372" s="22">
        <v>15</v>
      </c>
      <c r="P372" s="22">
        <v>0</v>
      </c>
      <c r="Q372" s="22">
        <v>15</v>
      </c>
      <c r="R372" s="22">
        <v>0</v>
      </c>
      <c r="S372" s="16">
        <v>0</v>
      </c>
      <c r="T372" s="15">
        <v>0</v>
      </c>
      <c r="U372" s="15">
        <v>0</v>
      </c>
      <c r="V372" s="15">
        <v>0</v>
      </c>
    </row>
    <row r="373" spans="1:22">
      <c r="A373" s="15">
        <v>103368</v>
      </c>
      <c r="B373" s="15">
        <v>231011</v>
      </c>
      <c r="C373" s="15">
        <f t="shared" si="13"/>
        <v>0</v>
      </c>
      <c r="D373" s="15">
        <f t="shared" si="12"/>
        <v>3</v>
      </c>
      <c r="E373" s="15">
        <v>15</v>
      </c>
      <c r="F373" s="20" t="s">
        <v>47</v>
      </c>
      <c r="G373" s="16">
        <v>60</v>
      </c>
      <c r="H373" s="16">
        <v>40</v>
      </c>
      <c r="I373" s="16">
        <v>16</v>
      </c>
      <c r="J373" s="16">
        <v>40</v>
      </c>
      <c r="K373" s="16">
        <v>16</v>
      </c>
      <c r="L373" s="16">
        <v>9</v>
      </c>
      <c r="M373" s="22">
        <v>0</v>
      </c>
      <c r="N373" s="22">
        <v>0</v>
      </c>
      <c r="O373" s="22">
        <v>0</v>
      </c>
      <c r="P373" s="22">
        <v>0</v>
      </c>
      <c r="Q373" s="22">
        <v>0</v>
      </c>
      <c r="R373" s="22">
        <v>0</v>
      </c>
      <c r="S373" s="22">
        <v>0</v>
      </c>
      <c r="T373" s="15">
        <v>0</v>
      </c>
      <c r="U373" s="15">
        <v>0</v>
      </c>
      <c r="V373" s="15">
        <v>0</v>
      </c>
    </row>
    <row r="374" spans="1:22">
      <c r="A374" s="15">
        <v>103369</v>
      </c>
      <c r="B374" s="15">
        <v>231011</v>
      </c>
      <c r="C374" s="15">
        <f t="shared" si="13"/>
        <v>1</v>
      </c>
      <c r="D374" s="15">
        <f t="shared" si="12"/>
        <v>3</v>
      </c>
      <c r="E374" s="15">
        <v>20</v>
      </c>
      <c r="F374" s="20" t="s">
        <v>48</v>
      </c>
      <c r="G374" s="16">
        <v>80</v>
      </c>
      <c r="H374" s="16">
        <v>50</v>
      </c>
      <c r="I374" s="16">
        <v>20</v>
      </c>
      <c r="J374" s="16">
        <v>50</v>
      </c>
      <c r="K374" s="16">
        <v>20</v>
      </c>
      <c r="L374" s="16">
        <v>12</v>
      </c>
      <c r="M374" s="22">
        <v>0</v>
      </c>
      <c r="N374" s="22">
        <v>0</v>
      </c>
      <c r="O374" s="22">
        <v>0</v>
      </c>
      <c r="P374" s="22">
        <v>0</v>
      </c>
      <c r="Q374" s="22">
        <v>0</v>
      </c>
      <c r="R374" s="16">
        <v>0</v>
      </c>
      <c r="S374" s="16">
        <v>0</v>
      </c>
      <c r="T374" s="15">
        <v>230721</v>
      </c>
      <c r="U374" s="15">
        <v>0</v>
      </c>
      <c r="V374" s="15">
        <v>0</v>
      </c>
    </row>
    <row r="375" spans="1:22">
      <c r="A375" s="15">
        <v>103370</v>
      </c>
      <c r="B375" s="15">
        <v>231011</v>
      </c>
      <c r="C375" s="15">
        <f t="shared" si="13"/>
        <v>2</v>
      </c>
      <c r="D375" s="15">
        <f t="shared" si="12"/>
        <v>3</v>
      </c>
      <c r="E375" s="15">
        <v>25</v>
      </c>
      <c r="F375" s="20" t="s">
        <v>49</v>
      </c>
      <c r="G375" s="16">
        <v>100</v>
      </c>
      <c r="H375" s="16">
        <v>60</v>
      </c>
      <c r="I375" s="16">
        <v>24</v>
      </c>
      <c r="J375" s="16">
        <v>60</v>
      </c>
      <c r="K375" s="16">
        <v>24</v>
      </c>
      <c r="L375" s="16">
        <v>12</v>
      </c>
      <c r="M375" s="22">
        <v>0</v>
      </c>
      <c r="N375" s="22">
        <v>0</v>
      </c>
      <c r="O375" s="22">
        <v>20</v>
      </c>
      <c r="P375" s="22">
        <v>0</v>
      </c>
      <c r="Q375" s="22">
        <v>20</v>
      </c>
      <c r="R375" s="16">
        <v>0</v>
      </c>
      <c r="S375" s="16">
        <v>0</v>
      </c>
      <c r="T375" s="15">
        <v>0</v>
      </c>
      <c r="U375" s="15">
        <v>1</v>
      </c>
      <c r="V375" s="15">
        <v>0</v>
      </c>
    </row>
    <row r="376" spans="1:22">
      <c r="A376" s="15">
        <v>103371</v>
      </c>
      <c r="B376" s="15">
        <v>231011</v>
      </c>
      <c r="C376" s="15">
        <f t="shared" si="13"/>
        <v>3</v>
      </c>
      <c r="D376" s="15">
        <f t="shared" si="12"/>
        <v>3</v>
      </c>
      <c r="E376" s="15">
        <v>0</v>
      </c>
      <c r="F376" s="20">
        <v>0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22">
        <v>0</v>
      </c>
      <c r="N376" s="22">
        <v>0</v>
      </c>
      <c r="O376" s="22">
        <v>0</v>
      </c>
      <c r="P376" s="22">
        <v>0</v>
      </c>
      <c r="Q376" s="22">
        <v>0</v>
      </c>
      <c r="R376" s="16">
        <v>0</v>
      </c>
      <c r="S376" s="16">
        <v>821001</v>
      </c>
      <c r="T376" s="15">
        <v>0</v>
      </c>
      <c r="U376" s="15">
        <v>0</v>
      </c>
      <c r="V376" s="15">
        <v>0</v>
      </c>
    </row>
    <row r="377" spans="1:22">
      <c r="A377" s="15">
        <v>103372</v>
      </c>
      <c r="B377" s="15">
        <v>331011</v>
      </c>
      <c r="C377" s="15">
        <f t="shared" si="13"/>
        <v>0</v>
      </c>
      <c r="D377" s="15">
        <f t="shared" si="12"/>
        <v>4</v>
      </c>
      <c r="E377" s="15">
        <v>30</v>
      </c>
      <c r="F377" s="20" t="s">
        <v>50</v>
      </c>
      <c r="G377" s="16">
        <v>5</v>
      </c>
      <c r="H377" s="16">
        <v>5</v>
      </c>
      <c r="I377" s="16">
        <v>4</v>
      </c>
      <c r="J377" s="16">
        <v>10</v>
      </c>
      <c r="K377" s="16">
        <v>4</v>
      </c>
      <c r="L377" s="16">
        <v>0</v>
      </c>
      <c r="M377" s="22">
        <v>0</v>
      </c>
      <c r="N377" s="22">
        <v>0</v>
      </c>
      <c r="O377" s="22">
        <v>0</v>
      </c>
      <c r="P377" s="22">
        <v>0</v>
      </c>
      <c r="Q377" s="22">
        <v>0</v>
      </c>
      <c r="R377" s="16">
        <v>0</v>
      </c>
      <c r="S377" s="22">
        <v>0</v>
      </c>
      <c r="T377" s="15">
        <v>230731</v>
      </c>
      <c r="U377" s="15">
        <v>0</v>
      </c>
      <c r="V377" s="15">
        <v>0</v>
      </c>
    </row>
    <row r="378" spans="1:22">
      <c r="A378" s="15">
        <v>103373</v>
      </c>
      <c r="B378" s="15">
        <v>331011</v>
      </c>
      <c r="C378" s="15">
        <f t="shared" si="13"/>
        <v>1</v>
      </c>
      <c r="D378" s="15">
        <f t="shared" si="12"/>
        <v>4</v>
      </c>
      <c r="E378" s="15">
        <v>35</v>
      </c>
      <c r="F378" s="20" t="s">
        <v>51</v>
      </c>
      <c r="G378" s="16">
        <v>30</v>
      </c>
      <c r="H378" s="16">
        <v>20</v>
      </c>
      <c r="I378" s="16">
        <v>8</v>
      </c>
      <c r="J378" s="16">
        <v>20</v>
      </c>
      <c r="K378" s="16">
        <v>8</v>
      </c>
      <c r="L378" s="16">
        <v>3</v>
      </c>
      <c r="M378" s="22">
        <v>0</v>
      </c>
      <c r="N378" s="22">
        <v>0</v>
      </c>
      <c r="O378" s="22">
        <v>0</v>
      </c>
      <c r="P378" s="22">
        <v>0</v>
      </c>
      <c r="Q378" s="22">
        <v>0</v>
      </c>
      <c r="R378" s="16">
        <v>0</v>
      </c>
      <c r="S378" s="16">
        <v>0</v>
      </c>
      <c r="T378" s="15">
        <v>0</v>
      </c>
      <c r="U378" s="15">
        <v>0</v>
      </c>
      <c r="V378" s="15">
        <v>0</v>
      </c>
    </row>
    <row r="379" spans="1:22">
      <c r="A379" s="15">
        <v>103374</v>
      </c>
      <c r="B379" s="15">
        <v>331011</v>
      </c>
      <c r="C379" s="15">
        <f t="shared" si="13"/>
        <v>2</v>
      </c>
      <c r="D379" s="15">
        <f t="shared" si="12"/>
        <v>4</v>
      </c>
      <c r="E379" s="15">
        <v>40</v>
      </c>
      <c r="F379" s="20" t="s">
        <v>52</v>
      </c>
      <c r="G379" s="16">
        <v>50</v>
      </c>
      <c r="H379" s="16">
        <v>30</v>
      </c>
      <c r="I379" s="16">
        <v>12</v>
      </c>
      <c r="J379" s="16">
        <v>30</v>
      </c>
      <c r="K379" s="16">
        <v>12</v>
      </c>
      <c r="L379" s="16">
        <v>6</v>
      </c>
      <c r="M379" s="22">
        <v>0</v>
      </c>
      <c r="N379" s="22">
        <v>0</v>
      </c>
      <c r="O379" s="22">
        <v>0</v>
      </c>
      <c r="P379" s="22">
        <v>0</v>
      </c>
      <c r="Q379" s="22">
        <v>0</v>
      </c>
      <c r="R379" s="16">
        <v>0</v>
      </c>
      <c r="S379" s="16">
        <v>0</v>
      </c>
      <c r="T379" s="15">
        <v>230741</v>
      </c>
      <c r="U379" s="15">
        <v>0</v>
      </c>
      <c r="V379" s="15">
        <v>0</v>
      </c>
    </row>
    <row r="380" spans="1:22">
      <c r="A380" s="15">
        <v>103375</v>
      </c>
      <c r="B380" s="15">
        <v>331011</v>
      </c>
      <c r="C380" s="15">
        <f t="shared" si="13"/>
        <v>3</v>
      </c>
      <c r="D380" s="15">
        <f t="shared" si="12"/>
        <v>4</v>
      </c>
      <c r="E380" s="15">
        <v>45</v>
      </c>
      <c r="F380" s="20" t="s">
        <v>53</v>
      </c>
      <c r="G380" s="16">
        <v>60</v>
      </c>
      <c r="H380" s="16">
        <v>40</v>
      </c>
      <c r="I380" s="16">
        <v>16</v>
      </c>
      <c r="J380" s="16">
        <v>40</v>
      </c>
      <c r="K380" s="16">
        <v>16</v>
      </c>
      <c r="L380" s="16">
        <v>9</v>
      </c>
      <c r="M380" s="22">
        <v>120</v>
      </c>
      <c r="N380" s="22">
        <v>30</v>
      </c>
      <c r="O380" s="22">
        <v>0</v>
      </c>
      <c r="P380" s="22">
        <v>0</v>
      </c>
      <c r="Q380" s="22">
        <v>0</v>
      </c>
      <c r="R380" s="16">
        <v>0</v>
      </c>
      <c r="S380" s="16">
        <v>0</v>
      </c>
      <c r="T380" s="15">
        <v>0</v>
      </c>
      <c r="U380" s="15">
        <v>1</v>
      </c>
      <c r="V380" s="15">
        <v>0</v>
      </c>
    </row>
    <row r="381" spans="1:22">
      <c r="A381" s="15">
        <v>103376</v>
      </c>
      <c r="B381" s="15">
        <v>331011</v>
      </c>
      <c r="C381" s="15">
        <f t="shared" si="13"/>
        <v>4</v>
      </c>
      <c r="D381" s="15">
        <f t="shared" si="12"/>
        <v>4</v>
      </c>
      <c r="E381" s="15">
        <v>0</v>
      </c>
      <c r="F381" s="20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22">
        <v>0</v>
      </c>
      <c r="N381" s="22">
        <v>0</v>
      </c>
      <c r="O381" s="22">
        <v>0</v>
      </c>
      <c r="P381" s="22">
        <v>0</v>
      </c>
      <c r="Q381" s="22">
        <v>0</v>
      </c>
      <c r="R381" s="16">
        <v>0</v>
      </c>
      <c r="S381" s="16">
        <v>831001</v>
      </c>
      <c r="T381" s="15">
        <v>0</v>
      </c>
      <c r="U381" s="15">
        <v>0</v>
      </c>
      <c r="V381" s="15">
        <v>0</v>
      </c>
    </row>
    <row r="382" spans="1:22">
      <c r="A382" s="15">
        <v>103377</v>
      </c>
      <c r="B382" s="15">
        <v>232011</v>
      </c>
      <c r="C382" s="15">
        <f t="shared" si="13"/>
        <v>0</v>
      </c>
      <c r="D382" s="15">
        <f t="shared" si="12"/>
        <v>3</v>
      </c>
      <c r="E382" s="15">
        <v>15</v>
      </c>
      <c r="F382" s="20" t="s">
        <v>47</v>
      </c>
      <c r="G382" s="16">
        <v>60</v>
      </c>
      <c r="H382" s="16">
        <v>40</v>
      </c>
      <c r="I382" s="16">
        <v>16</v>
      </c>
      <c r="J382" s="16">
        <v>40</v>
      </c>
      <c r="K382" s="16">
        <v>16</v>
      </c>
      <c r="L382" s="16">
        <v>9</v>
      </c>
      <c r="M382" s="22">
        <v>0</v>
      </c>
      <c r="N382" s="22">
        <v>0</v>
      </c>
      <c r="O382" s="22">
        <v>0</v>
      </c>
      <c r="P382" s="22">
        <v>0</v>
      </c>
      <c r="Q382" s="22">
        <v>0</v>
      </c>
      <c r="R382" s="22">
        <v>0</v>
      </c>
      <c r="S382" s="22">
        <v>0</v>
      </c>
      <c r="T382" s="15">
        <v>230751</v>
      </c>
      <c r="U382" s="15">
        <v>0</v>
      </c>
      <c r="V382" s="15">
        <v>0</v>
      </c>
    </row>
    <row r="383" spans="1:22">
      <c r="A383" s="15">
        <v>103378</v>
      </c>
      <c r="B383" s="15">
        <v>232011</v>
      </c>
      <c r="C383" s="15">
        <f t="shared" si="13"/>
        <v>1</v>
      </c>
      <c r="D383" s="15">
        <f t="shared" si="12"/>
        <v>3</v>
      </c>
      <c r="E383" s="15">
        <v>20</v>
      </c>
      <c r="F383" s="20" t="s">
        <v>48</v>
      </c>
      <c r="G383" s="16">
        <v>80</v>
      </c>
      <c r="H383" s="16">
        <v>50</v>
      </c>
      <c r="I383" s="16">
        <v>20</v>
      </c>
      <c r="J383" s="16">
        <v>50</v>
      </c>
      <c r="K383" s="16">
        <v>20</v>
      </c>
      <c r="L383" s="16">
        <v>12</v>
      </c>
      <c r="M383" s="22">
        <v>0</v>
      </c>
      <c r="N383" s="22">
        <v>0</v>
      </c>
      <c r="O383" s="22">
        <v>0</v>
      </c>
      <c r="P383" s="22">
        <v>0</v>
      </c>
      <c r="Q383" s="22">
        <v>0</v>
      </c>
      <c r="R383" s="16">
        <v>0</v>
      </c>
      <c r="S383" s="16">
        <v>0</v>
      </c>
      <c r="T383" s="15">
        <v>0</v>
      </c>
      <c r="U383" s="15">
        <v>0</v>
      </c>
      <c r="V383" s="15">
        <v>0</v>
      </c>
    </row>
    <row r="384" spans="1:22">
      <c r="A384" s="15">
        <v>103379</v>
      </c>
      <c r="B384" s="15">
        <v>232011</v>
      </c>
      <c r="C384" s="15">
        <f t="shared" si="13"/>
        <v>2</v>
      </c>
      <c r="D384" s="15">
        <f t="shared" si="12"/>
        <v>3</v>
      </c>
      <c r="E384" s="15">
        <v>25</v>
      </c>
      <c r="F384" s="20" t="s">
        <v>49</v>
      </c>
      <c r="G384" s="16">
        <v>100</v>
      </c>
      <c r="H384" s="16">
        <v>60</v>
      </c>
      <c r="I384" s="16">
        <v>24</v>
      </c>
      <c r="J384" s="16">
        <v>60</v>
      </c>
      <c r="K384" s="16">
        <v>24</v>
      </c>
      <c r="L384" s="16">
        <v>12</v>
      </c>
      <c r="M384" s="22">
        <v>0</v>
      </c>
      <c r="N384" s="22">
        <v>0</v>
      </c>
      <c r="O384" s="22">
        <v>20</v>
      </c>
      <c r="P384" s="22">
        <v>0</v>
      </c>
      <c r="Q384" s="22">
        <v>20</v>
      </c>
      <c r="R384" s="16">
        <v>0</v>
      </c>
      <c r="S384" s="16">
        <v>0</v>
      </c>
      <c r="T384" s="15">
        <v>0</v>
      </c>
      <c r="U384" s="15">
        <v>1</v>
      </c>
      <c r="V384" s="15">
        <v>0</v>
      </c>
    </row>
    <row r="385" spans="1:22">
      <c r="A385" s="15">
        <v>103380</v>
      </c>
      <c r="B385" s="15">
        <v>232011</v>
      </c>
      <c r="C385" s="15">
        <f t="shared" si="13"/>
        <v>3</v>
      </c>
      <c r="D385" s="15">
        <f t="shared" si="12"/>
        <v>3</v>
      </c>
      <c r="E385" s="15">
        <v>0</v>
      </c>
      <c r="F385" s="20">
        <v>0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22">
        <v>0</v>
      </c>
      <c r="N385" s="22">
        <v>0</v>
      </c>
      <c r="O385" s="22">
        <v>0</v>
      </c>
      <c r="P385" s="22">
        <v>0</v>
      </c>
      <c r="Q385" s="22">
        <v>0</v>
      </c>
      <c r="R385" s="16">
        <v>0</v>
      </c>
      <c r="S385" s="16">
        <v>831002</v>
      </c>
      <c r="T385" s="15">
        <v>0</v>
      </c>
      <c r="U385" s="15">
        <v>0</v>
      </c>
      <c r="V385" s="15">
        <v>0</v>
      </c>
    </row>
    <row r="386" spans="1:22">
      <c r="A386" s="15">
        <v>103381</v>
      </c>
      <c r="B386" s="15">
        <v>332011</v>
      </c>
      <c r="C386" s="15">
        <f t="shared" si="13"/>
        <v>0</v>
      </c>
      <c r="D386" s="15">
        <f t="shared" si="12"/>
        <v>4</v>
      </c>
      <c r="E386" s="15">
        <v>30</v>
      </c>
      <c r="F386" s="20" t="s">
        <v>50</v>
      </c>
      <c r="G386" s="16">
        <v>5</v>
      </c>
      <c r="H386" s="16">
        <v>5</v>
      </c>
      <c r="I386" s="16">
        <v>4</v>
      </c>
      <c r="J386" s="16">
        <v>10</v>
      </c>
      <c r="K386" s="16">
        <v>4</v>
      </c>
      <c r="L386" s="16">
        <v>0</v>
      </c>
      <c r="M386" s="22">
        <v>0</v>
      </c>
      <c r="N386" s="22">
        <v>0</v>
      </c>
      <c r="O386" s="22">
        <v>0</v>
      </c>
      <c r="P386" s="22">
        <v>0</v>
      </c>
      <c r="Q386" s="22">
        <v>0</v>
      </c>
      <c r="R386" s="16">
        <v>0</v>
      </c>
      <c r="S386" s="22">
        <v>0</v>
      </c>
      <c r="T386" s="15">
        <v>230761</v>
      </c>
      <c r="U386" s="15">
        <v>0</v>
      </c>
      <c r="V386" s="15">
        <v>0</v>
      </c>
    </row>
    <row r="387" spans="1:22">
      <c r="A387" s="15">
        <v>103382</v>
      </c>
      <c r="B387" s="15">
        <v>332011</v>
      </c>
      <c r="C387" s="15">
        <f t="shared" si="13"/>
        <v>1</v>
      </c>
      <c r="D387" s="15">
        <f t="shared" si="12"/>
        <v>4</v>
      </c>
      <c r="E387" s="15">
        <v>35</v>
      </c>
      <c r="F387" s="20" t="s">
        <v>51</v>
      </c>
      <c r="G387" s="16">
        <v>30</v>
      </c>
      <c r="H387" s="16">
        <v>20</v>
      </c>
      <c r="I387" s="16">
        <v>8</v>
      </c>
      <c r="J387" s="16">
        <v>20</v>
      </c>
      <c r="K387" s="16">
        <v>8</v>
      </c>
      <c r="L387" s="16">
        <v>3</v>
      </c>
      <c r="M387" s="22">
        <v>0</v>
      </c>
      <c r="N387" s="22">
        <v>0</v>
      </c>
      <c r="O387" s="22">
        <v>0</v>
      </c>
      <c r="P387" s="22">
        <v>0</v>
      </c>
      <c r="Q387" s="22">
        <v>0</v>
      </c>
      <c r="R387" s="16">
        <v>0</v>
      </c>
      <c r="S387" s="16">
        <v>0</v>
      </c>
      <c r="T387" s="15">
        <v>0</v>
      </c>
      <c r="U387" s="15">
        <v>0</v>
      </c>
      <c r="V387" s="15">
        <v>0</v>
      </c>
    </row>
    <row r="388" spans="1:22">
      <c r="A388" s="15">
        <v>103383</v>
      </c>
      <c r="B388" s="15">
        <v>332011</v>
      </c>
      <c r="C388" s="15">
        <f t="shared" si="13"/>
        <v>2</v>
      </c>
      <c r="D388" s="15">
        <f t="shared" si="12"/>
        <v>4</v>
      </c>
      <c r="E388" s="15">
        <v>40</v>
      </c>
      <c r="F388" s="20" t="s">
        <v>52</v>
      </c>
      <c r="G388" s="16">
        <v>50</v>
      </c>
      <c r="H388" s="16">
        <v>30</v>
      </c>
      <c r="I388" s="16">
        <v>12</v>
      </c>
      <c r="J388" s="16">
        <v>30</v>
      </c>
      <c r="K388" s="16">
        <v>12</v>
      </c>
      <c r="L388" s="16">
        <v>6</v>
      </c>
      <c r="M388" s="22">
        <v>0</v>
      </c>
      <c r="N388" s="22">
        <v>0</v>
      </c>
      <c r="O388" s="22">
        <v>0</v>
      </c>
      <c r="P388" s="22">
        <v>0</v>
      </c>
      <c r="Q388" s="22">
        <v>0</v>
      </c>
      <c r="R388" s="16">
        <v>0</v>
      </c>
      <c r="S388" s="16">
        <v>0</v>
      </c>
      <c r="T388" s="15">
        <v>0</v>
      </c>
      <c r="U388" s="15">
        <v>0</v>
      </c>
      <c r="V388" s="15">
        <v>0</v>
      </c>
    </row>
    <row r="389" spans="1:22">
      <c r="A389" s="15">
        <v>103384</v>
      </c>
      <c r="B389" s="15">
        <v>332011</v>
      </c>
      <c r="C389" s="15">
        <f t="shared" si="13"/>
        <v>3</v>
      </c>
      <c r="D389" s="15">
        <f t="shared" si="12"/>
        <v>4</v>
      </c>
      <c r="E389" s="15">
        <v>45</v>
      </c>
      <c r="F389" s="20" t="s">
        <v>53</v>
      </c>
      <c r="G389" s="16">
        <v>60</v>
      </c>
      <c r="H389" s="16">
        <v>40</v>
      </c>
      <c r="I389" s="16">
        <v>16</v>
      </c>
      <c r="J389" s="16">
        <v>40</v>
      </c>
      <c r="K389" s="16">
        <v>16</v>
      </c>
      <c r="L389" s="16">
        <v>9</v>
      </c>
      <c r="M389" s="22">
        <v>120</v>
      </c>
      <c r="N389" s="22">
        <v>30</v>
      </c>
      <c r="O389" s="22">
        <v>0</v>
      </c>
      <c r="P389" s="22">
        <v>0</v>
      </c>
      <c r="Q389" s="22">
        <v>0</v>
      </c>
      <c r="R389" s="16">
        <v>0</v>
      </c>
      <c r="S389" s="16">
        <v>0</v>
      </c>
      <c r="T389" s="15">
        <v>0</v>
      </c>
      <c r="U389" s="15">
        <v>1</v>
      </c>
      <c r="V389" s="15">
        <v>0</v>
      </c>
    </row>
    <row r="390" spans="1:22">
      <c r="A390" s="15">
        <v>103385</v>
      </c>
      <c r="B390" s="15">
        <v>332011</v>
      </c>
      <c r="C390" s="15">
        <f t="shared" si="13"/>
        <v>4</v>
      </c>
      <c r="D390" s="15">
        <f t="shared" si="12"/>
        <v>4</v>
      </c>
      <c r="E390" s="15">
        <v>0</v>
      </c>
      <c r="F390" s="20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22">
        <v>0</v>
      </c>
      <c r="N390" s="22">
        <v>0</v>
      </c>
      <c r="O390" s="22">
        <v>0</v>
      </c>
      <c r="P390" s="22">
        <v>0</v>
      </c>
      <c r="Q390" s="22">
        <v>0</v>
      </c>
      <c r="R390" s="16">
        <v>0</v>
      </c>
      <c r="S390" s="16">
        <v>0</v>
      </c>
      <c r="T390" s="15">
        <v>230771</v>
      </c>
      <c r="U390" s="15">
        <v>0</v>
      </c>
      <c r="V390" s="15">
        <v>0</v>
      </c>
    </row>
  </sheetData>
  <autoFilter ref="A3:V39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0"/>
  <sheetViews>
    <sheetView workbookViewId="0">
      <selection activeCell="F10" sqref="F10"/>
    </sheetView>
  </sheetViews>
  <sheetFormatPr defaultColWidth="9" defaultRowHeight="16.5"/>
  <cols>
    <col min="1" max="4" width="9" style="2"/>
    <col min="6" max="6" width="34.75" customWidth="1"/>
    <col min="7" max="16" width="9" style="2"/>
    <col min="17" max="17" width="12.75" style="2" customWidth="1"/>
    <col min="18" max="20" width="9" style="2"/>
    <col min="21" max="21" width="15" style="2" customWidth="1"/>
    <col min="22" max="22" width="10.875" style="2" customWidth="1"/>
    <col min="23" max="16384" width="9" style="2"/>
  </cols>
  <sheetData>
    <row r="1" spans="1:22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="2" customFormat="1" spans="1:22">
      <c r="A2" s="2" t="s">
        <v>22</v>
      </c>
      <c r="B2" s="2" t="s">
        <v>22</v>
      </c>
      <c r="C2" s="2" t="s">
        <v>22</v>
      </c>
      <c r="D2" s="2" t="s">
        <v>22</v>
      </c>
      <c r="E2" s="2" t="s">
        <v>22</v>
      </c>
      <c r="F2" s="2" t="s">
        <v>23</v>
      </c>
      <c r="G2" s="4" t="s">
        <v>22</v>
      </c>
      <c r="H2" s="4" t="s">
        <v>22</v>
      </c>
      <c r="I2" s="4" t="s">
        <v>22</v>
      </c>
      <c r="J2" s="4" t="s">
        <v>22</v>
      </c>
      <c r="K2" s="4" t="s">
        <v>22</v>
      </c>
      <c r="L2" s="4" t="s">
        <v>22</v>
      </c>
      <c r="M2" s="4" t="s">
        <v>22</v>
      </c>
      <c r="N2" s="4" t="s">
        <v>22</v>
      </c>
      <c r="O2" s="4" t="s">
        <v>22</v>
      </c>
      <c r="P2" s="4" t="s">
        <v>22</v>
      </c>
      <c r="Q2" s="4" t="s">
        <v>22</v>
      </c>
      <c r="R2" s="4" t="s">
        <v>22</v>
      </c>
      <c r="S2" s="4" t="s">
        <v>22</v>
      </c>
      <c r="T2" s="4" t="s">
        <v>22</v>
      </c>
      <c r="U2" s="4" t="s">
        <v>22</v>
      </c>
      <c r="V2" s="2" t="s">
        <v>23</v>
      </c>
    </row>
    <row r="3" s="2" customFormat="1" spans="1:22">
      <c r="A3" s="2" t="s">
        <v>0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4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40</v>
      </c>
      <c r="S3" s="2" t="s">
        <v>41</v>
      </c>
      <c r="T3" s="2" t="s">
        <v>42</v>
      </c>
      <c r="U3" s="1" t="s">
        <v>43</v>
      </c>
      <c r="V3" s="2" t="s">
        <v>44</v>
      </c>
    </row>
    <row r="4" spans="1:22">
      <c r="A4" s="2">
        <v>101000</v>
      </c>
      <c r="B4" s="1">
        <v>110001</v>
      </c>
      <c r="C4" s="2">
        <v>0</v>
      </c>
      <c r="D4" s="2">
        <v>2</v>
      </c>
      <c r="E4" s="2">
        <v>5</v>
      </c>
      <c r="F4" s="5" t="s">
        <v>45</v>
      </c>
      <c r="G4" s="6">
        <v>10</v>
      </c>
      <c r="H4" s="6">
        <v>10</v>
      </c>
      <c r="I4" s="6">
        <f t="shared" ref="I4:L4" si="0">INT(H4*0.4)</f>
        <v>4</v>
      </c>
      <c r="J4" s="6">
        <f t="shared" ref="J4:J9" si="1">H4</f>
        <v>10</v>
      </c>
      <c r="K4" s="6">
        <f t="shared" si="0"/>
        <v>4</v>
      </c>
      <c r="L4" s="6">
        <f t="shared" si="0"/>
        <v>1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10">
        <v>121001</v>
      </c>
      <c r="T4" s="2">
        <v>0</v>
      </c>
      <c r="U4" s="2">
        <v>0</v>
      </c>
      <c r="V4" s="2">
        <v>0</v>
      </c>
    </row>
    <row r="5" spans="1:22">
      <c r="A5" s="2">
        <v>101001</v>
      </c>
      <c r="B5" s="1">
        <v>110001</v>
      </c>
      <c r="C5" s="2">
        <v>1</v>
      </c>
      <c r="D5" s="2">
        <v>2</v>
      </c>
      <c r="E5" s="2">
        <v>10</v>
      </c>
      <c r="F5" s="5" t="s">
        <v>46</v>
      </c>
      <c r="G5" s="6">
        <f t="shared" ref="G5:G9" si="2">G4+5</f>
        <v>15</v>
      </c>
      <c r="H5" s="6">
        <f t="shared" ref="H5:H9" si="3">H4+5</f>
        <v>15</v>
      </c>
      <c r="I5" s="6">
        <f t="shared" ref="I5:L5" si="4">INT(H5*0.4)</f>
        <v>6</v>
      </c>
      <c r="J5" s="6">
        <f t="shared" si="1"/>
        <v>15</v>
      </c>
      <c r="K5" s="6">
        <f t="shared" si="4"/>
        <v>6</v>
      </c>
      <c r="L5" s="6">
        <f t="shared" si="4"/>
        <v>2</v>
      </c>
      <c r="M5" s="6">
        <v>32</v>
      </c>
      <c r="N5" s="6">
        <v>8</v>
      </c>
      <c r="O5" s="6">
        <v>0</v>
      </c>
      <c r="P5" s="6">
        <v>0</v>
      </c>
      <c r="Q5" s="6">
        <f>K5</f>
        <v>6</v>
      </c>
      <c r="R5" s="6">
        <f>L5</f>
        <v>2</v>
      </c>
      <c r="S5" s="2">
        <v>0</v>
      </c>
      <c r="T5" s="2">
        <v>0</v>
      </c>
      <c r="U5" s="2">
        <v>1</v>
      </c>
      <c r="V5" s="2">
        <v>200101</v>
      </c>
    </row>
    <row r="6" spans="1:22">
      <c r="A6" s="2">
        <v>101002</v>
      </c>
      <c r="B6" s="1">
        <v>110001</v>
      </c>
      <c r="C6" s="2">
        <v>2</v>
      </c>
      <c r="D6" s="2">
        <v>2</v>
      </c>
      <c r="E6" s="2">
        <v>0</v>
      </c>
      <c r="F6" s="5">
        <v>0</v>
      </c>
      <c r="G6" s="6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2">
        <v>0</v>
      </c>
      <c r="T6" s="2">
        <v>0</v>
      </c>
      <c r="U6" s="2">
        <v>0</v>
      </c>
      <c r="V6" s="2">
        <v>0</v>
      </c>
    </row>
    <row r="7" spans="1:22">
      <c r="A7" s="2">
        <v>102000</v>
      </c>
      <c r="B7" s="1">
        <v>210001</v>
      </c>
      <c r="C7" s="2">
        <v>0</v>
      </c>
      <c r="D7" s="2">
        <v>3</v>
      </c>
      <c r="E7" s="2">
        <v>15</v>
      </c>
      <c r="F7" s="5" t="s">
        <v>47</v>
      </c>
      <c r="G7" s="6">
        <f>G5+5</f>
        <v>20</v>
      </c>
      <c r="H7" s="6">
        <f>H5+5</f>
        <v>20</v>
      </c>
      <c r="I7" s="6">
        <f t="shared" ref="I7:L7" si="5">INT(H7*0.4)</f>
        <v>8</v>
      </c>
      <c r="J7" s="6">
        <f t="shared" si="1"/>
        <v>20</v>
      </c>
      <c r="K7" s="6">
        <f t="shared" si="5"/>
        <v>8</v>
      </c>
      <c r="L7" s="6">
        <f t="shared" si="5"/>
        <v>3</v>
      </c>
      <c r="M7" s="6">
        <v>0</v>
      </c>
      <c r="N7" s="6">
        <v>0</v>
      </c>
      <c r="O7" s="6">
        <v>0</v>
      </c>
      <c r="P7" s="6">
        <v>0</v>
      </c>
      <c r="Q7" s="7">
        <v>0</v>
      </c>
      <c r="R7" s="7">
        <v>0</v>
      </c>
      <c r="S7" s="2">
        <v>0</v>
      </c>
      <c r="T7" s="2">
        <v>12002</v>
      </c>
      <c r="U7" s="2">
        <v>0</v>
      </c>
      <c r="V7" s="2">
        <v>0</v>
      </c>
    </row>
    <row r="8" spans="1:22">
      <c r="A8" s="2">
        <v>102001</v>
      </c>
      <c r="B8" s="1">
        <v>210001</v>
      </c>
      <c r="C8" s="2">
        <v>1</v>
      </c>
      <c r="D8" s="2">
        <v>3</v>
      </c>
      <c r="E8" s="2">
        <v>20</v>
      </c>
      <c r="F8" s="5" t="s">
        <v>48</v>
      </c>
      <c r="G8" s="6">
        <f t="shared" si="2"/>
        <v>25</v>
      </c>
      <c r="H8" s="6">
        <f t="shared" si="3"/>
        <v>25</v>
      </c>
      <c r="I8" s="6">
        <f t="shared" ref="I8:L8" si="6">INT(H8*0.4)</f>
        <v>10</v>
      </c>
      <c r="J8" s="6">
        <f t="shared" si="1"/>
        <v>25</v>
      </c>
      <c r="K8" s="6">
        <f t="shared" si="6"/>
        <v>10</v>
      </c>
      <c r="L8" s="6">
        <f t="shared" si="6"/>
        <v>4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10">
        <v>131001</v>
      </c>
      <c r="T8" s="2">
        <v>0</v>
      </c>
      <c r="U8" s="2">
        <v>0</v>
      </c>
      <c r="V8" s="2">
        <v>0</v>
      </c>
    </row>
    <row r="9" spans="1:22">
      <c r="A9" s="2">
        <v>102002</v>
      </c>
      <c r="B9" s="1">
        <v>210001</v>
      </c>
      <c r="C9" s="2">
        <v>2</v>
      </c>
      <c r="D9" s="2">
        <v>3</v>
      </c>
      <c r="E9" s="2">
        <v>25</v>
      </c>
      <c r="F9" s="5" t="s">
        <v>49</v>
      </c>
      <c r="G9" s="6">
        <f t="shared" si="2"/>
        <v>30</v>
      </c>
      <c r="H9" s="6">
        <f t="shared" si="3"/>
        <v>30</v>
      </c>
      <c r="I9" s="6">
        <f t="shared" ref="I9:L9" si="7">INT(H9*0.4)</f>
        <v>12</v>
      </c>
      <c r="J9" s="6">
        <f t="shared" si="1"/>
        <v>30</v>
      </c>
      <c r="K9" s="6">
        <f t="shared" si="7"/>
        <v>12</v>
      </c>
      <c r="L9" s="6">
        <f t="shared" si="7"/>
        <v>4</v>
      </c>
      <c r="M9" s="6">
        <v>40</v>
      </c>
      <c r="N9" s="6">
        <v>0</v>
      </c>
      <c r="O9" s="6">
        <v>10</v>
      </c>
      <c r="P9" s="6">
        <v>0</v>
      </c>
      <c r="Q9" s="6">
        <v>0</v>
      </c>
      <c r="R9" s="6">
        <v>0</v>
      </c>
      <c r="S9" s="2">
        <v>0</v>
      </c>
      <c r="T9" s="2">
        <v>0</v>
      </c>
      <c r="U9" s="2">
        <v>1</v>
      </c>
      <c r="V9" s="2">
        <v>300101</v>
      </c>
    </row>
    <row r="10" spans="1:22">
      <c r="A10" s="2">
        <v>102003</v>
      </c>
      <c r="B10" s="1">
        <v>210001</v>
      </c>
      <c r="C10" s="2">
        <v>3</v>
      </c>
      <c r="D10" s="2">
        <v>3</v>
      </c>
      <c r="E10" s="2">
        <v>0</v>
      </c>
      <c r="F10" s="5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2">
        <v>0</v>
      </c>
      <c r="T10" s="2">
        <v>0</v>
      </c>
      <c r="U10" s="2">
        <v>0</v>
      </c>
      <c r="V10" s="2">
        <v>0</v>
      </c>
    </row>
    <row r="11" spans="1:22">
      <c r="A11" s="2">
        <v>103000</v>
      </c>
      <c r="B11" s="1">
        <v>310001</v>
      </c>
      <c r="C11" s="2">
        <v>0</v>
      </c>
      <c r="D11" s="2">
        <v>4</v>
      </c>
      <c r="E11" s="2">
        <v>30</v>
      </c>
      <c r="F11" s="5" t="s">
        <v>50</v>
      </c>
      <c r="G11" s="6">
        <f t="shared" ref="G11:G14" si="8">G10+5</f>
        <v>5</v>
      </c>
      <c r="H11" s="6">
        <f t="shared" ref="H11:H14" si="9">H10+5</f>
        <v>5</v>
      </c>
      <c r="I11" s="6">
        <f t="shared" ref="I11:L11" si="10">INT(H11*0.4)</f>
        <v>2</v>
      </c>
      <c r="J11" s="6">
        <f t="shared" ref="J11:J14" si="11">H11</f>
        <v>5</v>
      </c>
      <c r="K11" s="6">
        <f t="shared" si="10"/>
        <v>2</v>
      </c>
      <c r="L11" s="6">
        <f t="shared" si="10"/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2">
        <v>0</v>
      </c>
      <c r="T11" s="2">
        <v>0</v>
      </c>
      <c r="U11" s="2">
        <v>0</v>
      </c>
      <c r="V11" s="2">
        <v>0</v>
      </c>
    </row>
    <row r="12" spans="1:22">
      <c r="A12" s="2">
        <v>103001</v>
      </c>
      <c r="B12" s="1">
        <v>310001</v>
      </c>
      <c r="C12" s="2">
        <v>1</v>
      </c>
      <c r="D12" s="2">
        <v>4</v>
      </c>
      <c r="E12" s="2">
        <v>35</v>
      </c>
      <c r="F12" s="5" t="s">
        <v>51</v>
      </c>
      <c r="G12" s="6">
        <f t="shared" si="8"/>
        <v>10</v>
      </c>
      <c r="H12" s="6">
        <f t="shared" si="9"/>
        <v>10</v>
      </c>
      <c r="I12" s="6">
        <f t="shared" ref="I12:L12" si="12">INT(H12*0.4)</f>
        <v>4</v>
      </c>
      <c r="J12" s="6">
        <f t="shared" si="11"/>
        <v>10</v>
      </c>
      <c r="K12" s="6">
        <f t="shared" si="12"/>
        <v>4</v>
      </c>
      <c r="L12" s="6">
        <f t="shared" si="12"/>
        <v>1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2">
        <v>0</v>
      </c>
      <c r="T12" s="2">
        <v>12003</v>
      </c>
      <c r="U12" s="2">
        <v>0</v>
      </c>
      <c r="V12" s="2">
        <v>0</v>
      </c>
    </row>
    <row r="13" spans="1:22">
      <c r="A13" s="2">
        <v>103002</v>
      </c>
      <c r="B13" s="1">
        <v>310001</v>
      </c>
      <c r="C13" s="2">
        <v>2</v>
      </c>
      <c r="D13" s="2">
        <v>4</v>
      </c>
      <c r="E13" s="2">
        <v>40</v>
      </c>
      <c r="F13" s="5" t="s">
        <v>52</v>
      </c>
      <c r="G13" s="6">
        <f t="shared" si="8"/>
        <v>15</v>
      </c>
      <c r="H13" s="6">
        <f t="shared" si="9"/>
        <v>15</v>
      </c>
      <c r="I13" s="6">
        <f t="shared" ref="I13:L13" si="13">INT(H13*0.4)</f>
        <v>6</v>
      </c>
      <c r="J13" s="6">
        <f t="shared" si="11"/>
        <v>15</v>
      </c>
      <c r="K13" s="6">
        <f t="shared" si="13"/>
        <v>6</v>
      </c>
      <c r="L13" s="6">
        <f t="shared" si="13"/>
        <v>2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11">
        <v>221001</v>
      </c>
      <c r="T13" s="2">
        <v>0</v>
      </c>
      <c r="U13" s="2">
        <v>0</v>
      </c>
      <c r="V13" s="2">
        <v>0</v>
      </c>
    </row>
    <row r="14" spans="1:22">
      <c r="A14" s="2">
        <v>103003</v>
      </c>
      <c r="B14" s="1">
        <v>310001</v>
      </c>
      <c r="C14" s="2">
        <v>3</v>
      </c>
      <c r="D14" s="2">
        <v>4</v>
      </c>
      <c r="E14" s="2">
        <v>45</v>
      </c>
      <c r="F14" s="5" t="s">
        <v>53</v>
      </c>
      <c r="G14" s="6">
        <f t="shared" si="8"/>
        <v>20</v>
      </c>
      <c r="H14" s="6">
        <f t="shared" si="9"/>
        <v>20</v>
      </c>
      <c r="I14" s="6">
        <f t="shared" ref="I14:L14" si="14">INT(H14*0.4)</f>
        <v>8</v>
      </c>
      <c r="J14" s="6">
        <f t="shared" si="11"/>
        <v>20</v>
      </c>
      <c r="K14" s="6">
        <f t="shared" si="14"/>
        <v>8</v>
      </c>
      <c r="L14" s="6">
        <f t="shared" si="14"/>
        <v>3</v>
      </c>
      <c r="M14" s="6">
        <v>80</v>
      </c>
      <c r="N14" s="6">
        <v>20</v>
      </c>
      <c r="O14" s="6">
        <v>0</v>
      </c>
      <c r="P14" s="6">
        <v>0</v>
      </c>
      <c r="Q14" s="6">
        <v>0</v>
      </c>
      <c r="R14" s="6">
        <v>0</v>
      </c>
      <c r="S14" s="2">
        <v>0</v>
      </c>
      <c r="T14" s="2">
        <v>0</v>
      </c>
      <c r="U14" s="2">
        <v>1</v>
      </c>
      <c r="V14" s="2">
        <v>0</v>
      </c>
    </row>
    <row r="15" spans="1:22">
      <c r="A15" s="2">
        <v>103004</v>
      </c>
      <c r="B15" s="1">
        <v>310001</v>
      </c>
      <c r="C15" s="2">
        <v>4</v>
      </c>
      <c r="D15" s="2">
        <v>4</v>
      </c>
      <c r="E15" s="2">
        <v>0</v>
      </c>
      <c r="F15" s="5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2">
        <v>0</v>
      </c>
      <c r="T15" s="2">
        <v>0</v>
      </c>
      <c r="U15" s="2">
        <v>0</v>
      </c>
      <c r="V15" s="2">
        <v>0</v>
      </c>
    </row>
    <row r="16" spans="1:22">
      <c r="A16" s="2">
        <f t="shared" ref="A16:A48" si="15">A4+10</f>
        <v>101010</v>
      </c>
      <c r="B16" s="1">
        <v>110002</v>
      </c>
      <c r="C16" s="2">
        <v>0</v>
      </c>
      <c r="D16" s="2">
        <v>2</v>
      </c>
      <c r="E16" s="2">
        <v>5</v>
      </c>
      <c r="F16" s="5" t="s">
        <v>45</v>
      </c>
      <c r="G16" s="6">
        <v>10</v>
      </c>
      <c r="H16" s="6">
        <v>10</v>
      </c>
      <c r="I16" s="6">
        <f t="shared" ref="I16:L16" si="16">INT(H16*0.4)</f>
        <v>4</v>
      </c>
      <c r="J16" s="6">
        <f t="shared" ref="J16:J21" si="17">H16</f>
        <v>10</v>
      </c>
      <c r="K16" s="6">
        <f t="shared" si="16"/>
        <v>4</v>
      </c>
      <c r="L16" s="6">
        <f t="shared" si="16"/>
        <v>1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11">
        <v>231001</v>
      </c>
      <c r="T16" s="2">
        <v>0</v>
      </c>
      <c r="U16" s="2">
        <v>0</v>
      </c>
      <c r="V16" s="2">
        <v>0</v>
      </c>
    </row>
    <row r="17" spans="1:22">
      <c r="A17" s="2">
        <f t="shared" si="15"/>
        <v>101011</v>
      </c>
      <c r="B17" s="1">
        <v>110002</v>
      </c>
      <c r="C17" s="2">
        <v>1</v>
      </c>
      <c r="D17" s="2">
        <v>2</v>
      </c>
      <c r="E17" s="2">
        <v>10</v>
      </c>
      <c r="F17" s="5" t="s">
        <v>46</v>
      </c>
      <c r="G17" s="6">
        <f t="shared" ref="G17:G21" si="18">G16+5</f>
        <v>15</v>
      </c>
      <c r="H17" s="6">
        <f t="shared" ref="H17:H21" si="19">H16+5</f>
        <v>15</v>
      </c>
      <c r="I17" s="6">
        <f t="shared" ref="I17:L17" si="20">INT(H17*0.4)</f>
        <v>6</v>
      </c>
      <c r="J17" s="6">
        <f t="shared" si="17"/>
        <v>15</v>
      </c>
      <c r="K17" s="6">
        <f t="shared" si="20"/>
        <v>6</v>
      </c>
      <c r="L17" s="6">
        <f t="shared" si="20"/>
        <v>2</v>
      </c>
      <c r="M17" s="6">
        <f>G17*2</f>
        <v>30</v>
      </c>
      <c r="N17" s="6">
        <f>H17*2</f>
        <v>30</v>
      </c>
      <c r="O17" s="6">
        <v>0</v>
      </c>
      <c r="P17" s="6">
        <v>0</v>
      </c>
      <c r="Q17" s="6">
        <f>K17</f>
        <v>6</v>
      </c>
      <c r="R17" s="6">
        <f>L17</f>
        <v>2</v>
      </c>
      <c r="S17" s="2">
        <v>0</v>
      </c>
      <c r="T17" s="2">
        <v>0</v>
      </c>
      <c r="U17" s="2">
        <v>1</v>
      </c>
      <c r="V17" s="2">
        <v>200101</v>
      </c>
    </row>
    <row r="18" spans="1:22">
      <c r="A18" s="2">
        <f t="shared" si="15"/>
        <v>101012</v>
      </c>
      <c r="B18" s="1">
        <v>110002</v>
      </c>
      <c r="C18" s="2">
        <v>2</v>
      </c>
      <c r="D18" s="2">
        <v>2</v>
      </c>
      <c r="E18" s="2">
        <v>0</v>
      </c>
      <c r="F18" s="5">
        <v>0</v>
      </c>
      <c r="G18" s="6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2">
        <v>0</v>
      </c>
      <c r="T18" s="2">
        <v>0</v>
      </c>
      <c r="U18" s="2">
        <v>0</v>
      </c>
      <c r="V18" s="2">
        <v>0</v>
      </c>
    </row>
    <row r="19" spans="1:22">
      <c r="A19" s="2">
        <f t="shared" si="15"/>
        <v>102010</v>
      </c>
      <c r="B19" s="1">
        <v>210002</v>
      </c>
      <c r="C19" s="2">
        <v>0</v>
      </c>
      <c r="D19" s="2">
        <v>3</v>
      </c>
      <c r="E19" s="2">
        <v>15</v>
      </c>
      <c r="F19" s="5" t="s">
        <v>47</v>
      </c>
      <c r="G19" s="6">
        <f>G17+5</f>
        <v>20</v>
      </c>
      <c r="H19" s="6">
        <f>H17+5</f>
        <v>20</v>
      </c>
      <c r="I19" s="6">
        <f t="shared" ref="I19:L19" si="21">INT(H19*0.4)</f>
        <v>8</v>
      </c>
      <c r="J19" s="6">
        <f t="shared" si="17"/>
        <v>20</v>
      </c>
      <c r="K19" s="6">
        <f t="shared" si="21"/>
        <v>8</v>
      </c>
      <c r="L19" s="6">
        <f t="shared" si="21"/>
        <v>3</v>
      </c>
      <c r="M19" s="6">
        <v>0</v>
      </c>
      <c r="N19" s="6">
        <v>0</v>
      </c>
      <c r="O19" s="6">
        <v>0</v>
      </c>
      <c r="P19" s="6">
        <v>0</v>
      </c>
      <c r="Q19" s="7">
        <v>0</v>
      </c>
      <c r="R19" s="7">
        <v>0</v>
      </c>
      <c r="S19" s="2">
        <v>0</v>
      </c>
      <c r="T19" s="2">
        <v>12002</v>
      </c>
      <c r="U19" s="2">
        <v>0</v>
      </c>
      <c r="V19" s="2">
        <v>0</v>
      </c>
    </row>
    <row r="20" spans="1:22">
      <c r="A20" s="2">
        <f t="shared" si="15"/>
        <v>102011</v>
      </c>
      <c r="B20" s="1">
        <v>210002</v>
      </c>
      <c r="C20" s="2">
        <v>1</v>
      </c>
      <c r="D20" s="2">
        <v>3</v>
      </c>
      <c r="E20" s="2">
        <v>20</v>
      </c>
      <c r="F20" s="5" t="s">
        <v>48</v>
      </c>
      <c r="G20" s="6">
        <f t="shared" si="18"/>
        <v>25</v>
      </c>
      <c r="H20" s="6">
        <f t="shared" si="19"/>
        <v>25</v>
      </c>
      <c r="I20" s="6">
        <f t="shared" ref="I20:L20" si="22">INT(H20*0.4)</f>
        <v>10</v>
      </c>
      <c r="J20" s="6">
        <f t="shared" si="17"/>
        <v>25</v>
      </c>
      <c r="K20" s="6">
        <f t="shared" si="22"/>
        <v>10</v>
      </c>
      <c r="L20" s="6">
        <f t="shared" si="22"/>
        <v>4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10">
        <v>121001</v>
      </c>
      <c r="T20" s="2">
        <v>0</v>
      </c>
      <c r="U20" s="2">
        <v>0</v>
      </c>
      <c r="V20" s="2">
        <v>0</v>
      </c>
    </row>
    <row r="21" spans="1:22">
      <c r="A21" s="2">
        <f t="shared" si="15"/>
        <v>102012</v>
      </c>
      <c r="B21" s="1">
        <v>210002</v>
      </c>
      <c r="C21" s="2">
        <v>2</v>
      </c>
      <c r="D21" s="2">
        <v>3</v>
      </c>
      <c r="E21" s="2">
        <v>25</v>
      </c>
      <c r="F21" s="5" t="s">
        <v>49</v>
      </c>
      <c r="G21" s="6">
        <f t="shared" si="18"/>
        <v>30</v>
      </c>
      <c r="H21" s="6">
        <f t="shared" si="19"/>
        <v>30</v>
      </c>
      <c r="I21" s="6">
        <f t="shared" ref="I21:L21" si="23">INT(H21*0.4)</f>
        <v>12</v>
      </c>
      <c r="J21" s="6">
        <f t="shared" si="17"/>
        <v>30</v>
      </c>
      <c r="K21" s="6">
        <f t="shared" si="23"/>
        <v>12</v>
      </c>
      <c r="L21" s="6">
        <f t="shared" si="23"/>
        <v>4</v>
      </c>
      <c r="M21" s="6">
        <f>G21*2</f>
        <v>60</v>
      </c>
      <c r="N21" s="6">
        <v>0</v>
      </c>
      <c r="O21" s="6">
        <f>I21*2</f>
        <v>24</v>
      </c>
      <c r="P21" s="6">
        <v>0</v>
      </c>
      <c r="Q21" s="6">
        <v>0</v>
      </c>
      <c r="R21" s="6">
        <v>0</v>
      </c>
      <c r="S21" s="2">
        <v>0</v>
      </c>
      <c r="T21" s="2">
        <v>0</v>
      </c>
      <c r="U21" s="2">
        <v>1</v>
      </c>
      <c r="V21" s="2">
        <v>300101</v>
      </c>
    </row>
    <row r="22" spans="1:22">
      <c r="A22" s="2">
        <f t="shared" si="15"/>
        <v>102013</v>
      </c>
      <c r="B22" s="1">
        <v>210002</v>
      </c>
      <c r="C22" s="2">
        <v>3</v>
      </c>
      <c r="D22" s="2">
        <v>3</v>
      </c>
      <c r="E22" s="2">
        <v>0</v>
      </c>
      <c r="F22" s="5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2">
        <v>0</v>
      </c>
      <c r="T22" s="2">
        <v>0</v>
      </c>
      <c r="U22" s="2">
        <v>0</v>
      </c>
      <c r="V22" s="2">
        <v>0</v>
      </c>
    </row>
    <row r="23" spans="1:22">
      <c r="A23" s="2">
        <f t="shared" si="15"/>
        <v>103010</v>
      </c>
      <c r="B23" s="1">
        <v>310002</v>
      </c>
      <c r="C23" s="2">
        <v>0</v>
      </c>
      <c r="D23" s="2">
        <v>4</v>
      </c>
      <c r="E23" s="2">
        <v>30</v>
      </c>
      <c r="F23" s="5" t="s">
        <v>50</v>
      </c>
      <c r="G23" s="6">
        <f t="shared" ref="G23:G26" si="24">G22+5</f>
        <v>5</v>
      </c>
      <c r="H23" s="6">
        <f t="shared" ref="H23:H26" si="25">H22+5</f>
        <v>5</v>
      </c>
      <c r="I23" s="6">
        <f t="shared" ref="I23:L23" si="26">INT(H23*0.4)</f>
        <v>2</v>
      </c>
      <c r="J23" s="6">
        <f t="shared" ref="J23:J26" si="27">H23</f>
        <v>5</v>
      </c>
      <c r="K23" s="6">
        <f t="shared" si="26"/>
        <v>2</v>
      </c>
      <c r="L23" s="6">
        <f t="shared" si="26"/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2">
        <v>0</v>
      </c>
      <c r="T23" s="2">
        <v>0</v>
      </c>
      <c r="U23" s="2">
        <v>0</v>
      </c>
      <c r="V23" s="2">
        <v>0</v>
      </c>
    </row>
    <row r="24" spans="1:22">
      <c r="A24" s="2">
        <f t="shared" si="15"/>
        <v>103011</v>
      </c>
      <c r="B24" s="1">
        <v>310002</v>
      </c>
      <c r="C24" s="2">
        <v>1</v>
      </c>
      <c r="D24" s="2">
        <v>4</v>
      </c>
      <c r="E24" s="2">
        <v>35</v>
      </c>
      <c r="F24" s="5" t="s">
        <v>51</v>
      </c>
      <c r="G24" s="6">
        <f t="shared" si="24"/>
        <v>10</v>
      </c>
      <c r="H24" s="6">
        <f t="shared" si="25"/>
        <v>10</v>
      </c>
      <c r="I24" s="6">
        <f t="shared" ref="I24:L24" si="28">INT(H24*0.4)</f>
        <v>4</v>
      </c>
      <c r="J24" s="6">
        <f t="shared" si="27"/>
        <v>10</v>
      </c>
      <c r="K24" s="6">
        <f t="shared" si="28"/>
        <v>4</v>
      </c>
      <c r="L24" s="6">
        <f t="shared" si="28"/>
        <v>1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2">
        <v>0</v>
      </c>
      <c r="T24" s="2">
        <v>12003</v>
      </c>
      <c r="U24" s="2">
        <v>0</v>
      </c>
      <c r="V24" s="2">
        <v>0</v>
      </c>
    </row>
    <row r="25" spans="1:22">
      <c r="A25" s="2">
        <f t="shared" si="15"/>
        <v>103012</v>
      </c>
      <c r="B25" s="1">
        <v>310002</v>
      </c>
      <c r="C25" s="2">
        <v>2</v>
      </c>
      <c r="D25" s="2">
        <v>4</v>
      </c>
      <c r="E25" s="2">
        <v>40</v>
      </c>
      <c r="F25" s="5" t="s">
        <v>52</v>
      </c>
      <c r="G25" s="6">
        <f t="shared" si="24"/>
        <v>15</v>
      </c>
      <c r="H25" s="6">
        <f t="shared" si="25"/>
        <v>15</v>
      </c>
      <c r="I25" s="6">
        <f t="shared" ref="I25:L25" si="29">INT(H25*0.4)</f>
        <v>6</v>
      </c>
      <c r="J25" s="6">
        <f t="shared" si="27"/>
        <v>15</v>
      </c>
      <c r="K25" s="6">
        <f t="shared" si="29"/>
        <v>6</v>
      </c>
      <c r="L25" s="6">
        <f t="shared" si="29"/>
        <v>2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10">
        <v>131001</v>
      </c>
      <c r="T25" s="2">
        <v>0</v>
      </c>
      <c r="U25" s="2">
        <v>0</v>
      </c>
      <c r="V25" s="2">
        <v>0</v>
      </c>
    </row>
    <row r="26" spans="1:22">
      <c r="A26" s="2">
        <f t="shared" si="15"/>
        <v>103013</v>
      </c>
      <c r="B26" s="1">
        <v>310002</v>
      </c>
      <c r="C26" s="2">
        <v>3</v>
      </c>
      <c r="D26" s="2">
        <v>4</v>
      </c>
      <c r="E26" s="2">
        <v>45</v>
      </c>
      <c r="F26" s="5" t="s">
        <v>53</v>
      </c>
      <c r="G26" s="6">
        <f t="shared" si="24"/>
        <v>20</v>
      </c>
      <c r="H26" s="6">
        <f t="shared" si="25"/>
        <v>20</v>
      </c>
      <c r="I26" s="6">
        <f t="shared" ref="I26:L26" si="30">INT(H26*0.4)</f>
        <v>8</v>
      </c>
      <c r="J26" s="6">
        <f t="shared" si="27"/>
        <v>20</v>
      </c>
      <c r="K26" s="6">
        <f t="shared" si="30"/>
        <v>8</v>
      </c>
      <c r="L26" s="6">
        <f t="shared" si="30"/>
        <v>3</v>
      </c>
      <c r="M26" s="6">
        <f>G26*2</f>
        <v>40</v>
      </c>
      <c r="N26" s="6">
        <f>H26*2</f>
        <v>40</v>
      </c>
      <c r="O26" s="6">
        <v>0</v>
      </c>
      <c r="P26" s="6">
        <v>0</v>
      </c>
      <c r="Q26" s="6">
        <v>0</v>
      </c>
      <c r="R26" s="6">
        <v>0</v>
      </c>
      <c r="S26" s="2">
        <v>0</v>
      </c>
      <c r="T26" s="2">
        <v>0</v>
      </c>
      <c r="U26" s="2">
        <v>1</v>
      </c>
      <c r="V26" s="2">
        <v>0</v>
      </c>
    </row>
    <row r="27" spans="1:22">
      <c r="A27" s="2">
        <f t="shared" si="15"/>
        <v>103014</v>
      </c>
      <c r="B27" s="1">
        <v>310002</v>
      </c>
      <c r="C27" s="2">
        <v>4</v>
      </c>
      <c r="D27" s="2">
        <v>4</v>
      </c>
      <c r="E27" s="8">
        <v>0</v>
      </c>
      <c r="F27" s="9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2">
        <v>0</v>
      </c>
      <c r="T27" s="2">
        <v>0</v>
      </c>
      <c r="U27" s="2">
        <v>0</v>
      </c>
      <c r="V27" s="2">
        <v>0</v>
      </c>
    </row>
    <row r="28" spans="1:22">
      <c r="A28" s="2">
        <f t="shared" si="15"/>
        <v>101020</v>
      </c>
      <c r="B28" s="1">
        <f t="shared" ref="B28:B48" si="31">B16+1</f>
        <v>110003</v>
      </c>
      <c r="C28" s="2">
        <v>0</v>
      </c>
      <c r="D28" s="2">
        <v>2</v>
      </c>
      <c r="E28" s="2">
        <v>5</v>
      </c>
      <c r="F28" s="5" t="s">
        <v>45</v>
      </c>
      <c r="G28" s="6">
        <v>10</v>
      </c>
      <c r="H28" s="6">
        <v>10</v>
      </c>
      <c r="I28" s="6">
        <f t="shared" ref="I28:L28" si="32">INT(H28*0.4)</f>
        <v>4</v>
      </c>
      <c r="J28" s="6">
        <f t="shared" ref="J28:J33" si="33">H28</f>
        <v>10</v>
      </c>
      <c r="K28" s="6">
        <f t="shared" si="32"/>
        <v>4</v>
      </c>
      <c r="L28" s="6">
        <f t="shared" si="32"/>
        <v>1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11">
        <v>221001</v>
      </c>
      <c r="T28" s="2">
        <v>0</v>
      </c>
      <c r="U28" s="2">
        <v>0</v>
      </c>
      <c r="V28" s="2">
        <v>0</v>
      </c>
    </row>
    <row r="29" spans="1:22">
      <c r="A29" s="2">
        <f t="shared" si="15"/>
        <v>101021</v>
      </c>
      <c r="B29" s="1">
        <f t="shared" si="31"/>
        <v>110003</v>
      </c>
      <c r="C29" s="2">
        <v>1</v>
      </c>
      <c r="D29" s="2">
        <v>2</v>
      </c>
      <c r="E29" s="2">
        <v>10</v>
      </c>
      <c r="F29" s="5" t="s">
        <v>46</v>
      </c>
      <c r="G29" s="6">
        <f t="shared" ref="G29:G33" si="34">G28+5</f>
        <v>15</v>
      </c>
      <c r="H29" s="6">
        <f t="shared" ref="H29:H33" si="35">H28+5</f>
        <v>15</v>
      </c>
      <c r="I29" s="6">
        <f t="shared" ref="I29:L29" si="36">INT(H29*0.4)</f>
        <v>6</v>
      </c>
      <c r="J29" s="6">
        <f t="shared" si="33"/>
        <v>15</v>
      </c>
      <c r="K29" s="6">
        <f t="shared" si="36"/>
        <v>6</v>
      </c>
      <c r="L29" s="6">
        <f t="shared" si="36"/>
        <v>2</v>
      </c>
      <c r="M29" s="6">
        <f>G29*2</f>
        <v>30</v>
      </c>
      <c r="N29" s="6">
        <f>H29*2</f>
        <v>30</v>
      </c>
      <c r="O29" s="6">
        <v>0</v>
      </c>
      <c r="P29" s="6">
        <v>0</v>
      </c>
      <c r="Q29" s="6">
        <f>K29</f>
        <v>6</v>
      </c>
      <c r="R29" s="6">
        <f>L29</f>
        <v>2</v>
      </c>
      <c r="S29" s="2">
        <v>0</v>
      </c>
      <c r="T29" s="2">
        <v>0</v>
      </c>
      <c r="U29" s="2">
        <v>1</v>
      </c>
      <c r="V29" s="2">
        <v>200101</v>
      </c>
    </row>
    <row r="30" spans="1:22">
      <c r="A30" s="2">
        <f t="shared" si="15"/>
        <v>101022</v>
      </c>
      <c r="B30" s="1">
        <f t="shared" si="31"/>
        <v>110003</v>
      </c>
      <c r="C30" s="2">
        <v>2</v>
      </c>
      <c r="D30" s="2">
        <v>2</v>
      </c>
      <c r="E30" s="2">
        <v>0</v>
      </c>
      <c r="F30" s="5">
        <v>0</v>
      </c>
      <c r="G30" s="6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2">
        <v>0</v>
      </c>
      <c r="T30" s="2">
        <v>0</v>
      </c>
      <c r="U30" s="2">
        <v>0</v>
      </c>
      <c r="V30" s="2">
        <v>0</v>
      </c>
    </row>
    <row r="31" spans="1:22">
      <c r="A31" s="2">
        <f t="shared" si="15"/>
        <v>102020</v>
      </c>
      <c r="B31" s="1">
        <f t="shared" si="31"/>
        <v>210003</v>
      </c>
      <c r="C31" s="2">
        <v>0</v>
      </c>
      <c r="D31" s="2">
        <v>3</v>
      </c>
      <c r="E31" s="2">
        <v>15</v>
      </c>
      <c r="F31" s="5" t="s">
        <v>47</v>
      </c>
      <c r="G31" s="6">
        <f>G29+5</f>
        <v>20</v>
      </c>
      <c r="H31" s="6">
        <f>H29+5</f>
        <v>20</v>
      </c>
      <c r="I31" s="6">
        <f t="shared" ref="I31:L31" si="37">INT(H31*0.4)</f>
        <v>8</v>
      </c>
      <c r="J31" s="6">
        <f t="shared" si="33"/>
        <v>20</v>
      </c>
      <c r="K31" s="6">
        <f t="shared" si="37"/>
        <v>8</v>
      </c>
      <c r="L31" s="6">
        <f t="shared" si="37"/>
        <v>3</v>
      </c>
      <c r="M31" s="6">
        <v>0</v>
      </c>
      <c r="N31" s="6">
        <v>0</v>
      </c>
      <c r="O31" s="6">
        <v>0</v>
      </c>
      <c r="P31" s="6">
        <v>0</v>
      </c>
      <c r="Q31" s="7">
        <v>0</v>
      </c>
      <c r="R31" s="7">
        <v>0</v>
      </c>
      <c r="S31" s="2">
        <v>0</v>
      </c>
      <c r="T31" s="2">
        <v>12002</v>
      </c>
      <c r="U31" s="2">
        <v>0</v>
      </c>
      <c r="V31" s="2">
        <v>0</v>
      </c>
    </row>
    <row r="32" spans="1:22">
      <c r="A32" s="2">
        <f t="shared" si="15"/>
        <v>102021</v>
      </c>
      <c r="B32" s="1">
        <f t="shared" si="31"/>
        <v>210003</v>
      </c>
      <c r="C32" s="2">
        <v>1</v>
      </c>
      <c r="D32" s="2">
        <v>3</v>
      </c>
      <c r="E32" s="2">
        <v>20</v>
      </c>
      <c r="F32" s="5" t="s">
        <v>48</v>
      </c>
      <c r="G32" s="6">
        <f t="shared" si="34"/>
        <v>25</v>
      </c>
      <c r="H32" s="6">
        <f t="shared" si="35"/>
        <v>25</v>
      </c>
      <c r="I32" s="6">
        <f t="shared" ref="I32:L32" si="38">INT(H32*0.4)</f>
        <v>10</v>
      </c>
      <c r="J32" s="6">
        <f t="shared" si="33"/>
        <v>25</v>
      </c>
      <c r="K32" s="6">
        <f t="shared" si="38"/>
        <v>10</v>
      </c>
      <c r="L32" s="6">
        <f t="shared" si="38"/>
        <v>4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11">
        <v>231001</v>
      </c>
      <c r="T32" s="2">
        <v>0</v>
      </c>
      <c r="U32" s="2">
        <v>0</v>
      </c>
      <c r="V32" s="2">
        <v>0</v>
      </c>
    </row>
    <row r="33" spans="1:22">
      <c r="A33" s="2">
        <f t="shared" si="15"/>
        <v>102022</v>
      </c>
      <c r="B33" s="1">
        <f t="shared" si="31"/>
        <v>210003</v>
      </c>
      <c r="C33" s="2">
        <v>2</v>
      </c>
      <c r="D33" s="2">
        <v>3</v>
      </c>
      <c r="E33" s="2">
        <v>25</v>
      </c>
      <c r="F33" s="5" t="s">
        <v>49</v>
      </c>
      <c r="G33" s="6">
        <f t="shared" si="34"/>
        <v>30</v>
      </c>
      <c r="H33" s="6">
        <f t="shared" si="35"/>
        <v>30</v>
      </c>
      <c r="I33" s="6">
        <f t="shared" ref="I33:L33" si="39">INT(H33*0.4)</f>
        <v>12</v>
      </c>
      <c r="J33" s="6">
        <f t="shared" si="33"/>
        <v>30</v>
      </c>
      <c r="K33" s="6">
        <f t="shared" si="39"/>
        <v>12</v>
      </c>
      <c r="L33" s="6">
        <f t="shared" si="39"/>
        <v>4</v>
      </c>
      <c r="M33" s="6">
        <f>G33*2</f>
        <v>60</v>
      </c>
      <c r="N33" s="6">
        <v>0</v>
      </c>
      <c r="O33" s="6">
        <f>I33*2</f>
        <v>24</v>
      </c>
      <c r="P33" s="6">
        <v>0</v>
      </c>
      <c r="Q33" s="6">
        <v>0</v>
      </c>
      <c r="R33" s="6">
        <v>0</v>
      </c>
      <c r="S33" s="2">
        <v>0</v>
      </c>
      <c r="T33" s="2">
        <v>0</v>
      </c>
      <c r="U33" s="2">
        <v>1</v>
      </c>
      <c r="V33" s="2">
        <v>300101</v>
      </c>
    </row>
    <row r="34" spans="1:22">
      <c r="A34" s="2">
        <f t="shared" si="15"/>
        <v>102023</v>
      </c>
      <c r="B34" s="1">
        <f t="shared" si="31"/>
        <v>210003</v>
      </c>
      <c r="C34" s="2">
        <v>3</v>
      </c>
      <c r="D34" s="2">
        <v>3</v>
      </c>
      <c r="E34" s="2">
        <v>0</v>
      </c>
      <c r="F34" s="5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2">
        <v>0</v>
      </c>
      <c r="T34" s="2">
        <v>0</v>
      </c>
      <c r="U34" s="2">
        <v>0</v>
      </c>
      <c r="V34" s="2">
        <v>0</v>
      </c>
    </row>
    <row r="35" spans="1:22">
      <c r="A35" s="2">
        <f t="shared" si="15"/>
        <v>103020</v>
      </c>
      <c r="B35" s="1">
        <f t="shared" si="31"/>
        <v>310003</v>
      </c>
      <c r="C35" s="2">
        <v>0</v>
      </c>
      <c r="D35" s="2">
        <v>4</v>
      </c>
      <c r="E35" s="2">
        <v>30</v>
      </c>
      <c r="F35" s="5" t="s">
        <v>50</v>
      </c>
      <c r="G35" s="6">
        <f t="shared" ref="G35:G38" si="40">G34+5</f>
        <v>5</v>
      </c>
      <c r="H35" s="6">
        <f t="shared" ref="H35:H38" si="41">H34+5</f>
        <v>5</v>
      </c>
      <c r="I35" s="6">
        <f t="shared" ref="I35:L35" si="42">INT(H35*0.4)</f>
        <v>2</v>
      </c>
      <c r="J35" s="6">
        <f t="shared" ref="J35:J38" si="43">H35</f>
        <v>5</v>
      </c>
      <c r="K35" s="6">
        <f t="shared" si="42"/>
        <v>2</v>
      </c>
      <c r="L35" s="6">
        <f t="shared" si="42"/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2">
        <v>0</v>
      </c>
      <c r="T35" s="2">
        <v>0</v>
      </c>
      <c r="U35" s="2">
        <v>0</v>
      </c>
      <c r="V35" s="2">
        <v>0</v>
      </c>
    </row>
    <row r="36" spans="1:22">
      <c r="A36" s="2">
        <f t="shared" si="15"/>
        <v>103021</v>
      </c>
      <c r="B36" s="1">
        <f t="shared" si="31"/>
        <v>310003</v>
      </c>
      <c r="C36" s="2">
        <v>1</v>
      </c>
      <c r="D36" s="2">
        <v>4</v>
      </c>
      <c r="E36" s="2">
        <v>35</v>
      </c>
      <c r="F36" s="5" t="s">
        <v>51</v>
      </c>
      <c r="G36" s="6">
        <f t="shared" si="40"/>
        <v>10</v>
      </c>
      <c r="H36" s="6">
        <f t="shared" si="41"/>
        <v>10</v>
      </c>
      <c r="I36" s="6">
        <f t="shared" ref="I36:L36" si="44">INT(H36*0.4)</f>
        <v>4</v>
      </c>
      <c r="J36" s="6">
        <f t="shared" si="43"/>
        <v>10</v>
      </c>
      <c r="K36" s="6">
        <f t="shared" si="44"/>
        <v>4</v>
      </c>
      <c r="L36" s="6">
        <f t="shared" si="44"/>
        <v>1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2">
        <v>0</v>
      </c>
      <c r="T36" s="2">
        <v>12003</v>
      </c>
      <c r="U36" s="2">
        <v>0</v>
      </c>
      <c r="V36" s="2">
        <v>0</v>
      </c>
    </row>
    <row r="37" spans="1:22">
      <c r="A37" s="2">
        <f t="shared" si="15"/>
        <v>103022</v>
      </c>
      <c r="B37" s="1">
        <f t="shared" si="31"/>
        <v>310003</v>
      </c>
      <c r="C37" s="2">
        <v>2</v>
      </c>
      <c r="D37" s="2">
        <v>4</v>
      </c>
      <c r="E37" s="2">
        <v>40</v>
      </c>
      <c r="F37" s="5" t="s">
        <v>52</v>
      </c>
      <c r="G37" s="6">
        <f t="shared" si="40"/>
        <v>15</v>
      </c>
      <c r="H37" s="6">
        <f t="shared" si="41"/>
        <v>15</v>
      </c>
      <c r="I37" s="6">
        <f t="shared" ref="I37:L37" si="45">INT(H37*0.4)</f>
        <v>6</v>
      </c>
      <c r="J37" s="6">
        <f t="shared" si="43"/>
        <v>15</v>
      </c>
      <c r="K37" s="6">
        <f t="shared" si="45"/>
        <v>6</v>
      </c>
      <c r="L37" s="6">
        <f t="shared" si="45"/>
        <v>2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10">
        <v>131001</v>
      </c>
      <c r="T37" s="2">
        <v>0</v>
      </c>
      <c r="U37" s="2">
        <v>0</v>
      </c>
      <c r="V37" s="2">
        <v>0</v>
      </c>
    </row>
    <row r="38" spans="1:22">
      <c r="A38" s="2">
        <f t="shared" si="15"/>
        <v>103023</v>
      </c>
      <c r="B38" s="1">
        <f t="shared" si="31"/>
        <v>310003</v>
      </c>
      <c r="C38" s="2">
        <v>3</v>
      </c>
      <c r="D38" s="2">
        <v>4</v>
      </c>
      <c r="E38" s="2">
        <v>45</v>
      </c>
      <c r="F38" s="5" t="s">
        <v>53</v>
      </c>
      <c r="G38" s="6">
        <f t="shared" si="40"/>
        <v>20</v>
      </c>
      <c r="H38" s="6">
        <f t="shared" si="41"/>
        <v>20</v>
      </c>
      <c r="I38" s="6">
        <f t="shared" ref="I38:L38" si="46">INT(H38*0.4)</f>
        <v>8</v>
      </c>
      <c r="J38" s="6">
        <f t="shared" si="43"/>
        <v>20</v>
      </c>
      <c r="K38" s="6">
        <f t="shared" si="46"/>
        <v>8</v>
      </c>
      <c r="L38" s="6">
        <f t="shared" si="46"/>
        <v>3</v>
      </c>
      <c r="M38" s="6">
        <f>G38*2</f>
        <v>40</v>
      </c>
      <c r="N38" s="6">
        <f>H38*2</f>
        <v>40</v>
      </c>
      <c r="O38" s="6">
        <v>0</v>
      </c>
      <c r="P38" s="6">
        <v>0</v>
      </c>
      <c r="Q38" s="6">
        <v>0</v>
      </c>
      <c r="R38" s="6">
        <v>0</v>
      </c>
      <c r="S38" s="2">
        <v>0</v>
      </c>
      <c r="T38" s="2">
        <v>0</v>
      </c>
      <c r="U38" s="2">
        <v>1</v>
      </c>
      <c r="V38" s="2">
        <v>0</v>
      </c>
    </row>
    <row r="39" spans="1:22">
      <c r="A39" s="2">
        <f t="shared" si="15"/>
        <v>103024</v>
      </c>
      <c r="B39" s="1">
        <f t="shared" si="31"/>
        <v>310003</v>
      </c>
      <c r="C39" s="2">
        <v>4</v>
      </c>
      <c r="D39" s="2">
        <v>4</v>
      </c>
      <c r="E39" s="8">
        <v>0</v>
      </c>
      <c r="F39" s="9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2">
        <v>0</v>
      </c>
      <c r="T39" s="2">
        <v>0</v>
      </c>
      <c r="U39" s="2">
        <v>0</v>
      </c>
      <c r="V39" s="2">
        <v>0</v>
      </c>
    </row>
    <row r="40" spans="1:22">
      <c r="A40" s="2">
        <f t="shared" si="15"/>
        <v>101030</v>
      </c>
      <c r="B40" s="1">
        <f t="shared" si="31"/>
        <v>110004</v>
      </c>
      <c r="C40" s="2">
        <v>0</v>
      </c>
      <c r="D40" s="2">
        <v>3</v>
      </c>
      <c r="E40" s="2">
        <v>5</v>
      </c>
      <c r="F40" s="5" t="s">
        <v>45</v>
      </c>
      <c r="G40" s="6">
        <f>G38+5</f>
        <v>25</v>
      </c>
      <c r="H40" s="6">
        <f>H38+5</f>
        <v>25</v>
      </c>
      <c r="I40" s="6">
        <f t="shared" ref="I40:L40" si="47">INT(H40*0.4)</f>
        <v>10</v>
      </c>
      <c r="J40" s="6">
        <f t="shared" ref="J40:J42" si="48">H40</f>
        <v>25</v>
      </c>
      <c r="K40" s="6">
        <f t="shared" si="47"/>
        <v>10</v>
      </c>
      <c r="L40" s="6">
        <f t="shared" si="47"/>
        <v>4</v>
      </c>
      <c r="M40" s="6">
        <v>0</v>
      </c>
      <c r="N40" s="6">
        <v>0</v>
      </c>
      <c r="O40" s="6">
        <v>0</v>
      </c>
      <c r="P40" s="6">
        <v>0</v>
      </c>
      <c r="Q40" s="7">
        <v>0</v>
      </c>
      <c r="R40" s="7">
        <v>0</v>
      </c>
      <c r="S40" s="2">
        <v>0</v>
      </c>
      <c r="T40" s="2">
        <v>12002</v>
      </c>
      <c r="U40" s="2">
        <v>0</v>
      </c>
      <c r="V40" s="2">
        <v>0</v>
      </c>
    </row>
    <row r="41" spans="1:22">
      <c r="A41" s="2">
        <f t="shared" si="15"/>
        <v>101031</v>
      </c>
      <c r="B41" s="1">
        <f t="shared" si="31"/>
        <v>110004</v>
      </c>
      <c r="C41" s="2">
        <v>1</v>
      </c>
      <c r="D41" s="2">
        <v>3</v>
      </c>
      <c r="E41" s="2">
        <v>10</v>
      </c>
      <c r="F41" s="5" t="s">
        <v>46</v>
      </c>
      <c r="G41" s="6">
        <f t="shared" ref="G41:G47" si="49">G40+5</f>
        <v>30</v>
      </c>
      <c r="H41" s="6">
        <f t="shared" ref="H41:H47" si="50">H40+5</f>
        <v>30</v>
      </c>
      <c r="I41" s="6">
        <f t="shared" ref="I41:L41" si="51">INT(H41*0.4)</f>
        <v>12</v>
      </c>
      <c r="J41" s="6">
        <f t="shared" si="48"/>
        <v>30</v>
      </c>
      <c r="K41" s="6">
        <f t="shared" si="51"/>
        <v>12</v>
      </c>
      <c r="L41" s="6">
        <f t="shared" si="51"/>
        <v>4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11">
        <v>221001</v>
      </c>
      <c r="T41" s="2">
        <v>0</v>
      </c>
      <c r="U41" s="2">
        <v>0</v>
      </c>
      <c r="V41" s="2">
        <v>0</v>
      </c>
    </row>
    <row r="42" spans="1:22">
      <c r="A42" s="2">
        <f t="shared" si="15"/>
        <v>101032</v>
      </c>
      <c r="B42" s="1">
        <f t="shared" si="31"/>
        <v>110004</v>
      </c>
      <c r="C42" s="2">
        <v>2</v>
      </c>
      <c r="D42" s="2">
        <v>3</v>
      </c>
      <c r="E42" s="2">
        <v>0</v>
      </c>
      <c r="F42" s="5">
        <v>0</v>
      </c>
      <c r="G42" s="6">
        <f t="shared" si="49"/>
        <v>35</v>
      </c>
      <c r="H42" s="6">
        <f t="shared" si="50"/>
        <v>35</v>
      </c>
      <c r="I42" s="6">
        <f t="shared" ref="I42:L42" si="52">INT(H42*0.4)</f>
        <v>14</v>
      </c>
      <c r="J42" s="6">
        <f t="shared" si="48"/>
        <v>35</v>
      </c>
      <c r="K42" s="6">
        <f t="shared" si="52"/>
        <v>14</v>
      </c>
      <c r="L42" s="6">
        <f t="shared" si="52"/>
        <v>5</v>
      </c>
      <c r="M42" s="6">
        <f>G42*2</f>
        <v>70</v>
      </c>
      <c r="N42" s="6">
        <v>0</v>
      </c>
      <c r="O42" s="6">
        <f>I42*2</f>
        <v>28</v>
      </c>
      <c r="P42" s="6">
        <v>0</v>
      </c>
      <c r="Q42" s="6">
        <v>0</v>
      </c>
      <c r="R42" s="6">
        <v>0</v>
      </c>
      <c r="S42" s="2">
        <v>0</v>
      </c>
      <c r="T42" s="2">
        <v>0</v>
      </c>
      <c r="U42" s="2">
        <v>1</v>
      </c>
      <c r="V42" s="2">
        <v>300101</v>
      </c>
    </row>
    <row r="43" spans="1:22">
      <c r="A43" s="2">
        <f t="shared" si="15"/>
        <v>102030</v>
      </c>
      <c r="B43" s="1">
        <f t="shared" si="31"/>
        <v>210004</v>
      </c>
      <c r="C43" s="2">
        <v>3</v>
      </c>
      <c r="D43" s="2">
        <v>3</v>
      </c>
      <c r="E43" s="2">
        <v>15</v>
      </c>
      <c r="F43" s="5" t="s">
        <v>47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2">
        <v>0</v>
      </c>
      <c r="T43" s="2">
        <v>0</v>
      </c>
      <c r="U43" s="2">
        <v>0</v>
      </c>
      <c r="V43" s="2">
        <v>0</v>
      </c>
    </row>
    <row r="44" spans="1:22">
      <c r="A44" s="2">
        <f t="shared" si="15"/>
        <v>102031</v>
      </c>
      <c r="B44" s="1">
        <f t="shared" si="31"/>
        <v>210004</v>
      </c>
      <c r="C44" s="2">
        <v>0</v>
      </c>
      <c r="D44" s="2">
        <v>4</v>
      </c>
      <c r="E44" s="2">
        <v>20</v>
      </c>
      <c r="F44" s="5" t="s">
        <v>48</v>
      </c>
      <c r="G44" s="6">
        <f t="shared" si="49"/>
        <v>5</v>
      </c>
      <c r="H44" s="6">
        <f t="shared" si="50"/>
        <v>5</v>
      </c>
      <c r="I44" s="6">
        <f t="shared" ref="I44:L44" si="53">INT(H44*0.4)</f>
        <v>2</v>
      </c>
      <c r="J44" s="6">
        <f t="shared" ref="J44:J47" si="54">H44</f>
        <v>5</v>
      </c>
      <c r="K44" s="6">
        <f t="shared" si="53"/>
        <v>2</v>
      </c>
      <c r="L44" s="6">
        <f t="shared" si="53"/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2">
        <v>0</v>
      </c>
      <c r="T44" s="2">
        <v>0</v>
      </c>
      <c r="U44" s="2">
        <v>0</v>
      </c>
      <c r="V44" s="2">
        <v>0</v>
      </c>
    </row>
    <row r="45" spans="1:22">
      <c r="A45" s="2">
        <f t="shared" si="15"/>
        <v>102032</v>
      </c>
      <c r="B45" s="1">
        <f t="shared" si="31"/>
        <v>210004</v>
      </c>
      <c r="C45" s="2">
        <v>1</v>
      </c>
      <c r="D45" s="2">
        <v>4</v>
      </c>
      <c r="E45" s="2">
        <v>25</v>
      </c>
      <c r="F45" s="5" t="s">
        <v>49</v>
      </c>
      <c r="G45" s="6">
        <f t="shared" si="49"/>
        <v>10</v>
      </c>
      <c r="H45" s="6">
        <f t="shared" si="50"/>
        <v>10</v>
      </c>
      <c r="I45" s="6">
        <f t="shared" ref="I45:L45" si="55">INT(H45*0.4)</f>
        <v>4</v>
      </c>
      <c r="J45" s="6">
        <f t="shared" si="54"/>
        <v>10</v>
      </c>
      <c r="K45" s="6">
        <f t="shared" si="55"/>
        <v>4</v>
      </c>
      <c r="L45" s="6">
        <f t="shared" si="55"/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2">
        <v>0</v>
      </c>
      <c r="T45" s="2">
        <v>12003</v>
      </c>
      <c r="U45" s="2">
        <v>0</v>
      </c>
      <c r="V45" s="2">
        <v>0</v>
      </c>
    </row>
    <row r="46" spans="1:22">
      <c r="A46" s="2">
        <f t="shared" si="15"/>
        <v>102033</v>
      </c>
      <c r="B46" s="1">
        <f t="shared" si="31"/>
        <v>210004</v>
      </c>
      <c r="C46" s="2">
        <v>2</v>
      </c>
      <c r="D46" s="2">
        <v>4</v>
      </c>
      <c r="E46" s="2">
        <v>0</v>
      </c>
      <c r="F46" s="5">
        <v>0</v>
      </c>
      <c r="G46" s="6">
        <f t="shared" si="49"/>
        <v>15</v>
      </c>
      <c r="H46" s="6">
        <f t="shared" si="50"/>
        <v>15</v>
      </c>
      <c r="I46" s="6">
        <f t="shared" ref="I46:L46" si="56">INT(H46*0.4)</f>
        <v>6</v>
      </c>
      <c r="J46" s="6">
        <f t="shared" si="54"/>
        <v>15</v>
      </c>
      <c r="K46" s="6">
        <f t="shared" si="56"/>
        <v>6</v>
      </c>
      <c r="L46" s="6">
        <f t="shared" si="56"/>
        <v>2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11">
        <v>231001</v>
      </c>
      <c r="T46" s="2">
        <v>0</v>
      </c>
      <c r="U46" s="2">
        <v>0</v>
      </c>
      <c r="V46" s="2">
        <v>0</v>
      </c>
    </row>
    <row r="47" spans="1:22">
      <c r="A47" s="2">
        <f t="shared" si="15"/>
        <v>103030</v>
      </c>
      <c r="B47" s="1">
        <f t="shared" si="31"/>
        <v>310004</v>
      </c>
      <c r="C47" s="2">
        <v>3</v>
      </c>
      <c r="D47" s="2">
        <v>4</v>
      </c>
      <c r="E47" s="2">
        <v>30</v>
      </c>
      <c r="F47" s="5" t="s">
        <v>50</v>
      </c>
      <c r="G47" s="6">
        <f t="shared" si="49"/>
        <v>20</v>
      </c>
      <c r="H47" s="6">
        <f t="shared" si="50"/>
        <v>20</v>
      </c>
      <c r="I47" s="6">
        <f t="shared" ref="I47:L47" si="57">INT(H47*0.4)</f>
        <v>8</v>
      </c>
      <c r="J47" s="6">
        <f t="shared" si="54"/>
        <v>20</v>
      </c>
      <c r="K47" s="6">
        <f t="shared" si="57"/>
        <v>8</v>
      </c>
      <c r="L47" s="6">
        <f t="shared" si="57"/>
        <v>3</v>
      </c>
      <c r="M47" s="6">
        <f>G47*2</f>
        <v>40</v>
      </c>
      <c r="N47" s="6">
        <f>H47*2</f>
        <v>40</v>
      </c>
      <c r="O47" s="6">
        <v>0</v>
      </c>
      <c r="P47" s="6">
        <v>0</v>
      </c>
      <c r="Q47" s="6">
        <v>0</v>
      </c>
      <c r="R47" s="6">
        <v>0</v>
      </c>
      <c r="S47" s="2">
        <v>0</v>
      </c>
      <c r="T47" s="2">
        <v>0</v>
      </c>
      <c r="U47" s="2">
        <v>1</v>
      </c>
      <c r="V47" s="2">
        <v>0</v>
      </c>
    </row>
    <row r="48" spans="1:22">
      <c r="A48" s="2">
        <f t="shared" si="15"/>
        <v>103031</v>
      </c>
      <c r="B48" s="1">
        <f t="shared" si="31"/>
        <v>310004</v>
      </c>
      <c r="C48" s="2">
        <v>4</v>
      </c>
      <c r="D48" s="2">
        <v>4</v>
      </c>
      <c r="E48" s="2">
        <v>35</v>
      </c>
      <c r="F48" s="5" t="s">
        <v>51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2">
        <v>0</v>
      </c>
      <c r="T48" s="2">
        <v>0</v>
      </c>
      <c r="U48" s="2">
        <v>0</v>
      </c>
      <c r="V48" s="2">
        <v>0</v>
      </c>
    </row>
    <row r="49" spans="5:6">
      <c r="E49" s="2">
        <v>40</v>
      </c>
      <c r="F49" s="5" t="s">
        <v>52</v>
      </c>
    </row>
    <row r="50" spans="5:6">
      <c r="E50" s="2">
        <v>45</v>
      </c>
      <c r="F50" s="5" t="s">
        <v>53</v>
      </c>
    </row>
    <row r="51" spans="5:6">
      <c r="E51" s="2">
        <v>0</v>
      </c>
      <c r="F51" s="5">
        <v>0</v>
      </c>
    </row>
    <row r="52" spans="5:6">
      <c r="E52" s="2">
        <v>5</v>
      </c>
      <c r="F52" s="5" t="s">
        <v>45</v>
      </c>
    </row>
    <row r="53" spans="5:6">
      <c r="E53" s="2">
        <v>10</v>
      </c>
      <c r="F53" s="5" t="s">
        <v>46</v>
      </c>
    </row>
    <row r="54" spans="5:6">
      <c r="E54" s="2">
        <v>0</v>
      </c>
      <c r="F54" s="5">
        <v>0</v>
      </c>
    </row>
    <row r="55" spans="5:6">
      <c r="E55" s="2">
        <v>15</v>
      </c>
      <c r="F55" s="5" t="s">
        <v>47</v>
      </c>
    </row>
    <row r="56" spans="5:6">
      <c r="E56" s="2">
        <v>20</v>
      </c>
      <c r="F56" s="5" t="s">
        <v>48</v>
      </c>
    </row>
    <row r="57" spans="5:6">
      <c r="E57" s="2">
        <v>25</v>
      </c>
      <c r="F57" s="5" t="s">
        <v>49</v>
      </c>
    </row>
    <row r="58" spans="5:6">
      <c r="E58" s="2">
        <v>0</v>
      </c>
      <c r="F58" s="5">
        <v>0</v>
      </c>
    </row>
    <row r="59" spans="5:6">
      <c r="E59" s="2">
        <v>30</v>
      </c>
      <c r="F59" s="5" t="s">
        <v>50</v>
      </c>
    </row>
    <row r="60" spans="5:6">
      <c r="E60" s="2">
        <v>35</v>
      </c>
      <c r="F60" s="5" t="s">
        <v>51</v>
      </c>
    </row>
    <row r="61" spans="5:6">
      <c r="E61" s="2">
        <v>40</v>
      </c>
      <c r="F61" s="5" t="s">
        <v>52</v>
      </c>
    </row>
    <row r="62" spans="5:6">
      <c r="E62" s="2">
        <v>45</v>
      </c>
      <c r="F62" s="5" t="s">
        <v>53</v>
      </c>
    </row>
    <row r="63" spans="5:6">
      <c r="E63" s="2">
        <v>0</v>
      </c>
      <c r="F63" s="5">
        <v>0</v>
      </c>
    </row>
    <row r="64" spans="5:6">
      <c r="E64" s="2">
        <v>5</v>
      </c>
      <c r="F64" s="5" t="s">
        <v>45</v>
      </c>
    </row>
    <row r="65" spans="5:6">
      <c r="E65" s="2">
        <v>10</v>
      </c>
      <c r="F65" s="5" t="s">
        <v>46</v>
      </c>
    </row>
    <row r="66" spans="5:6">
      <c r="E66" s="2">
        <v>0</v>
      </c>
      <c r="F66" s="5">
        <v>0</v>
      </c>
    </row>
    <row r="67" spans="5:6">
      <c r="E67" s="2">
        <v>15</v>
      </c>
      <c r="F67" s="5" t="s">
        <v>47</v>
      </c>
    </row>
    <row r="68" spans="5:6">
      <c r="E68" s="2">
        <v>20</v>
      </c>
      <c r="F68" s="5" t="s">
        <v>48</v>
      </c>
    </row>
    <row r="69" spans="5:6">
      <c r="E69" s="2">
        <v>25</v>
      </c>
      <c r="F69" s="5" t="s">
        <v>49</v>
      </c>
    </row>
    <row r="70" spans="5:6">
      <c r="E70" s="2">
        <v>0</v>
      </c>
      <c r="F70" s="5">
        <v>0</v>
      </c>
    </row>
    <row r="71" spans="5:6">
      <c r="E71" s="2">
        <v>30</v>
      </c>
      <c r="F71" s="5" t="s">
        <v>50</v>
      </c>
    </row>
    <row r="72" spans="5:6">
      <c r="E72" s="2">
        <v>35</v>
      </c>
      <c r="F72" s="5" t="s">
        <v>51</v>
      </c>
    </row>
    <row r="73" spans="5:6">
      <c r="E73" s="2">
        <v>40</v>
      </c>
      <c r="F73" s="5" t="s">
        <v>52</v>
      </c>
    </row>
    <row r="74" spans="5:6">
      <c r="E74" s="2">
        <v>45</v>
      </c>
      <c r="F74" s="5" t="s">
        <v>53</v>
      </c>
    </row>
    <row r="75" spans="5:6">
      <c r="E75" s="2">
        <v>0</v>
      </c>
      <c r="F75" s="5">
        <v>0</v>
      </c>
    </row>
    <row r="76" spans="5:6">
      <c r="E76" s="2">
        <v>5</v>
      </c>
      <c r="F76" s="5" t="s">
        <v>45</v>
      </c>
    </row>
    <row r="77" spans="5:6">
      <c r="E77" s="2">
        <v>10</v>
      </c>
      <c r="F77" s="5" t="s">
        <v>46</v>
      </c>
    </row>
    <row r="78" spans="5:6">
      <c r="E78" s="2">
        <v>0</v>
      </c>
      <c r="F78" s="5">
        <v>0</v>
      </c>
    </row>
    <row r="79" spans="5:6">
      <c r="E79" s="2">
        <v>15</v>
      </c>
      <c r="F79" s="5" t="s">
        <v>47</v>
      </c>
    </row>
    <row r="80" spans="5:6">
      <c r="E80" s="2">
        <v>20</v>
      </c>
      <c r="F80" s="5" t="s">
        <v>48</v>
      </c>
    </row>
    <row r="81" spans="5:6">
      <c r="E81" s="2">
        <v>25</v>
      </c>
      <c r="F81" s="5" t="s">
        <v>49</v>
      </c>
    </row>
    <row r="82" spans="5:6">
      <c r="E82" s="2">
        <v>0</v>
      </c>
      <c r="F82" s="5">
        <v>0</v>
      </c>
    </row>
    <row r="83" spans="5:6">
      <c r="E83" s="2">
        <v>30</v>
      </c>
      <c r="F83" s="5" t="s">
        <v>50</v>
      </c>
    </row>
    <row r="84" spans="5:6">
      <c r="E84" s="2">
        <v>35</v>
      </c>
      <c r="F84" s="5" t="s">
        <v>51</v>
      </c>
    </row>
    <row r="85" spans="5:6">
      <c r="E85" s="2">
        <v>40</v>
      </c>
      <c r="F85" s="5" t="s">
        <v>52</v>
      </c>
    </row>
    <row r="86" spans="5:6">
      <c r="E86" s="2">
        <v>45</v>
      </c>
      <c r="F86" s="5" t="s">
        <v>53</v>
      </c>
    </row>
    <row r="87" spans="5:6">
      <c r="E87" s="2">
        <v>0</v>
      </c>
      <c r="F87" s="5">
        <v>0</v>
      </c>
    </row>
    <row r="88" spans="5:6">
      <c r="E88" s="2">
        <v>5</v>
      </c>
      <c r="F88" s="5" t="s">
        <v>45</v>
      </c>
    </row>
    <row r="89" spans="5:6">
      <c r="E89" s="2">
        <v>10</v>
      </c>
      <c r="F89" s="5" t="s">
        <v>46</v>
      </c>
    </row>
    <row r="90" spans="5:6">
      <c r="E90" s="2">
        <v>0</v>
      </c>
      <c r="F90" s="5">
        <v>0</v>
      </c>
    </row>
    <row r="91" spans="5:6">
      <c r="E91" s="2">
        <v>15</v>
      </c>
      <c r="F91" s="5" t="s">
        <v>47</v>
      </c>
    </row>
    <row r="92" spans="5:6">
      <c r="E92" s="2">
        <v>20</v>
      </c>
      <c r="F92" s="5" t="s">
        <v>48</v>
      </c>
    </row>
    <row r="93" spans="5:6">
      <c r="E93" s="2">
        <v>25</v>
      </c>
      <c r="F93" s="5" t="s">
        <v>49</v>
      </c>
    </row>
    <row r="94" spans="5:6">
      <c r="E94" s="2">
        <v>0</v>
      </c>
      <c r="F94" s="5">
        <v>0</v>
      </c>
    </row>
    <row r="95" spans="5:6">
      <c r="E95" s="2">
        <v>30</v>
      </c>
      <c r="F95" s="5" t="s">
        <v>50</v>
      </c>
    </row>
    <row r="96" spans="5:6">
      <c r="E96" s="2">
        <v>35</v>
      </c>
      <c r="F96" s="5" t="s">
        <v>51</v>
      </c>
    </row>
    <row r="97" spans="5:6">
      <c r="E97" s="2">
        <v>40</v>
      </c>
      <c r="F97" s="5" t="s">
        <v>52</v>
      </c>
    </row>
    <row r="98" spans="5:6">
      <c r="E98" s="2">
        <v>45</v>
      </c>
      <c r="F98" s="5" t="s">
        <v>53</v>
      </c>
    </row>
    <row r="99" spans="5:6">
      <c r="E99" s="12">
        <v>0</v>
      </c>
      <c r="F99" s="5">
        <v>0</v>
      </c>
    </row>
    <row r="100" spans="5:6">
      <c r="E100" s="2">
        <v>5</v>
      </c>
      <c r="F100" s="5" t="s">
        <v>45</v>
      </c>
    </row>
    <row r="101" spans="5:6">
      <c r="E101" s="2">
        <v>10</v>
      </c>
      <c r="F101" s="5" t="s">
        <v>46</v>
      </c>
    </row>
    <row r="102" spans="5:6">
      <c r="E102" s="2">
        <v>0</v>
      </c>
      <c r="F102" s="5">
        <v>0</v>
      </c>
    </row>
    <row r="103" spans="5:6">
      <c r="E103" s="2">
        <v>15</v>
      </c>
      <c r="F103" s="5" t="s">
        <v>47</v>
      </c>
    </row>
    <row r="104" spans="5:6">
      <c r="E104" s="2">
        <v>20</v>
      </c>
      <c r="F104" s="5" t="s">
        <v>48</v>
      </c>
    </row>
    <row r="105" spans="5:6">
      <c r="E105" s="2">
        <v>25</v>
      </c>
      <c r="F105" s="5" t="s">
        <v>49</v>
      </c>
    </row>
    <row r="106" spans="5:6">
      <c r="E106" s="2">
        <v>0</v>
      </c>
      <c r="F106" s="5">
        <v>0</v>
      </c>
    </row>
    <row r="107" spans="5:6">
      <c r="E107" s="2">
        <v>30</v>
      </c>
      <c r="F107" s="5" t="s">
        <v>50</v>
      </c>
    </row>
    <row r="108" spans="5:6">
      <c r="E108" s="2">
        <v>35</v>
      </c>
      <c r="F108" s="5" t="s">
        <v>51</v>
      </c>
    </row>
    <row r="109" spans="5:6">
      <c r="E109" s="2">
        <v>40</v>
      </c>
      <c r="F109" s="5" t="s">
        <v>52</v>
      </c>
    </row>
    <row r="110" spans="5:6">
      <c r="E110" s="2">
        <v>45</v>
      </c>
      <c r="F110" s="5" t="s">
        <v>53</v>
      </c>
    </row>
    <row r="111" spans="5:6">
      <c r="E111" s="2">
        <v>0</v>
      </c>
      <c r="F111" s="5">
        <v>0</v>
      </c>
    </row>
    <row r="112" spans="5:6">
      <c r="E112" s="2">
        <v>5</v>
      </c>
      <c r="F112" s="5" t="s">
        <v>45</v>
      </c>
    </row>
    <row r="113" spans="5:6">
      <c r="E113" s="2">
        <v>10</v>
      </c>
      <c r="F113" s="5" t="s">
        <v>46</v>
      </c>
    </row>
    <row r="114" spans="5:6">
      <c r="E114" s="2">
        <v>0</v>
      </c>
      <c r="F114" s="5">
        <v>0</v>
      </c>
    </row>
    <row r="115" spans="5:6">
      <c r="E115" s="2">
        <v>15</v>
      </c>
      <c r="F115" s="5" t="s">
        <v>47</v>
      </c>
    </row>
    <row r="116" spans="5:6">
      <c r="E116" s="2">
        <v>20</v>
      </c>
      <c r="F116" s="5" t="s">
        <v>48</v>
      </c>
    </row>
    <row r="117" spans="5:6">
      <c r="E117" s="2">
        <v>25</v>
      </c>
      <c r="F117" s="5" t="s">
        <v>49</v>
      </c>
    </row>
    <row r="118" spans="5:6">
      <c r="E118" s="2">
        <v>0</v>
      </c>
      <c r="F118" s="5">
        <v>0</v>
      </c>
    </row>
    <row r="119" spans="5:6">
      <c r="E119" s="2">
        <v>30</v>
      </c>
      <c r="F119" s="5" t="s">
        <v>50</v>
      </c>
    </row>
    <row r="120" spans="5:6">
      <c r="E120" s="2">
        <v>35</v>
      </c>
      <c r="F120" s="5" t="s">
        <v>51</v>
      </c>
    </row>
    <row r="121" spans="5:6">
      <c r="E121" s="2">
        <v>40</v>
      </c>
      <c r="F121" s="5" t="s">
        <v>52</v>
      </c>
    </row>
    <row r="122" spans="5:6">
      <c r="E122" s="2">
        <v>45</v>
      </c>
      <c r="F122" s="5" t="s">
        <v>53</v>
      </c>
    </row>
    <row r="123" spans="5:6">
      <c r="E123" s="2">
        <v>0</v>
      </c>
      <c r="F123" s="5">
        <v>0</v>
      </c>
    </row>
    <row r="124" spans="5:6">
      <c r="E124" s="2">
        <v>5</v>
      </c>
      <c r="F124" s="5" t="s">
        <v>45</v>
      </c>
    </row>
    <row r="125" spans="5:6">
      <c r="E125" s="2">
        <v>10</v>
      </c>
      <c r="F125" s="5" t="s">
        <v>46</v>
      </c>
    </row>
    <row r="126" spans="5:6">
      <c r="E126" s="2">
        <v>0</v>
      </c>
      <c r="F126" s="5">
        <v>0</v>
      </c>
    </row>
    <row r="127" spans="5:6">
      <c r="E127" s="2">
        <v>15</v>
      </c>
      <c r="F127" s="5" t="s">
        <v>47</v>
      </c>
    </row>
    <row r="128" spans="5:6">
      <c r="E128" s="2">
        <v>20</v>
      </c>
      <c r="F128" s="5" t="s">
        <v>48</v>
      </c>
    </row>
    <row r="129" spans="5:6">
      <c r="E129" s="2">
        <v>25</v>
      </c>
      <c r="F129" s="5" t="s">
        <v>49</v>
      </c>
    </row>
    <row r="130" spans="5:6">
      <c r="E130" s="2">
        <v>0</v>
      </c>
      <c r="F130" s="5">
        <v>0</v>
      </c>
    </row>
    <row r="131" spans="5:6">
      <c r="E131" s="2">
        <v>30</v>
      </c>
      <c r="F131" s="5" t="s">
        <v>50</v>
      </c>
    </row>
    <row r="132" spans="5:6">
      <c r="E132" s="2">
        <v>35</v>
      </c>
      <c r="F132" s="5" t="s">
        <v>51</v>
      </c>
    </row>
    <row r="133" spans="5:6">
      <c r="E133" s="2">
        <v>40</v>
      </c>
      <c r="F133" s="5" t="s">
        <v>52</v>
      </c>
    </row>
    <row r="134" spans="5:6">
      <c r="E134" s="2">
        <v>45</v>
      </c>
      <c r="F134" s="5" t="s">
        <v>53</v>
      </c>
    </row>
    <row r="135" spans="5:6">
      <c r="E135" s="2">
        <v>0</v>
      </c>
      <c r="F135" s="5">
        <v>0</v>
      </c>
    </row>
    <row r="136" spans="5:6">
      <c r="E136" s="2">
        <v>5</v>
      </c>
      <c r="F136" s="5" t="s">
        <v>45</v>
      </c>
    </row>
    <row r="137" spans="5:6">
      <c r="E137" s="2">
        <v>10</v>
      </c>
      <c r="F137" s="5" t="s">
        <v>46</v>
      </c>
    </row>
    <row r="138" spans="5:6">
      <c r="E138" s="2">
        <v>0</v>
      </c>
      <c r="F138" s="5">
        <v>0</v>
      </c>
    </row>
    <row r="139" spans="5:6">
      <c r="E139" s="2">
        <v>15</v>
      </c>
      <c r="F139" s="5" t="s">
        <v>47</v>
      </c>
    </row>
    <row r="140" spans="5:6">
      <c r="E140" s="2">
        <v>20</v>
      </c>
      <c r="F140" s="5" t="s">
        <v>48</v>
      </c>
    </row>
    <row r="141" spans="5:6">
      <c r="E141" s="2">
        <v>25</v>
      </c>
      <c r="F141" s="5" t="s">
        <v>49</v>
      </c>
    </row>
    <row r="142" spans="5:6">
      <c r="E142" s="2">
        <v>0</v>
      </c>
      <c r="F142" s="5">
        <v>0</v>
      </c>
    </row>
    <row r="143" spans="5:6">
      <c r="E143" s="2">
        <v>30</v>
      </c>
      <c r="F143" s="5" t="s">
        <v>50</v>
      </c>
    </row>
    <row r="144" spans="5:6">
      <c r="E144" s="2">
        <v>35</v>
      </c>
      <c r="F144" s="5" t="s">
        <v>51</v>
      </c>
    </row>
    <row r="145" spans="5:6">
      <c r="E145" s="2">
        <v>40</v>
      </c>
      <c r="F145" s="5" t="s">
        <v>52</v>
      </c>
    </row>
    <row r="146" spans="5:6">
      <c r="E146" s="2">
        <v>45</v>
      </c>
      <c r="F146" s="5" t="s">
        <v>53</v>
      </c>
    </row>
    <row r="147" spans="5:6">
      <c r="E147" s="2">
        <v>0</v>
      </c>
      <c r="F147" s="5">
        <v>0</v>
      </c>
    </row>
    <row r="148" spans="5:6">
      <c r="E148" s="2">
        <v>5</v>
      </c>
      <c r="F148" s="5" t="s">
        <v>45</v>
      </c>
    </row>
    <row r="149" spans="5:6">
      <c r="E149" s="2">
        <v>10</v>
      </c>
      <c r="F149" s="5" t="s">
        <v>46</v>
      </c>
    </row>
    <row r="150" spans="5:6">
      <c r="E150" s="2">
        <v>0</v>
      </c>
      <c r="F150" s="5">
        <v>0</v>
      </c>
    </row>
    <row r="151" spans="5:6">
      <c r="E151" s="2">
        <v>15</v>
      </c>
      <c r="F151" s="5" t="s">
        <v>47</v>
      </c>
    </row>
    <row r="152" spans="5:6">
      <c r="E152" s="2">
        <v>20</v>
      </c>
      <c r="F152" s="5" t="s">
        <v>48</v>
      </c>
    </row>
    <row r="153" spans="5:6">
      <c r="E153" s="2">
        <v>25</v>
      </c>
      <c r="F153" s="5" t="s">
        <v>49</v>
      </c>
    </row>
    <row r="154" spans="5:6">
      <c r="E154" s="2">
        <v>0</v>
      </c>
      <c r="F154" s="5">
        <v>0</v>
      </c>
    </row>
    <row r="155" spans="5:6">
      <c r="E155" s="2">
        <v>30</v>
      </c>
      <c r="F155" s="5" t="s">
        <v>50</v>
      </c>
    </row>
    <row r="156" spans="5:6">
      <c r="E156" s="2">
        <v>35</v>
      </c>
      <c r="F156" s="5" t="s">
        <v>51</v>
      </c>
    </row>
    <row r="157" spans="5:6">
      <c r="E157" s="2">
        <v>40</v>
      </c>
      <c r="F157" s="5" t="s">
        <v>52</v>
      </c>
    </row>
    <row r="158" spans="5:6">
      <c r="E158" s="2">
        <v>45</v>
      </c>
      <c r="F158" s="5" t="s">
        <v>53</v>
      </c>
    </row>
    <row r="159" spans="5:6">
      <c r="E159" s="2">
        <v>0</v>
      </c>
      <c r="F159" s="5">
        <v>0</v>
      </c>
    </row>
    <row r="160" spans="5:6">
      <c r="E160" s="2">
        <v>5</v>
      </c>
      <c r="F160" s="5" t="s">
        <v>45</v>
      </c>
    </row>
    <row r="161" spans="5:6">
      <c r="E161" s="2">
        <v>10</v>
      </c>
      <c r="F161" s="5" t="s">
        <v>46</v>
      </c>
    </row>
    <row r="162" spans="5:6">
      <c r="E162" s="2">
        <v>0</v>
      </c>
      <c r="F162" s="5">
        <v>0</v>
      </c>
    </row>
    <row r="163" spans="5:6">
      <c r="E163" s="2">
        <v>15</v>
      </c>
      <c r="F163" s="5" t="s">
        <v>47</v>
      </c>
    </row>
    <row r="164" spans="5:6">
      <c r="E164" s="2">
        <v>20</v>
      </c>
      <c r="F164" s="5" t="s">
        <v>48</v>
      </c>
    </row>
    <row r="165" spans="5:6">
      <c r="E165" s="2">
        <v>25</v>
      </c>
      <c r="F165" s="5" t="s">
        <v>49</v>
      </c>
    </row>
    <row r="166" spans="5:6">
      <c r="E166" s="2">
        <v>0</v>
      </c>
      <c r="F166" s="5">
        <v>0</v>
      </c>
    </row>
    <row r="167" spans="5:6">
      <c r="E167" s="2">
        <v>30</v>
      </c>
      <c r="F167" s="5" t="s">
        <v>50</v>
      </c>
    </row>
    <row r="168" spans="5:6">
      <c r="E168" s="2">
        <v>35</v>
      </c>
      <c r="F168" s="5" t="s">
        <v>51</v>
      </c>
    </row>
    <row r="169" spans="5:6">
      <c r="E169" s="2">
        <v>40</v>
      </c>
      <c r="F169" s="5" t="s">
        <v>52</v>
      </c>
    </row>
    <row r="170" spans="5:6">
      <c r="E170" s="2">
        <v>45</v>
      </c>
      <c r="F170" s="5" t="s">
        <v>53</v>
      </c>
    </row>
    <row r="171" spans="5:6">
      <c r="E171" s="2">
        <v>0</v>
      </c>
      <c r="F171" s="5">
        <v>0</v>
      </c>
    </row>
    <row r="172" spans="5:6">
      <c r="E172" s="2">
        <v>15</v>
      </c>
      <c r="F172" s="5" t="s">
        <v>47</v>
      </c>
    </row>
    <row r="173" spans="5:6">
      <c r="E173" s="2">
        <v>20</v>
      </c>
      <c r="F173" s="5" t="s">
        <v>48</v>
      </c>
    </row>
    <row r="174" spans="5:6">
      <c r="E174" s="2">
        <v>25</v>
      </c>
      <c r="F174" s="5" t="s">
        <v>49</v>
      </c>
    </row>
    <row r="175" spans="5:6">
      <c r="E175" s="2">
        <v>0</v>
      </c>
      <c r="F175" s="5">
        <v>0</v>
      </c>
    </row>
    <row r="176" spans="5:6">
      <c r="E176" s="2">
        <v>30</v>
      </c>
      <c r="F176" s="5" t="s">
        <v>50</v>
      </c>
    </row>
    <row r="177" spans="5:6">
      <c r="E177" s="2">
        <v>35</v>
      </c>
      <c r="F177" s="5" t="s">
        <v>51</v>
      </c>
    </row>
    <row r="178" spans="5:6">
      <c r="E178" s="2">
        <v>40</v>
      </c>
      <c r="F178" s="5" t="s">
        <v>52</v>
      </c>
    </row>
    <row r="179" spans="5:6">
      <c r="E179" s="2">
        <v>45</v>
      </c>
      <c r="F179" s="5" t="s">
        <v>53</v>
      </c>
    </row>
    <row r="180" spans="5:6">
      <c r="E180" s="2">
        <v>0</v>
      </c>
      <c r="F180" s="5">
        <v>0</v>
      </c>
    </row>
    <row r="181" spans="5:6">
      <c r="E181" s="2">
        <v>5</v>
      </c>
      <c r="F181" s="5" t="s">
        <v>45</v>
      </c>
    </row>
    <row r="182" spans="5:6">
      <c r="E182" s="2">
        <v>10</v>
      </c>
      <c r="F182" s="5" t="s">
        <v>46</v>
      </c>
    </row>
    <row r="183" spans="5:6">
      <c r="E183" s="2">
        <v>0</v>
      </c>
      <c r="F183" s="5">
        <v>0</v>
      </c>
    </row>
    <row r="184" spans="5:6">
      <c r="E184" s="2">
        <v>15</v>
      </c>
      <c r="F184" s="5" t="s">
        <v>47</v>
      </c>
    </row>
    <row r="185" spans="5:6">
      <c r="E185" s="2">
        <v>20</v>
      </c>
      <c r="F185" s="5" t="s">
        <v>48</v>
      </c>
    </row>
    <row r="186" spans="5:6">
      <c r="E186" s="2">
        <v>25</v>
      </c>
      <c r="F186" s="5" t="s">
        <v>49</v>
      </c>
    </row>
    <row r="187" spans="5:6">
      <c r="E187" s="2">
        <v>0</v>
      </c>
      <c r="F187" s="5">
        <v>0</v>
      </c>
    </row>
    <row r="188" spans="5:6">
      <c r="E188" s="2">
        <v>30</v>
      </c>
      <c r="F188" s="5" t="s">
        <v>50</v>
      </c>
    </row>
    <row r="189" spans="5:6">
      <c r="E189" s="2">
        <v>35</v>
      </c>
      <c r="F189" s="5" t="s">
        <v>51</v>
      </c>
    </row>
    <row r="190" spans="5:6">
      <c r="E190" s="2">
        <v>40</v>
      </c>
      <c r="F190" s="5" t="s">
        <v>52</v>
      </c>
    </row>
    <row r="191" spans="5:6">
      <c r="E191" s="2">
        <v>45</v>
      </c>
      <c r="F191" s="5" t="s">
        <v>53</v>
      </c>
    </row>
    <row r="192" spans="5:6">
      <c r="E192" s="2">
        <v>0</v>
      </c>
      <c r="F192" s="5">
        <v>0</v>
      </c>
    </row>
    <row r="193" spans="5:6">
      <c r="E193" s="2">
        <v>15</v>
      </c>
      <c r="F193" s="5" t="s">
        <v>47</v>
      </c>
    </row>
    <row r="194" spans="5:6">
      <c r="E194" s="2">
        <v>20</v>
      </c>
      <c r="F194" s="5" t="s">
        <v>48</v>
      </c>
    </row>
    <row r="195" spans="5:6">
      <c r="E195" s="2">
        <v>25</v>
      </c>
      <c r="F195" s="5" t="s">
        <v>49</v>
      </c>
    </row>
    <row r="196" spans="5:6">
      <c r="E196" s="2">
        <v>0</v>
      </c>
      <c r="F196" s="5">
        <v>0</v>
      </c>
    </row>
    <row r="197" spans="5:6">
      <c r="E197" s="2">
        <v>30</v>
      </c>
      <c r="F197" s="5" t="s">
        <v>50</v>
      </c>
    </row>
    <row r="198" spans="5:6">
      <c r="E198" s="2">
        <v>35</v>
      </c>
      <c r="F198" s="5" t="s">
        <v>51</v>
      </c>
    </row>
    <row r="199" spans="5:6">
      <c r="E199" s="2">
        <v>40</v>
      </c>
      <c r="F199" s="5" t="s">
        <v>52</v>
      </c>
    </row>
    <row r="200" spans="5:6">
      <c r="E200" s="2">
        <v>45</v>
      </c>
      <c r="F200" s="5" t="s">
        <v>53</v>
      </c>
    </row>
    <row r="201" spans="5:6">
      <c r="E201">
        <v>0</v>
      </c>
      <c r="F201" s="5">
        <v>0</v>
      </c>
    </row>
    <row r="202" spans="5:6">
      <c r="E202" s="2">
        <v>5</v>
      </c>
      <c r="F202" s="5" t="s">
        <v>45</v>
      </c>
    </row>
    <row r="203" spans="5:6">
      <c r="E203" s="2">
        <v>10</v>
      </c>
      <c r="F203" s="5" t="s">
        <v>46</v>
      </c>
    </row>
    <row r="204" spans="5:6">
      <c r="E204" s="2">
        <v>0</v>
      </c>
      <c r="F204" s="5">
        <v>0</v>
      </c>
    </row>
    <row r="205" spans="5:6">
      <c r="E205" s="2">
        <v>15</v>
      </c>
      <c r="F205" s="5" t="s">
        <v>47</v>
      </c>
    </row>
    <row r="206" spans="5:6">
      <c r="E206" s="2">
        <v>20</v>
      </c>
      <c r="F206" s="5" t="s">
        <v>48</v>
      </c>
    </row>
    <row r="207" spans="5:6">
      <c r="E207" s="2">
        <v>25</v>
      </c>
      <c r="F207" s="5" t="s">
        <v>49</v>
      </c>
    </row>
    <row r="208" spans="5:6">
      <c r="E208" s="2">
        <v>0</v>
      </c>
      <c r="F208" s="5">
        <v>0</v>
      </c>
    </row>
    <row r="209" spans="5:6">
      <c r="E209" s="2">
        <v>30</v>
      </c>
      <c r="F209" s="5" t="s">
        <v>50</v>
      </c>
    </row>
    <row r="210" spans="5:6">
      <c r="E210" s="2">
        <v>35</v>
      </c>
      <c r="F210" s="5" t="s">
        <v>51</v>
      </c>
    </row>
    <row r="211" spans="5:6">
      <c r="E211" s="2">
        <v>40</v>
      </c>
      <c r="F211" s="5" t="s">
        <v>52</v>
      </c>
    </row>
    <row r="212" spans="5:6">
      <c r="E212" s="2">
        <v>45</v>
      </c>
      <c r="F212" s="5" t="s">
        <v>53</v>
      </c>
    </row>
    <row r="213" spans="5:6">
      <c r="E213" s="2">
        <v>0</v>
      </c>
      <c r="F213" s="5">
        <v>0</v>
      </c>
    </row>
    <row r="214" spans="5:6">
      <c r="E214" s="2">
        <v>15</v>
      </c>
      <c r="F214" s="5" t="s">
        <v>47</v>
      </c>
    </row>
    <row r="215" spans="5:6">
      <c r="E215" s="2">
        <v>20</v>
      </c>
      <c r="F215" s="5" t="s">
        <v>48</v>
      </c>
    </row>
    <row r="216" spans="5:6">
      <c r="E216" s="2">
        <v>25</v>
      </c>
      <c r="F216" s="5" t="s">
        <v>49</v>
      </c>
    </row>
    <row r="217" spans="5:6">
      <c r="E217" s="2">
        <v>0</v>
      </c>
      <c r="F217" s="5">
        <v>0</v>
      </c>
    </row>
    <row r="218" spans="5:6">
      <c r="E218" s="2">
        <v>30</v>
      </c>
      <c r="F218" s="5" t="s">
        <v>50</v>
      </c>
    </row>
    <row r="219" spans="5:6">
      <c r="E219" s="2">
        <v>35</v>
      </c>
      <c r="F219" s="5" t="s">
        <v>51</v>
      </c>
    </row>
    <row r="220" spans="5:6">
      <c r="E220" s="2">
        <v>40</v>
      </c>
      <c r="F220" s="5" t="s">
        <v>52</v>
      </c>
    </row>
    <row r="221" spans="5:6">
      <c r="E221" s="2">
        <v>45</v>
      </c>
      <c r="F221" s="5" t="s">
        <v>53</v>
      </c>
    </row>
    <row r="222" spans="5:6">
      <c r="E222" s="2">
        <v>0</v>
      </c>
      <c r="F222" s="5">
        <v>0</v>
      </c>
    </row>
    <row r="223" spans="5:6">
      <c r="E223" s="2">
        <v>5</v>
      </c>
      <c r="F223" s="5" t="s">
        <v>45</v>
      </c>
    </row>
    <row r="224" spans="5:6">
      <c r="E224" s="2">
        <v>10</v>
      </c>
      <c r="F224" s="5" t="s">
        <v>46</v>
      </c>
    </row>
    <row r="225" spans="5:6">
      <c r="E225" s="2">
        <v>0</v>
      </c>
      <c r="F225" s="5">
        <v>0</v>
      </c>
    </row>
    <row r="226" spans="5:6">
      <c r="E226" s="2">
        <v>15</v>
      </c>
      <c r="F226" s="5" t="s">
        <v>47</v>
      </c>
    </row>
    <row r="227" spans="5:6">
      <c r="E227" s="2">
        <v>20</v>
      </c>
      <c r="F227" s="5" t="s">
        <v>48</v>
      </c>
    </row>
    <row r="228" spans="5:6">
      <c r="E228" s="2">
        <v>25</v>
      </c>
      <c r="F228" s="5" t="s">
        <v>49</v>
      </c>
    </row>
    <row r="229" spans="5:6">
      <c r="E229" s="2">
        <v>0</v>
      </c>
      <c r="F229" s="5">
        <v>0</v>
      </c>
    </row>
    <row r="230" spans="5:6">
      <c r="E230" s="2">
        <v>30</v>
      </c>
      <c r="F230" s="5" t="s">
        <v>50</v>
      </c>
    </row>
    <row r="231" spans="5:6">
      <c r="E231" s="2">
        <v>35</v>
      </c>
      <c r="F231" s="5" t="s">
        <v>51</v>
      </c>
    </row>
    <row r="232" spans="5:6">
      <c r="E232" s="2">
        <v>40</v>
      </c>
      <c r="F232" s="5" t="s">
        <v>52</v>
      </c>
    </row>
    <row r="233" spans="5:6">
      <c r="E233" s="2">
        <v>45</v>
      </c>
      <c r="F233" s="5" t="s">
        <v>53</v>
      </c>
    </row>
    <row r="234" spans="5:6">
      <c r="E234" s="2">
        <v>0</v>
      </c>
      <c r="F234" s="5">
        <v>0</v>
      </c>
    </row>
    <row r="235" spans="5:6">
      <c r="E235" s="2">
        <v>15</v>
      </c>
      <c r="F235" s="5" t="s">
        <v>47</v>
      </c>
    </row>
    <row r="236" spans="5:6">
      <c r="E236" s="2">
        <v>20</v>
      </c>
      <c r="F236" s="5" t="s">
        <v>48</v>
      </c>
    </row>
    <row r="237" spans="5:6">
      <c r="E237" s="2">
        <v>25</v>
      </c>
      <c r="F237" s="5" t="s">
        <v>49</v>
      </c>
    </row>
    <row r="238" spans="5:6">
      <c r="E238" s="2">
        <v>0</v>
      </c>
      <c r="F238" s="5">
        <v>0</v>
      </c>
    </row>
    <row r="239" spans="5:6">
      <c r="E239" s="2">
        <v>30</v>
      </c>
      <c r="F239" s="5" t="s">
        <v>50</v>
      </c>
    </row>
    <row r="240" spans="5:6">
      <c r="E240" s="2">
        <v>35</v>
      </c>
      <c r="F240" s="5" t="s">
        <v>51</v>
      </c>
    </row>
    <row r="241" spans="5:6">
      <c r="E241" s="2">
        <v>40</v>
      </c>
      <c r="F241" s="5" t="s">
        <v>52</v>
      </c>
    </row>
    <row r="242" spans="5:6">
      <c r="E242" s="2">
        <v>45</v>
      </c>
      <c r="F242" s="5" t="s">
        <v>53</v>
      </c>
    </row>
    <row r="243" spans="5:6">
      <c r="E243" s="2">
        <v>0</v>
      </c>
      <c r="F243" s="5">
        <v>0</v>
      </c>
    </row>
    <row r="244" spans="5:6">
      <c r="E244" s="2">
        <v>5</v>
      </c>
      <c r="F244" s="5" t="s">
        <v>45</v>
      </c>
    </row>
    <row r="245" spans="5:6">
      <c r="E245" s="2">
        <v>10</v>
      </c>
      <c r="F245" s="5" t="s">
        <v>46</v>
      </c>
    </row>
    <row r="246" spans="5:6">
      <c r="E246" s="2">
        <v>0</v>
      </c>
      <c r="F246" s="5">
        <v>0</v>
      </c>
    </row>
    <row r="247" spans="5:6">
      <c r="E247" s="2">
        <v>15</v>
      </c>
      <c r="F247" s="5" t="s">
        <v>47</v>
      </c>
    </row>
    <row r="248" spans="5:6">
      <c r="E248" s="2">
        <v>20</v>
      </c>
      <c r="F248" s="5" t="s">
        <v>48</v>
      </c>
    </row>
    <row r="249" spans="5:6">
      <c r="E249" s="2">
        <v>25</v>
      </c>
      <c r="F249" s="5" t="s">
        <v>49</v>
      </c>
    </row>
    <row r="250" spans="5:6">
      <c r="E250" s="2">
        <v>0</v>
      </c>
      <c r="F250" s="5">
        <v>0</v>
      </c>
    </row>
    <row r="251" spans="5:6">
      <c r="E251" s="2">
        <v>30</v>
      </c>
      <c r="F251" s="5" t="s">
        <v>50</v>
      </c>
    </row>
    <row r="252" spans="5:6">
      <c r="E252" s="2">
        <v>35</v>
      </c>
      <c r="F252" s="5" t="s">
        <v>51</v>
      </c>
    </row>
    <row r="253" spans="5:6">
      <c r="E253" s="2">
        <v>40</v>
      </c>
      <c r="F253" s="5" t="s">
        <v>52</v>
      </c>
    </row>
    <row r="254" spans="5:6">
      <c r="E254" s="2">
        <v>45</v>
      </c>
      <c r="F254" s="5" t="s">
        <v>53</v>
      </c>
    </row>
    <row r="255" spans="5:6">
      <c r="E255" s="2">
        <v>0</v>
      </c>
      <c r="F255" s="5">
        <v>0</v>
      </c>
    </row>
    <row r="256" spans="5:6">
      <c r="E256" s="2">
        <v>15</v>
      </c>
      <c r="F256" s="5" t="s">
        <v>47</v>
      </c>
    </row>
    <row r="257" spans="5:6">
      <c r="E257" s="2">
        <v>20</v>
      </c>
      <c r="F257" s="5" t="s">
        <v>48</v>
      </c>
    </row>
    <row r="258" spans="5:6">
      <c r="E258" s="2">
        <v>25</v>
      </c>
      <c r="F258" s="5" t="s">
        <v>49</v>
      </c>
    </row>
    <row r="259" spans="5:6">
      <c r="E259" s="2">
        <v>0</v>
      </c>
      <c r="F259" s="5">
        <v>0</v>
      </c>
    </row>
    <row r="260" spans="5:6">
      <c r="E260" s="2">
        <v>30</v>
      </c>
      <c r="F260" s="5" t="s">
        <v>50</v>
      </c>
    </row>
    <row r="261" spans="5:6">
      <c r="E261" s="2">
        <v>35</v>
      </c>
      <c r="F261" s="5" t="s">
        <v>51</v>
      </c>
    </row>
    <row r="262" spans="5:6">
      <c r="E262" s="2">
        <v>40</v>
      </c>
      <c r="F262" s="5" t="s">
        <v>52</v>
      </c>
    </row>
    <row r="263" spans="5:6">
      <c r="E263" s="2">
        <v>45</v>
      </c>
      <c r="F263" s="5" t="s">
        <v>53</v>
      </c>
    </row>
    <row r="264" spans="5:6">
      <c r="E264" s="2">
        <v>0</v>
      </c>
      <c r="F264" s="5">
        <v>0</v>
      </c>
    </row>
    <row r="265" spans="5:6">
      <c r="E265" s="2">
        <v>5</v>
      </c>
      <c r="F265" s="5" t="s">
        <v>45</v>
      </c>
    </row>
    <row r="266" spans="5:6">
      <c r="E266" s="2">
        <v>10</v>
      </c>
      <c r="F266" s="5" t="s">
        <v>46</v>
      </c>
    </row>
    <row r="267" spans="5:6">
      <c r="E267" s="2">
        <v>0</v>
      </c>
      <c r="F267" s="5">
        <v>0</v>
      </c>
    </row>
    <row r="268" spans="5:6">
      <c r="E268" s="2">
        <v>15</v>
      </c>
      <c r="F268" s="5" t="s">
        <v>47</v>
      </c>
    </row>
    <row r="269" spans="5:6">
      <c r="E269" s="2">
        <v>20</v>
      </c>
      <c r="F269" s="5" t="s">
        <v>48</v>
      </c>
    </row>
    <row r="270" spans="5:6">
      <c r="E270" s="2">
        <v>25</v>
      </c>
      <c r="F270" s="5" t="s">
        <v>49</v>
      </c>
    </row>
    <row r="271" spans="5:6">
      <c r="E271" s="2">
        <v>0</v>
      </c>
      <c r="F271" s="5">
        <v>0</v>
      </c>
    </row>
    <row r="272" spans="5:6">
      <c r="E272" s="2">
        <v>30</v>
      </c>
      <c r="F272" s="5" t="s">
        <v>50</v>
      </c>
    </row>
    <row r="273" spans="5:6">
      <c r="E273" s="2">
        <v>35</v>
      </c>
      <c r="F273" s="5" t="s">
        <v>51</v>
      </c>
    </row>
    <row r="274" spans="5:6">
      <c r="E274" s="2">
        <v>40</v>
      </c>
      <c r="F274" s="5" t="s">
        <v>52</v>
      </c>
    </row>
    <row r="275" spans="5:6">
      <c r="E275" s="2">
        <v>45</v>
      </c>
      <c r="F275" s="5" t="s">
        <v>53</v>
      </c>
    </row>
    <row r="276" spans="5:6">
      <c r="E276" s="2">
        <v>0</v>
      </c>
      <c r="F276" s="5">
        <v>0</v>
      </c>
    </row>
    <row r="277" spans="5:6">
      <c r="E277" s="2">
        <v>15</v>
      </c>
      <c r="F277" s="5" t="s">
        <v>47</v>
      </c>
    </row>
    <row r="278" spans="5:6">
      <c r="E278" s="2">
        <v>20</v>
      </c>
      <c r="F278" s="5" t="s">
        <v>48</v>
      </c>
    </row>
    <row r="279" spans="5:6">
      <c r="E279" s="2">
        <v>25</v>
      </c>
      <c r="F279" s="5" t="s">
        <v>49</v>
      </c>
    </row>
    <row r="280" spans="5:6">
      <c r="E280" s="2">
        <v>0</v>
      </c>
      <c r="F280" s="5">
        <v>0</v>
      </c>
    </row>
    <row r="281" spans="5:6">
      <c r="E281" s="2">
        <v>30</v>
      </c>
      <c r="F281" s="5" t="s">
        <v>50</v>
      </c>
    </row>
    <row r="282" spans="5:6">
      <c r="E282" s="2">
        <v>35</v>
      </c>
      <c r="F282" s="5" t="s">
        <v>51</v>
      </c>
    </row>
    <row r="283" spans="5:6">
      <c r="E283" s="2">
        <v>40</v>
      </c>
      <c r="F283" s="5" t="s">
        <v>52</v>
      </c>
    </row>
    <row r="284" spans="5:6">
      <c r="E284" s="2">
        <v>45</v>
      </c>
      <c r="F284" s="5" t="s">
        <v>53</v>
      </c>
    </row>
    <row r="285" spans="5:6">
      <c r="E285" s="2">
        <v>0</v>
      </c>
      <c r="F285" s="5">
        <v>0</v>
      </c>
    </row>
    <row r="286" spans="5:6">
      <c r="E286" s="2">
        <v>5</v>
      </c>
      <c r="F286" s="5" t="s">
        <v>45</v>
      </c>
    </row>
    <row r="287" spans="5:6">
      <c r="E287" s="2">
        <v>10</v>
      </c>
      <c r="F287" s="5" t="s">
        <v>46</v>
      </c>
    </row>
    <row r="288" spans="5:6">
      <c r="E288" s="2">
        <v>0</v>
      </c>
      <c r="F288" s="5">
        <v>0</v>
      </c>
    </row>
    <row r="289" spans="5:6">
      <c r="E289" s="2">
        <v>15</v>
      </c>
      <c r="F289" s="5" t="s">
        <v>47</v>
      </c>
    </row>
    <row r="290" spans="5:6">
      <c r="E290" s="2">
        <v>20</v>
      </c>
      <c r="F290" s="5" t="s">
        <v>48</v>
      </c>
    </row>
    <row r="291" spans="5:6">
      <c r="E291" s="2">
        <v>25</v>
      </c>
      <c r="F291" s="5" t="s">
        <v>49</v>
      </c>
    </row>
    <row r="292" spans="5:6">
      <c r="E292" s="2">
        <v>0</v>
      </c>
      <c r="F292" s="5">
        <v>0</v>
      </c>
    </row>
    <row r="293" spans="5:6">
      <c r="E293" s="2">
        <v>30</v>
      </c>
      <c r="F293" s="5" t="s">
        <v>50</v>
      </c>
    </row>
    <row r="294" spans="5:6">
      <c r="E294" s="2">
        <v>35</v>
      </c>
      <c r="F294" s="5" t="s">
        <v>51</v>
      </c>
    </row>
    <row r="295" spans="5:6">
      <c r="E295" s="2">
        <v>40</v>
      </c>
      <c r="F295" s="5" t="s">
        <v>52</v>
      </c>
    </row>
    <row r="296" spans="5:6">
      <c r="E296" s="2">
        <v>45</v>
      </c>
      <c r="F296" s="5" t="s">
        <v>53</v>
      </c>
    </row>
    <row r="297" spans="5:6">
      <c r="E297" s="2">
        <v>0</v>
      </c>
      <c r="F297" s="5">
        <v>0</v>
      </c>
    </row>
    <row r="298" spans="5:6">
      <c r="E298" s="2">
        <v>15</v>
      </c>
      <c r="F298" s="5" t="s">
        <v>47</v>
      </c>
    </row>
    <row r="299" spans="5:6">
      <c r="E299" s="2">
        <v>20</v>
      </c>
      <c r="F299" s="5" t="s">
        <v>48</v>
      </c>
    </row>
    <row r="300" spans="5:6">
      <c r="E300" s="2">
        <v>25</v>
      </c>
      <c r="F300" s="5" t="s">
        <v>49</v>
      </c>
    </row>
    <row r="301" spans="5:6">
      <c r="E301" s="2">
        <v>0</v>
      </c>
      <c r="F301" s="5">
        <v>0</v>
      </c>
    </row>
    <row r="302" spans="5:6">
      <c r="E302" s="2">
        <v>30</v>
      </c>
      <c r="F302" s="5" t="s">
        <v>50</v>
      </c>
    </row>
    <row r="303" spans="5:6">
      <c r="E303" s="2">
        <v>35</v>
      </c>
      <c r="F303" s="5" t="s">
        <v>51</v>
      </c>
    </row>
    <row r="304" spans="5:6">
      <c r="E304" s="2">
        <v>40</v>
      </c>
      <c r="F304" s="5" t="s">
        <v>52</v>
      </c>
    </row>
    <row r="305" spans="5:6">
      <c r="E305" s="2">
        <v>45</v>
      </c>
      <c r="F305" s="5" t="s">
        <v>53</v>
      </c>
    </row>
    <row r="306" spans="5:6">
      <c r="E306">
        <v>0</v>
      </c>
      <c r="F306" s="5">
        <v>0</v>
      </c>
    </row>
    <row r="307" spans="5:6">
      <c r="E307" s="2">
        <v>5</v>
      </c>
      <c r="F307" s="5" t="s">
        <v>45</v>
      </c>
    </row>
    <row r="308" spans="5:6">
      <c r="E308" s="2">
        <v>10</v>
      </c>
      <c r="F308" s="5" t="s">
        <v>46</v>
      </c>
    </row>
    <row r="309" spans="5:6">
      <c r="E309" s="2">
        <v>0</v>
      </c>
      <c r="F309" s="5">
        <v>0</v>
      </c>
    </row>
    <row r="310" spans="5:6">
      <c r="E310" s="2">
        <v>15</v>
      </c>
      <c r="F310" s="5" t="s">
        <v>47</v>
      </c>
    </row>
    <row r="311" spans="5:6">
      <c r="E311" s="2">
        <v>20</v>
      </c>
      <c r="F311" s="5" t="s">
        <v>48</v>
      </c>
    </row>
    <row r="312" spans="5:6">
      <c r="E312" s="2">
        <v>25</v>
      </c>
      <c r="F312" s="5" t="s">
        <v>49</v>
      </c>
    </row>
    <row r="313" spans="5:6">
      <c r="E313" s="2">
        <v>0</v>
      </c>
      <c r="F313" s="5">
        <v>0</v>
      </c>
    </row>
    <row r="314" spans="5:6">
      <c r="E314" s="2">
        <v>30</v>
      </c>
      <c r="F314" s="5" t="s">
        <v>50</v>
      </c>
    </row>
    <row r="315" spans="5:6">
      <c r="E315" s="2">
        <v>35</v>
      </c>
      <c r="F315" s="5" t="s">
        <v>51</v>
      </c>
    </row>
    <row r="316" spans="5:6">
      <c r="E316" s="2">
        <v>40</v>
      </c>
      <c r="F316" s="5" t="s">
        <v>52</v>
      </c>
    </row>
    <row r="317" spans="5:6">
      <c r="E317" s="2">
        <v>45</v>
      </c>
      <c r="F317" s="5" t="s">
        <v>53</v>
      </c>
    </row>
    <row r="318" spans="5:6">
      <c r="E318" s="2">
        <v>0</v>
      </c>
      <c r="F318" s="5">
        <v>0</v>
      </c>
    </row>
    <row r="319" spans="5:6">
      <c r="E319" s="2">
        <v>15</v>
      </c>
      <c r="F319" s="5" t="s">
        <v>47</v>
      </c>
    </row>
    <row r="320" spans="5:6">
      <c r="E320" s="2">
        <v>20</v>
      </c>
      <c r="F320" s="5" t="s">
        <v>48</v>
      </c>
    </row>
    <row r="321" spans="5:6">
      <c r="E321" s="2">
        <v>25</v>
      </c>
      <c r="F321" s="5" t="s">
        <v>49</v>
      </c>
    </row>
    <row r="322" spans="5:6">
      <c r="E322" s="2">
        <v>0</v>
      </c>
      <c r="F322" s="5">
        <v>0</v>
      </c>
    </row>
    <row r="323" spans="5:6">
      <c r="E323" s="2">
        <v>30</v>
      </c>
      <c r="F323" s="5" t="s">
        <v>50</v>
      </c>
    </row>
    <row r="324" spans="5:6">
      <c r="E324" s="2">
        <v>35</v>
      </c>
      <c r="F324" s="5" t="s">
        <v>51</v>
      </c>
    </row>
    <row r="325" spans="5:6">
      <c r="E325" s="2">
        <v>40</v>
      </c>
      <c r="F325" s="5" t="s">
        <v>52</v>
      </c>
    </row>
    <row r="326" spans="5:6">
      <c r="E326" s="2">
        <v>45</v>
      </c>
      <c r="F326" s="5" t="s">
        <v>53</v>
      </c>
    </row>
    <row r="327" spans="5:6">
      <c r="E327" s="2">
        <v>0</v>
      </c>
      <c r="F327" s="5">
        <v>0</v>
      </c>
    </row>
    <row r="328" spans="5:6">
      <c r="E328" s="2">
        <v>5</v>
      </c>
      <c r="F328" s="5" t="s">
        <v>45</v>
      </c>
    </row>
    <row r="329" spans="5:6">
      <c r="E329" s="2">
        <v>10</v>
      </c>
      <c r="F329" s="5" t="s">
        <v>46</v>
      </c>
    </row>
    <row r="330" spans="5:6">
      <c r="E330" s="2">
        <v>0</v>
      </c>
      <c r="F330" s="5">
        <v>0</v>
      </c>
    </row>
    <row r="331" spans="5:6">
      <c r="E331" s="2">
        <v>15</v>
      </c>
      <c r="F331" s="5" t="s">
        <v>47</v>
      </c>
    </row>
    <row r="332" spans="5:6">
      <c r="E332" s="2">
        <v>20</v>
      </c>
      <c r="F332" s="5" t="s">
        <v>48</v>
      </c>
    </row>
    <row r="333" spans="5:6">
      <c r="E333" s="2">
        <v>25</v>
      </c>
      <c r="F333" s="5" t="s">
        <v>49</v>
      </c>
    </row>
    <row r="334" spans="5:6">
      <c r="E334" s="2">
        <v>0</v>
      </c>
      <c r="F334" s="5">
        <v>0</v>
      </c>
    </row>
    <row r="335" spans="5:6">
      <c r="E335" s="2">
        <v>30</v>
      </c>
      <c r="F335" s="5" t="s">
        <v>50</v>
      </c>
    </row>
    <row r="336" spans="5:6">
      <c r="E336" s="2">
        <v>35</v>
      </c>
      <c r="F336" s="5" t="s">
        <v>51</v>
      </c>
    </row>
    <row r="337" spans="5:6">
      <c r="E337" s="2">
        <v>40</v>
      </c>
      <c r="F337" s="5" t="s">
        <v>52</v>
      </c>
    </row>
    <row r="338" spans="5:6">
      <c r="E338" s="2">
        <v>45</v>
      </c>
      <c r="F338" s="5" t="s">
        <v>53</v>
      </c>
    </row>
    <row r="339" spans="5:6">
      <c r="E339" s="2">
        <v>0</v>
      </c>
      <c r="F339" s="5">
        <v>0</v>
      </c>
    </row>
    <row r="340" spans="5:6">
      <c r="E340" s="2">
        <v>15</v>
      </c>
      <c r="F340" s="5" t="s">
        <v>47</v>
      </c>
    </row>
    <row r="341" spans="5:6">
      <c r="E341" s="2">
        <v>20</v>
      </c>
      <c r="F341" s="5" t="s">
        <v>48</v>
      </c>
    </row>
    <row r="342" spans="5:6">
      <c r="E342" s="2">
        <v>25</v>
      </c>
      <c r="F342" s="5" t="s">
        <v>49</v>
      </c>
    </row>
    <row r="343" spans="5:6">
      <c r="E343" s="2">
        <v>0</v>
      </c>
      <c r="F343" s="5">
        <v>0</v>
      </c>
    </row>
    <row r="344" spans="5:6">
      <c r="E344" s="2">
        <v>30</v>
      </c>
      <c r="F344" s="5" t="s">
        <v>50</v>
      </c>
    </row>
    <row r="345" spans="5:6">
      <c r="E345" s="2">
        <v>35</v>
      </c>
      <c r="F345" s="5" t="s">
        <v>51</v>
      </c>
    </row>
    <row r="346" spans="5:6">
      <c r="E346" s="2">
        <v>40</v>
      </c>
      <c r="F346" s="5" t="s">
        <v>52</v>
      </c>
    </row>
    <row r="347" spans="5:6">
      <c r="E347" s="2">
        <v>45</v>
      </c>
      <c r="F347" s="5" t="s">
        <v>53</v>
      </c>
    </row>
    <row r="348" spans="5:6">
      <c r="E348" s="2">
        <v>0</v>
      </c>
      <c r="F348" s="5">
        <v>0</v>
      </c>
    </row>
    <row r="349" spans="5:6">
      <c r="E349" s="2">
        <v>5</v>
      </c>
      <c r="F349" s="5" t="s">
        <v>45</v>
      </c>
    </row>
    <row r="350" spans="5:6">
      <c r="E350" s="2">
        <v>10</v>
      </c>
      <c r="F350" s="5" t="s">
        <v>46</v>
      </c>
    </row>
    <row r="351" spans="5:6">
      <c r="E351" s="2">
        <v>0</v>
      </c>
      <c r="F351" s="5">
        <v>0</v>
      </c>
    </row>
    <row r="352" spans="5:6">
      <c r="E352" s="2">
        <v>15</v>
      </c>
      <c r="F352" s="5" t="s">
        <v>47</v>
      </c>
    </row>
    <row r="353" spans="5:6">
      <c r="E353" s="2">
        <v>20</v>
      </c>
      <c r="F353" s="5" t="s">
        <v>48</v>
      </c>
    </row>
    <row r="354" spans="5:6">
      <c r="E354" s="2">
        <v>25</v>
      </c>
      <c r="F354" s="5" t="s">
        <v>49</v>
      </c>
    </row>
    <row r="355" spans="5:6">
      <c r="E355" s="2">
        <v>0</v>
      </c>
      <c r="F355" s="5">
        <v>0</v>
      </c>
    </row>
    <row r="356" spans="5:6">
      <c r="E356" s="2">
        <v>30</v>
      </c>
      <c r="F356" s="5" t="s">
        <v>50</v>
      </c>
    </row>
    <row r="357" spans="5:6">
      <c r="E357" s="2">
        <v>35</v>
      </c>
      <c r="F357" s="5" t="s">
        <v>51</v>
      </c>
    </row>
    <row r="358" spans="5:6">
      <c r="E358" s="2">
        <v>40</v>
      </c>
      <c r="F358" s="5" t="s">
        <v>52</v>
      </c>
    </row>
    <row r="359" spans="5:6">
      <c r="E359" s="2">
        <v>45</v>
      </c>
      <c r="F359" s="5" t="s">
        <v>53</v>
      </c>
    </row>
    <row r="360" spans="5:6">
      <c r="E360" s="2">
        <v>0</v>
      </c>
      <c r="F360" s="5">
        <v>0</v>
      </c>
    </row>
    <row r="361" spans="5:6">
      <c r="E361" s="2">
        <v>15</v>
      </c>
      <c r="F361" s="5" t="s">
        <v>47</v>
      </c>
    </row>
    <row r="362" spans="5:6">
      <c r="E362" s="2">
        <v>20</v>
      </c>
      <c r="F362" s="5" t="s">
        <v>48</v>
      </c>
    </row>
    <row r="363" spans="5:6">
      <c r="E363" s="2">
        <v>25</v>
      </c>
      <c r="F363" s="5" t="s">
        <v>49</v>
      </c>
    </row>
    <row r="364" spans="5:6">
      <c r="E364" s="2">
        <v>0</v>
      </c>
      <c r="F364" s="5">
        <v>0</v>
      </c>
    </row>
    <row r="365" spans="5:6">
      <c r="E365" s="2">
        <v>30</v>
      </c>
      <c r="F365" s="5" t="s">
        <v>50</v>
      </c>
    </row>
    <row r="366" spans="5:6">
      <c r="E366" s="2">
        <v>35</v>
      </c>
      <c r="F366" s="5" t="s">
        <v>51</v>
      </c>
    </row>
    <row r="367" spans="5:6">
      <c r="E367" s="2">
        <v>40</v>
      </c>
      <c r="F367" s="5" t="s">
        <v>52</v>
      </c>
    </row>
    <row r="368" spans="5:6">
      <c r="E368" s="2">
        <v>45</v>
      </c>
      <c r="F368" s="5" t="s">
        <v>53</v>
      </c>
    </row>
    <row r="369" spans="5:6">
      <c r="E369" s="2">
        <v>0</v>
      </c>
      <c r="F369" s="5">
        <v>0</v>
      </c>
    </row>
    <row r="370" spans="5:6">
      <c r="E370" s="2">
        <v>5</v>
      </c>
      <c r="F370" s="5" t="s">
        <v>45</v>
      </c>
    </row>
    <row r="371" spans="5:6">
      <c r="E371" s="2">
        <v>10</v>
      </c>
      <c r="F371" s="5" t="s">
        <v>46</v>
      </c>
    </row>
    <row r="372" spans="5:6">
      <c r="E372" s="2">
        <v>0</v>
      </c>
      <c r="F372" s="5">
        <v>0</v>
      </c>
    </row>
    <row r="373" spans="5:6">
      <c r="E373" s="2">
        <v>15</v>
      </c>
      <c r="F373" s="5" t="s">
        <v>47</v>
      </c>
    </row>
    <row r="374" spans="5:6">
      <c r="E374" s="2">
        <v>20</v>
      </c>
      <c r="F374" s="5" t="s">
        <v>48</v>
      </c>
    </row>
    <row r="375" spans="5:6">
      <c r="E375" s="2">
        <v>25</v>
      </c>
      <c r="F375" s="5" t="s">
        <v>49</v>
      </c>
    </row>
    <row r="376" spans="5:6">
      <c r="E376" s="2">
        <v>0</v>
      </c>
      <c r="F376" s="5">
        <v>0</v>
      </c>
    </row>
    <row r="377" spans="5:6">
      <c r="E377" s="2">
        <v>30</v>
      </c>
      <c r="F377" s="5" t="s">
        <v>50</v>
      </c>
    </row>
    <row r="378" spans="5:6">
      <c r="E378" s="2">
        <v>35</v>
      </c>
      <c r="F378" s="5" t="s">
        <v>51</v>
      </c>
    </row>
    <row r="379" spans="5:6">
      <c r="E379" s="2">
        <v>40</v>
      </c>
      <c r="F379" s="5" t="s">
        <v>52</v>
      </c>
    </row>
    <row r="380" spans="5:6">
      <c r="E380" s="2">
        <v>45</v>
      </c>
      <c r="F380" s="5" t="s">
        <v>53</v>
      </c>
    </row>
    <row r="381" spans="5:6">
      <c r="E381" s="2">
        <v>0</v>
      </c>
      <c r="F381" s="5">
        <v>0</v>
      </c>
    </row>
    <row r="382" spans="5:6">
      <c r="E382" s="2">
        <v>15</v>
      </c>
      <c r="F382" s="5" t="s">
        <v>47</v>
      </c>
    </row>
    <row r="383" spans="5:6">
      <c r="E383" s="2">
        <v>20</v>
      </c>
      <c r="F383" s="5" t="s">
        <v>48</v>
      </c>
    </row>
    <row r="384" spans="5:6">
      <c r="E384" s="2">
        <v>25</v>
      </c>
      <c r="F384" s="5" t="s">
        <v>49</v>
      </c>
    </row>
    <row r="385" spans="5:6">
      <c r="E385" s="2">
        <v>0</v>
      </c>
      <c r="F385" s="5">
        <v>0</v>
      </c>
    </row>
    <row r="386" spans="5:6">
      <c r="E386" s="2">
        <v>30</v>
      </c>
      <c r="F386" s="5" t="s">
        <v>50</v>
      </c>
    </row>
    <row r="387" spans="5:6">
      <c r="E387" s="2">
        <v>35</v>
      </c>
      <c r="F387" s="5" t="s">
        <v>51</v>
      </c>
    </row>
    <row r="388" spans="5:6">
      <c r="E388" s="2">
        <v>40</v>
      </c>
      <c r="F388" s="5" t="s">
        <v>52</v>
      </c>
    </row>
    <row r="389" spans="5:6">
      <c r="E389" s="2">
        <v>45</v>
      </c>
      <c r="F389" s="5" t="s">
        <v>53</v>
      </c>
    </row>
    <row r="390" spans="5:6">
      <c r="E390" s="2">
        <v>0</v>
      </c>
      <c r="F390" s="5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90"/>
  <sheetViews>
    <sheetView workbookViewId="0">
      <selection activeCell="A1" sqref="A$1:A$1048576"/>
    </sheetView>
  </sheetViews>
  <sheetFormatPr defaultColWidth="9" defaultRowHeight="16.5"/>
  <cols>
    <col min="1" max="4" width="9" style="1"/>
    <col min="5" max="5" width="11.625" style="1" customWidth="1"/>
    <col min="6" max="16384" width="9" style="1"/>
  </cols>
  <sheetData>
    <row r="1" spans="1:9">
      <c r="A1" s="1" t="s">
        <v>18</v>
      </c>
      <c r="B1" s="1" t="s">
        <v>54</v>
      </c>
      <c r="C1" s="1">
        <v>6</v>
      </c>
      <c r="E1" s="1" t="s">
        <v>55</v>
      </c>
      <c r="F1" s="1">
        <v>1</v>
      </c>
      <c r="H1" s="1" t="s">
        <v>55</v>
      </c>
      <c r="I1" s="1">
        <v>2</v>
      </c>
    </row>
    <row r="2" spans="1:10">
      <c r="A2" s="1" t="s">
        <v>22</v>
      </c>
      <c r="C2" s="1" t="s">
        <v>25</v>
      </c>
      <c r="D2" s="1" t="s">
        <v>26</v>
      </c>
      <c r="E2" s="1" t="s">
        <v>27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</row>
    <row r="3" spans="1:16">
      <c r="A3" s="1" t="s">
        <v>41</v>
      </c>
      <c r="C3" s="1">
        <v>0</v>
      </c>
      <c r="D3" s="1">
        <v>2</v>
      </c>
      <c r="E3" s="1">
        <v>5</v>
      </c>
      <c r="F3" s="1">
        <v>3</v>
      </c>
      <c r="G3" s="1">
        <v>0</v>
      </c>
      <c r="H3" s="1">
        <v>0</v>
      </c>
      <c r="I3" s="1">
        <v>0</v>
      </c>
      <c r="J3" s="1">
        <f>SUM(F3:I3)*$C$1/$F$1</f>
        <v>18</v>
      </c>
      <c r="P3" s="1" t="s">
        <v>45</v>
      </c>
    </row>
    <row r="4" spans="1:16">
      <c r="A4" s="1">
        <v>111001</v>
      </c>
      <c r="C4" s="1">
        <v>1</v>
      </c>
      <c r="D4" s="1">
        <v>2</v>
      </c>
      <c r="E4" s="1">
        <v>10</v>
      </c>
      <c r="F4" s="1">
        <v>3</v>
      </c>
      <c r="G4" s="1">
        <v>0</v>
      </c>
      <c r="H4" s="1">
        <v>0</v>
      </c>
      <c r="I4" s="1">
        <v>0</v>
      </c>
      <c r="J4" s="1">
        <f>SUM(F4:I4)*$C$1/$F$1</f>
        <v>18</v>
      </c>
      <c r="P4" s="1" t="s">
        <v>46</v>
      </c>
    </row>
    <row r="5" spans="1:16">
      <c r="A5" s="1">
        <v>0</v>
      </c>
      <c r="C5" s="1">
        <v>2</v>
      </c>
      <c r="D5" s="1">
        <v>2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f>SUM(F5:I5)*$C$1/$F$1</f>
        <v>0</v>
      </c>
      <c r="P5" s="1">
        <v>0</v>
      </c>
    </row>
    <row r="6" spans="1:16">
      <c r="A6" s="1">
        <v>111002</v>
      </c>
      <c r="C6" s="1">
        <v>0</v>
      </c>
      <c r="D6" s="1">
        <v>3</v>
      </c>
      <c r="E6" s="1">
        <v>15</v>
      </c>
      <c r="F6" s="1">
        <v>5</v>
      </c>
      <c r="G6" s="1">
        <v>5</v>
      </c>
      <c r="H6" s="1">
        <v>5</v>
      </c>
      <c r="I6" s="1">
        <v>0</v>
      </c>
      <c r="J6" s="1">
        <f>SUM(F6:I6)*$C$1/$I$1</f>
        <v>45</v>
      </c>
      <c r="P6" s="1" t="s">
        <v>47</v>
      </c>
    </row>
    <row r="7" spans="1:16">
      <c r="A7" s="1">
        <v>0</v>
      </c>
      <c r="C7" s="1">
        <v>1</v>
      </c>
      <c r="D7" s="1">
        <v>3</v>
      </c>
      <c r="E7" s="1">
        <v>20</v>
      </c>
      <c r="F7" s="1">
        <v>5</v>
      </c>
      <c r="G7" s="1">
        <v>5</v>
      </c>
      <c r="H7" s="1">
        <v>5</v>
      </c>
      <c r="I7" s="1">
        <v>0</v>
      </c>
      <c r="J7" s="1">
        <f t="shared" ref="J7:J13" si="0">SUM(F7:I7)*$C$1/$I$1</f>
        <v>45</v>
      </c>
      <c r="P7" s="1" t="s">
        <v>48</v>
      </c>
    </row>
    <row r="8" spans="1:16">
      <c r="A8" s="1">
        <v>121001</v>
      </c>
      <c r="C8" s="1">
        <v>2</v>
      </c>
      <c r="D8" s="1">
        <v>3</v>
      </c>
      <c r="E8" s="1">
        <v>25</v>
      </c>
      <c r="F8" s="1">
        <v>8</v>
      </c>
      <c r="G8" s="1">
        <v>8</v>
      </c>
      <c r="H8" s="1">
        <v>10</v>
      </c>
      <c r="I8" s="1">
        <v>10</v>
      </c>
      <c r="J8" s="1">
        <f t="shared" si="0"/>
        <v>108</v>
      </c>
      <c r="P8" s="1" t="s">
        <v>49</v>
      </c>
    </row>
    <row r="9" spans="1:16">
      <c r="A9" s="1">
        <v>0</v>
      </c>
      <c r="C9" s="1">
        <v>3</v>
      </c>
      <c r="D9" s="1">
        <v>3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f t="shared" si="0"/>
        <v>0</v>
      </c>
      <c r="P9" s="1">
        <v>0</v>
      </c>
    </row>
    <row r="10" spans="1:16">
      <c r="A10" s="1">
        <v>121002</v>
      </c>
      <c r="C10" s="1">
        <v>0</v>
      </c>
      <c r="D10" s="1">
        <v>4</v>
      </c>
      <c r="E10" s="1">
        <v>30</v>
      </c>
      <c r="F10" s="1">
        <v>10</v>
      </c>
      <c r="G10" s="1">
        <v>10</v>
      </c>
      <c r="H10" s="1">
        <v>13</v>
      </c>
      <c r="I10" s="1">
        <v>13</v>
      </c>
      <c r="J10" s="1">
        <f t="shared" si="0"/>
        <v>138</v>
      </c>
      <c r="P10" s="1" t="s">
        <v>50</v>
      </c>
    </row>
    <row r="11" spans="1:16">
      <c r="A11" s="1">
        <v>0</v>
      </c>
      <c r="C11" s="1">
        <v>1</v>
      </c>
      <c r="D11" s="1">
        <v>4</v>
      </c>
      <c r="E11" s="1">
        <v>35</v>
      </c>
      <c r="F11" s="1">
        <v>15</v>
      </c>
      <c r="G11" s="1">
        <v>15</v>
      </c>
      <c r="H11" s="1">
        <v>18</v>
      </c>
      <c r="I11" s="1">
        <v>18</v>
      </c>
      <c r="J11" s="1">
        <f t="shared" si="0"/>
        <v>198</v>
      </c>
      <c r="P11" s="1" t="s">
        <v>51</v>
      </c>
    </row>
    <row r="12" spans="1:16">
      <c r="A12" s="1">
        <v>131001</v>
      </c>
      <c r="C12" s="1">
        <v>2</v>
      </c>
      <c r="D12" s="1">
        <v>4</v>
      </c>
      <c r="E12" s="1">
        <v>40</v>
      </c>
      <c r="F12" s="1">
        <v>20</v>
      </c>
      <c r="G12" s="1">
        <v>20</v>
      </c>
      <c r="H12" s="1">
        <v>25</v>
      </c>
      <c r="I12" s="1">
        <v>25</v>
      </c>
      <c r="J12" s="1">
        <f t="shared" si="0"/>
        <v>270</v>
      </c>
      <c r="P12" s="1" t="s">
        <v>52</v>
      </c>
    </row>
    <row r="13" spans="1:16">
      <c r="A13" s="1">
        <v>131002</v>
      </c>
      <c r="C13" s="1">
        <v>3</v>
      </c>
      <c r="D13" s="1">
        <v>4</v>
      </c>
      <c r="E13" s="1">
        <v>45</v>
      </c>
      <c r="F13" s="1">
        <v>30</v>
      </c>
      <c r="G13" s="1">
        <v>30</v>
      </c>
      <c r="H13" s="1">
        <v>40</v>
      </c>
      <c r="I13" s="1">
        <v>40</v>
      </c>
      <c r="J13" s="1">
        <f t="shared" si="0"/>
        <v>420</v>
      </c>
      <c r="P13" s="1" t="s">
        <v>53</v>
      </c>
    </row>
    <row r="14" spans="1:10">
      <c r="A14" s="1">
        <v>131003</v>
      </c>
      <c r="J14" s="1">
        <f>SUM(J3:J13)</f>
        <v>1260</v>
      </c>
    </row>
    <row r="15" spans="1:1">
      <c r="A15" s="1">
        <v>131004</v>
      </c>
    </row>
    <row r="16" spans="1:1">
      <c r="A16" s="1">
        <v>211001</v>
      </c>
    </row>
    <row r="17" spans="1:1">
      <c r="A17" s="1">
        <v>0</v>
      </c>
    </row>
    <row r="18" spans="1:1">
      <c r="A18" s="1">
        <v>0</v>
      </c>
    </row>
    <row r="19" spans="1:1">
      <c r="A19" s="1">
        <v>221001</v>
      </c>
    </row>
    <row r="20" spans="1:1">
      <c r="A20" s="1">
        <v>0</v>
      </c>
    </row>
    <row r="21" spans="1:1">
      <c r="A21" s="1">
        <v>0</v>
      </c>
    </row>
    <row r="22" spans="1:1">
      <c r="A22" s="1">
        <v>231001</v>
      </c>
    </row>
    <row r="23" spans="1:1">
      <c r="A23" s="1">
        <v>0</v>
      </c>
    </row>
    <row r="24" spans="1:1">
      <c r="A24" s="1">
        <v>0</v>
      </c>
    </row>
    <row r="25" spans="1:1">
      <c r="A25" s="1">
        <v>231002</v>
      </c>
    </row>
    <row r="26" spans="1:1">
      <c r="A26" s="1">
        <v>0</v>
      </c>
    </row>
    <row r="27" spans="1:1">
      <c r="A27" s="1">
        <v>231003</v>
      </c>
    </row>
    <row r="28" spans="1:1">
      <c r="A28" s="1">
        <v>311001</v>
      </c>
    </row>
    <row r="29" spans="1:1">
      <c r="A29" s="1">
        <v>0</v>
      </c>
    </row>
    <row r="30" spans="1:1">
      <c r="A30" s="1">
        <v>0</v>
      </c>
    </row>
    <row r="31" spans="1:1">
      <c r="A31" s="1">
        <v>321001</v>
      </c>
    </row>
    <row r="32" spans="1:1">
      <c r="A32" s="1">
        <v>0</v>
      </c>
    </row>
    <row r="33" spans="1:1">
      <c r="A33" s="1">
        <v>0</v>
      </c>
    </row>
    <row r="34" spans="1:1">
      <c r="A34" s="1">
        <v>331001</v>
      </c>
    </row>
    <row r="35" spans="1:1">
      <c r="A35" s="1">
        <v>0</v>
      </c>
    </row>
    <row r="36" spans="1:1">
      <c r="A36" s="1">
        <v>0</v>
      </c>
    </row>
    <row r="37" spans="1:1">
      <c r="A37" s="1">
        <v>331002</v>
      </c>
    </row>
    <row r="38" spans="1:1">
      <c r="A38" s="1">
        <v>0</v>
      </c>
    </row>
    <row r="39" spans="1:1">
      <c r="A39" s="1">
        <v>331003</v>
      </c>
    </row>
    <row r="40" spans="1:1">
      <c r="A40" s="1">
        <v>411001</v>
      </c>
    </row>
    <row r="41" spans="1:1">
      <c r="A41" s="1">
        <v>0</v>
      </c>
    </row>
    <row r="42" spans="1:1">
      <c r="A42" s="1">
        <v>0</v>
      </c>
    </row>
    <row r="43" spans="1:1">
      <c r="A43" s="1">
        <v>421001</v>
      </c>
    </row>
    <row r="44" spans="1:1">
      <c r="A44" s="1">
        <v>0</v>
      </c>
    </row>
    <row r="45" spans="1:1">
      <c r="A45" s="1">
        <v>0</v>
      </c>
    </row>
    <row r="46" spans="1:1">
      <c r="A46" s="1">
        <v>431001</v>
      </c>
    </row>
    <row r="47" spans="1:1">
      <c r="A47" s="1">
        <v>0</v>
      </c>
    </row>
    <row r="48" spans="1:1">
      <c r="A48" s="1">
        <v>0</v>
      </c>
    </row>
    <row r="49" spans="1:1">
      <c r="A49" s="1">
        <v>431002</v>
      </c>
    </row>
    <row r="50" spans="1:1">
      <c r="A50" s="1">
        <v>0</v>
      </c>
    </row>
    <row r="51" spans="1:1">
      <c r="A51" s="1">
        <v>431003</v>
      </c>
    </row>
    <row r="52" spans="1:1">
      <c r="A52" s="1">
        <v>511001</v>
      </c>
    </row>
    <row r="53" spans="1:1">
      <c r="A53" s="1">
        <v>0</v>
      </c>
    </row>
    <row r="54" spans="1:1">
      <c r="A54" s="1">
        <v>0</v>
      </c>
    </row>
    <row r="55" spans="1:1">
      <c r="A55" s="1">
        <v>521001</v>
      </c>
    </row>
    <row r="56" spans="1:1">
      <c r="A56" s="1">
        <v>0</v>
      </c>
    </row>
    <row r="57" spans="1:1">
      <c r="A57" s="1">
        <v>0</v>
      </c>
    </row>
    <row r="58" spans="1:1">
      <c r="A58" s="1">
        <v>531001</v>
      </c>
    </row>
    <row r="59" spans="1:1">
      <c r="A59" s="1">
        <v>0</v>
      </c>
    </row>
    <row r="60" spans="1:1">
      <c r="A60" s="1">
        <v>0</v>
      </c>
    </row>
    <row r="61" spans="1:1">
      <c r="A61" s="1">
        <v>531002</v>
      </c>
    </row>
    <row r="62" spans="1:1">
      <c r="A62" s="1">
        <v>0</v>
      </c>
    </row>
    <row r="63" spans="1:1">
      <c r="A63" s="1">
        <v>531003</v>
      </c>
    </row>
    <row r="64" spans="1:1">
      <c r="A64" s="1">
        <v>611001</v>
      </c>
    </row>
    <row r="65" spans="1:1">
      <c r="A65" s="1">
        <v>0</v>
      </c>
    </row>
    <row r="66" spans="1:1">
      <c r="A66" s="1">
        <v>0</v>
      </c>
    </row>
    <row r="67" spans="1:1">
      <c r="A67" s="1">
        <v>621001</v>
      </c>
    </row>
    <row r="68" spans="1:1">
      <c r="A68" s="1">
        <v>0</v>
      </c>
    </row>
    <row r="69" spans="1:1">
      <c r="A69" s="1">
        <v>0</v>
      </c>
    </row>
    <row r="70" spans="1:1">
      <c r="A70" s="1">
        <v>631001</v>
      </c>
    </row>
    <row r="71" spans="1:1">
      <c r="A71" s="1">
        <v>0</v>
      </c>
    </row>
    <row r="72" spans="1:1">
      <c r="A72" s="1">
        <v>0</v>
      </c>
    </row>
    <row r="73" spans="1:1">
      <c r="A73" s="1">
        <v>631002</v>
      </c>
    </row>
    <row r="74" spans="1:1">
      <c r="A74" s="1">
        <v>0</v>
      </c>
    </row>
    <row r="75" spans="1:1">
      <c r="A75" s="1">
        <v>631003</v>
      </c>
    </row>
    <row r="76" spans="1:1">
      <c r="A76" s="1">
        <v>111001</v>
      </c>
    </row>
    <row r="77" spans="1:1">
      <c r="A77" s="1">
        <v>0</v>
      </c>
    </row>
    <row r="78" spans="1:1">
      <c r="A78" s="1">
        <v>111002</v>
      </c>
    </row>
    <row r="79" spans="1:1">
      <c r="A79" s="1">
        <v>0</v>
      </c>
    </row>
    <row r="80" spans="1:1">
      <c r="A80" s="1">
        <v>121001</v>
      </c>
    </row>
    <row r="81" spans="1:1">
      <c r="A81" s="1">
        <v>0</v>
      </c>
    </row>
    <row r="82" spans="1:1">
      <c r="A82" s="1">
        <v>121002</v>
      </c>
    </row>
    <row r="83" spans="1:1">
      <c r="A83" s="1">
        <v>0</v>
      </c>
    </row>
    <row r="84" spans="1:1">
      <c r="A84" s="1">
        <v>131001</v>
      </c>
    </row>
    <row r="85" spans="1:1">
      <c r="A85" s="1">
        <v>131002</v>
      </c>
    </row>
    <row r="86" spans="1:1">
      <c r="A86" s="1">
        <v>131003</v>
      </c>
    </row>
    <row r="87" spans="1:1">
      <c r="A87" s="1">
        <v>131004</v>
      </c>
    </row>
    <row r="88" spans="1:1">
      <c r="A88" s="1">
        <v>211001</v>
      </c>
    </row>
    <row r="89" spans="1:1">
      <c r="A89" s="1">
        <v>0</v>
      </c>
    </row>
    <row r="90" spans="1:1">
      <c r="A90" s="1">
        <v>0</v>
      </c>
    </row>
    <row r="91" spans="1:1">
      <c r="A91" s="1">
        <v>221001</v>
      </c>
    </row>
    <row r="92" spans="1:1">
      <c r="A92" s="1">
        <v>0</v>
      </c>
    </row>
    <row r="93" spans="1:1">
      <c r="A93" s="1">
        <v>0</v>
      </c>
    </row>
    <row r="94" spans="1:1">
      <c r="A94" s="1">
        <v>231001</v>
      </c>
    </row>
    <row r="95" spans="1:1">
      <c r="A95" s="1">
        <v>0</v>
      </c>
    </row>
    <row r="96" spans="1:1">
      <c r="A96" s="1">
        <v>0</v>
      </c>
    </row>
    <row r="97" spans="1:1">
      <c r="A97" s="1">
        <v>231002</v>
      </c>
    </row>
    <row r="98" spans="1:1">
      <c r="A98" s="1">
        <v>0</v>
      </c>
    </row>
    <row r="99" spans="1:1">
      <c r="A99" s="1">
        <v>231003</v>
      </c>
    </row>
    <row r="100" spans="1:1">
      <c r="A100" s="1">
        <v>311001</v>
      </c>
    </row>
    <row r="101" spans="1:1">
      <c r="A101" s="1">
        <v>0</v>
      </c>
    </row>
    <row r="102" spans="1:1">
      <c r="A102" s="1">
        <v>0</v>
      </c>
    </row>
    <row r="103" spans="1:1">
      <c r="A103" s="1">
        <v>321001</v>
      </c>
    </row>
    <row r="104" spans="1:1">
      <c r="A104" s="1">
        <v>0</v>
      </c>
    </row>
    <row r="105" spans="1:1">
      <c r="A105" s="1">
        <v>0</v>
      </c>
    </row>
    <row r="106" spans="1:1">
      <c r="A106" s="1">
        <v>331001</v>
      </c>
    </row>
    <row r="107" spans="1:1">
      <c r="A107" s="1">
        <v>0</v>
      </c>
    </row>
    <row r="108" spans="1:1">
      <c r="A108" s="1">
        <v>0</v>
      </c>
    </row>
    <row r="109" spans="1:1">
      <c r="A109" s="1">
        <v>331002</v>
      </c>
    </row>
    <row r="110" spans="1:1">
      <c r="A110" s="1">
        <v>0</v>
      </c>
    </row>
    <row r="111" spans="1:1">
      <c r="A111" s="1">
        <v>331003</v>
      </c>
    </row>
    <row r="112" spans="1:1">
      <c r="A112" s="1">
        <v>411001</v>
      </c>
    </row>
    <row r="113" spans="1:1">
      <c r="A113" s="1">
        <v>0</v>
      </c>
    </row>
    <row r="114" spans="1:1">
      <c r="A114" s="1">
        <v>0</v>
      </c>
    </row>
    <row r="115" spans="1:1">
      <c r="A115" s="1">
        <v>421001</v>
      </c>
    </row>
    <row r="116" spans="1:1">
      <c r="A116" s="1">
        <v>0</v>
      </c>
    </row>
    <row r="117" spans="1:1">
      <c r="A117" s="1">
        <v>0</v>
      </c>
    </row>
    <row r="118" spans="1:1">
      <c r="A118" s="1">
        <v>431001</v>
      </c>
    </row>
    <row r="119" spans="1:1">
      <c r="A119" s="1">
        <v>0</v>
      </c>
    </row>
    <row r="120" spans="1:1">
      <c r="A120" s="1">
        <v>0</v>
      </c>
    </row>
    <row r="121" spans="1:1">
      <c r="A121" s="1">
        <v>431002</v>
      </c>
    </row>
    <row r="122" spans="1:1">
      <c r="A122" s="1">
        <v>0</v>
      </c>
    </row>
    <row r="123" spans="1:1">
      <c r="A123" s="1">
        <v>431003</v>
      </c>
    </row>
    <row r="124" spans="1:1">
      <c r="A124" s="1">
        <v>511001</v>
      </c>
    </row>
    <row r="125" spans="1:1">
      <c r="A125" s="1">
        <v>0</v>
      </c>
    </row>
    <row r="126" spans="1:1">
      <c r="A126" s="1">
        <v>0</v>
      </c>
    </row>
    <row r="127" spans="1:1">
      <c r="A127" s="1">
        <v>521001</v>
      </c>
    </row>
    <row r="128" spans="1:1">
      <c r="A128" s="1">
        <v>0</v>
      </c>
    </row>
    <row r="129" spans="1:1">
      <c r="A129" s="1">
        <v>0</v>
      </c>
    </row>
    <row r="130" spans="1:1">
      <c r="A130" s="1">
        <v>531001</v>
      </c>
    </row>
    <row r="131" spans="1:1">
      <c r="A131" s="1">
        <v>0</v>
      </c>
    </row>
    <row r="132" spans="1:1">
      <c r="A132" s="1">
        <v>0</v>
      </c>
    </row>
    <row r="133" spans="1:1">
      <c r="A133" s="1">
        <v>531002</v>
      </c>
    </row>
    <row r="134" spans="1:1">
      <c r="A134" s="1">
        <v>0</v>
      </c>
    </row>
    <row r="135" spans="1:1">
      <c r="A135" s="1">
        <v>531003</v>
      </c>
    </row>
    <row r="136" spans="1:1">
      <c r="A136" s="1">
        <v>611001</v>
      </c>
    </row>
    <row r="137" spans="1:1">
      <c r="A137" s="1">
        <v>0</v>
      </c>
    </row>
    <row r="138" spans="1:1">
      <c r="A138" s="1">
        <v>0</v>
      </c>
    </row>
    <row r="139" spans="1:1">
      <c r="A139" s="1">
        <v>621001</v>
      </c>
    </row>
    <row r="140" spans="1:1">
      <c r="A140" s="1">
        <v>0</v>
      </c>
    </row>
    <row r="141" spans="1:1">
      <c r="A141" s="1">
        <v>0</v>
      </c>
    </row>
    <row r="142" spans="1:1">
      <c r="A142" s="1">
        <v>631001</v>
      </c>
    </row>
    <row r="143" spans="1:1">
      <c r="A143" s="1">
        <v>0</v>
      </c>
    </row>
    <row r="144" spans="1:1">
      <c r="A144" s="1">
        <v>0</v>
      </c>
    </row>
    <row r="145" spans="1:1">
      <c r="A145" s="1">
        <v>631002</v>
      </c>
    </row>
    <row r="146" spans="1:1">
      <c r="A146" s="1">
        <v>0</v>
      </c>
    </row>
    <row r="147" spans="1:1">
      <c r="A147" s="1">
        <v>631003</v>
      </c>
    </row>
    <row r="148" spans="1:1">
      <c r="A148" s="1">
        <v>811001</v>
      </c>
    </row>
    <row r="149" spans="1:1">
      <c r="A149" s="1">
        <v>0</v>
      </c>
    </row>
    <row r="150" spans="1:1">
      <c r="A150" s="1">
        <v>0</v>
      </c>
    </row>
    <row r="151" spans="1:1">
      <c r="A151" s="1">
        <v>821001</v>
      </c>
    </row>
    <row r="152" spans="1:1">
      <c r="A152" s="1">
        <v>0</v>
      </c>
    </row>
    <row r="153" spans="1:1">
      <c r="A153" s="1">
        <v>0</v>
      </c>
    </row>
    <row r="154" spans="1:1">
      <c r="A154" s="1">
        <v>831001</v>
      </c>
    </row>
    <row r="155" spans="1:1">
      <c r="A155" s="1">
        <v>0</v>
      </c>
    </row>
    <row r="156" spans="1:1">
      <c r="A156" s="1">
        <v>0</v>
      </c>
    </row>
    <row r="157" spans="1:1">
      <c r="A157" s="1">
        <v>831002</v>
      </c>
    </row>
    <row r="158" spans="1:1">
      <c r="A158" s="1">
        <v>0</v>
      </c>
    </row>
    <row r="159" spans="1:1">
      <c r="A159" s="1">
        <v>831003</v>
      </c>
    </row>
    <row r="160" spans="1:1">
      <c r="A160" s="1">
        <v>111001</v>
      </c>
    </row>
    <row r="161" spans="1:1">
      <c r="A161" s="1">
        <v>0</v>
      </c>
    </row>
    <row r="162" spans="1:1">
      <c r="A162" s="1">
        <v>0</v>
      </c>
    </row>
    <row r="163" spans="1:1">
      <c r="A163" s="1">
        <v>111002</v>
      </c>
    </row>
    <row r="164" spans="1:1">
      <c r="A164" s="1">
        <v>0</v>
      </c>
    </row>
    <row r="165" spans="1:1">
      <c r="A165" s="1">
        <v>0</v>
      </c>
    </row>
    <row r="166" spans="1:1">
      <c r="A166" s="1">
        <v>121001</v>
      </c>
    </row>
    <row r="167" spans="1:1">
      <c r="A167" s="1">
        <v>0</v>
      </c>
    </row>
    <row r="168" spans="1:1">
      <c r="A168" s="1">
        <v>0</v>
      </c>
    </row>
    <row r="169" spans="1:1">
      <c r="A169" s="1">
        <v>121002</v>
      </c>
    </row>
    <row r="170" spans="1:1">
      <c r="A170" s="1">
        <v>0</v>
      </c>
    </row>
    <row r="171" spans="1:1">
      <c r="A171" s="1">
        <v>0</v>
      </c>
    </row>
    <row r="172" spans="1:1">
      <c r="A172" s="1">
        <v>131001</v>
      </c>
    </row>
    <row r="173" spans="1:1">
      <c r="A173" s="1">
        <v>0</v>
      </c>
    </row>
    <row r="174" spans="1:1">
      <c r="A174" s="1">
        <v>0</v>
      </c>
    </row>
    <row r="175" spans="1:1">
      <c r="A175" s="1">
        <v>131002</v>
      </c>
    </row>
    <row r="176" spans="1:1">
      <c r="A176" s="1">
        <v>0</v>
      </c>
    </row>
    <row r="177" spans="1:1">
      <c r="A177" s="1">
        <v>0</v>
      </c>
    </row>
    <row r="178" spans="1:1">
      <c r="A178" s="1">
        <v>131003</v>
      </c>
    </row>
    <row r="179" spans="1:1">
      <c r="A179" s="1">
        <v>0</v>
      </c>
    </row>
    <row r="180" spans="1:1">
      <c r="A180" s="1">
        <v>131004</v>
      </c>
    </row>
    <row r="181" spans="1:1">
      <c r="A181" s="1">
        <v>211001</v>
      </c>
    </row>
    <row r="182" spans="1:1">
      <c r="A182" s="1">
        <v>0</v>
      </c>
    </row>
    <row r="183" spans="1:1">
      <c r="A183" s="1">
        <v>0</v>
      </c>
    </row>
    <row r="184" spans="1:1">
      <c r="A184" s="1">
        <v>0</v>
      </c>
    </row>
    <row r="185" spans="1:1">
      <c r="A185" s="1">
        <v>0</v>
      </c>
    </row>
    <row r="186" spans="1:1">
      <c r="A186" s="1">
        <v>221001</v>
      </c>
    </row>
    <row r="187" spans="1:1">
      <c r="A187" s="1">
        <v>0</v>
      </c>
    </row>
    <row r="188" spans="1:1">
      <c r="A188" s="1">
        <v>0</v>
      </c>
    </row>
    <row r="189" spans="1:1">
      <c r="A189" s="1">
        <v>0</v>
      </c>
    </row>
    <row r="190" spans="1:1">
      <c r="A190" s="1">
        <v>0</v>
      </c>
    </row>
    <row r="191" spans="1:1">
      <c r="A191" s="1">
        <v>231001</v>
      </c>
    </row>
    <row r="192" spans="1:1">
      <c r="A192" s="1">
        <v>0</v>
      </c>
    </row>
    <row r="193" spans="1:1">
      <c r="A193" s="1">
        <v>0</v>
      </c>
    </row>
    <row r="194" spans="1:1">
      <c r="A194" s="1">
        <v>0</v>
      </c>
    </row>
    <row r="195" spans="1:1">
      <c r="A195" s="1">
        <v>0</v>
      </c>
    </row>
    <row r="196" spans="1:1">
      <c r="A196" s="1">
        <v>231002</v>
      </c>
    </row>
    <row r="197" spans="1:1">
      <c r="A197" s="1">
        <v>0</v>
      </c>
    </row>
    <row r="198" spans="1:1">
      <c r="A198" s="1">
        <v>0</v>
      </c>
    </row>
    <row r="199" spans="1:1">
      <c r="A199" s="1">
        <v>0</v>
      </c>
    </row>
    <row r="200" spans="1:1">
      <c r="A200" s="1">
        <v>0</v>
      </c>
    </row>
    <row r="201" spans="1:1">
      <c r="A201" s="1">
        <v>231003</v>
      </c>
    </row>
    <row r="202" spans="1:1">
      <c r="A202" s="1">
        <v>311001</v>
      </c>
    </row>
    <row r="203" spans="1:1">
      <c r="A203" s="1">
        <v>0</v>
      </c>
    </row>
    <row r="204" spans="1:1">
      <c r="A204" s="1">
        <v>0</v>
      </c>
    </row>
    <row r="205" spans="1:1">
      <c r="A205" s="1">
        <v>0</v>
      </c>
    </row>
    <row r="206" spans="1:1">
      <c r="A206" s="1">
        <v>0</v>
      </c>
    </row>
    <row r="207" spans="1:1">
      <c r="A207" s="1">
        <v>321001</v>
      </c>
    </row>
    <row r="208" spans="1:1">
      <c r="A208" s="1">
        <v>0</v>
      </c>
    </row>
    <row r="209" spans="1:1">
      <c r="A209" s="1">
        <v>0</v>
      </c>
    </row>
    <row r="210" spans="1:1">
      <c r="A210" s="1">
        <v>0</v>
      </c>
    </row>
    <row r="211" spans="1:1">
      <c r="A211" s="1">
        <v>0</v>
      </c>
    </row>
    <row r="212" spans="1:1">
      <c r="A212" s="1">
        <v>331001</v>
      </c>
    </row>
    <row r="213" spans="1:1">
      <c r="A213" s="1">
        <v>0</v>
      </c>
    </row>
    <row r="214" spans="1:1">
      <c r="A214" s="1">
        <v>0</v>
      </c>
    </row>
    <row r="215" spans="1:1">
      <c r="A215" s="1">
        <v>0</v>
      </c>
    </row>
    <row r="216" spans="1:1">
      <c r="A216" s="1">
        <v>0</v>
      </c>
    </row>
    <row r="217" spans="1:1">
      <c r="A217" s="1">
        <v>331002</v>
      </c>
    </row>
    <row r="218" spans="1:1">
      <c r="A218" s="1">
        <v>0</v>
      </c>
    </row>
    <row r="219" spans="1:1">
      <c r="A219" s="1">
        <v>0</v>
      </c>
    </row>
    <row r="220" spans="1:1">
      <c r="A220" s="1">
        <v>0</v>
      </c>
    </row>
    <row r="221" spans="1:1">
      <c r="A221" s="1">
        <v>0</v>
      </c>
    </row>
    <row r="222" spans="1:1">
      <c r="A222" s="1">
        <v>331003</v>
      </c>
    </row>
    <row r="223" spans="1:1">
      <c r="A223" s="1">
        <v>111001</v>
      </c>
    </row>
    <row r="224" spans="1:1">
      <c r="A224" s="1">
        <v>0</v>
      </c>
    </row>
    <row r="225" spans="1:1">
      <c r="A225" s="1">
        <v>0</v>
      </c>
    </row>
    <row r="226" spans="1:1">
      <c r="A226" s="1">
        <v>111002</v>
      </c>
    </row>
    <row r="227" spans="1:1">
      <c r="A227" s="1">
        <v>0</v>
      </c>
    </row>
    <row r="228" spans="1:1">
      <c r="A228" s="1">
        <v>0</v>
      </c>
    </row>
    <row r="229" spans="1:1">
      <c r="A229" s="1">
        <v>121001</v>
      </c>
    </row>
    <row r="230" spans="1:1">
      <c r="A230" s="1">
        <v>0</v>
      </c>
    </row>
    <row r="231" spans="1:1">
      <c r="A231" s="1">
        <v>0</v>
      </c>
    </row>
    <row r="232" spans="1:1">
      <c r="A232" s="1">
        <v>121002</v>
      </c>
    </row>
    <row r="233" spans="1:1">
      <c r="A233" s="1">
        <v>0</v>
      </c>
    </row>
    <row r="234" spans="1:1">
      <c r="A234" s="1">
        <v>0</v>
      </c>
    </row>
    <row r="235" spans="1:1">
      <c r="A235" s="1">
        <v>131001</v>
      </c>
    </row>
    <row r="236" spans="1:1">
      <c r="A236" s="1">
        <v>0</v>
      </c>
    </row>
    <row r="237" spans="1:1">
      <c r="A237" s="1">
        <v>0</v>
      </c>
    </row>
    <row r="238" spans="1:1">
      <c r="A238" s="1">
        <v>131002</v>
      </c>
    </row>
    <row r="239" spans="1:1">
      <c r="A239" s="1">
        <v>0</v>
      </c>
    </row>
    <row r="240" spans="1:1">
      <c r="A240" s="1">
        <v>0</v>
      </c>
    </row>
    <row r="241" spans="1:1">
      <c r="A241" s="1">
        <v>131003</v>
      </c>
    </row>
    <row r="242" spans="1:1">
      <c r="A242" s="1">
        <v>0</v>
      </c>
    </row>
    <row r="243" spans="1:1">
      <c r="A243" s="1">
        <v>131004</v>
      </c>
    </row>
    <row r="244" spans="1:1">
      <c r="A244" s="1">
        <v>411001</v>
      </c>
    </row>
    <row r="245" spans="1:1">
      <c r="A245" s="1">
        <v>0</v>
      </c>
    </row>
    <row r="246" spans="1:1">
      <c r="A246" s="1">
        <v>0</v>
      </c>
    </row>
    <row r="247" spans="1:1">
      <c r="A247" s="1">
        <v>0</v>
      </c>
    </row>
    <row r="248" spans="1:1">
      <c r="A248" s="1">
        <v>0</v>
      </c>
    </row>
    <row r="249" spans="1:1">
      <c r="A249" s="1">
        <v>421001</v>
      </c>
    </row>
    <row r="250" spans="1:1">
      <c r="A250" s="1">
        <v>0</v>
      </c>
    </row>
    <row r="251" spans="1:1">
      <c r="A251" s="1">
        <v>0</v>
      </c>
    </row>
    <row r="252" spans="1:1">
      <c r="A252" s="1">
        <v>0</v>
      </c>
    </row>
    <row r="253" spans="1:1">
      <c r="A253" s="1">
        <v>0</v>
      </c>
    </row>
    <row r="254" spans="1:1">
      <c r="A254" s="1">
        <v>431001</v>
      </c>
    </row>
    <row r="255" spans="1:1">
      <c r="A255" s="1">
        <v>0</v>
      </c>
    </row>
    <row r="256" spans="1:1">
      <c r="A256" s="1">
        <v>0</v>
      </c>
    </row>
    <row r="257" spans="1:1">
      <c r="A257" s="1">
        <v>0</v>
      </c>
    </row>
    <row r="258" spans="1:1">
      <c r="A258" s="1">
        <v>0</v>
      </c>
    </row>
    <row r="259" spans="1:1">
      <c r="A259" s="1">
        <v>431002</v>
      </c>
    </row>
    <row r="260" spans="1:1">
      <c r="A260" s="1">
        <v>0</v>
      </c>
    </row>
    <row r="261" spans="1:1">
      <c r="A261" s="1">
        <v>0</v>
      </c>
    </row>
    <row r="262" spans="1:1">
      <c r="A262" s="1">
        <v>0</v>
      </c>
    </row>
    <row r="263" spans="1:1">
      <c r="A263" s="1">
        <v>0</v>
      </c>
    </row>
    <row r="264" spans="1:1">
      <c r="A264" s="1">
        <v>431003</v>
      </c>
    </row>
    <row r="265" spans="1:1">
      <c r="A265" s="1">
        <v>511001</v>
      </c>
    </row>
    <row r="266" spans="1:1">
      <c r="A266" s="1">
        <v>0</v>
      </c>
    </row>
    <row r="267" spans="1:1">
      <c r="A267" s="1">
        <v>0</v>
      </c>
    </row>
    <row r="268" spans="1:1">
      <c r="A268" s="1">
        <v>0</v>
      </c>
    </row>
    <row r="269" spans="1:1">
      <c r="A269" s="1">
        <v>0</v>
      </c>
    </row>
    <row r="270" spans="1:1">
      <c r="A270" s="1">
        <v>521001</v>
      </c>
    </row>
    <row r="271" spans="1:1">
      <c r="A271" s="1">
        <v>0</v>
      </c>
    </row>
    <row r="272" spans="1:1">
      <c r="A272" s="1">
        <v>0</v>
      </c>
    </row>
    <row r="273" spans="1:1">
      <c r="A273" s="1">
        <v>0</v>
      </c>
    </row>
    <row r="274" spans="1:1">
      <c r="A274" s="1">
        <v>0</v>
      </c>
    </row>
    <row r="275" spans="1:1">
      <c r="A275" s="1">
        <v>531001</v>
      </c>
    </row>
    <row r="276" spans="1:1">
      <c r="A276" s="1">
        <v>0</v>
      </c>
    </row>
    <row r="277" spans="1:1">
      <c r="A277" s="1">
        <v>0</v>
      </c>
    </row>
    <row r="278" spans="1:1">
      <c r="A278" s="1">
        <v>0</v>
      </c>
    </row>
    <row r="279" spans="1:1">
      <c r="A279" s="1">
        <v>0</v>
      </c>
    </row>
    <row r="280" spans="1:1">
      <c r="A280" s="1">
        <v>531002</v>
      </c>
    </row>
    <row r="281" spans="1:1">
      <c r="A281" s="1">
        <v>0</v>
      </c>
    </row>
    <row r="282" spans="1:1">
      <c r="A282" s="1">
        <v>0</v>
      </c>
    </row>
    <row r="283" spans="1:1">
      <c r="A283" s="1">
        <v>0</v>
      </c>
    </row>
    <row r="284" spans="1:1">
      <c r="A284" s="1">
        <v>0</v>
      </c>
    </row>
    <row r="285" spans="1:1">
      <c r="A285" s="1">
        <v>531003</v>
      </c>
    </row>
    <row r="286" spans="1:1">
      <c r="A286" s="1">
        <v>611001</v>
      </c>
    </row>
    <row r="287" spans="1:1">
      <c r="A287" s="1">
        <v>0</v>
      </c>
    </row>
    <row r="288" spans="1:1">
      <c r="A288" s="1">
        <v>0</v>
      </c>
    </row>
    <row r="289" spans="1:1">
      <c r="A289" s="1">
        <v>0</v>
      </c>
    </row>
    <row r="290" spans="1:1">
      <c r="A290" s="1">
        <v>0</v>
      </c>
    </row>
    <row r="291" spans="1:1">
      <c r="A291" s="1">
        <v>621001</v>
      </c>
    </row>
    <row r="292" spans="1:1">
      <c r="A292" s="1">
        <v>0</v>
      </c>
    </row>
    <row r="293" spans="1:1">
      <c r="A293" s="1">
        <v>0</v>
      </c>
    </row>
    <row r="294" spans="1:1">
      <c r="A294" s="1">
        <v>0</v>
      </c>
    </row>
    <row r="295" spans="1:1">
      <c r="A295" s="1">
        <v>0</v>
      </c>
    </row>
    <row r="296" spans="1:1">
      <c r="A296" s="1">
        <v>631001</v>
      </c>
    </row>
    <row r="297" spans="1:1">
      <c r="A297" s="1">
        <v>0</v>
      </c>
    </row>
    <row r="298" spans="1:1">
      <c r="A298" s="1">
        <v>0</v>
      </c>
    </row>
    <row r="299" spans="1:1">
      <c r="A299" s="1">
        <v>0</v>
      </c>
    </row>
    <row r="300" spans="1:1">
      <c r="A300" s="1">
        <v>0</v>
      </c>
    </row>
    <row r="301" spans="1:1">
      <c r="A301" s="1">
        <v>631002</v>
      </c>
    </row>
    <row r="302" spans="1:1">
      <c r="A302" s="1">
        <v>0</v>
      </c>
    </row>
    <row r="303" spans="1:1">
      <c r="A303" s="1">
        <v>0</v>
      </c>
    </row>
    <row r="304" spans="1:1">
      <c r="A304" s="1">
        <v>0</v>
      </c>
    </row>
    <row r="305" spans="1:1">
      <c r="A305" s="1">
        <v>0</v>
      </c>
    </row>
    <row r="306" spans="1:1">
      <c r="A306" s="1">
        <v>631003</v>
      </c>
    </row>
    <row r="307" spans="1:1">
      <c r="A307" s="1">
        <v>711001</v>
      </c>
    </row>
    <row r="308" spans="1:1">
      <c r="A308" s="1">
        <v>0</v>
      </c>
    </row>
    <row r="309" spans="1:1">
      <c r="A309" s="1">
        <v>0</v>
      </c>
    </row>
    <row r="310" spans="1:1">
      <c r="A310" s="1">
        <v>0</v>
      </c>
    </row>
    <row r="311" spans="1:1">
      <c r="A311" s="1">
        <v>0</v>
      </c>
    </row>
    <row r="312" spans="1:1">
      <c r="A312" s="1">
        <v>721001</v>
      </c>
    </row>
    <row r="313" spans="1:1">
      <c r="A313" s="1">
        <v>0</v>
      </c>
    </row>
    <row r="314" spans="1:1">
      <c r="A314" s="1">
        <v>0</v>
      </c>
    </row>
    <row r="315" spans="1:1">
      <c r="A315" s="1">
        <v>0</v>
      </c>
    </row>
    <row r="316" spans="1:1">
      <c r="A316" s="1">
        <v>0</v>
      </c>
    </row>
    <row r="317" spans="1:1">
      <c r="A317" s="1">
        <v>731001</v>
      </c>
    </row>
    <row r="318" spans="1:1">
      <c r="A318" s="1">
        <v>0</v>
      </c>
    </row>
    <row r="319" spans="1:1">
      <c r="A319" s="1">
        <v>0</v>
      </c>
    </row>
    <row r="320" spans="1:1">
      <c r="A320" s="1">
        <v>0</v>
      </c>
    </row>
    <row r="321" spans="1:1">
      <c r="A321" s="1">
        <v>0</v>
      </c>
    </row>
    <row r="322" spans="1:1">
      <c r="A322" s="1">
        <v>731002</v>
      </c>
    </row>
    <row r="323" spans="1:1">
      <c r="A323" s="1">
        <v>0</v>
      </c>
    </row>
    <row r="324" spans="1:1">
      <c r="A324" s="1">
        <v>0</v>
      </c>
    </row>
    <row r="325" spans="1:1">
      <c r="A325" s="1">
        <v>0</v>
      </c>
    </row>
    <row r="326" spans="1:1">
      <c r="A326" s="1">
        <v>0</v>
      </c>
    </row>
    <row r="327" spans="1:1">
      <c r="A327" s="1">
        <v>731003</v>
      </c>
    </row>
    <row r="328" spans="1:1">
      <c r="A328" s="1">
        <v>811001</v>
      </c>
    </row>
    <row r="329" spans="1:1">
      <c r="A329" s="1">
        <v>0</v>
      </c>
    </row>
    <row r="330" spans="1:1">
      <c r="A330" s="1">
        <v>0</v>
      </c>
    </row>
    <row r="331" spans="1:1">
      <c r="A331" s="1">
        <v>0</v>
      </c>
    </row>
    <row r="332" spans="1:1">
      <c r="A332" s="1">
        <v>0</v>
      </c>
    </row>
    <row r="333" spans="1:1">
      <c r="A333" s="1">
        <v>821001</v>
      </c>
    </row>
    <row r="334" spans="1:1">
      <c r="A334" s="1">
        <v>0</v>
      </c>
    </row>
    <row r="335" spans="1:1">
      <c r="A335" s="1">
        <v>0</v>
      </c>
    </row>
    <row r="336" spans="1:1">
      <c r="A336" s="1">
        <v>0</v>
      </c>
    </row>
    <row r="337" spans="1:1">
      <c r="A337" s="1">
        <v>0</v>
      </c>
    </row>
    <row r="338" spans="1:1">
      <c r="A338" s="1">
        <v>831001</v>
      </c>
    </row>
    <row r="339" spans="1:1">
      <c r="A339" s="1">
        <v>0</v>
      </c>
    </row>
    <row r="340" spans="1:1">
      <c r="A340" s="1">
        <v>0</v>
      </c>
    </row>
    <row r="341" spans="1:1">
      <c r="A341" s="1">
        <v>0</v>
      </c>
    </row>
    <row r="342" spans="1:1">
      <c r="A342" s="1">
        <v>0</v>
      </c>
    </row>
    <row r="343" spans="1:1">
      <c r="A343" s="1">
        <v>831002</v>
      </c>
    </row>
    <row r="344" spans="1:1">
      <c r="A344" s="1">
        <v>0</v>
      </c>
    </row>
    <row r="345" spans="1:1">
      <c r="A345" s="1">
        <v>0</v>
      </c>
    </row>
    <row r="346" spans="1:1">
      <c r="A346" s="1">
        <v>0</v>
      </c>
    </row>
    <row r="347" spans="1:1">
      <c r="A347" s="1">
        <v>0</v>
      </c>
    </row>
    <row r="348" spans="1:1">
      <c r="A348" s="1">
        <v>831003</v>
      </c>
    </row>
    <row r="349" spans="1:1">
      <c r="A349" s="1">
        <v>711001</v>
      </c>
    </row>
    <row r="350" spans="1:1">
      <c r="A350" s="1">
        <v>0</v>
      </c>
    </row>
    <row r="351" spans="1:1">
      <c r="A351" s="1">
        <v>0</v>
      </c>
    </row>
    <row r="352" spans="1:1">
      <c r="A352" s="1">
        <v>0</v>
      </c>
    </row>
    <row r="353" spans="1:1">
      <c r="A353" s="1">
        <v>0</v>
      </c>
    </row>
    <row r="354" spans="1:1">
      <c r="A354" s="1">
        <v>721001</v>
      </c>
    </row>
    <row r="355" spans="1:1">
      <c r="A355" s="1">
        <v>0</v>
      </c>
    </row>
    <row r="356" spans="1:1">
      <c r="A356" s="1">
        <v>0</v>
      </c>
    </row>
    <row r="357" spans="1:1">
      <c r="A357" s="1">
        <v>0</v>
      </c>
    </row>
    <row r="358" spans="1:1">
      <c r="A358" s="1">
        <v>0</v>
      </c>
    </row>
    <row r="359" spans="1:1">
      <c r="A359" s="1">
        <v>731001</v>
      </c>
    </row>
    <row r="360" spans="1:1">
      <c r="A360" s="1">
        <v>0</v>
      </c>
    </row>
    <row r="361" spans="1:1">
      <c r="A361" s="1">
        <v>0</v>
      </c>
    </row>
    <row r="362" spans="1:1">
      <c r="A362" s="1">
        <v>0</v>
      </c>
    </row>
    <row r="363" spans="1:1">
      <c r="A363" s="1">
        <v>0</v>
      </c>
    </row>
    <row r="364" spans="1:1">
      <c r="A364" s="1">
        <v>731002</v>
      </c>
    </row>
    <row r="365" spans="1:1">
      <c r="A365" s="1">
        <v>0</v>
      </c>
    </row>
    <row r="366" spans="1:1">
      <c r="A366" s="1">
        <v>0</v>
      </c>
    </row>
    <row r="367" spans="1:1">
      <c r="A367" s="1">
        <v>0</v>
      </c>
    </row>
    <row r="368" spans="1:1">
      <c r="A368" s="1">
        <v>0</v>
      </c>
    </row>
    <row r="369" spans="1:1">
      <c r="A369" s="1">
        <v>731003</v>
      </c>
    </row>
    <row r="370" spans="1:1">
      <c r="A370" s="1">
        <v>811001</v>
      </c>
    </row>
    <row r="371" spans="1:1">
      <c r="A371" s="1">
        <v>0</v>
      </c>
    </row>
    <row r="372" spans="1:1">
      <c r="A372" s="1">
        <v>0</v>
      </c>
    </row>
    <row r="373" spans="1:1">
      <c r="A373" s="1">
        <v>0</v>
      </c>
    </row>
    <row r="374" spans="1:1">
      <c r="A374" s="1">
        <v>0</v>
      </c>
    </row>
    <row r="375" spans="1:1">
      <c r="A375" s="1">
        <v>821001</v>
      </c>
    </row>
    <row r="376" spans="1:1">
      <c r="A376" s="1">
        <v>0</v>
      </c>
    </row>
    <row r="377" spans="1:1">
      <c r="A377" s="1">
        <v>0</v>
      </c>
    </row>
    <row r="378" spans="1:1">
      <c r="A378" s="1">
        <v>0</v>
      </c>
    </row>
    <row r="379" spans="1:1">
      <c r="A379" s="1">
        <v>0</v>
      </c>
    </row>
    <row r="380" spans="1:1">
      <c r="A380" s="1">
        <v>831001</v>
      </c>
    </row>
    <row r="381" spans="1:1">
      <c r="A381" s="1">
        <v>0</v>
      </c>
    </row>
    <row r="382" spans="1:1">
      <c r="A382" s="1">
        <v>0</v>
      </c>
    </row>
    <row r="383" spans="1:1">
      <c r="A383" s="1">
        <v>0</v>
      </c>
    </row>
    <row r="384" spans="1:1">
      <c r="A384" s="1">
        <v>0</v>
      </c>
    </row>
    <row r="385" spans="1:1">
      <c r="A385" s="1">
        <v>831002</v>
      </c>
    </row>
    <row r="386" spans="1:1">
      <c r="A386" s="1">
        <v>0</v>
      </c>
    </row>
    <row r="387" spans="1:1">
      <c r="A387" s="1">
        <v>0</v>
      </c>
    </row>
    <row r="388" spans="1:1">
      <c r="A388" s="1">
        <v>0</v>
      </c>
    </row>
    <row r="389" spans="1:1">
      <c r="A389" s="1">
        <v>0</v>
      </c>
    </row>
    <row r="390" spans="1:1">
      <c r="A390" s="1">
        <v>831003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:L390"/>
  <sheetViews>
    <sheetView workbookViewId="0">
      <selection activeCell="G4" sqref="G4:G390"/>
    </sheetView>
  </sheetViews>
  <sheetFormatPr defaultColWidth="9" defaultRowHeight="16.5"/>
  <cols>
    <col min="6" max="6" width="9" style="1"/>
  </cols>
  <sheetData>
    <row r="1" spans="6:6">
      <c r="F1" s="1" t="s">
        <v>18</v>
      </c>
    </row>
    <row r="2" spans="6:6">
      <c r="F2" s="1" t="s">
        <v>22</v>
      </c>
    </row>
    <row r="3" spans="6:6">
      <c r="F3" s="1" t="s">
        <v>41</v>
      </c>
    </row>
    <row r="4" spans="6:7">
      <c r="F4" s="1">
        <v>111001</v>
      </c>
      <c r="G4">
        <f>IF(VLOOKUP(F4,K:L,2,FALSE)=0,0,F4)</f>
        <v>111001</v>
      </c>
    </row>
    <row r="5" spans="6:12">
      <c r="F5" s="1">
        <v>0</v>
      </c>
      <c r="G5">
        <f t="shared" ref="G5:G36" si="0">IF(VLOOKUP(F5,K:L,2,FALSE)=0,0,F5)</f>
        <v>0</v>
      </c>
      <c r="K5">
        <v>111002</v>
      </c>
      <c r="L5">
        <v>0</v>
      </c>
    </row>
    <row r="6" spans="6:12">
      <c r="F6" s="1">
        <v>111002</v>
      </c>
      <c r="G6">
        <f t="shared" si="0"/>
        <v>0</v>
      </c>
      <c r="K6">
        <v>121002</v>
      </c>
      <c r="L6">
        <v>0</v>
      </c>
    </row>
    <row r="7" spans="6:12">
      <c r="F7" s="1">
        <v>0</v>
      </c>
      <c r="G7">
        <f t="shared" si="0"/>
        <v>0</v>
      </c>
      <c r="K7">
        <v>131002</v>
      </c>
      <c r="L7">
        <v>0</v>
      </c>
    </row>
    <row r="8" spans="6:12">
      <c r="F8" s="1">
        <v>121001</v>
      </c>
      <c r="G8">
        <f t="shared" si="0"/>
        <v>121001</v>
      </c>
      <c r="K8">
        <v>131003</v>
      </c>
      <c r="L8">
        <v>0</v>
      </c>
    </row>
    <row r="9" spans="6:12">
      <c r="F9" s="1">
        <v>0</v>
      </c>
      <c r="G9">
        <f t="shared" si="0"/>
        <v>0</v>
      </c>
      <c r="K9">
        <v>131004</v>
      </c>
      <c r="L9">
        <v>0</v>
      </c>
    </row>
    <row r="10" spans="6:12">
      <c r="F10" s="1">
        <v>121002</v>
      </c>
      <c r="G10">
        <f t="shared" si="0"/>
        <v>0</v>
      </c>
      <c r="K10">
        <v>231003</v>
      </c>
      <c r="L10">
        <v>0</v>
      </c>
    </row>
    <row r="11" spans="6:12">
      <c r="F11" s="1">
        <v>0</v>
      </c>
      <c r="G11">
        <f t="shared" si="0"/>
        <v>0</v>
      </c>
      <c r="K11">
        <v>331003</v>
      </c>
      <c r="L11">
        <v>0</v>
      </c>
    </row>
    <row r="12" spans="6:12">
      <c r="F12" s="1">
        <v>131001</v>
      </c>
      <c r="G12">
        <f t="shared" si="0"/>
        <v>131001</v>
      </c>
      <c r="K12">
        <v>431002</v>
      </c>
      <c r="L12">
        <v>0</v>
      </c>
    </row>
    <row r="13" spans="6:12">
      <c r="F13" s="1">
        <v>131002</v>
      </c>
      <c r="G13">
        <f t="shared" si="0"/>
        <v>0</v>
      </c>
      <c r="K13">
        <v>431003</v>
      </c>
      <c r="L13">
        <v>0</v>
      </c>
    </row>
    <row r="14" spans="6:12">
      <c r="F14" s="1">
        <v>131003</v>
      </c>
      <c r="G14">
        <f t="shared" si="0"/>
        <v>0</v>
      </c>
      <c r="K14">
        <v>531003</v>
      </c>
      <c r="L14">
        <v>0</v>
      </c>
    </row>
    <row r="15" spans="6:12">
      <c r="F15" s="1">
        <v>131004</v>
      </c>
      <c r="G15">
        <f t="shared" si="0"/>
        <v>0</v>
      </c>
      <c r="K15">
        <v>631002</v>
      </c>
      <c r="L15">
        <v>1</v>
      </c>
    </row>
    <row r="16" spans="6:12">
      <c r="F16" s="1">
        <v>211001</v>
      </c>
      <c r="G16">
        <f t="shared" si="0"/>
        <v>211001</v>
      </c>
      <c r="K16">
        <v>631003</v>
      </c>
      <c r="L16">
        <v>0</v>
      </c>
    </row>
    <row r="17" spans="6:12">
      <c r="F17" s="1">
        <v>0</v>
      </c>
      <c r="G17">
        <f t="shared" si="0"/>
        <v>0</v>
      </c>
      <c r="K17">
        <v>731002</v>
      </c>
      <c r="L17">
        <v>0</v>
      </c>
    </row>
    <row r="18" spans="6:12">
      <c r="F18" s="1">
        <v>0</v>
      </c>
      <c r="G18">
        <f t="shared" si="0"/>
        <v>0</v>
      </c>
      <c r="K18">
        <v>831003</v>
      </c>
      <c r="L18">
        <v>0</v>
      </c>
    </row>
    <row r="19" spans="6:12">
      <c r="F19" s="1">
        <v>221001</v>
      </c>
      <c r="G19">
        <f t="shared" si="0"/>
        <v>221001</v>
      </c>
      <c r="K19">
        <v>111001</v>
      </c>
      <c r="L19">
        <v>1</v>
      </c>
    </row>
    <row r="20" spans="6:12">
      <c r="F20" s="1">
        <v>0</v>
      </c>
      <c r="G20">
        <f t="shared" si="0"/>
        <v>0</v>
      </c>
      <c r="K20">
        <v>121001</v>
      </c>
      <c r="L20">
        <v>1</v>
      </c>
    </row>
    <row r="21" spans="6:12">
      <c r="F21" s="1">
        <v>0</v>
      </c>
      <c r="G21">
        <f t="shared" si="0"/>
        <v>0</v>
      </c>
      <c r="K21">
        <v>131001</v>
      </c>
      <c r="L21">
        <v>1</v>
      </c>
    </row>
    <row r="22" spans="6:12">
      <c r="F22" s="1">
        <v>231001</v>
      </c>
      <c r="G22">
        <f t="shared" si="0"/>
        <v>231001</v>
      </c>
      <c r="K22">
        <v>211001</v>
      </c>
      <c r="L22">
        <v>1</v>
      </c>
    </row>
    <row r="23" spans="6:12">
      <c r="F23" s="1">
        <v>0</v>
      </c>
      <c r="G23">
        <f t="shared" si="0"/>
        <v>0</v>
      </c>
      <c r="K23">
        <v>221001</v>
      </c>
      <c r="L23">
        <v>1</v>
      </c>
    </row>
    <row r="24" spans="6:12">
      <c r="F24" s="1">
        <v>0</v>
      </c>
      <c r="G24">
        <f t="shared" si="0"/>
        <v>0</v>
      </c>
      <c r="K24">
        <v>231001</v>
      </c>
      <c r="L24">
        <v>1</v>
      </c>
    </row>
    <row r="25" spans="6:12">
      <c r="F25" s="1">
        <v>231002</v>
      </c>
      <c r="G25">
        <f t="shared" si="0"/>
        <v>231002</v>
      </c>
      <c r="K25">
        <v>231002</v>
      </c>
      <c r="L25">
        <v>1</v>
      </c>
    </row>
    <row r="26" spans="6:12">
      <c r="F26" s="1">
        <v>0</v>
      </c>
      <c r="G26">
        <f t="shared" si="0"/>
        <v>0</v>
      </c>
      <c r="K26">
        <v>311001</v>
      </c>
      <c r="L26">
        <v>1</v>
      </c>
    </row>
    <row r="27" spans="6:12">
      <c r="F27" s="1">
        <v>231003</v>
      </c>
      <c r="G27">
        <f t="shared" si="0"/>
        <v>0</v>
      </c>
      <c r="K27">
        <v>321001</v>
      </c>
      <c r="L27">
        <v>1</v>
      </c>
    </row>
    <row r="28" spans="6:12">
      <c r="F28" s="1">
        <v>311001</v>
      </c>
      <c r="G28">
        <f t="shared" si="0"/>
        <v>311001</v>
      </c>
      <c r="K28">
        <v>331001</v>
      </c>
      <c r="L28">
        <v>1</v>
      </c>
    </row>
    <row r="29" spans="6:12">
      <c r="F29" s="1">
        <v>0</v>
      </c>
      <c r="G29">
        <f t="shared" si="0"/>
        <v>0</v>
      </c>
      <c r="K29">
        <v>331002</v>
      </c>
      <c r="L29">
        <v>1</v>
      </c>
    </row>
    <row r="30" spans="6:12">
      <c r="F30" s="1">
        <v>0</v>
      </c>
      <c r="G30">
        <f t="shared" si="0"/>
        <v>0</v>
      </c>
      <c r="K30">
        <v>411001</v>
      </c>
      <c r="L30">
        <v>1</v>
      </c>
    </row>
    <row r="31" spans="6:12">
      <c r="F31" s="1">
        <v>321001</v>
      </c>
      <c r="G31">
        <f t="shared" si="0"/>
        <v>321001</v>
      </c>
      <c r="K31">
        <v>421001</v>
      </c>
      <c r="L31">
        <v>1</v>
      </c>
    </row>
    <row r="32" spans="6:12">
      <c r="F32" s="1">
        <v>0</v>
      </c>
      <c r="G32">
        <f t="shared" si="0"/>
        <v>0</v>
      </c>
      <c r="K32">
        <v>431001</v>
      </c>
      <c r="L32">
        <v>1</v>
      </c>
    </row>
    <row r="33" spans="6:12">
      <c r="F33" s="1">
        <v>0</v>
      </c>
      <c r="G33">
        <f t="shared" si="0"/>
        <v>0</v>
      </c>
      <c r="K33">
        <v>511001</v>
      </c>
      <c r="L33">
        <v>1</v>
      </c>
    </row>
    <row r="34" spans="6:12">
      <c r="F34" s="1">
        <v>331001</v>
      </c>
      <c r="G34">
        <f t="shared" si="0"/>
        <v>331001</v>
      </c>
      <c r="K34">
        <v>521001</v>
      </c>
      <c r="L34">
        <v>1</v>
      </c>
    </row>
    <row r="35" spans="6:12">
      <c r="F35" s="1">
        <v>0</v>
      </c>
      <c r="G35">
        <f t="shared" si="0"/>
        <v>0</v>
      </c>
      <c r="K35">
        <v>531001</v>
      </c>
      <c r="L35">
        <v>1</v>
      </c>
    </row>
    <row r="36" spans="6:12">
      <c r="F36" s="1">
        <v>0</v>
      </c>
      <c r="G36">
        <f t="shared" si="0"/>
        <v>0</v>
      </c>
      <c r="K36">
        <v>531002</v>
      </c>
      <c r="L36">
        <v>1</v>
      </c>
    </row>
    <row r="37" spans="6:12">
      <c r="F37" s="1">
        <v>331002</v>
      </c>
      <c r="G37">
        <f t="shared" ref="G37:G68" si="1">IF(VLOOKUP(F37,K:L,2,FALSE)=0,0,F37)</f>
        <v>331002</v>
      </c>
      <c r="K37">
        <v>611001</v>
      </c>
      <c r="L37">
        <v>1</v>
      </c>
    </row>
    <row r="38" spans="6:12">
      <c r="F38" s="1">
        <v>0</v>
      </c>
      <c r="G38">
        <f t="shared" si="1"/>
        <v>0</v>
      </c>
      <c r="K38">
        <v>621001</v>
      </c>
      <c r="L38">
        <v>1</v>
      </c>
    </row>
    <row r="39" spans="6:12">
      <c r="F39" s="1">
        <v>331003</v>
      </c>
      <c r="G39">
        <f t="shared" si="1"/>
        <v>0</v>
      </c>
      <c r="K39">
        <v>631001</v>
      </c>
      <c r="L39">
        <v>0</v>
      </c>
    </row>
    <row r="40" spans="6:12">
      <c r="F40" s="1">
        <v>411001</v>
      </c>
      <c r="G40">
        <f t="shared" si="1"/>
        <v>411001</v>
      </c>
      <c r="K40">
        <v>711001</v>
      </c>
      <c r="L40">
        <v>1</v>
      </c>
    </row>
    <row r="41" spans="6:12">
      <c r="F41" s="1">
        <v>0</v>
      </c>
      <c r="G41">
        <f t="shared" si="1"/>
        <v>0</v>
      </c>
      <c r="K41">
        <v>721001</v>
      </c>
      <c r="L41">
        <v>1</v>
      </c>
    </row>
    <row r="42" spans="6:12">
      <c r="F42" s="1">
        <v>0</v>
      </c>
      <c r="G42">
        <f t="shared" si="1"/>
        <v>0</v>
      </c>
      <c r="K42">
        <v>731001</v>
      </c>
      <c r="L42">
        <v>1</v>
      </c>
    </row>
    <row r="43" spans="6:12">
      <c r="F43" s="1">
        <v>421001</v>
      </c>
      <c r="G43">
        <f t="shared" si="1"/>
        <v>421001</v>
      </c>
      <c r="K43">
        <v>731003</v>
      </c>
      <c r="L43">
        <v>1</v>
      </c>
    </row>
    <row r="44" spans="6:12">
      <c r="F44" s="1">
        <v>0</v>
      </c>
      <c r="G44">
        <f t="shared" si="1"/>
        <v>0</v>
      </c>
      <c r="K44">
        <v>811001</v>
      </c>
      <c r="L44">
        <v>1</v>
      </c>
    </row>
    <row r="45" spans="6:12">
      <c r="F45" s="1">
        <v>0</v>
      </c>
      <c r="G45">
        <f t="shared" si="1"/>
        <v>0</v>
      </c>
      <c r="K45">
        <v>821001</v>
      </c>
      <c r="L45">
        <v>1</v>
      </c>
    </row>
    <row r="46" spans="6:12">
      <c r="F46" s="1">
        <v>431001</v>
      </c>
      <c r="G46">
        <f t="shared" si="1"/>
        <v>431001</v>
      </c>
      <c r="K46">
        <v>831001</v>
      </c>
      <c r="L46">
        <v>1</v>
      </c>
    </row>
    <row r="47" spans="6:12">
      <c r="F47" s="1">
        <v>0</v>
      </c>
      <c r="G47">
        <f t="shared" si="1"/>
        <v>0</v>
      </c>
      <c r="K47">
        <v>831002</v>
      </c>
      <c r="L47">
        <v>1</v>
      </c>
    </row>
    <row r="48" spans="6:12">
      <c r="F48" s="1">
        <v>0</v>
      </c>
      <c r="G48">
        <f t="shared" si="1"/>
        <v>0</v>
      </c>
      <c r="K48">
        <v>0</v>
      </c>
      <c r="L48">
        <v>1</v>
      </c>
    </row>
    <row r="49" spans="6:7">
      <c r="F49" s="1">
        <v>431002</v>
      </c>
      <c r="G49">
        <f t="shared" si="1"/>
        <v>0</v>
      </c>
    </row>
    <row r="50" spans="6:7">
      <c r="F50" s="1">
        <v>0</v>
      </c>
      <c r="G50">
        <f t="shared" si="1"/>
        <v>0</v>
      </c>
    </row>
    <row r="51" spans="6:7">
      <c r="F51" s="1">
        <v>431003</v>
      </c>
      <c r="G51">
        <f t="shared" si="1"/>
        <v>0</v>
      </c>
    </row>
    <row r="52" spans="6:7">
      <c r="F52" s="1">
        <v>511001</v>
      </c>
      <c r="G52">
        <f t="shared" si="1"/>
        <v>511001</v>
      </c>
    </row>
    <row r="53" spans="6:7">
      <c r="F53" s="1">
        <v>0</v>
      </c>
      <c r="G53">
        <f t="shared" si="1"/>
        <v>0</v>
      </c>
    </row>
    <row r="54" spans="6:7">
      <c r="F54" s="1">
        <v>0</v>
      </c>
      <c r="G54">
        <f t="shared" si="1"/>
        <v>0</v>
      </c>
    </row>
    <row r="55" spans="6:7">
      <c r="F55" s="1">
        <v>521001</v>
      </c>
      <c r="G55">
        <f t="shared" si="1"/>
        <v>521001</v>
      </c>
    </row>
    <row r="56" spans="6:7">
      <c r="F56" s="1">
        <v>0</v>
      </c>
      <c r="G56">
        <f t="shared" si="1"/>
        <v>0</v>
      </c>
    </row>
    <row r="57" spans="6:7">
      <c r="F57" s="1">
        <v>0</v>
      </c>
      <c r="G57">
        <f t="shared" si="1"/>
        <v>0</v>
      </c>
    </row>
    <row r="58" spans="6:7">
      <c r="F58" s="1">
        <v>531001</v>
      </c>
      <c r="G58">
        <f t="shared" si="1"/>
        <v>531001</v>
      </c>
    </row>
    <row r="59" spans="6:7">
      <c r="F59" s="1">
        <v>0</v>
      </c>
      <c r="G59">
        <f t="shared" si="1"/>
        <v>0</v>
      </c>
    </row>
    <row r="60" spans="6:7">
      <c r="F60" s="1">
        <v>0</v>
      </c>
      <c r="G60">
        <f t="shared" si="1"/>
        <v>0</v>
      </c>
    </row>
    <row r="61" spans="6:7">
      <c r="F61" s="1">
        <v>531002</v>
      </c>
      <c r="G61">
        <f t="shared" si="1"/>
        <v>531002</v>
      </c>
    </row>
    <row r="62" spans="6:7">
      <c r="F62" s="1">
        <v>0</v>
      </c>
      <c r="G62">
        <f t="shared" si="1"/>
        <v>0</v>
      </c>
    </row>
    <row r="63" spans="6:7">
      <c r="F63" s="1">
        <v>531003</v>
      </c>
      <c r="G63">
        <f t="shared" si="1"/>
        <v>0</v>
      </c>
    </row>
    <row r="64" spans="6:7">
      <c r="F64" s="1">
        <v>611001</v>
      </c>
      <c r="G64">
        <f t="shared" si="1"/>
        <v>611001</v>
      </c>
    </row>
    <row r="65" spans="6:7">
      <c r="F65" s="1">
        <v>0</v>
      </c>
      <c r="G65">
        <f t="shared" si="1"/>
        <v>0</v>
      </c>
    </row>
    <row r="66" spans="6:7">
      <c r="F66" s="1">
        <v>0</v>
      </c>
      <c r="G66">
        <f t="shared" si="1"/>
        <v>0</v>
      </c>
    </row>
    <row r="67" spans="6:7">
      <c r="F67" s="1">
        <v>621001</v>
      </c>
      <c r="G67">
        <f t="shared" si="1"/>
        <v>621001</v>
      </c>
    </row>
    <row r="68" spans="6:7">
      <c r="F68" s="1">
        <v>0</v>
      </c>
      <c r="G68">
        <f t="shared" si="1"/>
        <v>0</v>
      </c>
    </row>
    <row r="69" spans="6:7">
      <c r="F69" s="1">
        <v>0</v>
      </c>
      <c r="G69">
        <f t="shared" ref="G69:G99" si="2">IF(VLOOKUP(F69,K:L,2,FALSE)=0,0,F69)</f>
        <v>0</v>
      </c>
    </row>
    <row r="70" spans="6:7">
      <c r="F70" s="1">
        <v>631001</v>
      </c>
      <c r="G70">
        <f t="shared" si="2"/>
        <v>0</v>
      </c>
    </row>
    <row r="71" spans="6:7">
      <c r="F71" s="1">
        <v>0</v>
      </c>
      <c r="G71">
        <f t="shared" si="2"/>
        <v>0</v>
      </c>
    </row>
    <row r="72" spans="6:7">
      <c r="F72" s="1">
        <v>0</v>
      </c>
      <c r="G72">
        <f t="shared" si="2"/>
        <v>0</v>
      </c>
    </row>
    <row r="73" spans="6:7">
      <c r="F73" s="1">
        <v>631002</v>
      </c>
      <c r="G73">
        <f t="shared" si="2"/>
        <v>631002</v>
      </c>
    </row>
    <row r="74" spans="6:7">
      <c r="F74" s="1">
        <v>0</v>
      </c>
      <c r="G74">
        <f t="shared" si="2"/>
        <v>0</v>
      </c>
    </row>
    <row r="75" spans="6:7">
      <c r="F75" s="1">
        <v>631003</v>
      </c>
      <c r="G75">
        <f t="shared" si="2"/>
        <v>0</v>
      </c>
    </row>
    <row r="76" spans="6:7">
      <c r="F76" s="1">
        <v>111001</v>
      </c>
      <c r="G76">
        <f t="shared" si="2"/>
        <v>111001</v>
      </c>
    </row>
    <row r="77" spans="6:7">
      <c r="F77" s="1">
        <v>0</v>
      </c>
      <c r="G77">
        <f t="shared" si="2"/>
        <v>0</v>
      </c>
    </row>
    <row r="78" spans="6:7">
      <c r="F78" s="1">
        <v>111002</v>
      </c>
      <c r="G78">
        <f t="shared" si="2"/>
        <v>0</v>
      </c>
    </row>
    <row r="79" spans="6:7">
      <c r="F79" s="1">
        <v>0</v>
      </c>
      <c r="G79">
        <f t="shared" si="2"/>
        <v>0</v>
      </c>
    </row>
    <row r="80" spans="6:7">
      <c r="F80" s="1">
        <v>121001</v>
      </c>
      <c r="G80">
        <f t="shared" si="2"/>
        <v>121001</v>
      </c>
    </row>
    <row r="81" spans="6:7">
      <c r="F81" s="1">
        <v>0</v>
      </c>
      <c r="G81">
        <f t="shared" si="2"/>
        <v>0</v>
      </c>
    </row>
    <row r="82" spans="6:7">
      <c r="F82" s="1">
        <v>121002</v>
      </c>
      <c r="G82">
        <f t="shared" si="2"/>
        <v>0</v>
      </c>
    </row>
    <row r="83" spans="6:7">
      <c r="F83" s="1">
        <v>0</v>
      </c>
      <c r="G83">
        <f t="shared" si="2"/>
        <v>0</v>
      </c>
    </row>
    <row r="84" spans="6:7">
      <c r="F84" s="1">
        <v>131001</v>
      </c>
      <c r="G84">
        <f t="shared" si="2"/>
        <v>131001</v>
      </c>
    </row>
    <row r="85" spans="6:7">
      <c r="F85" s="1">
        <v>131002</v>
      </c>
      <c r="G85">
        <f t="shared" si="2"/>
        <v>0</v>
      </c>
    </row>
    <row r="86" spans="6:7">
      <c r="F86" s="1">
        <v>131003</v>
      </c>
      <c r="G86">
        <f t="shared" si="2"/>
        <v>0</v>
      </c>
    </row>
    <row r="87" spans="6:7">
      <c r="F87" s="1">
        <v>131004</v>
      </c>
      <c r="G87">
        <f t="shared" si="2"/>
        <v>0</v>
      </c>
    </row>
    <row r="88" spans="6:7">
      <c r="F88" s="1">
        <v>211001</v>
      </c>
      <c r="G88">
        <f t="shared" si="2"/>
        <v>211001</v>
      </c>
    </row>
    <row r="89" spans="6:7">
      <c r="F89" s="1">
        <v>0</v>
      </c>
      <c r="G89">
        <f t="shared" si="2"/>
        <v>0</v>
      </c>
    </row>
    <row r="90" spans="6:7">
      <c r="F90" s="1">
        <v>0</v>
      </c>
      <c r="G90">
        <f t="shared" si="2"/>
        <v>0</v>
      </c>
    </row>
    <row r="91" spans="6:7">
      <c r="F91" s="1">
        <v>221001</v>
      </c>
      <c r="G91">
        <f t="shared" si="2"/>
        <v>221001</v>
      </c>
    </row>
    <row r="92" spans="6:7">
      <c r="F92" s="1">
        <v>0</v>
      </c>
      <c r="G92">
        <f t="shared" si="2"/>
        <v>0</v>
      </c>
    </row>
    <row r="93" spans="6:7">
      <c r="F93" s="1">
        <v>0</v>
      </c>
      <c r="G93">
        <f t="shared" si="2"/>
        <v>0</v>
      </c>
    </row>
    <row r="94" spans="6:7">
      <c r="F94" s="1">
        <v>231001</v>
      </c>
      <c r="G94">
        <f t="shared" si="2"/>
        <v>231001</v>
      </c>
    </row>
    <row r="95" spans="6:7">
      <c r="F95" s="1">
        <v>0</v>
      </c>
      <c r="G95">
        <f t="shared" si="2"/>
        <v>0</v>
      </c>
    </row>
    <row r="96" spans="6:7">
      <c r="F96" s="1">
        <v>0</v>
      </c>
      <c r="G96">
        <f t="shared" si="2"/>
        <v>0</v>
      </c>
    </row>
    <row r="97" spans="6:7">
      <c r="F97" s="1">
        <v>231002</v>
      </c>
      <c r="G97">
        <f t="shared" si="2"/>
        <v>231002</v>
      </c>
    </row>
    <row r="98" spans="6:7">
      <c r="F98" s="1">
        <v>0</v>
      </c>
      <c r="G98">
        <f t="shared" si="2"/>
        <v>0</v>
      </c>
    </row>
    <row r="99" spans="6:7">
      <c r="F99" s="1">
        <v>231003</v>
      </c>
      <c r="G99">
        <f t="shared" si="2"/>
        <v>0</v>
      </c>
    </row>
    <row r="100" spans="6:7">
      <c r="F100" s="1">
        <v>311001</v>
      </c>
      <c r="G100">
        <f t="shared" ref="G100:G163" si="3">IF(VLOOKUP(F100,K:L,2,FALSE)=0,0,F100)</f>
        <v>311001</v>
      </c>
    </row>
    <row r="101" spans="6:7">
      <c r="F101" s="1">
        <v>0</v>
      </c>
      <c r="G101">
        <f t="shared" si="3"/>
        <v>0</v>
      </c>
    </row>
    <row r="102" spans="6:7">
      <c r="F102" s="1">
        <v>0</v>
      </c>
      <c r="G102">
        <f t="shared" si="3"/>
        <v>0</v>
      </c>
    </row>
    <row r="103" spans="6:7">
      <c r="F103" s="1">
        <v>321001</v>
      </c>
      <c r="G103">
        <f t="shared" si="3"/>
        <v>321001</v>
      </c>
    </row>
    <row r="104" spans="6:7">
      <c r="F104" s="1">
        <v>0</v>
      </c>
      <c r="G104">
        <f t="shared" si="3"/>
        <v>0</v>
      </c>
    </row>
    <row r="105" spans="6:7">
      <c r="F105" s="1">
        <v>0</v>
      </c>
      <c r="G105">
        <f t="shared" si="3"/>
        <v>0</v>
      </c>
    </row>
    <row r="106" spans="6:7">
      <c r="F106" s="1">
        <v>331001</v>
      </c>
      <c r="G106">
        <f t="shared" si="3"/>
        <v>331001</v>
      </c>
    </row>
    <row r="107" spans="6:7">
      <c r="F107" s="1">
        <v>0</v>
      </c>
      <c r="G107">
        <f t="shared" si="3"/>
        <v>0</v>
      </c>
    </row>
    <row r="108" spans="6:7">
      <c r="F108" s="1">
        <v>0</v>
      </c>
      <c r="G108">
        <f t="shared" si="3"/>
        <v>0</v>
      </c>
    </row>
    <row r="109" spans="6:7">
      <c r="F109" s="1">
        <v>331002</v>
      </c>
      <c r="G109">
        <f t="shared" si="3"/>
        <v>331002</v>
      </c>
    </row>
    <row r="110" spans="6:7">
      <c r="F110" s="1">
        <v>0</v>
      </c>
      <c r="G110">
        <f t="shared" si="3"/>
        <v>0</v>
      </c>
    </row>
    <row r="111" spans="6:7">
      <c r="F111" s="1">
        <v>331003</v>
      </c>
      <c r="G111">
        <f t="shared" si="3"/>
        <v>0</v>
      </c>
    </row>
    <row r="112" spans="6:7">
      <c r="F112" s="1">
        <v>411001</v>
      </c>
      <c r="G112">
        <f t="shared" si="3"/>
        <v>411001</v>
      </c>
    </row>
    <row r="113" spans="6:7">
      <c r="F113" s="1">
        <v>0</v>
      </c>
      <c r="G113">
        <f t="shared" si="3"/>
        <v>0</v>
      </c>
    </row>
    <row r="114" spans="6:7">
      <c r="F114" s="1">
        <v>0</v>
      </c>
      <c r="G114">
        <f t="shared" si="3"/>
        <v>0</v>
      </c>
    </row>
    <row r="115" spans="6:7">
      <c r="F115" s="1">
        <v>421001</v>
      </c>
      <c r="G115">
        <f t="shared" si="3"/>
        <v>421001</v>
      </c>
    </row>
    <row r="116" spans="6:7">
      <c r="F116" s="1">
        <v>0</v>
      </c>
      <c r="G116">
        <f t="shared" si="3"/>
        <v>0</v>
      </c>
    </row>
    <row r="117" spans="6:7">
      <c r="F117" s="1">
        <v>0</v>
      </c>
      <c r="G117">
        <f t="shared" si="3"/>
        <v>0</v>
      </c>
    </row>
    <row r="118" spans="6:7">
      <c r="F118" s="1">
        <v>431001</v>
      </c>
      <c r="G118">
        <f t="shared" si="3"/>
        <v>431001</v>
      </c>
    </row>
    <row r="119" spans="6:7">
      <c r="F119" s="1">
        <v>0</v>
      </c>
      <c r="G119">
        <f t="shared" si="3"/>
        <v>0</v>
      </c>
    </row>
    <row r="120" spans="6:7">
      <c r="F120" s="1">
        <v>0</v>
      </c>
      <c r="G120">
        <f t="shared" si="3"/>
        <v>0</v>
      </c>
    </row>
    <row r="121" spans="6:7">
      <c r="F121" s="1">
        <v>431002</v>
      </c>
      <c r="G121">
        <f t="shared" si="3"/>
        <v>0</v>
      </c>
    </row>
    <row r="122" spans="6:7">
      <c r="F122" s="1">
        <v>0</v>
      </c>
      <c r="G122">
        <f t="shared" si="3"/>
        <v>0</v>
      </c>
    </row>
    <row r="123" spans="6:7">
      <c r="F123" s="1">
        <v>431003</v>
      </c>
      <c r="G123">
        <f t="shared" si="3"/>
        <v>0</v>
      </c>
    </row>
    <row r="124" spans="6:7">
      <c r="F124" s="1">
        <v>511001</v>
      </c>
      <c r="G124">
        <f t="shared" si="3"/>
        <v>511001</v>
      </c>
    </row>
    <row r="125" spans="6:7">
      <c r="F125" s="1">
        <v>0</v>
      </c>
      <c r="G125">
        <f t="shared" si="3"/>
        <v>0</v>
      </c>
    </row>
    <row r="126" spans="6:7">
      <c r="F126" s="1">
        <v>0</v>
      </c>
      <c r="G126">
        <f t="shared" si="3"/>
        <v>0</v>
      </c>
    </row>
    <row r="127" spans="6:7">
      <c r="F127" s="1">
        <v>521001</v>
      </c>
      <c r="G127">
        <f t="shared" si="3"/>
        <v>521001</v>
      </c>
    </row>
    <row r="128" spans="6:7">
      <c r="F128" s="1">
        <v>0</v>
      </c>
      <c r="G128">
        <f t="shared" si="3"/>
        <v>0</v>
      </c>
    </row>
    <row r="129" spans="6:7">
      <c r="F129" s="1">
        <v>0</v>
      </c>
      <c r="G129">
        <f t="shared" si="3"/>
        <v>0</v>
      </c>
    </row>
    <row r="130" spans="6:7">
      <c r="F130" s="1">
        <v>531001</v>
      </c>
      <c r="G130">
        <f t="shared" si="3"/>
        <v>531001</v>
      </c>
    </row>
    <row r="131" spans="6:7">
      <c r="F131" s="1">
        <v>0</v>
      </c>
      <c r="G131">
        <f t="shared" si="3"/>
        <v>0</v>
      </c>
    </row>
    <row r="132" spans="6:7">
      <c r="F132" s="1">
        <v>0</v>
      </c>
      <c r="G132">
        <f t="shared" si="3"/>
        <v>0</v>
      </c>
    </row>
    <row r="133" spans="6:7">
      <c r="F133" s="1">
        <v>531002</v>
      </c>
      <c r="G133">
        <f t="shared" si="3"/>
        <v>531002</v>
      </c>
    </row>
    <row r="134" spans="6:7">
      <c r="F134" s="1">
        <v>0</v>
      </c>
      <c r="G134">
        <f t="shared" si="3"/>
        <v>0</v>
      </c>
    </row>
    <row r="135" spans="6:7">
      <c r="F135" s="1">
        <v>531003</v>
      </c>
      <c r="G135">
        <f t="shared" si="3"/>
        <v>0</v>
      </c>
    </row>
    <row r="136" spans="6:7">
      <c r="F136" s="1">
        <v>611001</v>
      </c>
      <c r="G136">
        <f t="shared" si="3"/>
        <v>611001</v>
      </c>
    </row>
    <row r="137" spans="6:7">
      <c r="F137" s="1">
        <v>0</v>
      </c>
      <c r="G137">
        <f t="shared" si="3"/>
        <v>0</v>
      </c>
    </row>
    <row r="138" spans="6:7">
      <c r="F138" s="1">
        <v>0</v>
      </c>
      <c r="G138">
        <f t="shared" si="3"/>
        <v>0</v>
      </c>
    </row>
    <row r="139" spans="6:7">
      <c r="F139" s="1">
        <v>621001</v>
      </c>
      <c r="G139">
        <f t="shared" si="3"/>
        <v>621001</v>
      </c>
    </row>
    <row r="140" spans="6:7">
      <c r="F140" s="1">
        <v>0</v>
      </c>
      <c r="G140">
        <f t="shared" si="3"/>
        <v>0</v>
      </c>
    </row>
    <row r="141" spans="6:7">
      <c r="F141" s="1">
        <v>0</v>
      </c>
      <c r="G141">
        <f t="shared" si="3"/>
        <v>0</v>
      </c>
    </row>
    <row r="142" spans="6:7">
      <c r="F142" s="1">
        <v>631001</v>
      </c>
      <c r="G142">
        <f t="shared" si="3"/>
        <v>0</v>
      </c>
    </row>
    <row r="143" spans="6:7">
      <c r="F143" s="1">
        <v>0</v>
      </c>
      <c r="G143">
        <f t="shared" si="3"/>
        <v>0</v>
      </c>
    </row>
    <row r="144" spans="6:7">
      <c r="F144" s="1">
        <v>0</v>
      </c>
      <c r="G144">
        <f t="shared" si="3"/>
        <v>0</v>
      </c>
    </row>
    <row r="145" spans="6:7">
      <c r="F145" s="1">
        <v>631002</v>
      </c>
      <c r="G145">
        <f t="shared" si="3"/>
        <v>631002</v>
      </c>
    </row>
    <row r="146" spans="6:7">
      <c r="F146" s="1">
        <v>0</v>
      </c>
      <c r="G146">
        <f t="shared" si="3"/>
        <v>0</v>
      </c>
    </row>
    <row r="147" spans="6:7">
      <c r="F147" s="1">
        <v>631003</v>
      </c>
      <c r="G147">
        <f t="shared" si="3"/>
        <v>0</v>
      </c>
    </row>
    <row r="148" spans="6:7">
      <c r="F148" s="1">
        <v>811001</v>
      </c>
      <c r="G148">
        <f t="shared" si="3"/>
        <v>811001</v>
      </c>
    </row>
    <row r="149" spans="6:7">
      <c r="F149" s="1">
        <v>0</v>
      </c>
      <c r="G149">
        <f t="shared" si="3"/>
        <v>0</v>
      </c>
    </row>
    <row r="150" spans="6:7">
      <c r="F150" s="1">
        <v>0</v>
      </c>
      <c r="G150">
        <f t="shared" si="3"/>
        <v>0</v>
      </c>
    </row>
    <row r="151" spans="6:7">
      <c r="F151" s="1">
        <v>821001</v>
      </c>
      <c r="G151">
        <f t="shared" si="3"/>
        <v>821001</v>
      </c>
    </row>
    <row r="152" spans="6:7">
      <c r="F152" s="1">
        <v>0</v>
      </c>
      <c r="G152">
        <f t="shared" si="3"/>
        <v>0</v>
      </c>
    </row>
    <row r="153" spans="6:7">
      <c r="F153" s="1">
        <v>0</v>
      </c>
      <c r="G153">
        <f t="shared" si="3"/>
        <v>0</v>
      </c>
    </row>
    <row r="154" spans="6:7">
      <c r="F154" s="1">
        <v>831001</v>
      </c>
      <c r="G154">
        <f t="shared" si="3"/>
        <v>831001</v>
      </c>
    </row>
    <row r="155" spans="6:7">
      <c r="F155" s="1">
        <v>0</v>
      </c>
      <c r="G155">
        <f t="shared" si="3"/>
        <v>0</v>
      </c>
    </row>
    <row r="156" spans="6:7">
      <c r="F156" s="1">
        <v>0</v>
      </c>
      <c r="G156">
        <f t="shared" si="3"/>
        <v>0</v>
      </c>
    </row>
    <row r="157" spans="6:7">
      <c r="F157" s="1">
        <v>831002</v>
      </c>
      <c r="G157">
        <f t="shared" si="3"/>
        <v>831002</v>
      </c>
    </row>
    <row r="158" spans="6:7">
      <c r="F158" s="1">
        <v>0</v>
      </c>
      <c r="G158">
        <f t="shared" si="3"/>
        <v>0</v>
      </c>
    </row>
    <row r="159" spans="6:7">
      <c r="F159" s="1">
        <v>831003</v>
      </c>
      <c r="G159">
        <f t="shared" si="3"/>
        <v>0</v>
      </c>
    </row>
    <row r="160" spans="6:7">
      <c r="F160" s="1">
        <v>111001</v>
      </c>
      <c r="G160">
        <f t="shared" si="3"/>
        <v>111001</v>
      </c>
    </row>
    <row r="161" spans="6:7">
      <c r="F161" s="1">
        <v>0</v>
      </c>
      <c r="G161">
        <f t="shared" si="3"/>
        <v>0</v>
      </c>
    </row>
    <row r="162" spans="6:7">
      <c r="F162" s="1">
        <v>0</v>
      </c>
      <c r="G162">
        <f t="shared" si="3"/>
        <v>0</v>
      </c>
    </row>
    <row r="163" spans="6:7">
      <c r="F163" s="1">
        <v>111002</v>
      </c>
      <c r="G163">
        <f t="shared" si="3"/>
        <v>0</v>
      </c>
    </row>
    <row r="164" spans="6:7">
      <c r="F164" s="1">
        <v>0</v>
      </c>
      <c r="G164">
        <f t="shared" ref="G164:G227" si="4">IF(VLOOKUP(F164,K:L,2,FALSE)=0,0,F164)</f>
        <v>0</v>
      </c>
    </row>
    <row r="165" spans="6:7">
      <c r="F165" s="1">
        <v>0</v>
      </c>
      <c r="G165">
        <f t="shared" si="4"/>
        <v>0</v>
      </c>
    </row>
    <row r="166" spans="6:7">
      <c r="F166" s="1">
        <v>121001</v>
      </c>
      <c r="G166">
        <f t="shared" si="4"/>
        <v>121001</v>
      </c>
    </row>
    <row r="167" spans="6:7">
      <c r="F167" s="1">
        <v>0</v>
      </c>
      <c r="G167">
        <f t="shared" si="4"/>
        <v>0</v>
      </c>
    </row>
    <row r="168" spans="6:7">
      <c r="F168" s="1">
        <v>0</v>
      </c>
      <c r="G168">
        <f t="shared" si="4"/>
        <v>0</v>
      </c>
    </row>
    <row r="169" spans="6:7">
      <c r="F169" s="1">
        <v>121002</v>
      </c>
      <c r="G169">
        <f t="shared" si="4"/>
        <v>0</v>
      </c>
    </row>
    <row r="170" spans="6:7">
      <c r="F170" s="1">
        <v>0</v>
      </c>
      <c r="G170">
        <f t="shared" si="4"/>
        <v>0</v>
      </c>
    </row>
    <row r="171" spans="6:7">
      <c r="F171" s="1">
        <v>0</v>
      </c>
      <c r="G171">
        <f t="shared" si="4"/>
        <v>0</v>
      </c>
    </row>
    <row r="172" spans="6:7">
      <c r="F172" s="1">
        <v>131001</v>
      </c>
      <c r="G172">
        <f t="shared" si="4"/>
        <v>131001</v>
      </c>
    </row>
    <row r="173" spans="6:7">
      <c r="F173" s="1">
        <v>0</v>
      </c>
      <c r="G173">
        <f t="shared" si="4"/>
        <v>0</v>
      </c>
    </row>
    <row r="174" spans="6:7">
      <c r="F174" s="1">
        <v>0</v>
      </c>
      <c r="G174">
        <f t="shared" si="4"/>
        <v>0</v>
      </c>
    </row>
    <row r="175" spans="6:7">
      <c r="F175" s="1">
        <v>131002</v>
      </c>
      <c r="G175">
        <f t="shared" si="4"/>
        <v>0</v>
      </c>
    </row>
    <row r="176" spans="6:7">
      <c r="F176" s="1">
        <v>0</v>
      </c>
      <c r="G176">
        <f t="shared" si="4"/>
        <v>0</v>
      </c>
    </row>
    <row r="177" spans="6:7">
      <c r="F177" s="1">
        <v>0</v>
      </c>
      <c r="G177">
        <f t="shared" si="4"/>
        <v>0</v>
      </c>
    </row>
    <row r="178" spans="6:7">
      <c r="F178" s="1">
        <v>131003</v>
      </c>
      <c r="G178">
        <f t="shared" si="4"/>
        <v>0</v>
      </c>
    </row>
    <row r="179" spans="6:7">
      <c r="F179" s="1">
        <v>0</v>
      </c>
      <c r="G179">
        <f t="shared" si="4"/>
        <v>0</v>
      </c>
    </row>
    <row r="180" spans="6:7">
      <c r="F180" s="1">
        <v>131004</v>
      </c>
      <c r="G180">
        <f t="shared" si="4"/>
        <v>0</v>
      </c>
    </row>
    <row r="181" spans="6:7">
      <c r="F181" s="1">
        <v>211001</v>
      </c>
      <c r="G181">
        <f t="shared" si="4"/>
        <v>211001</v>
      </c>
    </row>
    <row r="182" spans="6:7">
      <c r="F182" s="1">
        <v>0</v>
      </c>
      <c r="G182">
        <f t="shared" si="4"/>
        <v>0</v>
      </c>
    </row>
    <row r="183" spans="6:7">
      <c r="F183" s="1">
        <v>0</v>
      </c>
      <c r="G183">
        <f t="shared" si="4"/>
        <v>0</v>
      </c>
    </row>
    <row r="184" spans="6:7">
      <c r="F184" s="1">
        <v>0</v>
      </c>
      <c r="G184">
        <f t="shared" si="4"/>
        <v>0</v>
      </c>
    </row>
    <row r="185" spans="6:7">
      <c r="F185" s="1">
        <v>0</v>
      </c>
      <c r="G185">
        <f t="shared" si="4"/>
        <v>0</v>
      </c>
    </row>
    <row r="186" spans="6:7">
      <c r="F186" s="1">
        <v>221001</v>
      </c>
      <c r="G186">
        <f t="shared" si="4"/>
        <v>221001</v>
      </c>
    </row>
    <row r="187" spans="6:7">
      <c r="F187" s="1">
        <v>0</v>
      </c>
      <c r="G187">
        <f t="shared" si="4"/>
        <v>0</v>
      </c>
    </row>
    <row r="188" spans="6:7">
      <c r="F188" s="1">
        <v>0</v>
      </c>
      <c r="G188">
        <f t="shared" si="4"/>
        <v>0</v>
      </c>
    </row>
    <row r="189" spans="6:7">
      <c r="F189" s="1">
        <v>0</v>
      </c>
      <c r="G189">
        <f t="shared" si="4"/>
        <v>0</v>
      </c>
    </row>
    <row r="190" spans="6:7">
      <c r="F190" s="1">
        <v>0</v>
      </c>
      <c r="G190">
        <f t="shared" si="4"/>
        <v>0</v>
      </c>
    </row>
    <row r="191" spans="6:7">
      <c r="F191" s="1">
        <v>231001</v>
      </c>
      <c r="G191">
        <f t="shared" si="4"/>
        <v>231001</v>
      </c>
    </row>
    <row r="192" spans="6:7">
      <c r="F192" s="1">
        <v>0</v>
      </c>
      <c r="G192">
        <f t="shared" si="4"/>
        <v>0</v>
      </c>
    </row>
    <row r="193" spans="6:7">
      <c r="F193" s="1">
        <v>0</v>
      </c>
      <c r="G193">
        <f t="shared" si="4"/>
        <v>0</v>
      </c>
    </row>
    <row r="194" spans="6:7">
      <c r="F194" s="1">
        <v>0</v>
      </c>
      <c r="G194">
        <f t="shared" si="4"/>
        <v>0</v>
      </c>
    </row>
    <row r="195" spans="6:7">
      <c r="F195" s="1">
        <v>0</v>
      </c>
      <c r="G195">
        <f t="shared" si="4"/>
        <v>0</v>
      </c>
    </row>
    <row r="196" spans="6:7">
      <c r="F196" s="1">
        <v>231002</v>
      </c>
      <c r="G196">
        <f t="shared" si="4"/>
        <v>231002</v>
      </c>
    </row>
    <row r="197" spans="6:7">
      <c r="F197" s="1">
        <v>0</v>
      </c>
      <c r="G197">
        <f t="shared" si="4"/>
        <v>0</v>
      </c>
    </row>
    <row r="198" spans="6:7">
      <c r="F198" s="1">
        <v>0</v>
      </c>
      <c r="G198">
        <f t="shared" si="4"/>
        <v>0</v>
      </c>
    </row>
    <row r="199" spans="6:7">
      <c r="F199" s="1">
        <v>0</v>
      </c>
      <c r="G199">
        <f t="shared" si="4"/>
        <v>0</v>
      </c>
    </row>
    <row r="200" spans="6:7">
      <c r="F200" s="1">
        <v>0</v>
      </c>
      <c r="G200">
        <f t="shared" si="4"/>
        <v>0</v>
      </c>
    </row>
    <row r="201" spans="6:7">
      <c r="F201" s="1">
        <v>231003</v>
      </c>
      <c r="G201">
        <f t="shared" si="4"/>
        <v>0</v>
      </c>
    </row>
    <row r="202" spans="6:7">
      <c r="F202" s="1">
        <v>311001</v>
      </c>
      <c r="G202">
        <f t="shared" si="4"/>
        <v>311001</v>
      </c>
    </row>
    <row r="203" spans="6:7">
      <c r="F203" s="1">
        <v>0</v>
      </c>
      <c r="G203">
        <f t="shared" si="4"/>
        <v>0</v>
      </c>
    </row>
    <row r="204" spans="6:7">
      <c r="F204" s="1">
        <v>0</v>
      </c>
      <c r="G204">
        <f t="shared" si="4"/>
        <v>0</v>
      </c>
    </row>
    <row r="205" spans="6:7">
      <c r="F205" s="1">
        <v>0</v>
      </c>
      <c r="G205">
        <f t="shared" si="4"/>
        <v>0</v>
      </c>
    </row>
    <row r="206" spans="6:7">
      <c r="F206" s="1">
        <v>0</v>
      </c>
      <c r="G206">
        <f t="shared" si="4"/>
        <v>0</v>
      </c>
    </row>
    <row r="207" spans="6:7">
      <c r="F207" s="1">
        <v>321001</v>
      </c>
      <c r="G207">
        <f t="shared" si="4"/>
        <v>321001</v>
      </c>
    </row>
    <row r="208" spans="6:7">
      <c r="F208" s="1">
        <v>0</v>
      </c>
      <c r="G208">
        <f t="shared" si="4"/>
        <v>0</v>
      </c>
    </row>
    <row r="209" spans="6:7">
      <c r="F209" s="1">
        <v>0</v>
      </c>
      <c r="G209">
        <f t="shared" si="4"/>
        <v>0</v>
      </c>
    </row>
    <row r="210" spans="6:7">
      <c r="F210" s="1">
        <v>0</v>
      </c>
      <c r="G210">
        <f t="shared" si="4"/>
        <v>0</v>
      </c>
    </row>
    <row r="211" spans="6:7">
      <c r="F211" s="1">
        <v>0</v>
      </c>
      <c r="G211">
        <f t="shared" si="4"/>
        <v>0</v>
      </c>
    </row>
    <row r="212" spans="6:7">
      <c r="F212" s="1">
        <v>331001</v>
      </c>
      <c r="G212">
        <f t="shared" si="4"/>
        <v>331001</v>
      </c>
    </row>
    <row r="213" spans="6:7">
      <c r="F213" s="1">
        <v>0</v>
      </c>
      <c r="G213">
        <f t="shared" si="4"/>
        <v>0</v>
      </c>
    </row>
    <row r="214" spans="6:7">
      <c r="F214" s="1">
        <v>0</v>
      </c>
      <c r="G214">
        <f t="shared" si="4"/>
        <v>0</v>
      </c>
    </row>
    <row r="215" spans="6:7">
      <c r="F215" s="1">
        <v>0</v>
      </c>
      <c r="G215">
        <f t="shared" si="4"/>
        <v>0</v>
      </c>
    </row>
    <row r="216" spans="6:7">
      <c r="F216" s="1">
        <v>0</v>
      </c>
      <c r="G216">
        <f t="shared" si="4"/>
        <v>0</v>
      </c>
    </row>
    <row r="217" spans="6:7">
      <c r="F217" s="1">
        <v>331002</v>
      </c>
      <c r="G217">
        <f t="shared" si="4"/>
        <v>331002</v>
      </c>
    </row>
    <row r="218" spans="6:7">
      <c r="F218" s="1">
        <v>0</v>
      </c>
      <c r="G218">
        <f t="shared" si="4"/>
        <v>0</v>
      </c>
    </row>
    <row r="219" spans="6:7">
      <c r="F219" s="1">
        <v>0</v>
      </c>
      <c r="G219">
        <f t="shared" si="4"/>
        <v>0</v>
      </c>
    </row>
    <row r="220" spans="6:7">
      <c r="F220" s="1">
        <v>0</v>
      </c>
      <c r="G220">
        <f t="shared" si="4"/>
        <v>0</v>
      </c>
    </row>
    <row r="221" spans="6:7">
      <c r="F221" s="1">
        <v>0</v>
      </c>
      <c r="G221">
        <f t="shared" si="4"/>
        <v>0</v>
      </c>
    </row>
    <row r="222" spans="6:7">
      <c r="F222" s="1">
        <v>331003</v>
      </c>
      <c r="G222">
        <f t="shared" si="4"/>
        <v>0</v>
      </c>
    </row>
    <row r="223" spans="6:7">
      <c r="F223" s="1">
        <v>111001</v>
      </c>
      <c r="G223">
        <f t="shared" si="4"/>
        <v>111001</v>
      </c>
    </row>
    <row r="224" spans="6:7">
      <c r="F224" s="1">
        <v>0</v>
      </c>
      <c r="G224">
        <f t="shared" si="4"/>
        <v>0</v>
      </c>
    </row>
    <row r="225" spans="6:7">
      <c r="F225" s="1">
        <v>0</v>
      </c>
      <c r="G225">
        <f t="shared" si="4"/>
        <v>0</v>
      </c>
    </row>
    <row r="226" spans="6:7">
      <c r="F226" s="1">
        <v>111002</v>
      </c>
      <c r="G226">
        <f t="shared" si="4"/>
        <v>0</v>
      </c>
    </row>
    <row r="227" spans="6:7">
      <c r="F227" s="1">
        <v>0</v>
      </c>
      <c r="G227">
        <f t="shared" si="4"/>
        <v>0</v>
      </c>
    </row>
    <row r="228" spans="6:7">
      <c r="F228" s="1">
        <v>0</v>
      </c>
      <c r="G228">
        <f t="shared" ref="G228:G291" si="5">IF(VLOOKUP(F228,K:L,2,FALSE)=0,0,F228)</f>
        <v>0</v>
      </c>
    </row>
    <row r="229" spans="6:7">
      <c r="F229" s="1">
        <v>121001</v>
      </c>
      <c r="G229">
        <f t="shared" si="5"/>
        <v>121001</v>
      </c>
    </row>
    <row r="230" spans="6:7">
      <c r="F230" s="1">
        <v>0</v>
      </c>
      <c r="G230">
        <f t="shared" si="5"/>
        <v>0</v>
      </c>
    </row>
    <row r="231" spans="6:7">
      <c r="F231" s="1">
        <v>0</v>
      </c>
      <c r="G231">
        <f t="shared" si="5"/>
        <v>0</v>
      </c>
    </row>
    <row r="232" spans="6:7">
      <c r="F232" s="1">
        <v>121002</v>
      </c>
      <c r="G232">
        <f t="shared" si="5"/>
        <v>0</v>
      </c>
    </row>
    <row r="233" spans="6:7">
      <c r="F233" s="1">
        <v>0</v>
      </c>
      <c r="G233">
        <f t="shared" si="5"/>
        <v>0</v>
      </c>
    </row>
    <row r="234" spans="6:7">
      <c r="F234" s="1">
        <v>0</v>
      </c>
      <c r="G234">
        <f t="shared" si="5"/>
        <v>0</v>
      </c>
    </row>
    <row r="235" spans="6:7">
      <c r="F235" s="1">
        <v>131001</v>
      </c>
      <c r="G235">
        <f t="shared" si="5"/>
        <v>131001</v>
      </c>
    </row>
    <row r="236" spans="6:7">
      <c r="F236" s="1">
        <v>0</v>
      </c>
      <c r="G236">
        <f t="shared" si="5"/>
        <v>0</v>
      </c>
    </row>
    <row r="237" spans="6:7">
      <c r="F237" s="1">
        <v>0</v>
      </c>
      <c r="G237">
        <f t="shared" si="5"/>
        <v>0</v>
      </c>
    </row>
    <row r="238" spans="6:7">
      <c r="F238" s="1">
        <v>131002</v>
      </c>
      <c r="G238">
        <f t="shared" si="5"/>
        <v>0</v>
      </c>
    </row>
    <row r="239" spans="6:7">
      <c r="F239" s="1">
        <v>0</v>
      </c>
      <c r="G239">
        <f t="shared" si="5"/>
        <v>0</v>
      </c>
    </row>
    <row r="240" spans="6:7">
      <c r="F240" s="1">
        <v>0</v>
      </c>
      <c r="G240">
        <f t="shared" si="5"/>
        <v>0</v>
      </c>
    </row>
    <row r="241" spans="6:7">
      <c r="F241" s="1">
        <v>131003</v>
      </c>
      <c r="G241">
        <f t="shared" si="5"/>
        <v>0</v>
      </c>
    </row>
    <row r="242" spans="6:7">
      <c r="F242" s="1">
        <v>0</v>
      </c>
      <c r="G242">
        <f t="shared" si="5"/>
        <v>0</v>
      </c>
    </row>
    <row r="243" spans="6:7">
      <c r="F243" s="1">
        <v>131004</v>
      </c>
      <c r="G243">
        <f t="shared" si="5"/>
        <v>0</v>
      </c>
    </row>
    <row r="244" spans="6:7">
      <c r="F244" s="1">
        <v>411001</v>
      </c>
      <c r="G244">
        <f t="shared" si="5"/>
        <v>411001</v>
      </c>
    </row>
    <row r="245" spans="6:7">
      <c r="F245" s="1">
        <v>0</v>
      </c>
      <c r="G245">
        <f t="shared" si="5"/>
        <v>0</v>
      </c>
    </row>
    <row r="246" spans="6:7">
      <c r="F246" s="1">
        <v>0</v>
      </c>
      <c r="G246">
        <f t="shared" si="5"/>
        <v>0</v>
      </c>
    </row>
    <row r="247" spans="6:7">
      <c r="F247" s="1">
        <v>0</v>
      </c>
      <c r="G247">
        <f t="shared" si="5"/>
        <v>0</v>
      </c>
    </row>
    <row r="248" spans="6:7">
      <c r="F248" s="1">
        <v>0</v>
      </c>
      <c r="G248">
        <f t="shared" si="5"/>
        <v>0</v>
      </c>
    </row>
    <row r="249" spans="6:7">
      <c r="F249" s="1">
        <v>421001</v>
      </c>
      <c r="G249">
        <f t="shared" si="5"/>
        <v>421001</v>
      </c>
    </row>
    <row r="250" spans="6:7">
      <c r="F250" s="1">
        <v>0</v>
      </c>
      <c r="G250">
        <f t="shared" si="5"/>
        <v>0</v>
      </c>
    </row>
    <row r="251" spans="6:7">
      <c r="F251" s="1">
        <v>0</v>
      </c>
      <c r="G251">
        <f t="shared" si="5"/>
        <v>0</v>
      </c>
    </row>
    <row r="252" spans="6:7">
      <c r="F252" s="1">
        <v>0</v>
      </c>
      <c r="G252">
        <f t="shared" si="5"/>
        <v>0</v>
      </c>
    </row>
    <row r="253" spans="6:7">
      <c r="F253" s="1">
        <v>0</v>
      </c>
      <c r="G253">
        <f t="shared" si="5"/>
        <v>0</v>
      </c>
    </row>
    <row r="254" spans="6:7">
      <c r="F254" s="1">
        <v>431001</v>
      </c>
      <c r="G254">
        <f t="shared" si="5"/>
        <v>431001</v>
      </c>
    </row>
    <row r="255" spans="6:7">
      <c r="F255" s="1">
        <v>0</v>
      </c>
      <c r="G255">
        <f t="shared" si="5"/>
        <v>0</v>
      </c>
    </row>
    <row r="256" spans="6:7">
      <c r="F256" s="1">
        <v>0</v>
      </c>
      <c r="G256">
        <f t="shared" si="5"/>
        <v>0</v>
      </c>
    </row>
    <row r="257" spans="6:7">
      <c r="F257" s="1">
        <v>0</v>
      </c>
      <c r="G257">
        <f t="shared" si="5"/>
        <v>0</v>
      </c>
    </row>
    <row r="258" spans="6:7">
      <c r="F258" s="1">
        <v>0</v>
      </c>
      <c r="G258">
        <f t="shared" si="5"/>
        <v>0</v>
      </c>
    </row>
    <row r="259" spans="6:7">
      <c r="F259" s="1">
        <v>431002</v>
      </c>
      <c r="G259">
        <f t="shared" si="5"/>
        <v>0</v>
      </c>
    </row>
    <row r="260" spans="6:7">
      <c r="F260" s="1">
        <v>0</v>
      </c>
      <c r="G260">
        <f t="shared" si="5"/>
        <v>0</v>
      </c>
    </row>
    <row r="261" spans="6:7">
      <c r="F261" s="1">
        <v>0</v>
      </c>
      <c r="G261">
        <f t="shared" si="5"/>
        <v>0</v>
      </c>
    </row>
    <row r="262" spans="6:7">
      <c r="F262" s="1">
        <v>0</v>
      </c>
      <c r="G262">
        <f t="shared" si="5"/>
        <v>0</v>
      </c>
    </row>
    <row r="263" spans="6:7">
      <c r="F263" s="1">
        <v>0</v>
      </c>
      <c r="G263">
        <f t="shared" si="5"/>
        <v>0</v>
      </c>
    </row>
    <row r="264" spans="6:7">
      <c r="F264" s="1">
        <v>431003</v>
      </c>
      <c r="G264">
        <f t="shared" si="5"/>
        <v>0</v>
      </c>
    </row>
    <row r="265" spans="6:7">
      <c r="F265" s="1">
        <v>511001</v>
      </c>
      <c r="G265">
        <f t="shared" si="5"/>
        <v>511001</v>
      </c>
    </row>
    <row r="266" spans="6:7">
      <c r="F266" s="1">
        <v>0</v>
      </c>
      <c r="G266">
        <f t="shared" si="5"/>
        <v>0</v>
      </c>
    </row>
    <row r="267" spans="6:7">
      <c r="F267" s="1">
        <v>0</v>
      </c>
      <c r="G267">
        <f t="shared" si="5"/>
        <v>0</v>
      </c>
    </row>
    <row r="268" spans="6:7">
      <c r="F268" s="1">
        <v>0</v>
      </c>
      <c r="G268">
        <f t="shared" si="5"/>
        <v>0</v>
      </c>
    </row>
    <row r="269" spans="6:7">
      <c r="F269" s="1">
        <v>0</v>
      </c>
      <c r="G269">
        <f t="shared" si="5"/>
        <v>0</v>
      </c>
    </row>
    <row r="270" spans="6:7">
      <c r="F270" s="1">
        <v>521001</v>
      </c>
      <c r="G270">
        <f t="shared" si="5"/>
        <v>521001</v>
      </c>
    </row>
    <row r="271" spans="6:7">
      <c r="F271" s="1">
        <v>0</v>
      </c>
      <c r="G271">
        <f t="shared" si="5"/>
        <v>0</v>
      </c>
    </row>
    <row r="272" spans="6:7">
      <c r="F272" s="1">
        <v>0</v>
      </c>
      <c r="G272">
        <f t="shared" si="5"/>
        <v>0</v>
      </c>
    </row>
    <row r="273" spans="6:7">
      <c r="F273" s="1">
        <v>0</v>
      </c>
      <c r="G273">
        <f t="shared" si="5"/>
        <v>0</v>
      </c>
    </row>
    <row r="274" spans="6:7">
      <c r="F274" s="1">
        <v>0</v>
      </c>
      <c r="G274">
        <f t="shared" si="5"/>
        <v>0</v>
      </c>
    </row>
    <row r="275" spans="6:7">
      <c r="F275" s="1">
        <v>531001</v>
      </c>
      <c r="G275">
        <f t="shared" si="5"/>
        <v>531001</v>
      </c>
    </row>
    <row r="276" spans="6:7">
      <c r="F276" s="1">
        <v>0</v>
      </c>
      <c r="G276">
        <f t="shared" si="5"/>
        <v>0</v>
      </c>
    </row>
    <row r="277" spans="6:7">
      <c r="F277" s="1">
        <v>0</v>
      </c>
      <c r="G277">
        <f t="shared" si="5"/>
        <v>0</v>
      </c>
    </row>
    <row r="278" spans="6:7">
      <c r="F278" s="1">
        <v>0</v>
      </c>
      <c r="G278">
        <f t="shared" si="5"/>
        <v>0</v>
      </c>
    </row>
    <row r="279" spans="6:7">
      <c r="F279" s="1">
        <v>0</v>
      </c>
      <c r="G279">
        <f t="shared" si="5"/>
        <v>0</v>
      </c>
    </row>
    <row r="280" spans="6:7">
      <c r="F280" s="1">
        <v>531002</v>
      </c>
      <c r="G280">
        <f t="shared" si="5"/>
        <v>531002</v>
      </c>
    </row>
    <row r="281" spans="6:7">
      <c r="F281" s="1">
        <v>0</v>
      </c>
      <c r="G281">
        <f t="shared" si="5"/>
        <v>0</v>
      </c>
    </row>
    <row r="282" spans="6:7">
      <c r="F282" s="1">
        <v>0</v>
      </c>
      <c r="G282">
        <f t="shared" si="5"/>
        <v>0</v>
      </c>
    </row>
    <row r="283" spans="6:7">
      <c r="F283" s="1">
        <v>0</v>
      </c>
      <c r="G283">
        <f t="shared" si="5"/>
        <v>0</v>
      </c>
    </row>
    <row r="284" spans="6:7">
      <c r="F284" s="1">
        <v>0</v>
      </c>
      <c r="G284">
        <f t="shared" si="5"/>
        <v>0</v>
      </c>
    </row>
    <row r="285" spans="6:7">
      <c r="F285" s="1">
        <v>531003</v>
      </c>
      <c r="G285">
        <f t="shared" si="5"/>
        <v>0</v>
      </c>
    </row>
    <row r="286" spans="6:7">
      <c r="F286" s="1">
        <v>611001</v>
      </c>
      <c r="G286">
        <f t="shared" si="5"/>
        <v>611001</v>
      </c>
    </row>
    <row r="287" spans="6:7">
      <c r="F287" s="1">
        <v>0</v>
      </c>
      <c r="G287">
        <f t="shared" si="5"/>
        <v>0</v>
      </c>
    </row>
    <row r="288" spans="6:7">
      <c r="F288" s="1">
        <v>0</v>
      </c>
      <c r="G288">
        <f t="shared" si="5"/>
        <v>0</v>
      </c>
    </row>
    <row r="289" spans="6:7">
      <c r="F289" s="1">
        <v>0</v>
      </c>
      <c r="G289">
        <f t="shared" si="5"/>
        <v>0</v>
      </c>
    </row>
    <row r="290" spans="6:7">
      <c r="F290" s="1">
        <v>0</v>
      </c>
      <c r="G290">
        <f t="shared" si="5"/>
        <v>0</v>
      </c>
    </row>
    <row r="291" spans="6:7">
      <c r="F291" s="1">
        <v>621001</v>
      </c>
      <c r="G291">
        <f t="shared" si="5"/>
        <v>621001</v>
      </c>
    </row>
    <row r="292" spans="6:7">
      <c r="F292" s="1">
        <v>0</v>
      </c>
      <c r="G292">
        <f t="shared" ref="G292:G355" si="6">IF(VLOOKUP(F292,K:L,2,FALSE)=0,0,F292)</f>
        <v>0</v>
      </c>
    </row>
    <row r="293" spans="6:7">
      <c r="F293" s="1">
        <v>0</v>
      </c>
      <c r="G293">
        <f t="shared" si="6"/>
        <v>0</v>
      </c>
    </row>
    <row r="294" spans="6:7">
      <c r="F294" s="1">
        <v>0</v>
      </c>
      <c r="G294">
        <f t="shared" si="6"/>
        <v>0</v>
      </c>
    </row>
    <row r="295" spans="6:7">
      <c r="F295" s="1">
        <v>0</v>
      </c>
      <c r="G295">
        <f t="shared" si="6"/>
        <v>0</v>
      </c>
    </row>
    <row r="296" spans="6:7">
      <c r="F296" s="1">
        <v>631001</v>
      </c>
      <c r="G296">
        <f t="shared" si="6"/>
        <v>0</v>
      </c>
    </row>
    <row r="297" spans="6:7">
      <c r="F297" s="1">
        <v>0</v>
      </c>
      <c r="G297">
        <f t="shared" si="6"/>
        <v>0</v>
      </c>
    </row>
    <row r="298" spans="6:7">
      <c r="F298" s="1">
        <v>0</v>
      </c>
      <c r="G298">
        <f t="shared" si="6"/>
        <v>0</v>
      </c>
    </row>
    <row r="299" spans="6:7">
      <c r="F299" s="1">
        <v>0</v>
      </c>
      <c r="G299">
        <f t="shared" si="6"/>
        <v>0</v>
      </c>
    </row>
    <row r="300" spans="6:7">
      <c r="F300" s="1">
        <v>0</v>
      </c>
      <c r="G300">
        <f t="shared" si="6"/>
        <v>0</v>
      </c>
    </row>
    <row r="301" spans="6:7">
      <c r="F301" s="1">
        <v>631002</v>
      </c>
      <c r="G301">
        <f t="shared" si="6"/>
        <v>631002</v>
      </c>
    </row>
    <row r="302" spans="6:7">
      <c r="F302" s="1">
        <v>0</v>
      </c>
      <c r="G302">
        <f t="shared" si="6"/>
        <v>0</v>
      </c>
    </row>
    <row r="303" spans="6:7">
      <c r="F303" s="1">
        <v>0</v>
      </c>
      <c r="G303">
        <f t="shared" si="6"/>
        <v>0</v>
      </c>
    </row>
    <row r="304" spans="6:7">
      <c r="F304" s="1">
        <v>0</v>
      </c>
      <c r="G304">
        <f t="shared" si="6"/>
        <v>0</v>
      </c>
    </row>
    <row r="305" spans="6:7">
      <c r="F305" s="1">
        <v>0</v>
      </c>
      <c r="G305">
        <f t="shared" si="6"/>
        <v>0</v>
      </c>
    </row>
    <row r="306" spans="6:7">
      <c r="F306" s="1">
        <v>631003</v>
      </c>
      <c r="G306">
        <f t="shared" si="6"/>
        <v>0</v>
      </c>
    </row>
    <row r="307" spans="6:7">
      <c r="F307" s="1">
        <v>711001</v>
      </c>
      <c r="G307">
        <f t="shared" si="6"/>
        <v>711001</v>
      </c>
    </row>
    <row r="308" spans="6:7">
      <c r="F308" s="1">
        <v>0</v>
      </c>
      <c r="G308">
        <f t="shared" si="6"/>
        <v>0</v>
      </c>
    </row>
    <row r="309" spans="6:7">
      <c r="F309" s="1">
        <v>0</v>
      </c>
      <c r="G309">
        <f t="shared" si="6"/>
        <v>0</v>
      </c>
    </row>
    <row r="310" spans="6:7">
      <c r="F310" s="1">
        <v>0</v>
      </c>
      <c r="G310">
        <f t="shared" si="6"/>
        <v>0</v>
      </c>
    </row>
    <row r="311" spans="6:7">
      <c r="F311" s="1">
        <v>0</v>
      </c>
      <c r="G311">
        <f t="shared" si="6"/>
        <v>0</v>
      </c>
    </row>
    <row r="312" spans="6:7">
      <c r="F312" s="1">
        <v>721001</v>
      </c>
      <c r="G312">
        <f t="shared" si="6"/>
        <v>721001</v>
      </c>
    </row>
    <row r="313" spans="6:7">
      <c r="F313" s="1">
        <v>0</v>
      </c>
      <c r="G313">
        <f t="shared" si="6"/>
        <v>0</v>
      </c>
    </row>
    <row r="314" spans="6:7">
      <c r="F314" s="1">
        <v>0</v>
      </c>
      <c r="G314">
        <f t="shared" si="6"/>
        <v>0</v>
      </c>
    </row>
    <row r="315" spans="6:7">
      <c r="F315" s="1">
        <v>0</v>
      </c>
      <c r="G315">
        <f t="shared" si="6"/>
        <v>0</v>
      </c>
    </row>
    <row r="316" spans="6:7">
      <c r="F316" s="1">
        <v>0</v>
      </c>
      <c r="G316">
        <f t="shared" si="6"/>
        <v>0</v>
      </c>
    </row>
    <row r="317" spans="6:7">
      <c r="F317" s="1">
        <v>731001</v>
      </c>
      <c r="G317">
        <f t="shared" si="6"/>
        <v>731001</v>
      </c>
    </row>
    <row r="318" spans="6:7">
      <c r="F318" s="1">
        <v>0</v>
      </c>
      <c r="G318">
        <f t="shared" si="6"/>
        <v>0</v>
      </c>
    </row>
    <row r="319" spans="6:7">
      <c r="F319" s="1">
        <v>0</v>
      </c>
      <c r="G319">
        <f t="shared" si="6"/>
        <v>0</v>
      </c>
    </row>
    <row r="320" spans="6:7">
      <c r="F320" s="1">
        <v>0</v>
      </c>
      <c r="G320">
        <f t="shared" si="6"/>
        <v>0</v>
      </c>
    </row>
    <row r="321" spans="6:7">
      <c r="F321" s="1">
        <v>0</v>
      </c>
      <c r="G321">
        <f t="shared" si="6"/>
        <v>0</v>
      </c>
    </row>
    <row r="322" spans="6:7">
      <c r="F322" s="1">
        <v>731002</v>
      </c>
      <c r="G322">
        <f t="shared" si="6"/>
        <v>0</v>
      </c>
    </row>
    <row r="323" spans="6:7">
      <c r="F323" s="1">
        <v>0</v>
      </c>
      <c r="G323">
        <f t="shared" si="6"/>
        <v>0</v>
      </c>
    </row>
    <row r="324" spans="6:7">
      <c r="F324" s="1">
        <v>0</v>
      </c>
      <c r="G324">
        <f t="shared" si="6"/>
        <v>0</v>
      </c>
    </row>
    <row r="325" spans="6:7">
      <c r="F325" s="1">
        <v>0</v>
      </c>
      <c r="G325">
        <f t="shared" si="6"/>
        <v>0</v>
      </c>
    </row>
    <row r="326" spans="6:7">
      <c r="F326" s="1">
        <v>0</v>
      </c>
      <c r="G326">
        <f t="shared" si="6"/>
        <v>0</v>
      </c>
    </row>
    <row r="327" spans="6:7">
      <c r="F327" s="1">
        <v>731003</v>
      </c>
      <c r="G327">
        <f t="shared" si="6"/>
        <v>731003</v>
      </c>
    </row>
    <row r="328" spans="6:7">
      <c r="F328" s="1">
        <v>811001</v>
      </c>
      <c r="G328">
        <f t="shared" si="6"/>
        <v>811001</v>
      </c>
    </row>
    <row r="329" spans="6:7">
      <c r="F329" s="1">
        <v>0</v>
      </c>
      <c r="G329">
        <f t="shared" si="6"/>
        <v>0</v>
      </c>
    </row>
    <row r="330" spans="6:7">
      <c r="F330" s="1">
        <v>0</v>
      </c>
      <c r="G330">
        <f t="shared" si="6"/>
        <v>0</v>
      </c>
    </row>
    <row r="331" spans="6:7">
      <c r="F331" s="1">
        <v>0</v>
      </c>
      <c r="G331">
        <f t="shared" si="6"/>
        <v>0</v>
      </c>
    </row>
    <row r="332" spans="6:7">
      <c r="F332" s="1">
        <v>0</v>
      </c>
      <c r="G332">
        <f t="shared" si="6"/>
        <v>0</v>
      </c>
    </row>
    <row r="333" spans="6:7">
      <c r="F333" s="1">
        <v>821001</v>
      </c>
      <c r="G333">
        <f t="shared" si="6"/>
        <v>821001</v>
      </c>
    </row>
    <row r="334" spans="6:7">
      <c r="F334" s="1">
        <v>0</v>
      </c>
      <c r="G334">
        <f t="shared" si="6"/>
        <v>0</v>
      </c>
    </row>
    <row r="335" spans="6:7">
      <c r="F335" s="1">
        <v>0</v>
      </c>
      <c r="G335">
        <f t="shared" si="6"/>
        <v>0</v>
      </c>
    </row>
    <row r="336" spans="6:7">
      <c r="F336" s="1">
        <v>0</v>
      </c>
      <c r="G336">
        <f t="shared" si="6"/>
        <v>0</v>
      </c>
    </row>
    <row r="337" spans="6:7">
      <c r="F337" s="1">
        <v>0</v>
      </c>
      <c r="G337">
        <f t="shared" si="6"/>
        <v>0</v>
      </c>
    </row>
    <row r="338" spans="6:7">
      <c r="F338" s="1">
        <v>831001</v>
      </c>
      <c r="G338">
        <f t="shared" si="6"/>
        <v>831001</v>
      </c>
    </row>
    <row r="339" spans="6:7">
      <c r="F339" s="1">
        <v>0</v>
      </c>
      <c r="G339">
        <f t="shared" si="6"/>
        <v>0</v>
      </c>
    </row>
    <row r="340" spans="6:7">
      <c r="F340" s="1">
        <v>0</v>
      </c>
      <c r="G340">
        <f t="shared" si="6"/>
        <v>0</v>
      </c>
    </row>
    <row r="341" spans="6:7">
      <c r="F341" s="1">
        <v>0</v>
      </c>
      <c r="G341">
        <f t="shared" si="6"/>
        <v>0</v>
      </c>
    </row>
    <row r="342" spans="6:7">
      <c r="F342" s="1">
        <v>0</v>
      </c>
      <c r="G342">
        <f t="shared" si="6"/>
        <v>0</v>
      </c>
    </row>
    <row r="343" spans="6:7">
      <c r="F343" s="1">
        <v>831002</v>
      </c>
      <c r="G343">
        <f t="shared" si="6"/>
        <v>831002</v>
      </c>
    </row>
    <row r="344" spans="6:7">
      <c r="F344" s="1">
        <v>0</v>
      </c>
      <c r="G344">
        <f t="shared" si="6"/>
        <v>0</v>
      </c>
    </row>
    <row r="345" spans="6:7">
      <c r="F345" s="1">
        <v>0</v>
      </c>
      <c r="G345">
        <f t="shared" si="6"/>
        <v>0</v>
      </c>
    </row>
    <row r="346" spans="6:7">
      <c r="F346" s="1">
        <v>0</v>
      </c>
      <c r="G346">
        <f t="shared" si="6"/>
        <v>0</v>
      </c>
    </row>
    <row r="347" spans="6:7">
      <c r="F347" s="1">
        <v>0</v>
      </c>
      <c r="G347">
        <f t="shared" si="6"/>
        <v>0</v>
      </c>
    </row>
    <row r="348" spans="6:7">
      <c r="F348" s="1">
        <v>831003</v>
      </c>
      <c r="G348">
        <f t="shared" si="6"/>
        <v>0</v>
      </c>
    </row>
    <row r="349" spans="6:7">
      <c r="F349" s="1">
        <v>711001</v>
      </c>
      <c r="G349">
        <f t="shared" si="6"/>
        <v>711001</v>
      </c>
    </row>
    <row r="350" spans="6:7">
      <c r="F350" s="1">
        <v>0</v>
      </c>
      <c r="G350">
        <f t="shared" si="6"/>
        <v>0</v>
      </c>
    </row>
    <row r="351" spans="6:7">
      <c r="F351" s="1">
        <v>0</v>
      </c>
      <c r="G351">
        <f t="shared" si="6"/>
        <v>0</v>
      </c>
    </row>
    <row r="352" spans="6:7">
      <c r="F352" s="1">
        <v>0</v>
      </c>
      <c r="G352">
        <f t="shared" si="6"/>
        <v>0</v>
      </c>
    </row>
    <row r="353" spans="6:7">
      <c r="F353" s="1">
        <v>0</v>
      </c>
      <c r="G353">
        <f t="shared" si="6"/>
        <v>0</v>
      </c>
    </row>
    <row r="354" spans="6:7">
      <c r="F354" s="1">
        <v>721001</v>
      </c>
      <c r="G354">
        <f t="shared" si="6"/>
        <v>721001</v>
      </c>
    </row>
    <row r="355" spans="6:7">
      <c r="F355" s="1">
        <v>0</v>
      </c>
      <c r="G355">
        <f t="shared" si="6"/>
        <v>0</v>
      </c>
    </row>
    <row r="356" spans="6:7">
      <c r="F356" s="1">
        <v>0</v>
      </c>
      <c r="G356">
        <f t="shared" ref="G356:G390" si="7">IF(VLOOKUP(F356,K:L,2,FALSE)=0,0,F356)</f>
        <v>0</v>
      </c>
    </row>
    <row r="357" spans="6:7">
      <c r="F357" s="1">
        <v>0</v>
      </c>
      <c r="G357">
        <f t="shared" si="7"/>
        <v>0</v>
      </c>
    </row>
    <row r="358" spans="6:7">
      <c r="F358" s="1">
        <v>0</v>
      </c>
      <c r="G358">
        <f t="shared" si="7"/>
        <v>0</v>
      </c>
    </row>
    <row r="359" spans="6:7">
      <c r="F359" s="1">
        <v>731001</v>
      </c>
      <c r="G359">
        <f t="shared" si="7"/>
        <v>731001</v>
      </c>
    </row>
    <row r="360" spans="6:7">
      <c r="F360" s="1">
        <v>0</v>
      </c>
      <c r="G360">
        <f t="shared" si="7"/>
        <v>0</v>
      </c>
    </row>
    <row r="361" spans="6:7">
      <c r="F361" s="1">
        <v>0</v>
      </c>
      <c r="G361">
        <f t="shared" si="7"/>
        <v>0</v>
      </c>
    </row>
    <row r="362" spans="6:7">
      <c r="F362" s="1">
        <v>0</v>
      </c>
      <c r="G362">
        <f t="shared" si="7"/>
        <v>0</v>
      </c>
    </row>
    <row r="363" spans="6:7">
      <c r="F363" s="1">
        <v>0</v>
      </c>
      <c r="G363">
        <f t="shared" si="7"/>
        <v>0</v>
      </c>
    </row>
    <row r="364" spans="6:7">
      <c r="F364" s="1">
        <v>731002</v>
      </c>
      <c r="G364">
        <f t="shared" si="7"/>
        <v>0</v>
      </c>
    </row>
    <row r="365" spans="6:7">
      <c r="F365" s="1">
        <v>0</v>
      </c>
      <c r="G365">
        <f t="shared" si="7"/>
        <v>0</v>
      </c>
    </row>
    <row r="366" spans="6:7">
      <c r="F366" s="1">
        <v>0</v>
      </c>
      <c r="G366">
        <f t="shared" si="7"/>
        <v>0</v>
      </c>
    </row>
    <row r="367" spans="6:7">
      <c r="F367" s="1">
        <v>0</v>
      </c>
      <c r="G367">
        <f t="shared" si="7"/>
        <v>0</v>
      </c>
    </row>
    <row r="368" spans="6:7">
      <c r="F368" s="1">
        <v>0</v>
      </c>
      <c r="G368">
        <f t="shared" si="7"/>
        <v>0</v>
      </c>
    </row>
    <row r="369" spans="6:7">
      <c r="F369" s="1">
        <v>731003</v>
      </c>
      <c r="G369">
        <f t="shared" si="7"/>
        <v>731003</v>
      </c>
    </row>
    <row r="370" spans="6:7">
      <c r="F370" s="1">
        <v>811001</v>
      </c>
      <c r="G370">
        <f t="shared" si="7"/>
        <v>811001</v>
      </c>
    </row>
    <row r="371" spans="6:7">
      <c r="F371" s="1">
        <v>0</v>
      </c>
      <c r="G371">
        <f t="shared" si="7"/>
        <v>0</v>
      </c>
    </row>
    <row r="372" spans="6:7">
      <c r="F372" s="1">
        <v>0</v>
      </c>
      <c r="G372">
        <f t="shared" si="7"/>
        <v>0</v>
      </c>
    </row>
    <row r="373" spans="6:7">
      <c r="F373" s="1">
        <v>0</v>
      </c>
      <c r="G373">
        <f t="shared" si="7"/>
        <v>0</v>
      </c>
    </row>
    <row r="374" spans="6:7">
      <c r="F374" s="1">
        <v>0</v>
      </c>
      <c r="G374">
        <f t="shared" si="7"/>
        <v>0</v>
      </c>
    </row>
    <row r="375" spans="6:7">
      <c r="F375" s="1">
        <v>821001</v>
      </c>
      <c r="G375">
        <f t="shared" si="7"/>
        <v>821001</v>
      </c>
    </row>
    <row r="376" spans="6:7">
      <c r="F376" s="1">
        <v>0</v>
      </c>
      <c r="G376">
        <f t="shared" si="7"/>
        <v>0</v>
      </c>
    </row>
    <row r="377" spans="6:7">
      <c r="F377" s="1">
        <v>0</v>
      </c>
      <c r="G377">
        <f t="shared" si="7"/>
        <v>0</v>
      </c>
    </row>
    <row r="378" spans="6:7">
      <c r="F378" s="1">
        <v>0</v>
      </c>
      <c r="G378">
        <f t="shared" si="7"/>
        <v>0</v>
      </c>
    </row>
    <row r="379" spans="6:7">
      <c r="F379" s="1">
        <v>0</v>
      </c>
      <c r="G379">
        <f t="shared" si="7"/>
        <v>0</v>
      </c>
    </row>
    <row r="380" spans="6:7">
      <c r="F380" s="1">
        <v>831001</v>
      </c>
      <c r="G380">
        <f t="shared" si="7"/>
        <v>831001</v>
      </c>
    </row>
    <row r="381" spans="6:7">
      <c r="F381" s="1">
        <v>0</v>
      </c>
      <c r="G381">
        <f t="shared" si="7"/>
        <v>0</v>
      </c>
    </row>
    <row r="382" spans="6:7">
      <c r="F382" s="1">
        <v>0</v>
      </c>
      <c r="G382">
        <f t="shared" si="7"/>
        <v>0</v>
      </c>
    </row>
    <row r="383" spans="6:7">
      <c r="F383" s="1">
        <v>0</v>
      </c>
      <c r="G383">
        <f t="shared" si="7"/>
        <v>0</v>
      </c>
    </row>
    <row r="384" spans="6:7">
      <c r="F384" s="1">
        <v>0</v>
      </c>
      <c r="G384">
        <f t="shared" si="7"/>
        <v>0</v>
      </c>
    </row>
    <row r="385" spans="6:7">
      <c r="F385" s="1">
        <v>831002</v>
      </c>
      <c r="G385">
        <f t="shared" si="7"/>
        <v>831002</v>
      </c>
    </row>
    <row r="386" spans="6:7">
      <c r="F386" s="1">
        <v>0</v>
      </c>
      <c r="G386">
        <f t="shared" si="7"/>
        <v>0</v>
      </c>
    </row>
    <row r="387" spans="6:7">
      <c r="F387" s="1">
        <v>0</v>
      </c>
      <c r="G387">
        <f t="shared" si="7"/>
        <v>0</v>
      </c>
    </row>
    <row r="388" spans="6:7">
      <c r="F388" s="1">
        <v>0</v>
      </c>
      <c r="G388">
        <f t="shared" si="7"/>
        <v>0</v>
      </c>
    </row>
    <row r="389" spans="6:7">
      <c r="F389" s="1">
        <v>0</v>
      </c>
      <c r="G389">
        <f t="shared" si="7"/>
        <v>0</v>
      </c>
    </row>
    <row r="390" spans="6:7">
      <c r="F390" s="1">
        <v>831003</v>
      </c>
      <c r="G390">
        <f t="shared" si="7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CareerLv</vt:lpstr>
      <vt:lpstr>链接表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2023-05-12T11:15:00Z</dcterms:created>
  <dcterms:modified xsi:type="dcterms:W3CDTF">2024-12-02T06:53:22Z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  <property fmtid="{D5CDD505-2E9C-101B-9397-08002B2CF9AE}" pid="4" name="KSOReadingLayout">
    <vt:bool>true</vt:bool>
  </property>
</Properties>
</file>