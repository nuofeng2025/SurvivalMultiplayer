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CardShow" sheetId="1" r:id="rId1"/>
    <sheet name="策划表" sheetId="3" r:id="rId2"/>
    <sheet name="Sheet2" sheetId="2" r:id="rId3"/>
  </sheets>
  <definedNames>
    <definedName name="_xlnm._FilterDatabase" localSheetId="0" hidden="1">CardShow!$A$3:$G$75</definedName>
    <definedName name="_xlnm._FilterDatabase" localSheetId="1" hidden="1">策划表!$A$3:$Z$309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C3" authorId="0">
      <text>
        <r>
          <rPr>
            <sz val="9"/>
            <rFont val="宋体"/>
            <charset val="134"/>
          </rPr>
          <t xml:space="preserve">1.人族
2.鲜血
3.贪婪
4.魔法
5.森林
6.岩石
7.进步
8.游牧
</t>
        </r>
      </text>
    </comment>
    <comment ref="D3" authorId="0">
      <text>
        <r>
          <rPr>
            <sz val="9"/>
            <rFont val="宋体"/>
            <charset val="134"/>
          </rPr>
          <t>1.主城
2.部队
3.炮塔
4.建筑
5.地块卡（针对地块操作）
6.魔法卡（针对士兵加成）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D3" authorId="0">
      <text>
        <r>
          <rPr>
            <sz val="9"/>
            <rFont val="宋体"/>
            <charset val="134"/>
          </rPr>
          <t xml:space="preserve">1.人族
2.鲜血
3.贪婪
4.魔法
5.森林
6.岩石
7.进步
8.游牧
</t>
        </r>
      </text>
    </comment>
    <comment ref="E3" authorId="0">
      <text>
        <r>
          <rPr>
            <sz val="9"/>
            <rFont val="宋体"/>
            <charset val="134"/>
          </rPr>
          <t>1.主城
2.部队
3.炮塔
4.建筑
5.地块卡（针对地块操作）
6.魔法卡（针对士兵加成）</t>
        </r>
      </text>
    </comment>
    <comment ref="J3" authorId="0">
      <text>
        <r>
          <rPr>
            <sz val="9"/>
            <rFont val="宋体"/>
            <charset val="134"/>
          </rPr>
          <t>1.常规攻击
2.移动范围攻击
3.召唤
4.无法攻击</t>
        </r>
      </text>
    </comment>
    <comment ref="K3" authorId="0">
      <text>
        <r>
          <rPr>
            <sz val="9"/>
            <rFont val="宋体"/>
            <charset val="134"/>
          </rPr>
          <t>1.单体
2.范围
3.多单位</t>
        </r>
      </text>
    </comment>
    <comment ref="L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范围攻击与无法攻击的建筑填0
多目标攻击填具体数量</t>
        </r>
      </text>
    </comment>
    <comment ref="M3" authorId="0">
      <text>
        <r>
          <rPr>
            <sz val="9"/>
            <rFont val="宋体"/>
            <charset val="134"/>
          </rPr>
          <t>ActType为3需要填
填召唤数量</t>
        </r>
      </text>
    </comment>
    <comment ref="N3" authorId="0">
      <text>
        <r>
          <rPr>
            <sz val="9"/>
            <rFont val="宋体"/>
            <charset val="134"/>
          </rPr>
          <t>范围内所有目标受影响</t>
        </r>
      </text>
    </comment>
    <comment ref="O3" authorId="0">
      <text>
        <r>
          <rPr>
            <sz val="9"/>
            <rFont val="宋体"/>
            <charset val="134"/>
          </rPr>
          <t>1为无线</t>
        </r>
      </text>
    </comment>
    <comment ref="Q3" authorId="0">
      <text>
        <r>
          <rPr>
            <sz val="9"/>
            <rFont val="宋体"/>
            <charset val="134"/>
          </rPr>
          <t>攻击次数/秒</t>
        </r>
      </text>
    </comment>
    <comment ref="Y3" authorId="0">
      <text>
        <r>
          <rPr>
            <sz val="9"/>
            <rFont val="宋体"/>
            <charset val="134"/>
          </rPr>
          <t>角色ID:数量</t>
        </r>
      </text>
    </comment>
  </commentList>
</comments>
</file>

<file path=xl/sharedStrings.xml><?xml version="1.0" encoding="utf-8"?>
<sst xmlns="http://schemas.openxmlformats.org/spreadsheetml/2006/main" count="1054" uniqueCount="425">
  <si>
    <t>BuildId</t>
  </si>
  <si>
    <t>Name</t>
  </si>
  <si>
    <t>Race</t>
  </si>
  <si>
    <t>Type</t>
  </si>
  <si>
    <t>Icon</t>
  </si>
  <si>
    <t>Model</t>
  </si>
  <si>
    <t>CardBack</t>
  </si>
  <si>
    <t>Synthesis</t>
  </si>
  <si>
    <t>Quality</t>
  </si>
  <si>
    <t>Fragment</t>
  </si>
  <si>
    <t>int</t>
  </si>
  <si>
    <t>string</t>
  </si>
  <si>
    <t>编号</t>
  </si>
  <si>
    <t>名字</t>
  </si>
  <si>
    <t>种族</t>
  </si>
  <si>
    <t>类型</t>
  </si>
  <si>
    <t>卡牌资源</t>
  </si>
  <si>
    <t>战斗内资源</t>
  </si>
  <si>
    <t>卡背资源</t>
  </si>
  <si>
    <t>重复获得和合成</t>
  </si>
  <si>
    <t>品质</t>
  </si>
  <si>
    <t>对应卡片碎片道具</t>
  </si>
  <si>
    <t>城堡</t>
  </si>
  <si>
    <t>1_chengbao</t>
  </si>
  <si>
    <t>renzu_ZC</t>
  </si>
  <si>
    <t>1010101:5</t>
  </si>
  <si>
    <t>士兵</t>
  </si>
  <si>
    <t>1_shibing</t>
  </si>
  <si>
    <t>renzu_BD</t>
  </si>
  <si>
    <t>1020101:5</t>
  </si>
  <si>
    <t>重甲武士</t>
  </si>
  <si>
    <t>1_zhongjia</t>
  </si>
  <si>
    <t>1030101:5</t>
  </si>
  <si>
    <t>弓箭手</t>
  </si>
  <si>
    <t>1_gongjian</t>
  </si>
  <si>
    <t>1040101:5</t>
  </si>
  <si>
    <t>箭塔</t>
  </si>
  <si>
    <t>1_jianta</t>
  </si>
  <si>
    <t>renzu_PT</t>
  </si>
  <si>
    <t>1050101:5</t>
  </si>
  <si>
    <t>农场</t>
  </si>
  <si>
    <t>1_nongchang</t>
  </si>
  <si>
    <t>renzu_JZ</t>
  </si>
  <si>
    <t>1060101:5</t>
  </si>
  <si>
    <t>万能卡</t>
  </si>
  <si>
    <t>1_wanneng</t>
  </si>
  <si>
    <t>renzu_MF</t>
  </si>
  <si>
    <t>1070101:5</t>
  </si>
  <si>
    <t>铁匠铺</t>
  </si>
  <si>
    <t>1_tiejiang</t>
  </si>
  <si>
    <t>1080101:5</t>
  </si>
  <si>
    <t>刚甲</t>
  </si>
  <si>
    <t>1_gangjia</t>
  </si>
  <si>
    <t>1090101:5</t>
  </si>
  <si>
    <t>宝塔</t>
  </si>
  <si>
    <t>5_gubao</t>
  </si>
  <si>
    <t>xianxue_ZC</t>
  </si>
  <si>
    <t>2010101:5</t>
  </si>
  <si>
    <t>轰炸者</t>
  </si>
  <si>
    <t>5_kulou</t>
  </si>
  <si>
    <t>xianxue_BD</t>
  </si>
  <si>
    <t>2020101:5</t>
  </si>
  <si>
    <t>小鬼</t>
  </si>
  <si>
    <t>5_emo</t>
  </si>
  <si>
    <t>2030101:5</t>
  </si>
  <si>
    <t>大屠杀</t>
  </si>
  <si>
    <t>5_fenshao</t>
  </si>
  <si>
    <t>xianxue_MF</t>
  </si>
  <si>
    <t>2040101:5</t>
  </si>
  <si>
    <t>牺牲</t>
  </si>
  <si>
    <t>5_xianji</t>
  </si>
  <si>
    <t>2050101:5</t>
  </si>
  <si>
    <t>吸血</t>
  </si>
  <si>
    <t>5_xixue</t>
  </si>
  <si>
    <t>2060101:5</t>
  </si>
  <si>
    <t>绞肉塔</t>
  </si>
  <si>
    <t>5_baoxiang</t>
  </si>
  <si>
    <t>xianxue_PT</t>
  </si>
  <si>
    <t>2070101:5</t>
  </si>
  <si>
    <t>墓地</t>
  </si>
  <si>
    <t>5_jitan</t>
  </si>
  <si>
    <t>xianxue_JZ</t>
  </si>
  <si>
    <t>2080101:5</t>
  </si>
  <si>
    <t>恶魔祭坛</t>
  </si>
  <si>
    <t>5_modian</t>
  </si>
  <si>
    <t>2090101:5</t>
  </si>
  <si>
    <t>宫殿</t>
  </si>
  <si>
    <t>4_zhucheng</t>
  </si>
  <si>
    <t>tanlan_ZC</t>
  </si>
  <si>
    <t>3010101:5</t>
  </si>
  <si>
    <t>信标</t>
  </si>
  <si>
    <t>4_juneng</t>
  </si>
  <si>
    <t>tanlan_JZ</t>
  </si>
  <si>
    <t>3020101:5</t>
  </si>
  <si>
    <t>金库</t>
  </si>
  <si>
    <t>4_jinkuang</t>
  </si>
  <si>
    <t>3030101:5</t>
  </si>
  <si>
    <t>分发塔</t>
  </si>
  <si>
    <t>4_fenjin</t>
  </si>
  <si>
    <t>tanlan_PT</t>
  </si>
  <si>
    <t>3040101:5</t>
  </si>
  <si>
    <t>点金术</t>
  </si>
  <si>
    <t>4_qiangjie</t>
  </si>
  <si>
    <t>tanlan_MF</t>
  </si>
  <si>
    <t>3050101:5</t>
  </si>
  <si>
    <t>抵押</t>
  </si>
  <si>
    <t>4_dianjin</t>
  </si>
  <si>
    <t>tanlan_DK</t>
  </si>
  <si>
    <t>3060101:5</t>
  </si>
  <si>
    <t>重金投入</t>
  </si>
  <si>
    <t>4_touzi</t>
  </si>
  <si>
    <t>3070101:5</t>
  </si>
  <si>
    <t>雇佣兵</t>
  </si>
  <si>
    <t>4_dijing</t>
  </si>
  <si>
    <t>tanlan_BD</t>
  </si>
  <si>
    <t>3080101:5</t>
  </si>
  <si>
    <t>盗贼</t>
  </si>
  <si>
    <t>4_lueduo</t>
  </si>
  <si>
    <t>3090101:5</t>
  </si>
  <si>
    <t>堡垒</t>
  </si>
  <si>
    <t>3_chengbao</t>
  </si>
  <si>
    <t>mofa_ZC</t>
  </si>
  <si>
    <t>4010101:5</t>
  </si>
  <si>
    <t>法师</t>
  </si>
  <si>
    <t>3_puke</t>
  </si>
  <si>
    <t>mofa_BD</t>
  </si>
  <si>
    <t>4020101:5</t>
  </si>
  <si>
    <t>术士</t>
  </si>
  <si>
    <t>3_chabei</t>
  </si>
  <si>
    <t>4030101:5</t>
  </si>
  <si>
    <t>静电</t>
  </si>
  <si>
    <t>3_shandian</t>
  </si>
  <si>
    <t>mofa_MF</t>
  </si>
  <si>
    <t>4040101:5</t>
  </si>
  <si>
    <t>献祭</t>
  </si>
  <si>
    <t>3_tunshi</t>
  </si>
  <si>
    <t>mofa_DK</t>
  </si>
  <si>
    <t>4050101:5</t>
  </si>
  <si>
    <t>燃烧</t>
  </si>
  <si>
    <t>3_zhuoshao</t>
  </si>
  <si>
    <t>4060101:5</t>
  </si>
  <si>
    <t>萨满</t>
  </si>
  <si>
    <t>3_lazhu</t>
  </si>
  <si>
    <t>4070101:5</t>
  </si>
  <si>
    <t>图书馆</t>
  </si>
  <si>
    <t>3_shizhen</t>
  </si>
  <si>
    <t>mofa_JZ</t>
  </si>
  <si>
    <t>4080101:5</t>
  </si>
  <si>
    <t>尖塔</t>
  </si>
  <si>
    <t>3_shuijing</t>
  </si>
  <si>
    <t>mofa_PT</t>
  </si>
  <si>
    <t>4090101:5</t>
  </si>
  <si>
    <t>树人</t>
  </si>
  <si>
    <t>2_zhucheng</t>
  </si>
  <si>
    <t>jingling_ZC</t>
  </si>
  <si>
    <t>5010101:5</t>
  </si>
  <si>
    <t>菌丝</t>
  </si>
  <si>
    <t>2_moguta</t>
  </si>
  <si>
    <t>jingling_PT</t>
  </si>
  <si>
    <t>5020101:5</t>
  </si>
  <si>
    <t>克隆</t>
  </si>
  <si>
    <t>2_jingxiang</t>
  </si>
  <si>
    <t>jingling_DK</t>
  </si>
  <si>
    <t>5030101:5</t>
  </si>
  <si>
    <t>精灵</t>
  </si>
  <si>
    <t>2_jingling</t>
  </si>
  <si>
    <t>jingling_BD</t>
  </si>
  <si>
    <t>5040101:5</t>
  </si>
  <si>
    <t>野猪</t>
  </si>
  <si>
    <t>2_mifeng</t>
  </si>
  <si>
    <t>5050101:5</t>
  </si>
  <si>
    <t>果园</t>
  </si>
  <si>
    <t>2_tengman</t>
  </si>
  <si>
    <t>5060101:5</t>
  </si>
  <si>
    <t>繁衍</t>
  </si>
  <si>
    <t>2_zhufu</t>
  </si>
  <si>
    <t>jingling_MF</t>
  </si>
  <si>
    <t>5070101:5</t>
  </si>
  <si>
    <t>森林</t>
  </si>
  <si>
    <t>2_yuejing</t>
  </si>
  <si>
    <t>jingling_JZ</t>
  </si>
  <si>
    <t>5080101:5</t>
  </si>
  <si>
    <t>毒药瓶</t>
  </si>
  <si>
    <t>2_duping</t>
  </si>
  <si>
    <t>5090101:5</t>
  </si>
  <si>
    <t>要塞</t>
  </si>
  <si>
    <t>6_chengbao</t>
  </si>
  <si>
    <t>yanshi_ZC</t>
  </si>
  <si>
    <t>6010101:5</t>
  </si>
  <si>
    <t>炼制锅</t>
  </si>
  <si>
    <t>6_tanlu</t>
  </si>
  <si>
    <t>yanshi_JZ</t>
  </si>
  <si>
    <t>6020101:5</t>
  </si>
  <si>
    <t>投石塔</t>
  </si>
  <si>
    <t>6_jupao</t>
  </si>
  <si>
    <t>yanshi_PT</t>
  </si>
  <si>
    <t>6030101:5</t>
  </si>
  <si>
    <t>采石矿</t>
  </si>
  <si>
    <t>6_danyao</t>
  </si>
  <si>
    <t>6040101:5</t>
  </si>
  <si>
    <t>土木工事</t>
  </si>
  <si>
    <t>6_kuozhang</t>
  </si>
  <si>
    <t>yanshi_DK</t>
  </si>
  <si>
    <t>6050101:5</t>
  </si>
  <si>
    <t>弩炮手</t>
  </si>
  <si>
    <t>6_nuche</t>
  </si>
  <si>
    <t>yanshi_BD</t>
  </si>
  <si>
    <t>6060101:5</t>
  </si>
  <si>
    <t>陷阱猎手</t>
  </si>
  <si>
    <t>6_dilei</t>
  </si>
  <si>
    <t>6070101:5</t>
  </si>
  <si>
    <t>筑墙巧匠</t>
  </si>
  <si>
    <t>6_chengfang</t>
  </si>
  <si>
    <t>6080101:5</t>
  </si>
  <si>
    <t>烈焰塔</t>
  </si>
  <si>
    <t>6_lieyan</t>
  </si>
  <si>
    <t>6090101:5</t>
  </si>
  <si>
    <t>母舰</t>
  </si>
  <si>
    <t>7010101:5</t>
  </si>
  <si>
    <t>刽子手</t>
  </si>
  <si>
    <t>7020101:5</t>
  </si>
  <si>
    <t>防御者</t>
  </si>
  <si>
    <t>7030101:5</t>
  </si>
  <si>
    <t>实验鼠</t>
  </si>
  <si>
    <t>7040101:5</t>
  </si>
  <si>
    <t>增益站</t>
  </si>
  <si>
    <t>7050101:5</t>
  </si>
  <si>
    <t>强化</t>
  </si>
  <si>
    <t>7060101:5</t>
  </si>
  <si>
    <t>精准</t>
  </si>
  <si>
    <t>7070101:5</t>
  </si>
  <si>
    <t>转化塔</t>
  </si>
  <si>
    <t>7080101:5</t>
  </si>
  <si>
    <t>彻底改造</t>
  </si>
  <si>
    <t>7090101:5</t>
  </si>
  <si>
    <t>铁血统帅</t>
  </si>
  <si>
    <t>8010101:5</t>
  </si>
  <si>
    <t>暴徒</t>
  </si>
  <si>
    <t>8020101:5</t>
  </si>
  <si>
    <t>猛禽兽</t>
  </si>
  <si>
    <t>8030101:5</t>
  </si>
  <si>
    <t>冰冻</t>
  </si>
  <si>
    <t>8040101:5</t>
  </si>
  <si>
    <t>营地</t>
  </si>
  <si>
    <t>8050101:5</t>
  </si>
  <si>
    <t>迁移</t>
  </si>
  <si>
    <t>8060101:5</t>
  </si>
  <si>
    <t>利剑</t>
  </si>
  <si>
    <t>8070101:5</t>
  </si>
  <si>
    <t>护盾</t>
  </si>
  <si>
    <t>8080101:5</t>
  </si>
  <si>
    <t>龙之巢穴</t>
  </si>
  <si>
    <t>8090101:5</t>
  </si>
  <si>
    <t>Id</t>
  </si>
  <si>
    <t>Lv</t>
  </si>
  <si>
    <t>ActType</t>
  </si>
  <si>
    <t>ActNum</t>
  </si>
  <si>
    <t>AtkNum</t>
  </si>
  <si>
    <t>Num</t>
  </si>
  <si>
    <t>ActRange</t>
  </si>
  <si>
    <t>ActDis</t>
  </si>
  <si>
    <t>Act</t>
  </si>
  <si>
    <t>ActSpeed</t>
  </si>
  <si>
    <t>Cri</t>
  </si>
  <si>
    <t>CriDam</t>
  </si>
  <si>
    <t>ActSF</t>
  </si>
  <si>
    <t>Effect1</t>
  </si>
  <si>
    <t>Effect2</t>
  </si>
  <si>
    <t>Effect3</t>
  </si>
  <si>
    <t>Num1</t>
  </si>
  <si>
    <t>Role</t>
  </si>
  <si>
    <t>Text</t>
  </si>
  <si>
    <t>float</t>
  </si>
  <si>
    <t>等级</t>
  </si>
  <si>
    <t>攻击类型</t>
  </si>
  <si>
    <t>攻击目标</t>
  </si>
  <si>
    <t>攻击数量</t>
  </si>
  <si>
    <t>召唤数量</t>
  </si>
  <si>
    <t>攻击范围</t>
  </si>
  <si>
    <t>攻击距离</t>
  </si>
  <si>
    <t>建筑攻击力</t>
  </si>
  <si>
    <t>建筑攻击速度</t>
  </si>
  <si>
    <t>暴击率</t>
  </si>
  <si>
    <t>暴击伤害</t>
  </si>
  <si>
    <t>攻击特效</t>
  </si>
  <si>
    <t>特殊效果1</t>
  </si>
  <si>
    <t>特殊效果2</t>
  </si>
  <si>
    <t>特殊效果3</t>
  </si>
  <si>
    <t>生效次数</t>
  </si>
  <si>
    <t>士兵ID</t>
  </si>
  <si>
    <t>描述</t>
  </si>
  <si>
    <t>向敌人投掷石弹</t>
  </si>
  <si>
    <t>10101:9</t>
  </si>
  <si>
    <t>属性均衡的近战部队</t>
  </si>
  <si>
    <t>10102:9</t>
  </si>
  <si>
    <t>10103:9</t>
  </si>
  <si>
    <t>10201:3</t>
  </si>
  <si>
    <t>高防御的近战部队</t>
  </si>
  <si>
    <t>10202:3</t>
  </si>
  <si>
    <t>10203:3</t>
  </si>
  <si>
    <t>10301:9</t>
  </si>
  <si>
    <t>造成伤害较低但攻速较快的远程部队</t>
  </si>
  <si>
    <t>10302:9</t>
  </si>
  <si>
    <t>10303:9</t>
  </si>
  <si>
    <t>对目标发射强力箭矢</t>
  </si>
  <si>
    <t>每年使一个相邻部队增加1个单位</t>
  </si>
  <si>
    <t>提升目标地块等级</t>
  </si>
  <si>
    <t>使相邻部队和炮塔攻击提升</t>
  </si>
  <si>
    <t>每场战斗为目标抵挡首次伤害</t>
  </si>
  <si>
    <t>召唤小鬼进行攻击</t>
  </si>
  <si>
    <t>20101:6</t>
  </si>
  <si>
    <t>冲向敌方并爆炸，造成范围伤害</t>
  </si>
  <si>
    <t>20102:6</t>
  </si>
  <si>
    <t>20103:6</t>
  </si>
  <si>
    <t>20201:13</t>
  </si>
  <si>
    <t>快速进攻型部队，拥有许多小型单位</t>
  </si>
  <si>
    <t>20202:13</t>
  </si>
  <si>
    <t>20203:13</t>
  </si>
  <si>
    <t>单位攻击时，回复造成伤害25%的生命</t>
  </si>
  <si>
    <t>范围伤害炮塔，每回合牺牲相邻单位，攻击+2</t>
  </si>
  <si>
    <t>20201:1</t>
  </si>
  <si>
    <t>若一个相邻单位在战斗中死亡，则召唤出一个小鬼假如战斗</t>
  </si>
  <si>
    <t>20202:1</t>
  </si>
  <si>
    <t>20203:1</t>
  </si>
  <si>
    <t>20301:1</t>
  </si>
  <si>
    <t>每级召唤1个恶魔，每有一个友军死亡，获得0.5%永久强化</t>
  </si>
  <si>
    <t>20302:1</t>
  </si>
  <si>
    <t>20303:1</t>
  </si>
  <si>
    <t>使相邻部队和炮塔攻击速度提升2%</t>
  </si>
  <si>
    <t>每回合开始获得3金币</t>
  </si>
  <si>
    <t>单体炮塔，获得1金币时，攻速+1%</t>
  </si>
  <si>
    <t>该部队杀敌时，有2%概率获得1金币</t>
  </si>
  <si>
    <t>摧毁所选建筑，目标每级获得30金币</t>
  </si>
  <si>
    <t>30101:1</t>
  </si>
  <si>
    <t>每拥有15金币可额外招募1个雇佣兵</t>
  </si>
  <si>
    <t>30102:1</t>
  </si>
  <si>
    <t>30103:1</t>
  </si>
  <si>
    <t>30201:9</t>
  </si>
  <si>
    <t>快速跳到敌方阵营后方，优先攻击后方单位</t>
  </si>
  <si>
    <t>30202:9</t>
  </si>
  <si>
    <t>30203:9</t>
  </si>
  <si>
    <t>释放连锁闪电攻击对手</t>
  </si>
  <si>
    <t>40101:3</t>
  </si>
  <si>
    <t>远程部队，以较慢的速度释放强力攻击</t>
  </si>
  <si>
    <t>40102:3</t>
  </si>
  <si>
    <t>40103:3</t>
  </si>
  <si>
    <t>40201:3</t>
  </si>
  <si>
    <t>坚固的部队，可以造成近战范围伤害</t>
  </si>
  <si>
    <t>40202:3</t>
  </si>
  <si>
    <t>40203:3</t>
  </si>
  <si>
    <t>单位攻击可以触发连锁闪电，每一层伤害+1，连锁+1</t>
  </si>
  <si>
    <t>摧毁目标地块，随机获得三张魔法卡牌</t>
  </si>
  <si>
    <t>单位击杀一名目标时，造成其20%攻击力的范围伤害</t>
  </si>
  <si>
    <t>40301:3</t>
  </si>
  <si>
    <t>根据自身伤害能力增强盟友的攻击力</t>
  </si>
  <si>
    <t>40302:3</t>
  </si>
  <si>
    <t>40303:3</t>
  </si>
  <si>
    <t>每年有50%概率为相邻的部队附加一层已有附魔效果</t>
  </si>
  <si>
    <t>在战斗中治疗濒死的己方单位</t>
  </si>
  <si>
    <t>创造一个地面区域，为盟友提供治疗，对敌人造成伤害</t>
  </si>
  <si>
    <t>战斗中每9秒召唤一个战斗孢子，孢子随战斗时间累积</t>
  </si>
  <si>
    <t>克隆所选地块卡牌</t>
  </si>
  <si>
    <t>50101:3</t>
  </si>
  <si>
    <t>远程狙击部队。总是攻击最远的目标</t>
  </si>
  <si>
    <t>50102:3</t>
  </si>
  <si>
    <t>50103:3</t>
  </si>
  <si>
    <t>50201:3</t>
  </si>
  <si>
    <t>可由相邻部队乘骑。每拥有1点生命值，为骑乘者提升1%属性</t>
  </si>
  <si>
    <t>50202:3</t>
  </si>
  <si>
    <t>50203:3</t>
  </si>
  <si>
    <t>生成树根困住敌人。每级3条根</t>
  </si>
  <si>
    <t>为所选部队增加9个单位</t>
  </si>
  <si>
    <t>每年使相邻部队生命值提升2%</t>
  </si>
  <si>
    <t>单位的攻击给敌人施加1层中毒效果</t>
  </si>
  <si>
    <t>可召唤塔攻击周围敌人</t>
  </si>
  <si>
    <t>赋予邻地地块毒性攻击能力，每级叠加一层</t>
  </si>
  <si>
    <t>多弹投射塔，王国每有一座构建物，将多发射一发炮弹</t>
  </si>
  <si>
    <t>每年使所有塔的伤害输出提升2%</t>
  </si>
  <si>
    <t>解锁目标的相邻地块，最多收回三张目标卡牌</t>
  </si>
  <si>
    <t>60101:3</t>
  </si>
  <si>
    <t>远程部队，发射巨型弩箭，可造成穿透伤害</t>
  </si>
  <si>
    <t>60102:3</t>
  </si>
  <si>
    <t>60103:3</t>
  </si>
  <si>
    <t>60201:3</t>
  </si>
  <si>
    <t>部署陷阱造成伤害，未被触发的陷阱将在后续战斗场次中持续有效</t>
  </si>
  <si>
    <t>60202:3</t>
  </si>
  <si>
    <t>60203:3</t>
  </si>
  <si>
    <t>可在王国境内修建防御城墙</t>
  </si>
  <si>
    <t>移动式塔，可以移动至战场焚烧敌人</t>
  </si>
  <si>
    <t>如同攻击单位般飞向敌人，可在战场上操控</t>
  </si>
  <si>
    <t>70101:3</t>
  </si>
  <si>
    <t>远程部队，总是攻击生命值最低的敌人</t>
  </si>
  <si>
    <t>70102:3</t>
  </si>
  <si>
    <t>70103:3</t>
  </si>
  <si>
    <t>70201:3</t>
  </si>
  <si>
    <t>非攻击型防御单位，但可以反弹全部所受伤害</t>
  </si>
  <si>
    <t>70202:3</t>
  </si>
  <si>
    <t>70203:3</t>
  </si>
  <si>
    <t>70301:3</t>
  </si>
  <si>
    <t>一次性近战部队，相邻地块升级时随之升级，无等级上限</t>
  </si>
  <si>
    <t>当此建筑达到3级时，升级所有地块</t>
  </si>
  <si>
    <t>任意地块升级时，单位伤害输出+1%</t>
  </si>
  <si>
    <t>单位的首次攻击必定暴击</t>
  </si>
  <si>
    <t>70301:1</t>
  </si>
  <si>
    <t>将敌人变成老鼠为你而战，老鼠将继承转换塔的属性</t>
  </si>
  <si>
    <t>摧毁目标地块，可随机升级2个地块，每用一次，地块升级数量逐次+1。</t>
  </si>
  <si>
    <t>80101:3</t>
  </si>
  <si>
    <t>基地远程部队，可施放战旗，为目标盟友赋予铁血统帅属性。</t>
  </si>
  <si>
    <t>80201:3</t>
  </si>
  <si>
    <t>石块投掷单位，相邻其他种类卡牌每新增一个单位，也同步获得一个单位</t>
  </si>
  <si>
    <t>80202:3</t>
  </si>
  <si>
    <t>80203:3</t>
  </si>
  <si>
    <t>80301:3</t>
  </si>
  <si>
    <t>可由相邻单位乘骑，双方属性叠加，迅猛突破前线</t>
  </si>
  <si>
    <t>80302:3</t>
  </si>
  <si>
    <t>80303:3</t>
  </si>
  <si>
    <t>单位目标攻击时，使敌人的移速与攻速降低20%</t>
  </si>
  <si>
    <t>一张卡牌置于一个空地块时，营地相邻地块所有属性提升2%</t>
  </si>
  <si>
    <t>将目标移至一个相邻地块，移动后卡牌的攻击和生命值+10%</t>
  </si>
  <si>
    <t>为目标增加5点或5%的攻击力，两者取其高。</t>
  </si>
  <si>
    <t>为目标增加10点或10%的生命值，两者取其高。</t>
  </si>
  <si>
    <t>召唤强龙，发动一击，每摧毁一个地块，攻击力提升20%</t>
  </si>
  <si>
    <t>攻击</t>
  </si>
  <si>
    <t>攻速</t>
  </si>
  <si>
    <t>初始召唤9个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</si>
</sst>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457200</xdr:colOff>
      <xdr:row>15</xdr:row>
      <xdr:rowOff>47625</xdr:rowOff>
    </xdr:from>
    <xdr:to>
      <xdr:col>20</xdr:col>
      <xdr:colOff>581025</xdr:colOff>
      <xdr:row>24</xdr:row>
      <xdr:rowOff>180975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82450" y="3190875"/>
          <a:ext cx="3057525" cy="201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600075</xdr:colOff>
      <xdr:row>14</xdr:row>
      <xdr:rowOff>0</xdr:rowOff>
    </xdr:from>
    <xdr:to>
      <xdr:col>13</xdr:col>
      <xdr:colOff>152400</xdr:colOff>
      <xdr:row>22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86475" y="2933700"/>
          <a:ext cx="2981325" cy="184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35</xdr:row>
      <xdr:rowOff>38100</xdr:rowOff>
    </xdr:from>
    <xdr:to>
      <xdr:col>3</xdr:col>
      <xdr:colOff>457835</xdr:colOff>
      <xdr:row>43</xdr:row>
      <xdr:rowOff>142875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7372350"/>
          <a:ext cx="2514600" cy="1781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657225</xdr:colOff>
      <xdr:row>34</xdr:row>
      <xdr:rowOff>171450</xdr:rowOff>
    </xdr:from>
    <xdr:to>
      <xdr:col>8</xdr:col>
      <xdr:colOff>180975</xdr:colOff>
      <xdr:row>43</xdr:row>
      <xdr:rowOff>180975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14625" y="7296150"/>
          <a:ext cx="2952750" cy="1895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266700</xdr:colOff>
      <xdr:row>34</xdr:row>
      <xdr:rowOff>180975</xdr:rowOff>
    </xdr:from>
    <xdr:to>
      <xdr:col>12</xdr:col>
      <xdr:colOff>304800</xdr:colOff>
      <xdr:row>43</xdr:row>
      <xdr:rowOff>57150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53100" y="7305675"/>
          <a:ext cx="2781300" cy="176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333375</xdr:colOff>
      <xdr:row>35</xdr:row>
      <xdr:rowOff>28575</xdr:rowOff>
    </xdr:from>
    <xdr:to>
      <xdr:col>15</xdr:col>
      <xdr:colOff>723900</xdr:colOff>
      <xdr:row>44</xdr:row>
      <xdr:rowOff>38100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562975" y="7362825"/>
          <a:ext cx="2724150" cy="1895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114300</xdr:colOff>
      <xdr:row>35</xdr:row>
      <xdr:rowOff>95250</xdr:rowOff>
    </xdr:from>
    <xdr:to>
      <xdr:col>19</xdr:col>
      <xdr:colOff>647700</xdr:colOff>
      <xdr:row>44</xdr:row>
      <xdr:rowOff>142875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639550" y="7429500"/>
          <a:ext cx="2781300" cy="1933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409575</xdr:colOff>
      <xdr:row>49</xdr:row>
      <xdr:rowOff>9525</xdr:rowOff>
    </xdr:from>
    <xdr:to>
      <xdr:col>5</xdr:col>
      <xdr:colOff>0</xdr:colOff>
      <xdr:row>58</xdr:row>
      <xdr:rowOff>161925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09575" y="10277475"/>
          <a:ext cx="3019425" cy="2038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161925</xdr:colOff>
      <xdr:row>48</xdr:row>
      <xdr:rowOff>190500</xdr:rowOff>
    </xdr:from>
    <xdr:to>
      <xdr:col>8</xdr:col>
      <xdr:colOff>619125</xdr:colOff>
      <xdr:row>58</xdr:row>
      <xdr:rowOff>114300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590925" y="10248900"/>
          <a:ext cx="2514600" cy="2019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tabSelected="1" zoomScale="115" zoomScaleNormal="115" workbookViewId="0">
      <pane xSplit="2" ySplit="3" topLeftCell="C21" activePane="bottomRight" state="frozen"/>
      <selection/>
      <selection pane="topRight"/>
      <selection pane="bottomLeft"/>
      <selection pane="bottomRight" activeCell="I4" sqref="I4:I48"/>
    </sheetView>
  </sheetViews>
  <sheetFormatPr defaultColWidth="9" defaultRowHeight="16.5"/>
  <cols>
    <col min="1" max="8" width="17.5" style="1" customWidth="1"/>
    <col min="9" max="9" width="9" style="1"/>
    <col min="10" max="10" width="14.875" style="1" customWidth="1"/>
    <col min="11" max="16384" width="9" style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 s="1" t="s">
        <v>10</v>
      </c>
      <c r="B2" s="1" t="s">
        <v>11</v>
      </c>
      <c r="C2" s="1" t="s">
        <v>10</v>
      </c>
      <c r="D2" s="1" t="s">
        <v>10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10</v>
      </c>
      <c r="J2" s="1" t="s">
        <v>10</v>
      </c>
    </row>
    <row r="3" s="1" customFormat="1" spans="1:10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</row>
    <row r="4" spans="1:10">
      <c r="A4" s="1">
        <v>10101</v>
      </c>
      <c r="B4" s="1" t="s">
        <v>22</v>
      </c>
      <c r="C4" s="1">
        <v>1</v>
      </c>
      <c r="D4" s="1">
        <v>1</v>
      </c>
      <c r="E4" s="1" t="s">
        <v>23</v>
      </c>
      <c r="F4" s="1" t="s">
        <v>23</v>
      </c>
      <c r="G4" s="1" t="s">
        <v>24</v>
      </c>
      <c r="H4" s="1" t="s">
        <v>25</v>
      </c>
      <c r="I4" s="1">
        <v>1</v>
      </c>
      <c r="J4" s="1">
        <v>1010101</v>
      </c>
    </row>
    <row r="5" spans="1:10">
      <c r="A5" s="1">
        <v>10201</v>
      </c>
      <c r="B5" s="1" t="s">
        <v>26</v>
      </c>
      <c r="C5" s="1">
        <v>1</v>
      </c>
      <c r="D5" s="1">
        <v>2</v>
      </c>
      <c r="E5" s="1" t="s">
        <v>27</v>
      </c>
      <c r="F5" s="1" t="s">
        <v>27</v>
      </c>
      <c r="G5" s="1" t="s">
        <v>28</v>
      </c>
      <c r="H5" s="1" t="s">
        <v>29</v>
      </c>
      <c r="I5" s="1">
        <v>1</v>
      </c>
      <c r="J5" s="1">
        <v>1020101</v>
      </c>
    </row>
    <row r="6" spans="1:10">
      <c r="A6" s="1">
        <v>10301</v>
      </c>
      <c r="B6" s="1" t="s">
        <v>30</v>
      </c>
      <c r="C6" s="1">
        <v>1</v>
      </c>
      <c r="D6" s="1">
        <v>2</v>
      </c>
      <c r="E6" s="1" t="s">
        <v>31</v>
      </c>
      <c r="F6" s="1" t="s">
        <v>31</v>
      </c>
      <c r="G6" s="1" t="s">
        <v>28</v>
      </c>
      <c r="H6" s="1" t="s">
        <v>32</v>
      </c>
      <c r="I6" s="1">
        <v>3</v>
      </c>
      <c r="J6" s="1">
        <v>1030101</v>
      </c>
    </row>
    <row r="7" spans="1:10">
      <c r="A7" s="1">
        <v>10401</v>
      </c>
      <c r="B7" s="1" t="s">
        <v>33</v>
      </c>
      <c r="C7" s="1">
        <v>1</v>
      </c>
      <c r="D7" s="1">
        <v>2</v>
      </c>
      <c r="E7" s="1" t="s">
        <v>34</v>
      </c>
      <c r="F7" s="1" t="s">
        <v>34</v>
      </c>
      <c r="G7" s="1" t="s">
        <v>28</v>
      </c>
      <c r="H7" s="1" t="s">
        <v>35</v>
      </c>
      <c r="I7" s="1">
        <v>1</v>
      </c>
      <c r="J7" s="1">
        <v>1040101</v>
      </c>
    </row>
    <row r="8" spans="1:10">
      <c r="A8" s="1">
        <v>10501</v>
      </c>
      <c r="B8" s="1" t="s">
        <v>36</v>
      </c>
      <c r="C8" s="1">
        <v>1</v>
      </c>
      <c r="D8" s="1">
        <v>3</v>
      </c>
      <c r="E8" s="1" t="s">
        <v>37</v>
      </c>
      <c r="F8" s="1" t="s">
        <v>37</v>
      </c>
      <c r="G8" s="1" t="s">
        <v>38</v>
      </c>
      <c r="H8" s="1" t="s">
        <v>39</v>
      </c>
      <c r="I8" s="1">
        <v>2</v>
      </c>
      <c r="J8" s="1">
        <v>1050101</v>
      </c>
    </row>
    <row r="9" spans="1:10">
      <c r="A9" s="1">
        <v>10601</v>
      </c>
      <c r="B9" s="1" t="s">
        <v>40</v>
      </c>
      <c r="C9" s="1">
        <v>1</v>
      </c>
      <c r="D9" s="1">
        <v>4</v>
      </c>
      <c r="E9" s="1" t="s">
        <v>41</v>
      </c>
      <c r="F9" s="1" t="s">
        <v>41</v>
      </c>
      <c r="G9" s="1" t="s">
        <v>42</v>
      </c>
      <c r="H9" s="1" t="s">
        <v>43</v>
      </c>
      <c r="I9" s="1">
        <v>4</v>
      </c>
      <c r="J9" s="1">
        <v>1060101</v>
      </c>
    </row>
    <row r="10" spans="1:10">
      <c r="A10" s="1">
        <v>10701</v>
      </c>
      <c r="B10" s="1" t="s">
        <v>44</v>
      </c>
      <c r="C10" s="1">
        <v>1</v>
      </c>
      <c r="D10" s="1">
        <v>6</v>
      </c>
      <c r="E10" s="1" t="s">
        <v>45</v>
      </c>
      <c r="F10" s="1" t="s">
        <v>45</v>
      </c>
      <c r="G10" s="1" t="s">
        <v>46</v>
      </c>
      <c r="H10" s="1" t="s">
        <v>47</v>
      </c>
      <c r="I10" s="1">
        <v>3</v>
      </c>
      <c r="J10" s="1">
        <v>1070101</v>
      </c>
    </row>
    <row r="11" spans="1:10">
      <c r="A11" s="1">
        <v>10801</v>
      </c>
      <c r="B11" s="1" t="s">
        <v>48</v>
      </c>
      <c r="C11" s="1">
        <v>1</v>
      </c>
      <c r="D11" s="1">
        <v>4</v>
      </c>
      <c r="E11" s="1" t="s">
        <v>49</v>
      </c>
      <c r="F11" s="1" t="s">
        <v>49</v>
      </c>
      <c r="G11" s="1" t="s">
        <v>42</v>
      </c>
      <c r="H11" s="1" t="s">
        <v>50</v>
      </c>
      <c r="I11" s="1">
        <v>2</v>
      </c>
      <c r="J11" s="1">
        <v>1080101</v>
      </c>
    </row>
    <row r="12" spans="1:10">
      <c r="A12" s="1">
        <v>10901</v>
      </c>
      <c r="B12" s="1" t="s">
        <v>51</v>
      </c>
      <c r="C12" s="1">
        <v>1</v>
      </c>
      <c r="D12" s="1">
        <v>6</v>
      </c>
      <c r="E12" s="1" t="s">
        <v>52</v>
      </c>
      <c r="F12" s="1" t="s">
        <v>52</v>
      </c>
      <c r="G12" s="1" t="s">
        <v>46</v>
      </c>
      <c r="H12" s="1" t="s">
        <v>53</v>
      </c>
      <c r="I12" s="1">
        <v>2</v>
      </c>
      <c r="J12" s="1">
        <v>1090101</v>
      </c>
    </row>
    <row r="13" spans="1:10">
      <c r="A13" s="1">
        <v>20101</v>
      </c>
      <c r="B13" s="1" t="s">
        <v>54</v>
      </c>
      <c r="C13" s="1">
        <v>2</v>
      </c>
      <c r="D13" s="1">
        <v>1</v>
      </c>
      <c r="E13" s="1" t="s">
        <v>55</v>
      </c>
      <c r="F13" s="1" t="s">
        <v>55</v>
      </c>
      <c r="G13" s="1" t="s">
        <v>56</v>
      </c>
      <c r="H13" s="1" t="s">
        <v>57</v>
      </c>
      <c r="I13" s="1">
        <v>1</v>
      </c>
      <c r="J13" s="1">
        <v>2010101</v>
      </c>
    </row>
    <row r="14" spans="1:10">
      <c r="A14" s="1">
        <v>20201</v>
      </c>
      <c r="B14" s="1" t="s">
        <v>58</v>
      </c>
      <c r="C14" s="1">
        <v>2</v>
      </c>
      <c r="D14" s="1">
        <v>2</v>
      </c>
      <c r="E14" s="1" t="s">
        <v>59</v>
      </c>
      <c r="F14" s="1" t="s">
        <v>59</v>
      </c>
      <c r="G14" s="1" t="s">
        <v>60</v>
      </c>
      <c r="H14" s="1" t="s">
        <v>61</v>
      </c>
      <c r="I14" s="1">
        <v>2</v>
      </c>
      <c r="J14" s="1">
        <v>2020101</v>
      </c>
    </row>
    <row r="15" spans="1:10">
      <c r="A15" s="1">
        <v>20301</v>
      </c>
      <c r="B15" s="1" t="s">
        <v>62</v>
      </c>
      <c r="C15" s="1">
        <v>2</v>
      </c>
      <c r="D15" s="1">
        <v>2</v>
      </c>
      <c r="E15" s="1" t="s">
        <v>63</v>
      </c>
      <c r="F15" s="1" t="s">
        <v>63</v>
      </c>
      <c r="G15" s="1" t="s">
        <v>60</v>
      </c>
      <c r="H15" s="1" t="s">
        <v>64</v>
      </c>
      <c r="I15" s="1">
        <v>1</v>
      </c>
      <c r="J15" s="1">
        <v>2030101</v>
      </c>
    </row>
    <row r="16" spans="1:10">
      <c r="A16" s="1">
        <v>20401</v>
      </c>
      <c r="B16" s="1" t="s">
        <v>65</v>
      </c>
      <c r="C16" s="1">
        <v>2</v>
      </c>
      <c r="D16" s="1">
        <v>6</v>
      </c>
      <c r="E16" s="1" t="s">
        <v>66</v>
      </c>
      <c r="F16" s="1" t="s">
        <v>66</v>
      </c>
      <c r="G16" s="1" t="s">
        <v>67</v>
      </c>
      <c r="H16" s="1" t="s">
        <v>68</v>
      </c>
      <c r="I16" s="1">
        <v>3</v>
      </c>
      <c r="J16" s="1">
        <v>2040101</v>
      </c>
    </row>
    <row r="17" spans="1:10">
      <c r="A17" s="1">
        <v>20501</v>
      </c>
      <c r="B17" s="1" t="s">
        <v>69</v>
      </c>
      <c r="C17" s="1">
        <v>2</v>
      </c>
      <c r="D17" s="1">
        <v>5</v>
      </c>
      <c r="E17" s="1" t="s">
        <v>70</v>
      </c>
      <c r="F17" s="1" t="s">
        <v>70</v>
      </c>
      <c r="G17" s="1" t="s">
        <v>67</v>
      </c>
      <c r="H17" s="1" t="s">
        <v>71</v>
      </c>
      <c r="I17" s="1">
        <v>4</v>
      </c>
      <c r="J17" s="1">
        <v>2050101</v>
      </c>
    </row>
    <row r="18" spans="1:10">
      <c r="A18" s="1">
        <v>20601</v>
      </c>
      <c r="B18" s="1" t="s">
        <v>72</v>
      </c>
      <c r="C18" s="1">
        <v>2</v>
      </c>
      <c r="D18" s="1">
        <v>6</v>
      </c>
      <c r="E18" s="1" t="s">
        <v>73</v>
      </c>
      <c r="F18" s="1" t="s">
        <v>73</v>
      </c>
      <c r="G18" s="1" t="s">
        <v>67</v>
      </c>
      <c r="H18" s="1" t="s">
        <v>74</v>
      </c>
      <c r="I18" s="1">
        <v>3</v>
      </c>
      <c r="J18" s="1">
        <v>2060101</v>
      </c>
    </row>
    <row r="19" spans="1:10">
      <c r="A19" s="1">
        <v>20701</v>
      </c>
      <c r="B19" s="1" t="s">
        <v>75</v>
      </c>
      <c r="C19" s="1">
        <v>2</v>
      </c>
      <c r="D19" s="1">
        <v>3</v>
      </c>
      <c r="E19" s="1" t="s">
        <v>76</v>
      </c>
      <c r="F19" s="1" t="s">
        <v>76</v>
      </c>
      <c r="G19" s="1" t="s">
        <v>77</v>
      </c>
      <c r="H19" s="1" t="s">
        <v>78</v>
      </c>
      <c r="I19" s="1">
        <v>2</v>
      </c>
      <c r="J19" s="1">
        <v>2070101</v>
      </c>
    </row>
    <row r="20" spans="1:10">
      <c r="A20" s="1">
        <v>20801</v>
      </c>
      <c r="B20" s="1" t="s">
        <v>79</v>
      </c>
      <c r="C20" s="1">
        <v>2</v>
      </c>
      <c r="D20" s="1">
        <v>4</v>
      </c>
      <c r="E20" s="1" t="s">
        <v>80</v>
      </c>
      <c r="F20" s="1" t="s">
        <v>80</v>
      </c>
      <c r="G20" s="1" t="s">
        <v>81</v>
      </c>
      <c r="H20" s="1" t="s">
        <v>82</v>
      </c>
      <c r="I20" s="1">
        <v>1</v>
      </c>
      <c r="J20" s="1">
        <v>2080101</v>
      </c>
    </row>
    <row r="21" spans="1:10">
      <c r="A21" s="1">
        <v>20901</v>
      </c>
      <c r="B21" s="1" t="s">
        <v>83</v>
      </c>
      <c r="C21" s="1">
        <v>2</v>
      </c>
      <c r="D21" s="1">
        <v>4</v>
      </c>
      <c r="E21" s="1" t="s">
        <v>84</v>
      </c>
      <c r="F21" s="1" t="s">
        <v>84</v>
      </c>
      <c r="G21" s="1" t="s">
        <v>81</v>
      </c>
      <c r="H21" s="1" t="s">
        <v>85</v>
      </c>
      <c r="I21" s="1">
        <v>2</v>
      </c>
      <c r="J21" s="1">
        <v>2090101</v>
      </c>
    </row>
    <row r="22" spans="1:10">
      <c r="A22" s="1">
        <v>30101</v>
      </c>
      <c r="B22" s="1" t="s">
        <v>86</v>
      </c>
      <c r="C22" s="1">
        <v>3</v>
      </c>
      <c r="D22" s="1">
        <v>1</v>
      </c>
      <c r="E22" s="1" t="s">
        <v>87</v>
      </c>
      <c r="F22" s="1" t="s">
        <v>87</v>
      </c>
      <c r="G22" s="1" t="s">
        <v>88</v>
      </c>
      <c r="H22" s="1" t="s">
        <v>89</v>
      </c>
      <c r="I22" s="1">
        <v>1</v>
      </c>
      <c r="J22" s="1">
        <v>3010101</v>
      </c>
    </row>
    <row r="23" spans="1:10">
      <c r="A23" s="1">
        <v>30201</v>
      </c>
      <c r="B23" s="1" t="s">
        <v>90</v>
      </c>
      <c r="C23" s="1">
        <v>3</v>
      </c>
      <c r="D23" s="1">
        <v>4</v>
      </c>
      <c r="E23" s="1" t="s">
        <v>91</v>
      </c>
      <c r="F23" s="1" t="s">
        <v>91</v>
      </c>
      <c r="G23" s="1" t="s">
        <v>92</v>
      </c>
      <c r="H23" s="1" t="s">
        <v>93</v>
      </c>
      <c r="I23" s="1">
        <v>1</v>
      </c>
      <c r="J23" s="1">
        <v>3020101</v>
      </c>
    </row>
    <row r="24" spans="1:10">
      <c r="A24" s="1">
        <v>30301</v>
      </c>
      <c r="B24" s="1" t="s">
        <v>94</v>
      </c>
      <c r="C24" s="1">
        <v>3</v>
      </c>
      <c r="D24" s="1">
        <v>4</v>
      </c>
      <c r="E24" s="1" t="s">
        <v>95</v>
      </c>
      <c r="F24" s="1" t="s">
        <v>95</v>
      </c>
      <c r="G24" s="1" t="s">
        <v>92</v>
      </c>
      <c r="H24" s="1" t="s">
        <v>96</v>
      </c>
      <c r="I24" s="1">
        <v>4</v>
      </c>
      <c r="J24" s="1">
        <v>3030101</v>
      </c>
    </row>
    <row r="25" spans="1:10">
      <c r="A25" s="1">
        <v>30401</v>
      </c>
      <c r="B25" s="1" t="s">
        <v>97</v>
      </c>
      <c r="C25" s="1">
        <v>3</v>
      </c>
      <c r="D25" s="1">
        <v>3</v>
      </c>
      <c r="E25" s="1" t="s">
        <v>98</v>
      </c>
      <c r="F25" s="1" t="s">
        <v>98</v>
      </c>
      <c r="G25" s="1" t="s">
        <v>99</v>
      </c>
      <c r="H25" s="1" t="s">
        <v>100</v>
      </c>
      <c r="I25" s="1">
        <v>2</v>
      </c>
      <c r="J25" s="1">
        <v>3040101</v>
      </c>
    </row>
    <row r="26" spans="1:10">
      <c r="A26" s="1">
        <v>30501</v>
      </c>
      <c r="B26" s="1" t="s">
        <v>101</v>
      </c>
      <c r="C26" s="1">
        <v>3</v>
      </c>
      <c r="D26" s="1">
        <v>6</v>
      </c>
      <c r="E26" s="1" t="s">
        <v>102</v>
      </c>
      <c r="F26" s="1" t="s">
        <v>102</v>
      </c>
      <c r="G26" s="1" t="s">
        <v>103</v>
      </c>
      <c r="H26" s="1" t="s">
        <v>104</v>
      </c>
      <c r="I26" s="1">
        <v>3</v>
      </c>
      <c r="J26" s="1">
        <v>3050101</v>
      </c>
    </row>
    <row r="27" spans="1:10">
      <c r="A27" s="1">
        <v>30601</v>
      </c>
      <c r="B27" s="1" t="s">
        <v>105</v>
      </c>
      <c r="C27" s="1">
        <v>3</v>
      </c>
      <c r="D27" s="1">
        <v>6</v>
      </c>
      <c r="E27" s="1" t="s">
        <v>106</v>
      </c>
      <c r="F27" s="1" t="s">
        <v>106</v>
      </c>
      <c r="G27" s="1" t="s">
        <v>107</v>
      </c>
      <c r="H27" s="1" t="s">
        <v>108</v>
      </c>
      <c r="I27" s="1">
        <v>2</v>
      </c>
      <c r="J27" s="1">
        <v>3060101</v>
      </c>
    </row>
    <row r="28" spans="1:10">
      <c r="A28" s="1">
        <v>30701</v>
      </c>
      <c r="B28" s="1" t="s">
        <v>109</v>
      </c>
      <c r="C28" s="1">
        <v>3</v>
      </c>
      <c r="D28" s="1">
        <v>6</v>
      </c>
      <c r="E28" s="1" t="s">
        <v>110</v>
      </c>
      <c r="F28" s="1" t="s">
        <v>110</v>
      </c>
      <c r="G28" s="1" t="s">
        <v>103</v>
      </c>
      <c r="H28" s="1" t="s">
        <v>111</v>
      </c>
      <c r="I28" s="1">
        <v>3</v>
      </c>
      <c r="J28" s="1">
        <v>3070101</v>
      </c>
    </row>
    <row r="29" spans="1:10">
      <c r="A29" s="1">
        <v>30801</v>
      </c>
      <c r="B29" s="1" t="s">
        <v>112</v>
      </c>
      <c r="C29" s="1">
        <v>3</v>
      </c>
      <c r="D29" s="1">
        <v>2</v>
      </c>
      <c r="E29" s="1" t="s">
        <v>113</v>
      </c>
      <c r="F29" s="1" t="s">
        <v>113</v>
      </c>
      <c r="G29" s="1" t="s">
        <v>114</v>
      </c>
      <c r="H29" s="1" t="s">
        <v>115</v>
      </c>
      <c r="I29" s="1">
        <v>1</v>
      </c>
      <c r="J29" s="1">
        <v>3080101</v>
      </c>
    </row>
    <row r="30" spans="1:10">
      <c r="A30" s="1">
        <v>30901</v>
      </c>
      <c r="B30" s="1" t="s">
        <v>116</v>
      </c>
      <c r="C30" s="1">
        <v>3</v>
      </c>
      <c r="D30" s="1">
        <v>2</v>
      </c>
      <c r="E30" s="1" t="s">
        <v>117</v>
      </c>
      <c r="F30" s="1" t="s">
        <v>117</v>
      </c>
      <c r="G30" s="1" t="s">
        <v>114</v>
      </c>
      <c r="H30" s="1" t="s">
        <v>118</v>
      </c>
      <c r="I30" s="1">
        <v>2</v>
      </c>
      <c r="J30" s="1">
        <v>3090101</v>
      </c>
    </row>
    <row r="31" spans="1:10">
      <c r="A31" s="1">
        <v>40101</v>
      </c>
      <c r="B31" s="1" t="s">
        <v>119</v>
      </c>
      <c r="C31" s="1">
        <v>4</v>
      </c>
      <c r="D31" s="1">
        <v>1</v>
      </c>
      <c r="E31" s="1" t="s">
        <v>120</v>
      </c>
      <c r="F31" s="1" t="s">
        <v>120</v>
      </c>
      <c r="G31" s="1" t="s">
        <v>121</v>
      </c>
      <c r="H31" s="1" t="s">
        <v>122</v>
      </c>
      <c r="I31" s="1">
        <v>1</v>
      </c>
      <c r="J31" s="1">
        <v>4010101</v>
      </c>
    </row>
    <row r="32" spans="1:10">
      <c r="A32" s="1">
        <v>40201</v>
      </c>
      <c r="B32" s="1" t="s">
        <v>123</v>
      </c>
      <c r="C32" s="1">
        <v>4</v>
      </c>
      <c r="D32" s="1">
        <v>2</v>
      </c>
      <c r="E32" s="1" t="s">
        <v>124</v>
      </c>
      <c r="F32" s="1" t="s">
        <v>124</v>
      </c>
      <c r="G32" s="1" t="s">
        <v>125</v>
      </c>
      <c r="H32" s="1" t="s">
        <v>126</v>
      </c>
      <c r="I32" s="1">
        <v>1</v>
      </c>
      <c r="J32" s="1">
        <v>4020101</v>
      </c>
    </row>
    <row r="33" spans="1:10">
      <c r="A33" s="1">
        <v>40301</v>
      </c>
      <c r="B33" s="1" t="s">
        <v>127</v>
      </c>
      <c r="C33" s="1">
        <v>4</v>
      </c>
      <c r="D33" s="1">
        <v>2</v>
      </c>
      <c r="E33" s="1" t="s">
        <v>128</v>
      </c>
      <c r="F33" s="1" t="s">
        <v>128</v>
      </c>
      <c r="G33" s="1" t="s">
        <v>125</v>
      </c>
      <c r="H33" s="1" t="s">
        <v>129</v>
      </c>
      <c r="I33" s="1">
        <v>1</v>
      </c>
      <c r="J33" s="1">
        <v>4030101</v>
      </c>
    </row>
    <row r="34" spans="1:10">
      <c r="A34" s="1">
        <v>40401</v>
      </c>
      <c r="B34" s="1" t="s">
        <v>130</v>
      </c>
      <c r="C34" s="1">
        <v>4</v>
      </c>
      <c r="D34" s="1">
        <v>6</v>
      </c>
      <c r="E34" s="1" t="s">
        <v>131</v>
      </c>
      <c r="F34" s="1" t="s">
        <v>131</v>
      </c>
      <c r="G34" s="1" t="s">
        <v>132</v>
      </c>
      <c r="H34" s="1" t="s">
        <v>133</v>
      </c>
      <c r="I34" s="1">
        <v>3</v>
      </c>
      <c r="J34" s="1">
        <v>4040101</v>
      </c>
    </row>
    <row r="35" spans="1:10">
      <c r="A35" s="1">
        <v>40501</v>
      </c>
      <c r="B35" s="1" t="s">
        <v>134</v>
      </c>
      <c r="C35" s="1">
        <v>4</v>
      </c>
      <c r="D35" s="1">
        <v>5</v>
      </c>
      <c r="E35" s="1" t="s">
        <v>135</v>
      </c>
      <c r="F35" s="1" t="s">
        <v>135</v>
      </c>
      <c r="G35" s="1" t="s">
        <v>136</v>
      </c>
      <c r="H35" s="1" t="s">
        <v>137</v>
      </c>
      <c r="I35" s="1">
        <v>2</v>
      </c>
      <c r="J35" s="1">
        <v>4050101</v>
      </c>
    </row>
    <row r="36" spans="1:10">
      <c r="A36" s="1">
        <v>40601</v>
      </c>
      <c r="B36" s="1" t="s">
        <v>138</v>
      </c>
      <c r="C36" s="1">
        <v>4</v>
      </c>
      <c r="D36" s="1">
        <v>6</v>
      </c>
      <c r="E36" s="1" t="s">
        <v>139</v>
      </c>
      <c r="F36" s="1" t="s">
        <v>139</v>
      </c>
      <c r="G36" s="1" t="s">
        <v>132</v>
      </c>
      <c r="H36" s="1" t="s">
        <v>140</v>
      </c>
      <c r="I36" s="1">
        <v>3</v>
      </c>
      <c r="J36" s="1">
        <v>4060101</v>
      </c>
    </row>
    <row r="37" spans="1:10">
      <c r="A37" s="1">
        <v>40701</v>
      </c>
      <c r="B37" s="1" t="s">
        <v>141</v>
      </c>
      <c r="C37" s="1">
        <v>4</v>
      </c>
      <c r="D37" s="1">
        <v>2</v>
      </c>
      <c r="E37" s="1" t="s">
        <v>142</v>
      </c>
      <c r="F37" s="1" t="s">
        <v>142</v>
      </c>
      <c r="G37" s="1" t="s">
        <v>125</v>
      </c>
      <c r="H37" s="1" t="s">
        <v>143</v>
      </c>
      <c r="I37" s="1">
        <v>2</v>
      </c>
      <c r="J37" s="1">
        <v>4070101</v>
      </c>
    </row>
    <row r="38" spans="1:10">
      <c r="A38" s="1">
        <v>40801</v>
      </c>
      <c r="B38" s="1" t="s">
        <v>144</v>
      </c>
      <c r="C38" s="1">
        <v>4</v>
      </c>
      <c r="D38" s="1">
        <v>4</v>
      </c>
      <c r="E38" s="1" t="s">
        <v>145</v>
      </c>
      <c r="F38" s="1" t="s">
        <v>145</v>
      </c>
      <c r="G38" s="1" t="s">
        <v>146</v>
      </c>
      <c r="H38" s="1" t="s">
        <v>147</v>
      </c>
      <c r="I38" s="1">
        <v>4</v>
      </c>
      <c r="J38" s="1">
        <v>4080101</v>
      </c>
    </row>
    <row r="39" spans="1:10">
      <c r="A39" s="1">
        <v>40901</v>
      </c>
      <c r="B39" s="1" t="s">
        <v>148</v>
      </c>
      <c r="C39" s="1">
        <v>4</v>
      </c>
      <c r="D39" s="1">
        <v>3</v>
      </c>
      <c r="E39" s="1" t="s">
        <v>149</v>
      </c>
      <c r="F39" s="1" t="s">
        <v>149</v>
      </c>
      <c r="G39" s="1" t="s">
        <v>150</v>
      </c>
      <c r="H39" s="1" t="s">
        <v>151</v>
      </c>
      <c r="I39" s="1">
        <v>2</v>
      </c>
      <c r="J39" s="1">
        <v>4090101</v>
      </c>
    </row>
    <row r="40" spans="1:10">
      <c r="A40" s="1">
        <v>50101</v>
      </c>
      <c r="B40" s="1" t="s">
        <v>152</v>
      </c>
      <c r="C40" s="1">
        <v>5</v>
      </c>
      <c r="D40" s="1">
        <v>1</v>
      </c>
      <c r="E40" s="1" t="s">
        <v>153</v>
      </c>
      <c r="F40" s="1" t="s">
        <v>153</v>
      </c>
      <c r="G40" s="1" t="s">
        <v>154</v>
      </c>
      <c r="H40" s="1" t="s">
        <v>155</v>
      </c>
      <c r="I40" s="1">
        <v>1</v>
      </c>
      <c r="J40" s="1">
        <v>5010101</v>
      </c>
    </row>
    <row r="41" spans="1:10">
      <c r="A41" s="1">
        <v>50201</v>
      </c>
      <c r="B41" s="1" t="s">
        <v>156</v>
      </c>
      <c r="C41" s="1">
        <v>5</v>
      </c>
      <c r="D41" s="1">
        <v>3</v>
      </c>
      <c r="E41" s="1" t="s">
        <v>157</v>
      </c>
      <c r="F41" s="1" t="s">
        <v>157</v>
      </c>
      <c r="G41" s="1" t="s">
        <v>158</v>
      </c>
      <c r="H41" s="1" t="s">
        <v>159</v>
      </c>
      <c r="I41" s="1">
        <v>1</v>
      </c>
      <c r="J41" s="1">
        <v>5020101</v>
      </c>
    </row>
    <row r="42" spans="1:10">
      <c r="A42" s="1">
        <v>50301</v>
      </c>
      <c r="B42" s="1" t="s">
        <v>160</v>
      </c>
      <c r="C42" s="1">
        <v>5</v>
      </c>
      <c r="D42" s="1">
        <v>5</v>
      </c>
      <c r="E42" s="1" t="s">
        <v>161</v>
      </c>
      <c r="F42" s="1" t="s">
        <v>161</v>
      </c>
      <c r="G42" s="1" t="s">
        <v>162</v>
      </c>
      <c r="H42" s="1" t="s">
        <v>163</v>
      </c>
      <c r="I42" s="1">
        <v>3</v>
      </c>
      <c r="J42" s="1">
        <v>5030101</v>
      </c>
    </row>
    <row r="43" spans="1:10">
      <c r="A43" s="1">
        <v>50401</v>
      </c>
      <c r="B43" s="1" t="s">
        <v>164</v>
      </c>
      <c r="C43" s="1">
        <v>5</v>
      </c>
      <c r="D43" s="1">
        <v>2</v>
      </c>
      <c r="E43" s="1" t="s">
        <v>165</v>
      </c>
      <c r="F43" s="1" t="s">
        <v>165</v>
      </c>
      <c r="G43" s="1" t="s">
        <v>166</v>
      </c>
      <c r="H43" s="1" t="s">
        <v>167</v>
      </c>
      <c r="I43" s="1">
        <v>2</v>
      </c>
      <c r="J43" s="1">
        <v>5040101</v>
      </c>
    </row>
    <row r="44" spans="1:10">
      <c r="A44" s="1">
        <v>50501</v>
      </c>
      <c r="B44" s="1" t="s">
        <v>168</v>
      </c>
      <c r="C44" s="1">
        <v>5</v>
      </c>
      <c r="D44" s="1">
        <v>2</v>
      </c>
      <c r="E44" s="1" t="s">
        <v>169</v>
      </c>
      <c r="F44" s="1" t="s">
        <v>169</v>
      </c>
      <c r="G44" s="1" t="s">
        <v>166</v>
      </c>
      <c r="H44" s="1" t="s">
        <v>170</v>
      </c>
      <c r="I44" s="1">
        <v>2</v>
      </c>
      <c r="J44" s="1">
        <v>5050101</v>
      </c>
    </row>
    <row r="45" spans="1:10">
      <c r="A45" s="1">
        <v>50601</v>
      </c>
      <c r="B45" s="1" t="s">
        <v>171</v>
      </c>
      <c r="C45" s="1">
        <v>5</v>
      </c>
      <c r="D45" s="1">
        <v>3</v>
      </c>
      <c r="E45" s="1" t="s">
        <v>172</v>
      </c>
      <c r="F45" s="1" t="s">
        <v>172</v>
      </c>
      <c r="G45" s="1" t="s">
        <v>158</v>
      </c>
      <c r="H45" s="1" t="s">
        <v>173</v>
      </c>
      <c r="I45" s="1">
        <v>1</v>
      </c>
      <c r="J45" s="1">
        <v>5060101</v>
      </c>
    </row>
    <row r="46" spans="1:10">
      <c r="A46" s="1">
        <v>50701</v>
      </c>
      <c r="B46" s="1" t="s">
        <v>174</v>
      </c>
      <c r="C46" s="1">
        <v>5</v>
      </c>
      <c r="D46" s="1">
        <v>6</v>
      </c>
      <c r="E46" s="1" t="s">
        <v>175</v>
      </c>
      <c r="F46" s="1" t="s">
        <v>175</v>
      </c>
      <c r="G46" s="1" t="s">
        <v>176</v>
      </c>
      <c r="H46" s="1" t="s">
        <v>177</v>
      </c>
      <c r="I46" s="1">
        <v>3</v>
      </c>
      <c r="J46" s="1">
        <v>5070101</v>
      </c>
    </row>
    <row r="47" spans="1:10">
      <c r="A47" s="1">
        <v>50801</v>
      </c>
      <c r="B47" s="1" t="s">
        <v>178</v>
      </c>
      <c r="C47" s="1">
        <v>5</v>
      </c>
      <c r="D47" s="1">
        <v>4</v>
      </c>
      <c r="E47" s="1" t="s">
        <v>179</v>
      </c>
      <c r="F47" s="1" t="s">
        <v>179</v>
      </c>
      <c r="G47" s="1" t="s">
        <v>180</v>
      </c>
      <c r="H47" s="1" t="s">
        <v>181</v>
      </c>
      <c r="I47" s="1">
        <v>4</v>
      </c>
      <c r="J47" s="1">
        <v>5080101</v>
      </c>
    </row>
    <row r="48" spans="1:10">
      <c r="A48" s="1">
        <v>50901</v>
      </c>
      <c r="B48" s="1" t="s">
        <v>182</v>
      </c>
      <c r="C48" s="1">
        <v>5</v>
      </c>
      <c r="D48" s="1">
        <v>6</v>
      </c>
      <c r="E48" s="1" t="s">
        <v>183</v>
      </c>
      <c r="F48" s="1" t="s">
        <v>183</v>
      </c>
      <c r="G48" s="1" t="s">
        <v>176</v>
      </c>
      <c r="H48" s="1" t="s">
        <v>184</v>
      </c>
      <c r="I48" s="1">
        <v>2</v>
      </c>
      <c r="J48" s="1">
        <v>5090101</v>
      </c>
    </row>
    <row r="49" spans="1:10">
      <c r="A49" s="1">
        <v>60101</v>
      </c>
      <c r="B49" s="1" t="s">
        <v>185</v>
      </c>
      <c r="C49" s="1">
        <v>6</v>
      </c>
      <c r="D49" s="1">
        <v>1</v>
      </c>
      <c r="E49" s="1" t="s">
        <v>186</v>
      </c>
      <c r="F49" s="1" t="s">
        <v>186</v>
      </c>
      <c r="G49" s="1" t="s">
        <v>187</v>
      </c>
      <c r="H49" s="1" t="s">
        <v>188</v>
      </c>
      <c r="I49" s="1">
        <v>5</v>
      </c>
      <c r="J49" s="1">
        <v>6010101</v>
      </c>
    </row>
    <row r="50" spans="1:10">
      <c r="A50" s="1">
        <v>60201</v>
      </c>
      <c r="B50" s="1" t="s">
        <v>189</v>
      </c>
      <c r="C50" s="1">
        <v>6</v>
      </c>
      <c r="D50" s="1">
        <v>4</v>
      </c>
      <c r="E50" s="1" t="s">
        <v>190</v>
      </c>
      <c r="F50" s="1" t="s">
        <v>190</v>
      </c>
      <c r="G50" s="1" t="s">
        <v>191</v>
      </c>
      <c r="H50" s="1" t="s">
        <v>192</v>
      </c>
      <c r="I50" s="1">
        <v>5</v>
      </c>
      <c r="J50" s="1">
        <v>6020101</v>
      </c>
    </row>
    <row r="51" spans="1:10">
      <c r="A51" s="1">
        <v>60301</v>
      </c>
      <c r="B51" s="1" t="s">
        <v>193</v>
      </c>
      <c r="C51" s="1">
        <v>6</v>
      </c>
      <c r="D51" s="1">
        <v>3</v>
      </c>
      <c r="E51" s="1" t="s">
        <v>194</v>
      </c>
      <c r="F51" s="1" t="s">
        <v>194</v>
      </c>
      <c r="G51" s="1" t="s">
        <v>195</v>
      </c>
      <c r="H51" s="1" t="s">
        <v>196</v>
      </c>
      <c r="I51" s="1">
        <v>5</v>
      </c>
      <c r="J51" s="1">
        <v>6030101</v>
      </c>
    </row>
    <row r="52" spans="1:10">
      <c r="A52" s="1">
        <v>60401</v>
      </c>
      <c r="B52" s="1" t="s">
        <v>197</v>
      </c>
      <c r="C52" s="1">
        <v>6</v>
      </c>
      <c r="D52" s="1">
        <v>4</v>
      </c>
      <c r="E52" s="1" t="s">
        <v>198</v>
      </c>
      <c r="F52" s="1" t="s">
        <v>198</v>
      </c>
      <c r="G52" s="1" t="s">
        <v>191</v>
      </c>
      <c r="H52" s="1" t="s">
        <v>199</v>
      </c>
      <c r="I52" s="1">
        <v>5</v>
      </c>
      <c r="J52" s="1">
        <v>6040101</v>
      </c>
    </row>
    <row r="53" spans="1:10">
      <c r="A53" s="1">
        <v>60501</v>
      </c>
      <c r="B53" s="1" t="s">
        <v>200</v>
      </c>
      <c r="C53" s="1">
        <v>6</v>
      </c>
      <c r="D53" s="1">
        <v>5</v>
      </c>
      <c r="E53" s="1" t="s">
        <v>201</v>
      </c>
      <c r="F53" s="1" t="s">
        <v>201</v>
      </c>
      <c r="G53" s="1" t="s">
        <v>202</v>
      </c>
      <c r="H53" s="1" t="s">
        <v>203</v>
      </c>
      <c r="I53" s="1">
        <v>5</v>
      </c>
      <c r="J53" s="1">
        <v>6050101</v>
      </c>
    </row>
    <row r="54" spans="1:10">
      <c r="A54" s="1">
        <v>60601</v>
      </c>
      <c r="B54" s="1" t="s">
        <v>204</v>
      </c>
      <c r="C54" s="1">
        <v>6</v>
      </c>
      <c r="D54" s="1">
        <v>2</v>
      </c>
      <c r="E54" s="1" t="s">
        <v>205</v>
      </c>
      <c r="F54" s="1" t="s">
        <v>205</v>
      </c>
      <c r="G54" s="1" t="s">
        <v>206</v>
      </c>
      <c r="H54" s="1" t="s">
        <v>207</v>
      </c>
      <c r="I54" s="1">
        <v>5</v>
      </c>
      <c r="J54" s="1">
        <v>6060101</v>
      </c>
    </row>
    <row r="55" spans="1:10">
      <c r="A55" s="1">
        <v>60701</v>
      </c>
      <c r="B55" s="1" t="s">
        <v>208</v>
      </c>
      <c r="C55" s="1">
        <v>6</v>
      </c>
      <c r="D55" s="1">
        <v>2</v>
      </c>
      <c r="E55" s="1" t="s">
        <v>209</v>
      </c>
      <c r="F55" s="1" t="s">
        <v>209</v>
      </c>
      <c r="G55" s="1" t="s">
        <v>206</v>
      </c>
      <c r="H55" s="1" t="s">
        <v>210</v>
      </c>
      <c r="I55" s="1">
        <v>5</v>
      </c>
      <c r="J55" s="1">
        <v>6070101</v>
      </c>
    </row>
    <row r="56" spans="1:10">
      <c r="A56" s="1">
        <v>60801</v>
      </c>
      <c r="B56" s="1" t="s">
        <v>211</v>
      </c>
      <c r="C56" s="1">
        <v>6</v>
      </c>
      <c r="D56" s="1">
        <v>4</v>
      </c>
      <c r="E56" s="1" t="s">
        <v>212</v>
      </c>
      <c r="F56" s="1" t="s">
        <v>212</v>
      </c>
      <c r="G56" s="1" t="s">
        <v>191</v>
      </c>
      <c r="H56" s="1" t="s">
        <v>213</v>
      </c>
      <c r="I56" s="1">
        <v>5</v>
      </c>
      <c r="J56" s="1">
        <v>6080101</v>
      </c>
    </row>
    <row r="57" spans="1:10">
      <c r="A57" s="1">
        <v>60901</v>
      </c>
      <c r="B57" s="1" t="s">
        <v>214</v>
      </c>
      <c r="C57" s="1">
        <v>6</v>
      </c>
      <c r="D57" s="1">
        <v>3</v>
      </c>
      <c r="E57" s="1" t="s">
        <v>215</v>
      </c>
      <c r="F57" s="1" t="s">
        <v>215</v>
      </c>
      <c r="G57" s="1" t="s">
        <v>195</v>
      </c>
      <c r="H57" s="1" t="s">
        <v>216</v>
      </c>
      <c r="I57" s="1">
        <v>5</v>
      </c>
      <c r="J57" s="1">
        <v>6090101</v>
      </c>
    </row>
    <row r="58" spans="1:10">
      <c r="A58" s="1">
        <v>70101</v>
      </c>
      <c r="B58" s="1" t="s">
        <v>217</v>
      </c>
      <c r="C58" s="1">
        <v>7</v>
      </c>
      <c r="D58" s="1">
        <v>1</v>
      </c>
      <c r="E58" s="1">
        <v>0</v>
      </c>
      <c r="F58" s="1">
        <v>0</v>
      </c>
      <c r="G58" s="1">
        <v>0</v>
      </c>
      <c r="H58" s="1" t="s">
        <v>218</v>
      </c>
      <c r="I58" s="1">
        <v>3</v>
      </c>
      <c r="J58" s="1">
        <v>7010101</v>
      </c>
    </row>
    <row r="59" spans="1:10">
      <c r="A59" s="1">
        <v>70201</v>
      </c>
      <c r="B59" s="1" t="s">
        <v>219</v>
      </c>
      <c r="C59" s="1">
        <v>7</v>
      </c>
      <c r="D59" s="1">
        <v>2</v>
      </c>
      <c r="E59" s="1">
        <v>0</v>
      </c>
      <c r="F59" s="1">
        <v>0</v>
      </c>
      <c r="G59" s="1">
        <v>0</v>
      </c>
      <c r="H59" s="1" t="s">
        <v>220</v>
      </c>
      <c r="I59" s="1">
        <v>4</v>
      </c>
      <c r="J59" s="1">
        <v>7020101</v>
      </c>
    </row>
    <row r="60" spans="1:10">
      <c r="A60" s="1">
        <v>70301</v>
      </c>
      <c r="B60" s="1" t="s">
        <v>221</v>
      </c>
      <c r="C60" s="1">
        <v>7</v>
      </c>
      <c r="D60" s="1">
        <v>2</v>
      </c>
      <c r="E60" s="1">
        <v>0</v>
      </c>
      <c r="F60" s="1">
        <v>0</v>
      </c>
      <c r="G60" s="1">
        <v>0</v>
      </c>
      <c r="H60" s="1" t="s">
        <v>222</v>
      </c>
      <c r="I60" s="1">
        <v>1</v>
      </c>
      <c r="J60" s="1">
        <v>7030101</v>
      </c>
    </row>
    <row r="61" spans="1:10">
      <c r="A61" s="1">
        <v>70401</v>
      </c>
      <c r="B61" s="1" t="s">
        <v>223</v>
      </c>
      <c r="C61" s="1">
        <v>7</v>
      </c>
      <c r="D61" s="1">
        <v>2</v>
      </c>
      <c r="E61" s="1">
        <v>0</v>
      </c>
      <c r="F61" s="1">
        <v>0</v>
      </c>
      <c r="G61" s="1">
        <v>0</v>
      </c>
      <c r="H61" s="1" t="s">
        <v>224</v>
      </c>
      <c r="I61" s="1">
        <v>2</v>
      </c>
      <c r="J61" s="1">
        <v>7040101</v>
      </c>
    </row>
    <row r="62" spans="1:10">
      <c r="A62" s="1">
        <v>70501</v>
      </c>
      <c r="B62" s="1" t="s">
        <v>225</v>
      </c>
      <c r="C62" s="1">
        <v>7</v>
      </c>
      <c r="D62" s="1">
        <v>4</v>
      </c>
      <c r="E62" s="1">
        <v>0</v>
      </c>
      <c r="F62" s="1">
        <v>0</v>
      </c>
      <c r="G62" s="1">
        <v>0</v>
      </c>
      <c r="H62" s="1" t="s">
        <v>226</v>
      </c>
      <c r="I62" s="1">
        <v>3</v>
      </c>
      <c r="J62" s="1">
        <v>7050101</v>
      </c>
    </row>
    <row r="63" spans="1:10">
      <c r="A63" s="1">
        <v>70601</v>
      </c>
      <c r="B63" s="1" t="s">
        <v>227</v>
      </c>
      <c r="C63" s="1">
        <v>7</v>
      </c>
      <c r="D63" s="1">
        <v>6</v>
      </c>
      <c r="E63" s="1">
        <v>0</v>
      </c>
      <c r="F63" s="1">
        <v>0</v>
      </c>
      <c r="G63" s="1">
        <v>0</v>
      </c>
      <c r="H63" s="1" t="s">
        <v>228</v>
      </c>
      <c r="I63" s="1">
        <v>4</v>
      </c>
      <c r="J63" s="1">
        <v>7060101</v>
      </c>
    </row>
    <row r="64" spans="1:10">
      <c r="A64" s="1">
        <v>70701</v>
      </c>
      <c r="B64" s="1" t="s">
        <v>229</v>
      </c>
      <c r="C64" s="1">
        <v>7</v>
      </c>
      <c r="D64" s="1">
        <v>6</v>
      </c>
      <c r="E64" s="1">
        <v>0</v>
      </c>
      <c r="F64" s="1">
        <v>0</v>
      </c>
      <c r="G64" s="1">
        <v>0</v>
      </c>
      <c r="H64" s="1" t="s">
        <v>230</v>
      </c>
      <c r="I64" s="1">
        <v>1</v>
      </c>
      <c r="J64" s="1">
        <v>7070101</v>
      </c>
    </row>
    <row r="65" spans="1:10">
      <c r="A65" s="1">
        <v>70801</v>
      </c>
      <c r="B65" s="1" t="s">
        <v>231</v>
      </c>
      <c r="C65" s="1">
        <v>7</v>
      </c>
      <c r="D65" s="1">
        <v>3</v>
      </c>
      <c r="E65" s="1">
        <v>0</v>
      </c>
      <c r="F65" s="1">
        <v>0</v>
      </c>
      <c r="G65" s="1">
        <v>0</v>
      </c>
      <c r="H65" s="1" t="s">
        <v>232</v>
      </c>
      <c r="I65" s="1">
        <v>2</v>
      </c>
      <c r="J65" s="1">
        <v>7080101</v>
      </c>
    </row>
    <row r="66" spans="1:10">
      <c r="A66" s="1">
        <v>70901</v>
      </c>
      <c r="B66" s="1" t="s">
        <v>233</v>
      </c>
      <c r="C66" s="1">
        <v>7</v>
      </c>
      <c r="D66" s="1">
        <v>5</v>
      </c>
      <c r="E66" s="1">
        <v>0</v>
      </c>
      <c r="F66" s="1">
        <v>0</v>
      </c>
      <c r="G66" s="1">
        <v>0</v>
      </c>
      <c r="H66" s="1" t="s">
        <v>234</v>
      </c>
      <c r="I66" s="1">
        <v>3</v>
      </c>
      <c r="J66" s="1">
        <v>7090101</v>
      </c>
    </row>
    <row r="67" spans="1:10">
      <c r="A67" s="1">
        <v>80101</v>
      </c>
      <c r="B67" s="1" t="s">
        <v>235</v>
      </c>
      <c r="C67" s="1">
        <v>8</v>
      </c>
      <c r="D67" s="1">
        <v>1</v>
      </c>
      <c r="E67" s="1">
        <v>0</v>
      </c>
      <c r="F67" s="1">
        <v>0</v>
      </c>
      <c r="G67" s="1">
        <v>0</v>
      </c>
      <c r="H67" s="1" t="s">
        <v>236</v>
      </c>
      <c r="I67" s="1">
        <v>4</v>
      </c>
      <c r="J67" s="1">
        <v>8010101</v>
      </c>
    </row>
    <row r="68" spans="1:10">
      <c r="A68" s="1">
        <v>80201</v>
      </c>
      <c r="B68" s="1" t="s">
        <v>237</v>
      </c>
      <c r="C68" s="1">
        <v>8</v>
      </c>
      <c r="D68" s="1">
        <v>2</v>
      </c>
      <c r="E68" s="1">
        <v>0</v>
      </c>
      <c r="F68" s="1">
        <v>0</v>
      </c>
      <c r="G68" s="1">
        <v>0</v>
      </c>
      <c r="H68" s="1" t="s">
        <v>238</v>
      </c>
      <c r="I68" s="1">
        <v>1</v>
      </c>
      <c r="J68" s="1">
        <v>8020101</v>
      </c>
    </row>
    <row r="69" spans="1:10">
      <c r="A69" s="1">
        <v>80301</v>
      </c>
      <c r="B69" s="1" t="s">
        <v>239</v>
      </c>
      <c r="C69" s="1">
        <v>8</v>
      </c>
      <c r="D69" s="1">
        <v>2</v>
      </c>
      <c r="E69" s="1">
        <v>0</v>
      </c>
      <c r="F69" s="1">
        <v>0</v>
      </c>
      <c r="G69" s="1">
        <v>0</v>
      </c>
      <c r="H69" s="1" t="s">
        <v>240</v>
      </c>
      <c r="I69" s="1">
        <v>2</v>
      </c>
      <c r="J69" s="1">
        <v>8030101</v>
      </c>
    </row>
    <row r="70" spans="1:10">
      <c r="A70" s="1">
        <v>80401</v>
      </c>
      <c r="B70" s="1" t="s">
        <v>241</v>
      </c>
      <c r="C70" s="1">
        <v>8</v>
      </c>
      <c r="D70" s="1">
        <v>6</v>
      </c>
      <c r="E70" s="1">
        <v>0</v>
      </c>
      <c r="F70" s="1">
        <v>0</v>
      </c>
      <c r="G70" s="1">
        <v>0</v>
      </c>
      <c r="H70" s="1" t="s">
        <v>242</v>
      </c>
      <c r="I70" s="1">
        <v>3</v>
      </c>
      <c r="J70" s="1">
        <v>8040101</v>
      </c>
    </row>
    <row r="71" spans="1:10">
      <c r="A71" s="1">
        <v>80501</v>
      </c>
      <c r="B71" s="1" t="s">
        <v>243</v>
      </c>
      <c r="C71" s="1">
        <v>8</v>
      </c>
      <c r="D71" s="1">
        <v>4</v>
      </c>
      <c r="E71" s="1">
        <v>0</v>
      </c>
      <c r="F71" s="1">
        <v>0</v>
      </c>
      <c r="G71" s="1">
        <v>0</v>
      </c>
      <c r="H71" s="1" t="s">
        <v>244</v>
      </c>
      <c r="I71" s="1">
        <v>4</v>
      </c>
      <c r="J71" s="1">
        <v>8050101</v>
      </c>
    </row>
    <row r="72" spans="1:10">
      <c r="A72" s="1">
        <v>80601</v>
      </c>
      <c r="B72" s="1" t="s">
        <v>245</v>
      </c>
      <c r="C72" s="1">
        <v>8</v>
      </c>
      <c r="D72" s="1">
        <v>5</v>
      </c>
      <c r="E72" s="1">
        <v>0</v>
      </c>
      <c r="F72" s="1">
        <v>0</v>
      </c>
      <c r="G72" s="1">
        <v>0</v>
      </c>
      <c r="H72" s="1" t="s">
        <v>246</v>
      </c>
      <c r="I72" s="1">
        <v>1</v>
      </c>
      <c r="J72" s="1">
        <v>8060101</v>
      </c>
    </row>
    <row r="73" spans="1:10">
      <c r="A73" s="1">
        <v>80701</v>
      </c>
      <c r="B73" s="1" t="s">
        <v>247</v>
      </c>
      <c r="C73" s="1">
        <v>8</v>
      </c>
      <c r="D73" s="1">
        <v>5</v>
      </c>
      <c r="E73" s="1">
        <v>0</v>
      </c>
      <c r="F73" s="1">
        <v>0</v>
      </c>
      <c r="G73" s="1">
        <v>0</v>
      </c>
      <c r="H73" s="1" t="s">
        <v>248</v>
      </c>
      <c r="I73" s="1">
        <v>2</v>
      </c>
      <c r="J73" s="1">
        <v>8070101</v>
      </c>
    </row>
    <row r="74" spans="1:10">
      <c r="A74" s="1">
        <v>80801</v>
      </c>
      <c r="B74" s="1" t="s">
        <v>249</v>
      </c>
      <c r="C74" s="1">
        <v>8</v>
      </c>
      <c r="D74" s="1">
        <v>5</v>
      </c>
      <c r="E74" s="1">
        <v>0</v>
      </c>
      <c r="F74" s="1">
        <v>0</v>
      </c>
      <c r="G74" s="1">
        <v>0</v>
      </c>
      <c r="H74" s="1" t="s">
        <v>250</v>
      </c>
      <c r="I74" s="1">
        <v>3</v>
      </c>
      <c r="J74" s="1">
        <v>8080101</v>
      </c>
    </row>
    <row r="75" spans="1:10">
      <c r="A75" s="1">
        <v>80901</v>
      </c>
      <c r="B75" s="1" t="s">
        <v>251</v>
      </c>
      <c r="C75" s="1">
        <v>8</v>
      </c>
      <c r="D75" s="1">
        <v>3</v>
      </c>
      <c r="E75" s="1">
        <v>0</v>
      </c>
      <c r="F75" s="1">
        <v>0</v>
      </c>
      <c r="G75" s="1">
        <v>0</v>
      </c>
      <c r="H75" s="1" t="s">
        <v>252</v>
      </c>
      <c r="I75" s="1">
        <v>4</v>
      </c>
      <c r="J75" s="1">
        <v>8090101</v>
      </c>
    </row>
  </sheetData>
  <autoFilter xmlns:etc="http://www.wps.cn/officeDocument/2017/etCustomData" ref="A3:G75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9"/>
  <sheetViews>
    <sheetView workbookViewId="0">
      <pane xSplit="3" ySplit="3" topLeftCell="I91" activePane="bottomRight" state="frozen"/>
      <selection/>
      <selection pane="topRight"/>
      <selection pane="bottomLeft"/>
      <selection pane="bottomRight" activeCell="J9" sqref="J9"/>
    </sheetView>
  </sheetViews>
  <sheetFormatPr defaultColWidth="9" defaultRowHeight="16.5"/>
  <cols>
    <col min="1" max="1" width="7" style="1" customWidth="1"/>
    <col min="2" max="2" width="6.875" style="1" customWidth="1"/>
    <col min="3" max="6" width="7.375" style="1" customWidth="1"/>
    <col min="7" max="9" width="9" style="1"/>
    <col min="10" max="12" width="10.125" style="1" customWidth="1"/>
    <col min="13" max="15" width="12" style="1" customWidth="1"/>
    <col min="16" max="16" width="13.125" style="2" customWidth="1"/>
    <col min="17" max="17" width="15.125" style="2" customWidth="1"/>
    <col min="18" max="19" width="13.125" style="1" customWidth="1"/>
    <col min="20" max="25" width="9" style="1"/>
    <col min="26" max="26" width="9" style="3"/>
    <col min="27" max="16384" width="9" style="1"/>
  </cols>
  <sheetData>
    <row r="1" s="1" customFormat="1" spans="1:26">
      <c r="A1" s="1" t="s">
        <v>253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254</v>
      </c>
      <c r="G1" s="1" t="s">
        <v>4</v>
      </c>
      <c r="H1" s="1" t="s">
        <v>5</v>
      </c>
      <c r="I1" s="1" t="s">
        <v>6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2" t="s">
        <v>261</v>
      </c>
      <c r="Q1" s="2" t="s">
        <v>262</v>
      </c>
      <c r="R1" s="1" t="s">
        <v>263</v>
      </c>
      <c r="S1" s="1" t="s">
        <v>264</v>
      </c>
      <c r="T1" s="1" t="s">
        <v>265</v>
      </c>
      <c r="U1" s="1" t="s">
        <v>266</v>
      </c>
      <c r="V1" s="1" t="s">
        <v>267</v>
      </c>
      <c r="W1" s="1" t="s">
        <v>268</v>
      </c>
      <c r="X1" s="1" t="s">
        <v>269</v>
      </c>
      <c r="Y1" s="1" t="s">
        <v>270</v>
      </c>
      <c r="Z1" s="1" t="s">
        <v>271</v>
      </c>
    </row>
    <row r="2" s="1" customFormat="1" spans="1:26">
      <c r="A2" s="1" t="s">
        <v>10</v>
      </c>
      <c r="B2" s="1" t="s">
        <v>10</v>
      </c>
      <c r="C2" s="1" t="s">
        <v>11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11</v>
      </c>
      <c r="I2" s="1" t="s">
        <v>11</v>
      </c>
      <c r="J2" s="1" t="s">
        <v>10</v>
      </c>
      <c r="K2" s="1" t="s">
        <v>10</v>
      </c>
      <c r="L2" s="1" t="s">
        <v>10</v>
      </c>
      <c r="M2" s="1" t="s">
        <v>10</v>
      </c>
      <c r="N2" s="1" t="s">
        <v>10</v>
      </c>
      <c r="O2" s="1" t="s">
        <v>10</v>
      </c>
      <c r="P2" s="2" t="s">
        <v>272</v>
      </c>
      <c r="Q2" s="2" t="s">
        <v>272</v>
      </c>
      <c r="R2" s="1" t="s">
        <v>272</v>
      </c>
      <c r="S2" s="1" t="s">
        <v>10</v>
      </c>
      <c r="T2" s="1" t="s">
        <v>11</v>
      </c>
      <c r="U2" s="1" t="s">
        <v>11</v>
      </c>
      <c r="V2" s="1" t="s">
        <v>11</v>
      </c>
      <c r="W2" s="1" t="s">
        <v>11</v>
      </c>
      <c r="X2" s="1" t="s">
        <v>10</v>
      </c>
      <c r="Y2" s="1" t="s">
        <v>11</v>
      </c>
      <c r="Z2" s="1" t="s">
        <v>11</v>
      </c>
    </row>
    <row r="3" s="1" customFormat="1" spans="1:26">
      <c r="A3" s="1" t="s">
        <v>12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273</v>
      </c>
      <c r="G3" s="1" t="s">
        <v>16</v>
      </c>
      <c r="H3" s="1" t="s">
        <v>17</v>
      </c>
      <c r="I3" s="1" t="s">
        <v>18</v>
      </c>
      <c r="J3" s="1" t="s">
        <v>274</v>
      </c>
      <c r="K3" s="1" t="s">
        <v>275</v>
      </c>
      <c r="L3" s="1" t="s">
        <v>276</v>
      </c>
      <c r="M3" s="1" t="s">
        <v>277</v>
      </c>
      <c r="N3" s="1" t="s">
        <v>278</v>
      </c>
      <c r="O3" s="1" t="s">
        <v>279</v>
      </c>
      <c r="P3" s="2" t="s">
        <v>280</v>
      </c>
      <c r="Q3" s="2" t="s">
        <v>281</v>
      </c>
      <c r="R3" s="1" t="s">
        <v>282</v>
      </c>
      <c r="S3" s="1" t="s">
        <v>283</v>
      </c>
      <c r="T3" s="1" t="s">
        <v>284</v>
      </c>
      <c r="U3" s="1" t="s">
        <v>285</v>
      </c>
      <c r="V3" s="1" t="s">
        <v>286</v>
      </c>
      <c r="W3" s="1" t="s">
        <v>287</v>
      </c>
      <c r="X3" s="1" t="s">
        <v>288</v>
      </c>
      <c r="Y3" s="1" t="s">
        <v>289</v>
      </c>
      <c r="Z3" s="1" t="s">
        <v>290</v>
      </c>
    </row>
    <row r="4" s="1" customFormat="1" spans="1:26">
      <c r="A4" s="1">
        <v>10101</v>
      </c>
      <c r="B4" s="1">
        <f>A4</f>
        <v>10101</v>
      </c>
      <c r="C4" s="1" t="s">
        <v>22</v>
      </c>
      <c r="D4" s="1" t="str">
        <f>LEFT(A4,1)</f>
        <v>1</v>
      </c>
      <c r="E4" s="1">
        <v>1</v>
      </c>
      <c r="F4" s="1">
        <v>1</v>
      </c>
      <c r="G4" s="1" t="str">
        <f t="shared" ref="G4:G13" si="0">"res"&amp;A4</f>
        <v>res10101</v>
      </c>
      <c r="H4" s="1" t="str">
        <f t="shared" ref="H4:H12" si="1">G4</f>
        <v>res10101</v>
      </c>
      <c r="I4" s="1" t="s">
        <v>24</v>
      </c>
      <c r="J4" s="1">
        <v>1</v>
      </c>
      <c r="K4" s="1">
        <v>2</v>
      </c>
      <c r="L4" s="1">
        <v>0</v>
      </c>
      <c r="M4" s="1">
        <v>0</v>
      </c>
      <c r="N4" s="1">
        <v>200</v>
      </c>
      <c r="O4" s="1">
        <v>1</v>
      </c>
      <c r="P4" s="2">
        <v>10</v>
      </c>
      <c r="Q4" s="2">
        <v>0.29</v>
      </c>
      <c r="R4" s="1">
        <v>0</v>
      </c>
      <c r="S4" s="1">
        <v>200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3" t="s">
        <v>291</v>
      </c>
    </row>
    <row r="5" s="1" customFormat="1" spans="1:26">
      <c r="A5" s="1">
        <f>A4+1</f>
        <v>10102</v>
      </c>
      <c r="B5" s="1">
        <f>B4</f>
        <v>10101</v>
      </c>
      <c r="C5" s="1" t="str">
        <f>C4</f>
        <v>城堡</v>
      </c>
      <c r="D5" s="1" t="str">
        <f t="shared" ref="D5:D36" si="2">LEFT(A5,1)</f>
        <v>1</v>
      </c>
      <c r="E5" s="1">
        <f>E4</f>
        <v>1</v>
      </c>
      <c r="F5" s="1">
        <v>2</v>
      </c>
      <c r="G5" s="1" t="str">
        <f t="shared" si="0"/>
        <v>res10102</v>
      </c>
      <c r="H5" s="1" t="str">
        <f t="shared" si="1"/>
        <v>res10102</v>
      </c>
      <c r="I5" s="1" t="s">
        <v>24</v>
      </c>
      <c r="J5" s="1">
        <f>J4</f>
        <v>1</v>
      </c>
      <c r="K5" s="1">
        <v>2</v>
      </c>
      <c r="L5" s="1">
        <v>0</v>
      </c>
      <c r="M5" s="1">
        <v>0</v>
      </c>
      <c r="N5" s="1">
        <v>200</v>
      </c>
      <c r="O5" s="1">
        <v>1</v>
      </c>
      <c r="P5" s="2">
        <f>P4*1.35</f>
        <v>13.5</v>
      </c>
      <c r="Q5" s="2">
        <v>0.29</v>
      </c>
      <c r="R5" s="1">
        <v>0</v>
      </c>
      <c r="S5" s="1">
        <f t="shared" ref="S5:S12" si="3">S4</f>
        <v>200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3" t="str">
        <f t="shared" ref="Z5:Z12" si="4">Z4</f>
        <v>向敌人投掷石弹</v>
      </c>
    </row>
    <row r="6" s="1" customFormat="1" spans="1:26">
      <c r="A6" s="1">
        <f t="shared" ref="A6:A23" si="5">A5+1</f>
        <v>10103</v>
      </c>
      <c r="B6" s="1">
        <f t="shared" ref="B6:B12" si="6">B5</f>
        <v>10101</v>
      </c>
      <c r="C6" s="1" t="str">
        <f t="shared" ref="C6:C23" si="7">C5</f>
        <v>城堡</v>
      </c>
      <c r="D6" s="1" t="str">
        <f t="shared" si="2"/>
        <v>1</v>
      </c>
      <c r="E6" s="1">
        <f t="shared" ref="E6:E23" si="8">E5</f>
        <v>1</v>
      </c>
      <c r="F6" s="1">
        <v>3</v>
      </c>
      <c r="G6" s="1" t="str">
        <f t="shared" si="0"/>
        <v>res10103</v>
      </c>
      <c r="H6" s="1" t="str">
        <f t="shared" si="1"/>
        <v>res10103</v>
      </c>
      <c r="I6" s="1" t="s">
        <v>24</v>
      </c>
      <c r="J6" s="1">
        <f t="shared" ref="J6:J23" si="9">J5</f>
        <v>1</v>
      </c>
      <c r="K6" s="1">
        <v>2</v>
      </c>
      <c r="L6" s="1">
        <v>0</v>
      </c>
      <c r="M6" s="1">
        <v>0</v>
      </c>
      <c r="N6" s="1">
        <v>200</v>
      </c>
      <c r="O6" s="1">
        <v>1</v>
      </c>
      <c r="P6" s="2">
        <f t="shared" ref="P6:P23" si="10">P5*1.35</f>
        <v>18.225</v>
      </c>
      <c r="Q6" s="2">
        <v>0.29</v>
      </c>
      <c r="R6" s="1">
        <v>0</v>
      </c>
      <c r="S6" s="1">
        <f t="shared" si="3"/>
        <v>200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3" t="str">
        <f t="shared" si="4"/>
        <v>向敌人投掷石弹</v>
      </c>
    </row>
    <row r="7" s="1" customFormat="1" spans="1:26">
      <c r="A7" s="1">
        <f t="shared" si="5"/>
        <v>10104</v>
      </c>
      <c r="B7" s="1">
        <f t="shared" si="6"/>
        <v>10101</v>
      </c>
      <c r="C7" s="1" t="str">
        <f t="shared" si="7"/>
        <v>城堡</v>
      </c>
      <c r="D7" s="1" t="str">
        <f t="shared" si="2"/>
        <v>1</v>
      </c>
      <c r="E7" s="1">
        <f t="shared" si="8"/>
        <v>1</v>
      </c>
      <c r="F7" s="1">
        <v>4</v>
      </c>
      <c r="G7" s="1" t="str">
        <f t="shared" si="0"/>
        <v>res10104</v>
      </c>
      <c r="H7" s="1" t="str">
        <f t="shared" si="1"/>
        <v>res10104</v>
      </c>
      <c r="I7" s="1" t="s">
        <v>24</v>
      </c>
      <c r="J7" s="1">
        <f t="shared" si="9"/>
        <v>1</v>
      </c>
      <c r="K7" s="1">
        <v>2</v>
      </c>
      <c r="L7" s="1">
        <v>0</v>
      </c>
      <c r="M7" s="1">
        <v>0</v>
      </c>
      <c r="N7" s="1">
        <v>200</v>
      </c>
      <c r="O7" s="1">
        <v>1</v>
      </c>
      <c r="P7" s="2">
        <f t="shared" si="10"/>
        <v>24.60375</v>
      </c>
      <c r="Q7" s="2">
        <v>0.29</v>
      </c>
      <c r="R7" s="1">
        <v>0</v>
      </c>
      <c r="S7" s="1">
        <f t="shared" si="3"/>
        <v>200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3" t="str">
        <f t="shared" si="4"/>
        <v>向敌人投掷石弹</v>
      </c>
    </row>
    <row r="8" s="1" customFormat="1" spans="1:26">
      <c r="A8" s="1">
        <f t="shared" si="5"/>
        <v>10105</v>
      </c>
      <c r="B8" s="1">
        <f t="shared" si="6"/>
        <v>10101</v>
      </c>
      <c r="C8" s="1" t="str">
        <f t="shared" si="7"/>
        <v>城堡</v>
      </c>
      <c r="D8" s="1" t="str">
        <f t="shared" si="2"/>
        <v>1</v>
      </c>
      <c r="E8" s="1">
        <f t="shared" si="8"/>
        <v>1</v>
      </c>
      <c r="F8" s="1">
        <v>5</v>
      </c>
      <c r="G8" s="1" t="str">
        <f t="shared" si="0"/>
        <v>res10105</v>
      </c>
      <c r="H8" s="1" t="str">
        <f t="shared" si="1"/>
        <v>res10105</v>
      </c>
      <c r="I8" s="1" t="s">
        <v>24</v>
      </c>
      <c r="J8" s="1">
        <f t="shared" si="9"/>
        <v>1</v>
      </c>
      <c r="K8" s="1">
        <v>2</v>
      </c>
      <c r="L8" s="1">
        <v>0</v>
      </c>
      <c r="M8" s="1">
        <v>0</v>
      </c>
      <c r="N8" s="1">
        <v>200</v>
      </c>
      <c r="O8" s="1">
        <v>1</v>
      </c>
      <c r="P8" s="2">
        <f t="shared" si="10"/>
        <v>33.2150625</v>
      </c>
      <c r="Q8" s="2">
        <v>0.29</v>
      </c>
      <c r="R8" s="1">
        <v>0</v>
      </c>
      <c r="S8" s="1">
        <f t="shared" si="3"/>
        <v>200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3" t="str">
        <f t="shared" si="4"/>
        <v>向敌人投掷石弹</v>
      </c>
    </row>
    <row r="9" s="1" customFormat="1" spans="1:26">
      <c r="A9" s="1">
        <f t="shared" si="5"/>
        <v>10106</v>
      </c>
      <c r="B9" s="1">
        <f t="shared" si="6"/>
        <v>10101</v>
      </c>
      <c r="C9" s="1" t="str">
        <f t="shared" si="7"/>
        <v>城堡</v>
      </c>
      <c r="D9" s="1" t="str">
        <f t="shared" si="2"/>
        <v>1</v>
      </c>
      <c r="E9" s="1">
        <f t="shared" si="8"/>
        <v>1</v>
      </c>
      <c r="F9" s="1">
        <v>6</v>
      </c>
      <c r="G9" s="1" t="str">
        <f t="shared" si="0"/>
        <v>res10106</v>
      </c>
      <c r="H9" s="1" t="str">
        <f t="shared" si="1"/>
        <v>res10106</v>
      </c>
      <c r="I9" s="1" t="s">
        <v>24</v>
      </c>
      <c r="J9" s="1">
        <f t="shared" si="9"/>
        <v>1</v>
      </c>
      <c r="K9" s="1">
        <v>2</v>
      </c>
      <c r="L9" s="1">
        <v>0</v>
      </c>
      <c r="M9" s="1">
        <v>0</v>
      </c>
      <c r="N9" s="1">
        <v>200</v>
      </c>
      <c r="O9" s="1">
        <v>1</v>
      </c>
      <c r="P9" s="2">
        <f t="shared" si="10"/>
        <v>44.840334375</v>
      </c>
      <c r="Q9" s="2">
        <v>0.29</v>
      </c>
      <c r="R9" s="1">
        <v>0</v>
      </c>
      <c r="S9" s="1">
        <f t="shared" si="3"/>
        <v>200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3" t="str">
        <f t="shared" si="4"/>
        <v>向敌人投掷石弹</v>
      </c>
    </row>
    <row r="10" s="1" customFormat="1" spans="1:26">
      <c r="A10" s="1">
        <f t="shared" si="5"/>
        <v>10107</v>
      </c>
      <c r="B10" s="1">
        <f t="shared" si="6"/>
        <v>10101</v>
      </c>
      <c r="C10" s="1" t="str">
        <f t="shared" si="7"/>
        <v>城堡</v>
      </c>
      <c r="D10" s="1" t="str">
        <f t="shared" si="2"/>
        <v>1</v>
      </c>
      <c r="E10" s="1">
        <f t="shared" si="8"/>
        <v>1</v>
      </c>
      <c r="F10" s="1">
        <v>7</v>
      </c>
      <c r="G10" s="1" t="str">
        <f t="shared" si="0"/>
        <v>res10107</v>
      </c>
      <c r="H10" s="1" t="str">
        <f t="shared" si="1"/>
        <v>res10107</v>
      </c>
      <c r="I10" s="1" t="s">
        <v>24</v>
      </c>
      <c r="J10" s="1">
        <f t="shared" si="9"/>
        <v>1</v>
      </c>
      <c r="K10" s="1">
        <v>2</v>
      </c>
      <c r="L10" s="1">
        <v>0</v>
      </c>
      <c r="M10" s="1">
        <v>0</v>
      </c>
      <c r="N10" s="1">
        <v>200</v>
      </c>
      <c r="O10" s="1">
        <v>1</v>
      </c>
      <c r="P10" s="2">
        <f t="shared" si="10"/>
        <v>60.53445140625</v>
      </c>
      <c r="Q10" s="2">
        <v>0.29</v>
      </c>
      <c r="R10" s="1">
        <v>0</v>
      </c>
      <c r="S10" s="1">
        <f t="shared" si="3"/>
        <v>200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3" t="str">
        <f t="shared" si="4"/>
        <v>向敌人投掷石弹</v>
      </c>
    </row>
    <row r="11" s="1" customFormat="1" spans="1:26">
      <c r="A11" s="1">
        <f t="shared" si="5"/>
        <v>10108</v>
      </c>
      <c r="B11" s="1">
        <f t="shared" si="6"/>
        <v>10101</v>
      </c>
      <c r="C11" s="1" t="str">
        <f t="shared" si="7"/>
        <v>城堡</v>
      </c>
      <c r="D11" s="1" t="str">
        <f t="shared" si="2"/>
        <v>1</v>
      </c>
      <c r="E11" s="1">
        <f t="shared" si="8"/>
        <v>1</v>
      </c>
      <c r="F11" s="1">
        <v>8</v>
      </c>
      <c r="G11" s="1" t="str">
        <f t="shared" si="0"/>
        <v>res10108</v>
      </c>
      <c r="H11" s="1" t="str">
        <f t="shared" si="1"/>
        <v>res10108</v>
      </c>
      <c r="I11" s="1" t="s">
        <v>24</v>
      </c>
      <c r="J11" s="1">
        <f t="shared" si="9"/>
        <v>1</v>
      </c>
      <c r="K11" s="1">
        <v>2</v>
      </c>
      <c r="L11" s="1">
        <v>0</v>
      </c>
      <c r="M11" s="1">
        <v>0</v>
      </c>
      <c r="N11" s="1">
        <v>200</v>
      </c>
      <c r="O11" s="1">
        <v>1</v>
      </c>
      <c r="P11" s="2">
        <f t="shared" si="10"/>
        <v>81.7215093984375</v>
      </c>
      <c r="Q11" s="2">
        <v>0.29</v>
      </c>
      <c r="R11" s="1">
        <v>0</v>
      </c>
      <c r="S11" s="1">
        <f t="shared" si="3"/>
        <v>200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3" t="str">
        <f t="shared" si="4"/>
        <v>向敌人投掷石弹</v>
      </c>
    </row>
    <row r="12" s="1" customFormat="1" spans="1:26">
      <c r="A12" s="1">
        <f t="shared" si="5"/>
        <v>10109</v>
      </c>
      <c r="B12" s="1">
        <f t="shared" si="6"/>
        <v>10101</v>
      </c>
      <c r="C12" s="1" t="str">
        <f t="shared" si="7"/>
        <v>城堡</v>
      </c>
      <c r="D12" s="1" t="str">
        <f t="shared" si="2"/>
        <v>1</v>
      </c>
      <c r="E12" s="1">
        <f t="shared" si="8"/>
        <v>1</v>
      </c>
      <c r="F12" s="1">
        <v>9</v>
      </c>
      <c r="G12" s="1" t="str">
        <f t="shared" si="0"/>
        <v>res10109</v>
      </c>
      <c r="H12" s="1" t="str">
        <f t="shared" si="1"/>
        <v>res10109</v>
      </c>
      <c r="I12" s="1" t="s">
        <v>24</v>
      </c>
      <c r="J12" s="1">
        <f t="shared" si="9"/>
        <v>1</v>
      </c>
      <c r="K12" s="1">
        <v>2</v>
      </c>
      <c r="L12" s="1">
        <v>0</v>
      </c>
      <c r="M12" s="1">
        <v>0</v>
      </c>
      <c r="N12" s="1">
        <v>200</v>
      </c>
      <c r="O12" s="1">
        <v>1</v>
      </c>
      <c r="P12" s="2">
        <f t="shared" si="10"/>
        <v>110.324037687891</v>
      </c>
      <c r="Q12" s="2">
        <v>0.29</v>
      </c>
      <c r="R12" s="1">
        <v>0</v>
      </c>
      <c r="S12" s="1">
        <f t="shared" si="3"/>
        <v>200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3" t="str">
        <f t="shared" si="4"/>
        <v>向敌人投掷石弹</v>
      </c>
    </row>
    <row r="13" s="1" customFormat="1" spans="1:26">
      <c r="A13" s="1">
        <f t="shared" si="5"/>
        <v>10110</v>
      </c>
      <c r="B13" s="1">
        <f t="shared" ref="B13:B22" si="11">B12</f>
        <v>10101</v>
      </c>
      <c r="C13" s="1" t="str">
        <f t="shared" si="7"/>
        <v>城堡</v>
      </c>
      <c r="D13" s="1" t="str">
        <f t="shared" si="2"/>
        <v>1</v>
      </c>
      <c r="E13" s="1">
        <f t="shared" si="8"/>
        <v>1</v>
      </c>
      <c r="F13" s="1">
        <v>10</v>
      </c>
      <c r="G13" s="1" t="str">
        <f t="shared" ref="G13:G24" si="12">"res"&amp;A13</f>
        <v>res10110</v>
      </c>
      <c r="H13" s="1" t="str">
        <f t="shared" ref="H13:H33" si="13">G13</f>
        <v>res10110</v>
      </c>
      <c r="I13" s="1" t="s">
        <v>24</v>
      </c>
      <c r="J13" s="1">
        <f t="shared" si="9"/>
        <v>1</v>
      </c>
      <c r="K13" s="1">
        <v>2</v>
      </c>
      <c r="L13" s="1">
        <v>0</v>
      </c>
      <c r="M13" s="1">
        <v>0</v>
      </c>
      <c r="N13" s="1">
        <v>200</v>
      </c>
      <c r="O13" s="1">
        <v>1</v>
      </c>
      <c r="P13" s="2">
        <f t="shared" si="10"/>
        <v>148.937450878652</v>
      </c>
      <c r="Q13" s="2">
        <v>0.29</v>
      </c>
      <c r="R13" s="1">
        <v>0</v>
      </c>
      <c r="S13" s="1">
        <f t="shared" ref="S13:S23" si="14">S12</f>
        <v>200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3" t="str">
        <f t="shared" ref="Z13:Z23" si="15">Z12</f>
        <v>向敌人投掷石弹</v>
      </c>
    </row>
    <row r="14" s="1" customFormat="1" spans="1:26">
      <c r="A14" s="1">
        <f t="shared" si="5"/>
        <v>10111</v>
      </c>
      <c r="B14" s="1">
        <f t="shared" si="11"/>
        <v>10101</v>
      </c>
      <c r="C14" s="1" t="str">
        <f t="shared" si="7"/>
        <v>城堡</v>
      </c>
      <c r="D14" s="1" t="str">
        <f t="shared" si="2"/>
        <v>1</v>
      </c>
      <c r="E14" s="1">
        <f t="shared" si="8"/>
        <v>1</v>
      </c>
      <c r="F14" s="1">
        <v>11</v>
      </c>
      <c r="G14" s="1" t="str">
        <f t="shared" si="12"/>
        <v>res10111</v>
      </c>
      <c r="H14" s="1" t="str">
        <f t="shared" si="13"/>
        <v>res10111</v>
      </c>
      <c r="I14" s="1" t="s">
        <v>24</v>
      </c>
      <c r="J14" s="1">
        <f t="shared" si="9"/>
        <v>1</v>
      </c>
      <c r="K14" s="1">
        <v>2</v>
      </c>
      <c r="L14" s="1">
        <v>0</v>
      </c>
      <c r="M14" s="1">
        <v>0</v>
      </c>
      <c r="N14" s="1">
        <v>200</v>
      </c>
      <c r="O14" s="1">
        <v>1</v>
      </c>
      <c r="P14" s="2">
        <f t="shared" si="10"/>
        <v>201.065558686181</v>
      </c>
      <c r="Q14" s="2">
        <v>0.29</v>
      </c>
      <c r="R14" s="1">
        <v>0</v>
      </c>
      <c r="S14" s="1">
        <f t="shared" si="14"/>
        <v>200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3" t="str">
        <f t="shared" si="15"/>
        <v>向敌人投掷石弹</v>
      </c>
    </row>
    <row r="15" s="1" customFormat="1" spans="1:26">
      <c r="A15" s="1">
        <f t="shared" si="5"/>
        <v>10112</v>
      </c>
      <c r="B15" s="1">
        <f t="shared" si="11"/>
        <v>10101</v>
      </c>
      <c r="C15" s="1" t="str">
        <f t="shared" si="7"/>
        <v>城堡</v>
      </c>
      <c r="D15" s="1" t="str">
        <f t="shared" si="2"/>
        <v>1</v>
      </c>
      <c r="E15" s="1">
        <f t="shared" si="8"/>
        <v>1</v>
      </c>
      <c r="F15" s="1">
        <v>12</v>
      </c>
      <c r="G15" s="1" t="str">
        <f t="shared" si="12"/>
        <v>res10112</v>
      </c>
      <c r="H15" s="1" t="str">
        <f t="shared" si="13"/>
        <v>res10112</v>
      </c>
      <c r="I15" s="1" t="s">
        <v>24</v>
      </c>
      <c r="J15" s="1">
        <f t="shared" si="9"/>
        <v>1</v>
      </c>
      <c r="K15" s="1">
        <v>2</v>
      </c>
      <c r="L15" s="1">
        <v>0</v>
      </c>
      <c r="M15" s="1">
        <v>0</v>
      </c>
      <c r="N15" s="1">
        <v>200</v>
      </c>
      <c r="O15" s="1">
        <v>1</v>
      </c>
      <c r="P15" s="2">
        <f t="shared" si="10"/>
        <v>271.438504226344</v>
      </c>
      <c r="Q15" s="2">
        <v>0.29</v>
      </c>
      <c r="R15" s="1">
        <v>0</v>
      </c>
      <c r="S15" s="1">
        <f t="shared" si="14"/>
        <v>200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3" t="str">
        <f t="shared" si="15"/>
        <v>向敌人投掷石弹</v>
      </c>
    </row>
    <row r="16" s="1" customFormat="1" spans="1:26">
      <c r="A16" s="1">
        <f t="shared" si="5"/>
        <v>10113</v>
      </c>
      <c r="B16" s="1">
        <f t="shared" si="11"/>
        <v>10101</v>
      </c>
      <c r="C16" s="1" t="str">
        <f t="shared" si="7"/>
        <v>城堡</v>
      </c>
      <c r="D16" s="1" t="str">
        <f t="shared" si="2"/>
        <v>1</v>
      </c>
      <c r="E16" s="1">
        <f t="shared" si="8"/>
        <v>1</v>
      </c>
      <c r="F16" s="1">
        <v>13</v>
      </c>
      <c r="G16" s="1" t="str">
        <f t="shared" si="12"/>
        <v>res10113</v>
      </c>
      <c r="H16" s="1" t="str">
        <f t="shared" si="13"/>
        <v>res10113</v>
      </c>
      <c r="I16" s="1" t="s">
        <v>24</v>
      </c>
      <c r="J16" s="1">
        <f t="shared" si="9"/>
        <v>1</v>
      </c>
      <c r="K16" s="1">
        <v>2</v>
      </c>
      <c r="L16" s="1">
        <v>0</v>
      </c>
      <c r="M16" s="1">
        <v>0</v>
      </c>
      <c r="N16" s="1">
        <v>200</v>
      </c>
      <c r="O16" s="1">
        <v>1</v>
      </c>
      <c r="P16" s="2">
        <f t="shared" si="10"/>
        <v>366.441980705565</v>
      </c>
      <c r="Q16" s="2">
        <v>0.29</v>
      </c>
      <c r="R16" s="1">
        <v>0</v>
      </c>
      <c r="S16" s="1">
        <f t="shared" si="14"/>
        <v>200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3" t="str">
        <f t="shared" si="15"/>
        <v>向敌人投掷石弹</v>
      </c>
    </row>
    <row r="17" s="1" customFormat="1" spans="1:26">
      <c r="A17" s="1">
        <f t="shared" si="5"/>
        <v>10114</v>
      </c>
      <c r="B17" s="1">
        <f t="shared" si="11"/>
        <v>10101</v>
      </c>
      <c r="C17" s="1" t="str">
        <f t="shared" si="7"/>
        <v>城堡</v>
      </c>
      <c r="D17" s="1" t="str">
        <f t="shared" si="2"/>
        <v>1</v>
      </c>
      <c r="E17" s="1">
        <f t="shared" si="8"/>
        <v>1</v>
      </c>
      <c r="F17" s="1">
        <v>14</v>
      </c>
      <c r="G17" s="1" t="str">
        <f t="shared" si="12"/>
        <v>res10114</v>
      </c>
      <c r="H17" s="1" t="str">
        <f t="shared" si="13"/>
        <v>res10114</v>
      </c>
      <c r="I17" s="1" t="s">
        <v>24</v>
      </c>
      <c r="J17" s="1">
        <f t="shared" si="9"/>
        <v>1</v>
      </c>
      <c r="K17" s="1">
        <v>2</v>
      </c>
      <c r="L17" s="1">
        <v>0</v>
      </c>
      <c r="M17" s="1">
        <v>0</v>
      </c>
      <c r="N17" s="1">
        <v>200</v>
      </c>
      <c r="O17" s="1">
        <v>1</v>
      </c>
      <c r="P17" s="2">
        <f t="shared" si="10"/>
        <v>494.696673952512</v>
      </c>
      <c r="Q17" s="2">
        <v>0.29</v>
      </c>
      <c r="R17" s="1">
        <v>0</v>
      </c>
      <c r="S17" s="1">
        <f t="shared" si="14"/>
        <v>200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3" t="str">
        <f t="shared" si="15"/>
        <v>向敌人投掷石弹</v>
      </c>
    </row>
    <row r="18" s="1" customFormat="1" spans="1:26">
      <c r="A18" s="1">
        <f t="shared" si="5"/>
        <v>10115</v>
      </c>
      <c r="B18" s="1">
        <f t="shared" si="11"/>
        <v>10101</v>
      </c>
      <c r="C18" s="1" t="str">
        <f t="shared" si="7"/>
        <v>城堡</v>
      </c>
      <c r="D18" s="1" t="str">
        <f t="shared" si="2"/>
        <v>1</v>
      </c>
      <c r="E18" s="1">
        <f t="shared" si="8"/>
        <v>1</v>
      </c>
      <c r="F18" s="1">
        <v>15</v>
      </c>
      <c r="G18" s="1" t="str">
        <f t="shared" si="12"/>
        <v>res10115</v>
      </c>
      <c r="H18" s="1" t="str">
        <f t="shared" si="13"/>
        <v>res10115</v>
      </c>
      <c r="I18" s="1" t="s">
        <v>24</v>
      </c>
      <c r="J18" s="1">
        <f t="shared" si="9"/>
        <v>1</v>
      </c>
      <c r="K18" s="1">
        <v>2</v>
      </c>
      <c r="L18" s="1">
        <v>0</v>
      </c>
      <c r="M18" s="1">
        <v>0</v>
      </c>
      <c r="N18" s="1">
        <v>200</v>
      </c>
      <c r="O18" s="1">
        <v>1</v>
      </c>
      <c r="P18" s="2">
        <f t="shared" si="10"/>
        <v>667.840509835892</v>
      </c>
      <c r="Q18" s="2">
        <v>0.29</v>
      </c>
      <c r="R18" s="1">
        <v>0</v>
      </c>
      <c r="S18" s="1">
        <f t="shared" si="14"/>
        <v>200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3" t="str">
        <f t="shared" si="15"/>
        <v>向敌人投掷石弹</v>
      </c>
    </row>
    <row r="19" s="1" customFormat="1" spans="1:26">
      <c r="A19" s="1">
        <f t="shared" si="5"/>
        <v>10116</v>
      </c>
      <c r="B19" s="1">
        <f t="shared" si="11"/>
        <v>10101</v>
      </c>
      <c r="C19" s="1" t="str">
        <f t="shared" si="7"/>
        <v>城堡</v>
      </c>
      <c r="D19" s="1" t="str">
        <f t="shared" si="2"/>
        <v>1</v>
      </c>
      <c r="E19" s="1">
        <f t="shared" si="8"/>
        <v>1</v>
      </c>
      <c r="F19" s="1">
        <v>16</v>
      </c>
      <c r="G19" s="1" t="str">
        <f t="shared" si="12"/>
        <v>res10116</v>
      </c>
      <c r="H19" s="1" t="str">
        <f t="shared" si="13"/>
        <v>res10116</v>
      </c>
      <c r="I19" s="1" t="s">
        <v>24</v>
      </c>
      <c r="J19" s="1">
        <f t="shared" si="9"/>
        <v>1</v>
      </c>
      <c r="K19" s="1">
        <v>2</v>
      </c>
      <c r="L19" s="1">
        <v>0</v>
      </c>
      <c r="M19" s="1">
        <v>0</v>
      </c>
      <c r="N19" s="1">
        <v>200</v>
      </c>
      <c r="O19" s="1">
        <v>1</v>
      </c>
      <c r="P19" s="2">
        <f t="shared" si="10"/>
        <v>901.584688278454</v>
      </c>
      <c r="Q19" s="2">
        <v>0.29</v>
      </c>
      <c r="R19" s="1">
        <v>0</v>
      </c>
      <c r="S19" s="1">
        <f t="shared" si="14"/>
        <v>200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3" t="str">
        <f t="shared" si="15"/>
        <v>向敌人投掷石弹</v>
      </c>
    </row>
    <row r="20" s="1" customFormat="1" spans="1:26">
      <c r="A20" s="1">
        <f t="shared" si="5"/>
        <v>10117</v>
      </c>
      <c r="B20" s="1">
        <f t="shared" si="11"/>
        <v>10101</v>
      </c>
      <c r="C20" s="1" t="str">
        <f t="shared" si="7"/>
        <v>城堡</v>
      </c>
      <c r="D20" s="1" t="str">
        <f t="shared" si="2"/>
        <v>1</v>
      </c>
      <c r="E20" s="1">
        <f t="shared" si="8"/>
        <v>1</v>
      </c>
      <c r="F20" s="1">
        <v>17</v>
      </c>
      <c r="G20" s="1" t="str">
        <f t="shared" si="12"/>
        <v>res10117</v>
      </c>
      <c r="H20" s="1" t="str">
        <f t="shared" si="13"/>
        <v>res10117</v>
      </c>
      <c r="I20" s="1" t="s">
        <v>24</v>
      </c>
      <c r="J20" s="1">
        <f t="shared" si="9"/>
        <v>1</v>
      </c>
      <c r="K20" s="1">
        <v>2</v>
      </c>
      <c r="L20" s="1">
        <v>0</v>
      </c>
      <c r="M20" s="1">
        <v>0</v>
      </c>
      <c r="N20" s="1">
        <v>200</v>
      </c>
      <c r="O20" s="1">
        <v>1</v>
      </c>
      <c r="P20" s="2">
        <f t="shared" si="10"/>
        <v>1217.13932917591</v>
      </c>
      <c r="Q20" s="2">
        <v>0.29</v>
      </c>
      <c r="R20" s="1">
        <v>0</v>
      </c>
      <c r="S20" s="1">
        <f t="shared" si="14"/>
        <v>200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3" t="str">
        <f t="shared" si="15"/>
        <v>向敌人投掷石弹</v>
      </c>
    </row>
    <row r="21" s="1" customFormat="1" spans="1:26">
      <c r="A21" s="1">
        <f t="shared" si="5"/>
        <v>10118</v>
      </c>
      <c r="B21" s="1">
        <f t="shared" si="11"/>
        <v>10101</v>
      </c>
      <c r="C21" s="1" t="str">
        <f t="shared" si="7"/>
        <v>城堡</v>
      </c>
      <c r="D21" s="1" t="str">
        <f t="shared" si="2"/>
        <v>1</v>
      </c>
      <c r="E21" s="1">
        <f t="shared" si="8"/>
        <v>1</v>
      </c>
      <c r="F21" s="1">
        <v>18</v>
      </c>
      <c r="G21" s="1" t="str">
        <f t="shared" si="12"/>
        <v>res10118</v>
      </c>
      <c r="H21" s="1" t="str">
        <f t="shared" si="13"/>
        <v>res10118</v>
      </c>
      <c r="I21" s="1" t="s">
        <v>24</v>
      </c>
      <c r="J21" s="1">
        <f t="shared" si="9"/>
        <v>1</v>
      </c>
      <c r="K21" s="1">
        <v>2</v>
      </c>
      <c r="L21" s="1">
        <v>0</v>
      </c>
      <c r="M21" s="1">
        <v>0</v>
      </c>
      <c r="N21" s="1">
        <v>200</v>
      </c>
      <c r="O21" s="1">
        <v>1</v>
      </c>
      <c r="P21" s="2">
        <f t="shared" si="10"/>
        <v>1643.13809438748</v>
      </c>
      <c r="Q21" s="2">
        <v>0.29</v>
      </c>
      <c r="R21" s="1">
        <v>0</v>
      </c>
      <c r="S21" s="1">
        <f t="shared" si="14"/>
        <v>200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3" t="str">
        <f t="shared" si="15"/>
        <v>向敌人投掷石弹</v>
      </c>
    </row>
    <row r="22" s="1" customFormat="1" spans="1:26">
      <c r="A22" s="1">
        <f t="shared" si="5"/>
        <v>10119</v>
      </c>
      <c r="B22" s="1">
        <f t="shared" si="11"/>
        <v>10101</v>
      </c>
      <c r="C22" s="1" t="str">
        <f t="shared" si="7"/>
        <v>城堡</v>
      </c>
      <c r="D22" s="1" t="str">
        <f t="shared" si="2"/>
        <v>1</v>
      </c>
      <c r="E22" s="1">
        <f t="shared" si="8"/>
        <v>1</v>
      </c>
      <c r="F22" s="1">
        <v>19</v>
      </c>
      <c r="G22" s="1" t="str">
        <f t="shared" si="12"/>
        <v>res10119</v>
      </c>
      <c r="H22" s="1" t="str">
        <f t="shared" si="13"/>
        <v>res10119</v>
      </c>
      <c r="I22" s="1" t="s">
        <v>24</v>
      </c>
      <c r="J22" s="1">
        <f t="shared" si="9"/>
        <v>1</v>
      </c>
      <c r="K22" s="1">
        <v>2</v>
      </c>
      <c r="L22" s="1">
        <v>0</v>
      </c>
      <c r="M22" s="1">
        <v>0</v>
      </c>
      <c r="N22" s="1">
        <v>200</v>
      </c>
      <c r="O22" s="1">
        <v>1</v>
      </c>
      <c r="P22" s="2">
        <f t="shared" si="10"/>
        <v>2218.2364274231</v>
      </c>
      <c r="Q22" s="2">
        <v>0.29</v>
      </c>
      <c r="R22" s="1">
        <v>0</v>
      </c>
      <c r="S22" s="1">
        <f t="shared" si="14"/>
        <v>200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3" t="str">
        <f t="shared" si="15"/>
        <v>向敌人投掷石弹</v>
      </c>
    </row>
    <row r="23" s="1" customFormat="1" spans="1:26">
      <c r="A23" s="1">
        <f t="shared" si="5"/>
        <v>10120</v>
      </c>
      <c r="B23" s="1">
        <f t="shared" ref="B23:B26" si="16">B22</f>
        <v>10101</v>
      </c>
      <c r="C23" s="1" t="str">
        <f t="shared" si="7"/>
        <v>城堡</v>
      </c>
      <c r="D23" s="1" t="str">
        <f t="shared" si="2"/>
        <v>1</v>
      </c>
      <c r="E23" s="1">
        <f t="shared" si="8"/>
        <v>1</v>
      </c>
      <c r="F23" s="1">
        <v>20</v>
      </c>
      <c r="G23" s="1" t="str">
        <f t="shared" si="12"/>
        <v>res10120</v>
      </c>
      <c r="H23" s="1" t="str">
        <f t="shared" si="13"/>
        <v>res10120</v>
      </c>
      <c r="I23" s="1" t="s">
        <v>24</v>
      </c>
      <c r="J23" s="1">
        <f t="shared" si="9"/>
        <v>1</v>
      </c>
      <c r="K23" s="1">
        <v>2</v>
      </c>
      <c r="L23" s="1">
        <v>0</v>
      </c>
      <c r="M23" s="1">
        <v>0</v>
      </c>
      <c r="N23" s="1">
        <v>200</v>
      </c>
      <c r="O23" s="1">
        <v>1</v>
      </c>
      <c r="P23" s="2">
        <f t="shared" si="10"/>
        <v>2994.61917702119</v>
      </c>
      <c r="Q23" s="2">
        <v>0.29</v>
      </c>
      <c r="R23" s="1">
        <v>0</v>
      </c>
      <c r="S23" s="1">
        <f t="shared" si="14"/>
        <v>200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3" t="str">
        <f t="shared" si="15"/>
        <v>向敌人投掷石弹</v>
      </c>
    </row>
    <row r="24" s="1" customFormat="1" spans="1:26">
      <c r="A24" s="1">
        <v>10201</v>
      </c>
      <c r="B24" s="1">
        <f>A24</f>
        <v>10201</v>
      </c>
      <c r="C24" s="1" t="s">
        <v>26</v>
      </c>
      <c r="D24" s="1" t="str">
        <f t="shared" si="2"/>
        <v>1</v>
      </c>
      <c r="E24" s="1">
        <v>2</v>
      </c>
      <c r="F24" s="1">
        <v>1</v>
      </c>
      <c r="G24" s="1" t="str">
        <f t="shared" si="12"/>
        <v>res10201</v>
      </c>
      <c r="H24" s="1" t="str">
        <f t="shared" si="13"/>
        <v>res10201</v>
      </c>
      <c r="I24" s="1" t="s">
        <v>28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2">
        <v>0</v>
      </c>
      <c r="Q24" s="2">
        <v>0</v>
      </c>
      <c r="R24" s="1">
        <v>0</v>
      </c>
      <c r="S24" s="1">
        <f>S12</f>
        <v>200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 t="s">
        <v>292</v>
      </c>
      <c r="Z24" s="3" t="s">
        <v>293</v>
      </c>
    </row>
    <row r="25" s="1" customFormat="1" spans="1:26">
      <c r="A25" s="1">
        <f t="shared" ref="A25:A29" si="17">A24+1</f>
        <v>10202</v>
      </c>
      <c r="B25" s="1">
        <f t="shared" si="16"/>
        <v>10201</v>
      </c>
      <c r="C25" s="1" t="str">
        <f t="shared" ref="C25:C29" si="18">C24</f>
        <v>士兵</v>
      </c>
      <c r="D25" s="1" t="str">
        <f t="shared" si="2"/>
        <v>1</v>
      </c>
      <c r="E25" s="1">
        <f t="shared" ref="E25:E29" si="19">E24</f>
        <v>2</v>
      </c>
      <c r="F25" s="1">
        <v>2</v>
      </c>
      <c r="G25" s="1" t="str">
        <f t="shared" ref="G25:G29" si="20">G24</f>
        <v>res10201</v>
      </c>
      <c r="H25" s="1" t="str">
        <f t="shared" si="13"/>
        <v>res10201</v>
      </c>
      <c r="I25" s="1" t="s">
        <v>28</v>
      </c>
      <c r="J25" s="1">
        <f t="shared" ref="J25:J29" si="21">J24</f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2">
        <v>0</v>
      </c>
      <c r="Q25" s="2">
        <v>0</v>
      </c>
      <c r="R25" s="1">
        <v>0</v>
      </c>
      <c r="S25" s="1">
        <f t="shared" ref="S24:S35" si="22">S24</f>
        <v>200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 t="s">
        <v>294</v>
      </c>
      <c r="Z25" s="3" t="str">
        <f>Z24</f>
        <v>属性均衡的近战部队</v>
      </c>
    </row>
    <row r="26" s="1" customFormat="1" spans="1:26">
      <c r="A26" s="1">
        <f t="shared" si="17"/>
        <v>10203</v>
      </c>
      <c r="B26" s="1">
        <f t="shared" si="16"/>
        <v>10201</v>
      </c>
      <c r="C26" s="1" t="str">
        <f t="shared" si="18"/>
        <v>士兵</v>
      </c>
      <c r="D26" s="1" t="str">
        <f t="shared" si="2"/>
        <v>1</v>
      </c>
      <c r="E26" s="1">
        <f t="shared" si="19"/>
        <v>2</v>
      </c>
      <c r="F26" s="1">
        <v>3</v>
      </c>
      <c r="G26" s="1" t="str">
        <f t="shared" si="20"/>
        <v>res10201</v>
      </c>
      <c r="H26" s="1" t="str">
        <f t="shared" si="13"/>
        <v>res10201</v>
      </c>
      <c r="I26" s="1" t="s">
        <v>28</v>
      </c>
      <c r="J26" s="1">
        <f t="shared" si="21"/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2">
        <v>0</v>
      </c>
      <c r="Q26" s="2">
        <v>0</v>
      </c>
      <c r="R26" s="1">
        <v>0</v>
      </c>
      <c r="S26" s="1">
        <f t="shared" si="22"/>
        <v>200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 t="s">
        <v>295</v>
      </c>
      <c r="Z26" s="3" t="str">
        <f>Z24</f>
        <v>属性均衡的近战部队</v>
      </c>
    </row>
    <row r="27" s="1" customFormat="1" spans="1:26">
      <c r="A27" s="1">
        <v>10301</v>
      </c>
      <c r="B27" s="1">
        <f>A27</f>
        <v>10301</v>
      </c>
      <c r="C27" s="1" t="s">
        <v>30</v>
      </c>
      <c r="D27" s="1" t="str">
        <f t="shared" si="2"/>
        <v>1</v>
      </c>
      <c r="E27" s="1">
        <v>2</v>
      </c>
      <c r="F27" s="1">
        <v>1</v>
      </c>
      <c r="G27" s="1" t="str">
        <f>"res"&amp;A27</f>
        <v>res10301</v>
      </c>
      <c r="H27" s="1" t="str">
        <f t="shared" si="13"/>
        <v>res10301</v>
      </c>
      <c r="I27" s="1" t="s">
        <v>28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2">
        <v>0</v>
      </c>
      <c r="Q27" s="2">
        <v>0</v>
      </c>
      <c r="R27" s="1">
        <v>0</v>
      </c>
      <c r="S27" s="1">
        <f t="shared" si="22"/>
        <v>200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 t="s">
        <v>296</v>
      </c>
      <c r="Z27" s="3" t="s">
        <v>297</v>
      </c>
    </row>
    <row r="28" s="1" customFormat="1" spans="1:26">
      <c r="A28" s="1">
        <f t="shared" si="17"/>
        <v>10302</v>
      </c>
      <c r="B28" s="1">
        <f t="shared" ref="B28:B32" si="23">B27</f>
        <v>10301</v>
      </c>
      <c r="C28" s="1" t="str">
        <f t="shared" si="18"/>
        <v>重甲武士</v>
      </c>
      <c r="D28" s="1" t="str">
        <f t="shared" si="2"/>
        <v>1</v>
      </c>
      <c r="E28" s="1">
        <f t="shared" si="19"/>
        <v>2</v>
      </c>
      <c r="F28" s="1">
        <v>2</v>
      </c>
      <c r="G28" s="1" t="str">
        <f t="shared" si="20"/>
        <v>res10301</v>
      </c>
      <c r="H28" s="1" t="str">
        <f t="shared" si="13"/>
        <v>res10301</v>
      </c>
      <c r="I28" s="1" t="s">
        <v>28</v>
      </c>
      <c r="J28" s="1">
        <f t="shared" si="21"/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2">
        <v>0</v>
      </c>
      <c r="Q28" s="2">
        <v>0</v>
      </c>
      <c r="R28" s="1">
        <v>0</v>
      </c>
      <c r="S28" s="1">
        <f t="shared" si="22"/>
        <v>200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 t="s">
        <v>298</v>
      </c>
      <c r="Z28" s="3" t="str">
        <f>Z27</f>
        <v>高防御的近战部队</v>
      </c>
    </row>
    <row r="29" s="1" customFormat="1" spans="1:26">
      <c r="A29" s="1">
        <f t="shared" si="17"/>
        <v>10303</v>
      </c>
      <c r="B29" s="1">
        <f t="shared" si="23"/>
        <v>10301</v>
      </c>
      <c r="C29" s="1" t="str">
        <f t="shared" si="18"/>
        <v>重甲武士</v>
      </c>
      <c r="D29" s="1" t="str">
        <f t="shared" si="2"/>
        <v>1</v>
      </c>
      <c r="E29" s="1">
        <f t="shared" si="19"/>
        <v>2</v>
      </c>
      <c r="F29" s="1">
        <v>3</v>
      </c>
      <c r="G29" s="1" t="str">
        <f t="shared" si="20"/>
        <v>res10301</v>
      </c>
      <c r="H29" s="1" t="str">
        <f t="shared" si="13"/>
        <v>res10301</v>
      </c>
      <c r="I29" s="1" t="s">
        <v>28</v>
      </c>
      <c r="J29" s="1">
        <f t="shared" si="21"/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2">
        <v>0</v>
      </c>
      <c r="Q29" s="2">
        <v>0</v>
      </c>
      <c r="R29" s="1">
        <v>0</v>
      </c>
      <c r="S29" s="1">
        <f t="shared" si="22"/>
        <v>200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 t="s">
        <v>299</v>
      </c>
      <c r="Z29" s="3" t="str">
        <f>Z27</f>
        <v>高防御的近战部队</v>
      </c>
    </row>
    <row r="30" s="1" customFormat="1" spans="1:26">
      <c r="A30" s="1">
        <v>10401</v>
      </c>
      <c r="B30" s="1">
        <f>A30</f>
        <v>10401</v>
      </c>
      <c r="C30" s="1" t="s">
        <v>33</v>
      </c>
      <c r="D30" s="1" t="str">
        <f t="shared" si="2"/>
        <v>1</v>
      </c>
      <c r="E30" s="1">
        <v>2</v>
      </c>
      <c r="F30" s="1">
        <v>1</v>
      </c>
      <c r="G30" s="1" t="str">
        <f>"res"&amp;A30</f>
        <v>res10401</v>
      </c>
      <c r="H30" s="1" t="str">
        <f t="shared" si="13"/>
        <v>res10401</v>
      </c>
      <c r="I30" s="1" t="s">
        <v>28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2">
        <v>0</v>
      </c>
      <c r="Q30" s="2">
        <v>0</v>
      </c>
      <c r="R30" s="1">
        <v>0</v>
      </c>
      <c r="S30" s="1">
        <f t="shared" si="22"/>
        <v>200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 t="s">
        <v>300</v>
      </c>
      <c r="Z30" s="3" t="s">
        <v>301</v>
      </c>
    </row>
    <row r="31" s="1" customFormat="1" spans="1:26">
      <c r="A31" s="1">
        <f t="shared" ref="A31:A35" si="24">A30+1</f>
        <v>10402</v>
      </c>
      <c r="B31" s="1">
        <f t="shared" si="23"/>
        <v>10401</v>
      </c>
      <c r="C31" s="1" t="str">
        <f t="shared" ref="C31:C35" si="25">C30</f>
        <v>弓箭手</v>
      </c>
      <c r="D31" s="1" t="str">
        <f t="shared" si="2"/>
        <v>1</v>
      </c>
      <c r="E31" s="1">
        <f t="shared" ref="E31:E35" si="26">E30</f>
        <v>2</v>
      </c>
      <c r="F31" s="1">
        <v>2</v>
      </c>
      <c r="G31" s="1" t="str">
        <f t="shared" ref="G31:G35" si="27">G30</f>
        <v>res10401</v>
      </c>
      <c r="H31" s="1" t="str">
        <f t="shared" si="13"/>
        <v>res10401</v>
      </c>
      <c r="I31" s="1" t="s">
        <v>28</v>
      </c>
      <c r="J31" s="1">
        <f t="shared" ref="J31:J35" si="28">J30</f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2">
        <v>0</v>
      </c>
      <c r="Q31" s="2">
        <v>0</v>
      </c>
      <c r="R31" s="1">
        <v>0</v>
      </c>
      <c r="S31" s="1">
        <f t="shared" si="22"/>
        <v>200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 t="s">
        <v>302</v>
      </c>
      <c r="Z31" s="3" t="str">
        <f>Z30</f>
        <v>造成伤害较低但攻速较快的远程部队</v>
      </c>
    </row>
    <row r="32" s="1" customFormat="1" spans="1:26">
      <c r="A32" s="1">
        <f t="shared" si="24"/>
        <v>10403</v>
      </c>
      <c r="B32" s="1">
        <f t="shared" si="23"/>
        <v>10401</v>
      </c>
      <c r="C32" s="1" t="str">
        <f t="shared" si="25"/>
        <v>弓箭手</v>
      </c>
      <c r="D32" s="1" t="str">
        <f t="shared" si="2"/>
        <v>1</v>
      </c>
      <c r="E32" s="1">
        <f t="shared" si="26"/>
        <v>2</v>
      </c>
      <c r="F32" s="1">
        <v>3</v>
      </c>
      <c r="G32" s="1" t="str">
        <f t="shared" si="27"/>
        <v>res10401</v>
      </c>
      <c r="H32" s="1" t="str">
        <f t="shared" si="13"/>
        <v>res10401</v>
      </c>
      <c r="I32" s="1" t="s">
        <v>28</v>
      </c>
      <c r="J32" s="1">
        <f t="shared" si="28"/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2">
        <v>0</v>
      </c>
      <c r="Q32" s="2">
        <v>0</v>
      </c>
      <c r="R32" s="1">
        <v>0</v>
      </c>
      <c r="S32" s="1">
        <f t="shared" si="22"/>
        <v>200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 t="s">
        <v>303</v>
      </c>
      <c r="Z32" s="3" t="str">
        <f>Z30</f>
        <v>造成伤害较低但攻速较快的远程部队</v>
      </c>
    </row>
    <row r="33" s="1" customFormat="1" spans="1:26">
      <c r="A33" s="1">
        <v>10501</v>
      </c>
      <c r="B33" s="1">
        <f>A33</f>
        <v>10501</v>
      </c>
      <c r="C33" s="1" t="s">
        <v>36</v>
      </c>
      <c r="D33" s="1" t="str">
        <f t="shared" si="2"/>
        <v>1</v>
      </c>
      <c r="E33" s="1">
        <v>3</v>
      </c>
      <c r="F33" s="1">
        <v>1</v>
      </c>
      <c r="G33" s="1" t="str">
        <f>"res"&amp;A33</f>
        <v>res10501</v>
      </c>
      <c r="H33" s="1" t="str">
        <f t="shared" si="13"/>
        <v>res10501</v>
      </c>
      <c r="I33" s="1" t="s">
        <v>38</v>
      </c>
      <c r="J33" s="1">
        <v>1</v>
      </c>
      <c r="K33" s="1">
        <v>2</v>
      </c>
      <c r="L33" s="1">
        <v>4</v>
      </c>
      <c r="M33" s="1">
        <v>0</v>
      </c>
      <c r="N33" s="1">
        <v>0</v>
      </c>
      <c r="O33" s="1">
        <v>800</v>
      </c>
      <c r="P33" s="2">
        <v>22</v>
      </c>
      <c r="Q33" s="2">
        <v>0.5</v>
      </c>
      <c r="R33" s="1">
        <v>0.05</v>
      </c>
      <c r="S33" s="1">
        <f t="shared" si="22"/>
        <v>200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3" t="s">
        <v>304</v>
      </c>
    </row>
    <row r="34" s="1" customFormat="1" spans="1:26">
      <c r="A34" s="1">
        <f t="shared" si="24"/>
        <v>10502</v>
      </c>
      <c r="B34" s="1">
        <f t="shared" ref="B34:B38" si="29">B33</f>
        <v>10501</v>
      </c>
      <c r="C34" s="1" t="str">
        <f t="shared" si="25"/>
        <v>箭塔</v>
      </c>
      <c r="D34" s="1" t="str">
        <f t="shared" si="2"/>
        <v>1</v>
      </c>
      <c r="E34" s="1">
        <f t="shared" si="26"/>
        <v>3</v>
      </c>
      <c r="F34" s="1">
        <v>2</v>
      </c>
      <c r="G34" s="1" t="str">
        <f t="shared" si="27"/>
        <v>res10501</v>
      </c>
      <c r="H34" s="1" t="str">
        <f t="shared" ref="H34:H47" si="30">G34</f>
        <v>res10501</v>
      </c>
      <c r="I34" s="1" t="s">
        <v>38</v>
      </c>
      <c r="J34" s="1">
        <f t="shared" si="28"/>
        <v>1</v>
      </c>
      <c r="K34" s="1">
        <v>2</v>
      </c>
      <c r="L34" s="1">
        <v>5</v>
      </c>
      <c r="M34" s="1">
        <v>0</v>
      </c>
      <c r="N34" s="1">
        <v>0</v>
      </c>
      <c r="O34" s="1">
        <v>800</v>
      </c>
      <c r="P34" s="2">
        <f>P33*1.4</f>
        <v>30.8</v>
      </c>
      <c r="Q34" s="2">
        <f>Q33*1.26</f>
        <v>0.63</v>
      </c>
      <c r="R34" s="1">
        <v>0.05</v>
      </c>
      <c r="S34" s="1">
        <f t="shared" si="22"/>
        <v>200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3" t="str">
        <f>Z33</f>
        <v>对目标发射强力箭矢</v>
      </c>
    </row>
    <row r="35" s="1" customFormat="1" spans="1:26">
      <c r="A35" s="1">
        <f t="shared" si="24"/>
        <v>10503</v>
      </c>
      <c r="B35" s="1">
        <f t="shared" si="29"/>
        <v>10501</v>
      </c>
      <c r="C35" s="1" t="str">
        <f t="shared" si="25"/>
        <v>箭塔</v>
      </c>
      <c r="D35" s="1" t="str">
        <f t="shared" si="2"/>
        <v>1</v>
      </c>
      <c r="E35" s="1">
        <f t="shared" si="26"/>
        <v>3</v>
      </c>
      <c r="F35" s="1">
        <v>3</v>
      </c>
      <c r="G35" s="1" t="str">
        <f t="shared" si="27"/>
        <v>res10501</v>
      </c>
      <c r="H35" s="1" t="str">
        <f t="shared" si="30"/>
        <v>res10501</v>
      </c>
      <c r="I35" s="1" t="s">
        <v>38</v>
      </c>
      <c r="J35" s="1">
        <f t="shared" si="28"/>
        <v>1</v>
      </c>
      <c r="K35" s="1">
        <v>2</v>
      </c>
      <c r="L35" s="1">
        <v>6</v>
      </c>
      <c r="M35" s="1">
        <v>0</v>
      </c>
      <c r="N35" s="1">
        <v>0</v>
      </c>
      <c r="O35" s="1">
        <v>800</v>
      </c>
      <c r="P35" s="2">
        <f>P34*1.4</f>
        <v>43.12</v>
      </c>
      <c r="Q35" s="2">
        <f>Q34*1.26</f>
        <v>0.7938</v>
      </c>
      <c r="R35" s="1">
        <v>0.05</v>
      </c>
      <c r="S35" s="1">
        <f t="shared" si="22"/>
        <v>200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3" t="str">
        <f>Z33</f>
        <v>对目标发射强力箭矢</v>
      </c>
    </row>
    <row r="36" s="1" customFormat="1" spans="1:26">
      <c r="A36" s="1">
        <v>10601</v>
      </c>
      <c r="B36" s="1">
        <f>A36</f>
        <v>10601</v>
      </c>
      <c r="C36" s="1" t="s">
        <v>40</v>
      </c>
      <c r="D36" s="1" t="str">
        <f t="shared" si="2"/>
        <v>1</v>
      </c>
      <c r="E36" s="1">
        <v>4</v>
      </c>
      <c r="F36" s="1">
        <v>1</v>
      </c>
      <c r="G36" s="1" t="str">
        <f>"res"&amp;A36</f>
        <v>res10601</v>
      </c>
      <c r="H36" s="1" t="str">
        <f t="shared" si="30"/>
        <v>res10601</v>
      </c>
      <c r="I36" s="1" t="s">
        <v>42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2">
        <v>0</v>
      </c>
      <c r="Q36" s="2">
        <v>0</v>
      </c>
      <c r="R36" s="1">
        <v>0</v>
      </c>
      <c r="S36" s="1">
        <v>0</v>
      </c>
      <c r="T36" s="1">
        <v>0</v>
      </c>
      <c r="U36" s="1">
        <v>11001</v>
      </c>
      <c r="V36" s="1">
        <v>0</v>
      </c>
      <c r="W36" s="1">
        <v>0</v>
      </c>
      <c r="X36" s="1">
        <v>1</v>
      </c>
      <c r="Y36" s="1">
        <v>0</v>
      </c>
      <c r="Z36" s="3" t="s">
        <v>305</v>
      </c>
    </row>
    <row r="37" s="1" customFormat="1" spans="1:26">
      <c r="A37" s="1">
        <f>A36+1</f>
        <v>10602</v>
      </c>
      <c r="B37" s="1">
        <f t="shared" si="29"/>
        <v>10601</v>
      </c>
      <c r="C37" s="1" t="str">
        <f>C36</f>
        <v>农场</v>
      </c>
      <c r="D37" s="1" t="str">
        <f t="shared" ref="D37:D68" si="31">LEFT(A37,1)</f>
        <v>1</v>
      </c>
      <c r="E37" s="1">
        <f>E36</f>
        <v>4</v>
      </c>
      <c r="F37" s="1">
        <v>2</v>
      </c>
      <c r="G37" s="1" t="str">
        <f>G36</f>
        <v>res10601</v>
      </c>
      <c r="H37" s="1" t="str">
        <f t="shared" si="30"/>
        <v>res10601</v>
      </c>
      <c r="I37" s="1" t="s">
        <v>42</v>
      </c>
      <c r="J37" s="1">
        <f>J36</f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2">
        <v>0</v>
      </c>
      <c r="Q37" s="2">
        <v>0</v>
      </c>
      <c r="R37" s="1">
        <v>0</v>
      </c>
      <c r="S37" s="1">
        <v>0</v>
      </c>
      <c r="T37" s="1">
        <v>0</v>
      </c>
      <c r="U37" s="1">
        <v>11001</v>
      </c>
      <c r="V37" s="1">
        <v>0</v>
      </c>
      <c r="W37" s="1">
        <v>0</v>
      </c>
      <c r="X37" s="1">
        <v>2</v>
      </c>
      <c r="Y37" s="1">
        <v>0</v>
      </c>
      <c r="Z37" s="3" t="str">
        <f>Z36</f>
        <v>每年使一个相邻部队增加1个单位</v>
      </c>
    </row>
    <row r="38" s="1" customFormat="1" spans="1:26">
      <c r="A38" s="1">
        <f>A37+1</f>
        <v>10603</v>
      </c>
      <c r="B38" s="1">
        <f t="shared" si="29"/>
        <v>10601</v>
      </c>
      <c r="C38" s="1" t="str">
        <f>C37</f>
        <v>农场</v>
      </c>
      <c r="D38" s="1" t="str">
        <f t="shared" si="31"/>
        <v>1</v>
      </c>
      <c r="E38" s="1">
        <f>E37</f>
        <v>4</v>
      </c>
      <c r="F38" s="1">
        <v>3</v>
      </c>
      <c r="G38" s="1" t="str">
        <f>G37</f>
        <v>res10601</v>
      </c>
      <c r="H38" s="1" t="str">
        <f t="shared" si="30"/>
        <v>res10601</v>
      </c>
      <c r="I38" s="1" t="s">
        <v>42</v>
      </c>
      <c r="J38" s="1">
        <f>J37</f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2">
        <v>0</v>
      </c>
      <c r="Q38" s="2">
        <v>0</v>
      </c>
      <c r="R38" s="1">
        <v>0</v>
      </c>
      <c r="S38" s="1">
        <v>0</v>
      </c>
      <c r="T38" s="1">
        <v>0</v>
      </c>
      <c r="U38" s="1">
        <v>11001</v>
      </c>
      <c r="V38" s="1">
        <v>0</v>
      </c>
      <c r="W38" s="1">
        <v>0</v>
      </c>
      <c r="X38" s="1">
        <v>3</v>
      </c>
      <c r="Y38" s="1">
        <v>0</v>
      </c>
      <c r="Z38" s="3" t="str">
        <f>Z36</f>
        <v>每年使一个相邻部队增加1个单位</v>
      </c>
    </row>
    <row r="39" s="1" customFormat="1" spans="1:26">
      <c r="A39" s="1">
        <v>10701</v>
      </c>
      <c r="B39" s="1">
        <f>A39</f>
        <v>10701</v>
      </c>
      <c r="C39" s="1" t="s">
        <v>44</v>
      </c>
      <c r="D39" s="1" t="str">
        <f t="shared" si="31"/>
        <v>1</v>
      </c>
      <c r="E39" s="1">
        <v>6</v>
      </c>
      <c r="F39" s="1">
        <v>1</v>
      </c>
      <c r="G39" s="1" t="str">
        <f>"res"&amp;A39</f>
        <v>res10701</v>
      </c>
      <c r="H39" s="1" t="str">
        <f t="shared" si="30"/>
        <v>res10701</v>
      </c>
      <c r="I39" s="1" t="s">
        <v>46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2">
        <v>0</v>
      </c>
      <c r="Q39" s="2">
        <v>0</v>
      </c>
      <c r="R39" s="1">
        <v>0</v>
      </c>
      <c r="S39" s="1">
        <v>0</v>
      </c>
      <c r="T39" s="1">
        <v>0</v>
      </c>
      <c r="U39" s="1">
        <v>21001</v>
      </c>
      <c r="V39" s="1">
        <v>0</v>
      </c>
      <c r="W39" s="1">
        <v>0</v>
      </c>
      <c r="X39" s="1">
        <v>0</v>
      </c>
      <c r="Y39" s="1">
        <v>0</v>
      </c>
      <c r="Z39" s="3" t="s">
        <v>306</v>
      </c>
    </row>
    <row r="40" s="1" customFormat="1" spans="1:26">
      <c r="A40" s="1">
        <v>10801</v>
      </c>
      <c r="B40" s="1">
        <f>A40</f>
        <v>10801</v>
      </c>
      <c r="C40" s="1" t="s">
        <v>48</v>
      </c>
      <c r="D40" s="1" t="str">
        <f t="shared" si="31"/>
        <v>1</v>
      </c>
      <c r="E40" s="1">
        <v>4</v>
      </c>
      <c r="F40" s="1">
        <v>1</v>
      </c>
      <c r="G40" s="1" t="str">
        <f>"res"&amp;A40</f>
        <v>res10801</v>
      </c>
      <c r="H40" s="1" t="str">
        <f t="shared" si="30"/>
        <v>res10801</v>
      </c>
      <c r="I40" s="1" t="s">
        <v>42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2">
        <v>0</v>
      </c>
      <c r="Q40" s="2">
        <v>0</v>
      </c>
      <c r="R40" s="1">
        <v>0</v>
      </c>
      <c r="S40" s="1">
        <v>0</v>
      </c>
      <c r="T40" s="1">
        <v>0</v>
      </c>
      <c r="U40" s="1">
        <v>11002</v>
      </c>
      <c r="V40" s="1">
        <v>0</v>
      </c>
      <c r="W40" s="1">
        <v>0</v>
      </c>
      <c r="X40" s="1">
        <v>1</v>
      </c>
      <c r="Y40" s="1">
        <v>0</v>
      </c>
      <c r="Z40" s="3" t="s">
        <v>307</v>
      </c>
    </row>
    <row r="41" s="1" customFormat="1" spans="1:26">
      <c r="A41" s="1">
        <f>A40+1</f>
        <v>10802</v>
      </c>
      <c r="B41" s="1">
        <f t="shared" ref="B41:G41" si="32">B40</f>
        <v>10801</v>
      </c>
      <c r="C41" s="1" t="str">
        <f t="shared" si="32"/>
        <v>铁匠铺</v>
      </c>
      <c r="D41" s="1" t="str">
        <f t="shared" si="31"/>
        <v>1</v>
      </c>
      <c r="E41" s="1">
        <f t="shared" si="32"/>
        <v>4</v>
      </c>
      <c r="F41" s="1">
        <v>2</v>
      </c>
      <c r="G41" s="1" t="str">
        <f t="shared" si="32"/>
        <v>res10801</v>
      </c>
      <c r="H41" s="1" t="str">
        <f t="shared" si="30"/>
        <v>res10801</v>
      </c>
      <c r="I41" s="1" t="s">
        <v>42</v>
      </c>
      <c r="J41" s="1">
        <f>J40</f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2">
        <v>0</v>
      </c>
      <c r="Q41" s="2">
        <v>0</v>
      </c>
      <c r="R41" s="1">
        <v>0</v>
      </c>
      <c r="S41" s="1">
        <v>0</v>
      </c>
      <c r="T41" s="1">
        <v>0</v>
      </c>
      <c r="U41" s="1">
        <v>11002</v>
      </c>
      <c r="V41" s="1">
        <v>0</v>
      </c>
      <c r="W41" s="1">
        <v>0</v>
      </c>
      <c r="X41" s="1">
        <v>2</v>
      </c>
      <c r="Y41" s="1">
        <v>0</v>
      </c>
      <c r="Z41" s="3" t="str">
        <f>Z40</f>
        <v>使相邻部队和炮塔攻击提升</v>
      </c>
    </row>
    <row r="42" s="1" customFormat="1" spans="1:26">
      <c r="A42" s="1">
        <f>A41+1</f>
        <v>10803</v>
      </c>
      <c r="B42" s="1">
        <f t="shared" ref="B42:G42" si="33">B41</f>
        <v>10801</v>
      </c>
      <c r="C42" s="1" t="str">
        <f t="shared" si="33"/>
        <v>铁匠铺</v>
      </c>
      <c r="D42" s="1" t="str">
        <f t="shared" si="31"/>
        <v>1</v>
      </c>
      <c r="E42" s="1">
        <f t="shared" si="33"/>
        <v>4</v>
      </c>
      <c r="F42" s="1">
        <v>3</v>
      </c>
      <c r="G42" s="1" t="str">
        <f t="shared" si="33"/>
        <v>res10801</v>
      </c>
      <c r="H42" s="1" t="str">
        <f t="shared" si="30"/>
        <v>res10801</v>
      </c>
      <c r="I42" s="1" t="s">
        <v>42</v>
      </c>
      <c r="J42" s="1">
        <f>J41</f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2">
        <v>0</v>
      </c>
      <c r="Q42" s="2">
        <v>0</v>
      </c>
      <c r="R42" s="1">
        <v>0</v>
      </c>
      <c r="S42" s="1">
        <v>0</v>
      </c>
      <c r="T42" s="1">
        <v>0</v>
      </c>
      <c r="U42" s="1">
        <v>11002</v>
      </c>
      <c r="V42" s="1">
        <v>0</v>
      </c>
      <c r="W42" s="1">
        <v>0</v>
      </c>
      <c r="X42" s="1">
        <v>3</v>
      </c>
      <c r="Y42" s="1">
        <v>0</v>
      </c>
      <c r="Z42" s="3" t="str">
        <f>Z40</f>
        <v>使相邻部队和炮塔攻击提升</v>
      </c>
    </row>
    <row r="43" s="1" customFormat="1" spans="1:26">
      <c r="A43" s="1">
        <v>10901</v>
      </c>
      <c r="B43" s="1">
        <f>A43</f>
        <v>10901</v>
      </c>
      <c r="C43" s="1" t="s">
        <v>51</v>
      </c>
      <c r="D43" s="1" t="str">
        <f t="shared" si="31"/>
        <v>1</v>
      </c>
      <c r="E43" s="1">
        <v>6</v>
      </c>
      <c r="F43" s="1">
        <v>1</v>
      </c>
      <c r="G43" s="1" t="str">
        <f>"res"&amp;A43</f>
        <v>res10901</v>
      </c>
      <c r="H43" s="1" t="str">
        <f t="shared" si="30"/>
        <v>res10901</v>
      </c>
      <c r="I43" s="1" t="s">
        <v>46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2">
        <v>0</v>
      </c>
      <c r="Q43" s="2">
        <v>0</v>
      </c>
      <c r="R43" s="1">
        <v>0</v>
      </c>
      <c r="S43" s="1">
        <v>0</v>
      </c>
      <c r="T43" s="1">
        <v>0</v>
      </c>
      <c r="U43" s="1">
        <v>31001</v>
      </c>
      <c r="V43" s="1">
        <v>0</v>
      </c>
      <c r="W43" s="1">
        <v>0</v>
      </c>
      <c r="X43" s="1">
        <v>0</v>
      </c>
      <c r="Y43" s="1">
        <v>0</v>
      </c>
      <c r="Z43" s="3" t="s">
        <v>308</v>
      </c>
    </row>
    <row r="44" s="1" customFormat="1" spans="1:26">
      <c r="A44" s="1">
        <v>20101</v>
      </c>
      <c r="B44" s="1">
        <f>A44</f>
        <v>20101</v>
      </c>
      <c r="C44" s="1" t="s">
        <v>54</v>
      </c>
      <c r="D44" s="1" t="str">
        <f t="shared" si="31"/>
        <v>2</v>
      </c>
      <c r="E44" s="1">
        <v>1</v>
      </c>
      <c r="F44" s="1">
        <v>1</v>
      </c>
      <c r="G44" s="1" t="str">
        <f t="shared" ref="G44:G64" si="34">"res"&amp;A44</f>
        <v>res20101</v>
      </c>
      <c r="H44" s="1" t="str">
        <f t="shared" ref="H44:H107" si="35">G44</f>
        <v>res20101</v>
      </c>
      <c r="I44" s="1" t="s">
        <v>56</v>
      </c>
      <c r="J44" s="1">
        <v>3</v>
      </c>
      <c r="K44" s="1">
        <v>1</v>
      </c>
      <c r="L44" s="1">
        <v>1</v>
      </c>
      <c r="M44" s="1">
        <v>9</v>
      </c>
      <c r="N44" s="1">
        <v>0</v>
      </c>
      <c r="O44" s="1">
        <v>0</v>
      </c>
      <c r="P44" s="2">
        <v>2</v>
      </c>
      <c r="Q44" s="2">
        <v>0.67</v>
      </c>
      <c r="R44" s="1">
        <v>0.1</v>
      </c>
      <c r="S44" s="1">
        <v>200</v>
      </c>
      <c r="T44" s="1">
        <v>0</v>
      </c>
      <c r="U44" s="1">
        <v>72001</v>
      </c>
      <c r="V44" s="1">
        <v>0</v>
      </c>
      <c r="W44" s="1">
        <v>0</v>
      </c>
      <c r="X44" s="1">
        <v>0</v>
      </c>
      <c r="Y44" s="1">
        <v>0</v>
      </c>
      <c r="Z44" s="3" t="s">
        <v>309</v>
      </c>
    </row>
    <row r="45" s="1" customFormat="1" spans="1:26">
      <c r="A45" s="1">
        <v>20102</v>
      </c>
      <c r="B45" s="1">
        <f t="shared" ref="B45:B63" si="36">B44</f>
        <v>20101</v>
      </c>
      <c r="C45" s="1" t="str">
        <f t="shared" ref="C45:C63" si="37">C44</f>
        <v>宝塔</v>
      </c>
      <c r="D45" s="1" t="str">
        <f t="shared" si="31"/>
        <v>2</v>
      </c>
      <c r="E45" s="1">
        <f>E44</f>
        <v>1</v>
      </c>
      <c r="F45" s="1">
        <v>2</v>
      </c>
      <c r="G45" s="1" t="str">
        <f t="shared" si="34"/>
        <v>res20102</v>
      </c>
      <c r="H45" s="1" t="str">
        <f t="shared" si="35"/>
        <v>res20102</v>
      </c>
      <c r="I45" s="1" t="s">
        <v>56</v>
      </c>
      <c r="J45" s="1">
        <f>J44</f>
        <v>3</v>
      </c>
      <c r="K45" s="1">
        <f>K44</f>
        <v>1</v>
      </c>
      <c r="L45" s="1">
        <v>1</v>
      </c>
      <c r="M45" s="1">
        <f>M44</f>
        <v>9</v>
      </c>
      <c r="N45" s="1">
        <f>N44</f>
        <v>0</v>
      </c>
      <c r="O45" s="1">
        <f>O44</f>
        <v>0</v>
      </c>
      <c r="P45" s="2">
        <f>P44*1.95</f>
        <v>3.9</v>
      </c>
      <c r="Q45" s="2">
        <f>Q44*1.12</f>
        <v>0.7504</v>
      </c>
      <c r="R45" s="1">
        <v>0.1</v>
      </c>
      <c r="S45" s="1">
        <f t="shared" ref="S45:S63" si="38">S44</f>
        <v>200</v>
      </c>
      <c r="T45" s="1">
        <v>0</v>
      </c>
      <c r="U45" s="1">
        <v>72001</v>
      </c>
      <c r="V45" s="1">
        <v>0</v>
      </c>
      <c r="W45" s="1">
        <v>0</v>
      </c>
      <c r="X45" s="1">
        <v>0</v>
      </c>
      <c r="Y45" s="1">
        <v>0</v>
      </c>
      <c r="Z45" s="3" t="str">
        <f t="shared" ref="Z44:Z63" si="39">Z44</f>
        <v>召唤小鬼进行攻击</v>
      </c>
    </row>
    <row r="46" s="1" customFormat="1" spans="1:26">
      <c r="A46" s="1">
        <v>20103</v>
      </c>
      <c r="B46" s="1">
        <f t="shared" si="36"/>
        <v>20101</v>
      </c>
      <c r="C46" s="1" t="str">
        <f t="shared" si="37"/>
        <v>宝塔</v>
      </c>
      <c r="D46" s="1" t="str">
        <f t="shared" si="31"/>
        <v>2</v>
      </c>
      <c r="E46" s="1">
        <f t="shared" ref="E46:E63" si="40">E45</f>
        <v>1</v>
      </c>
      <c r="F46" s="1">
        <v>3</v>
      </c>
      <c r="G46" s="1" t="str">
        <f t="shared" si="34"/>
        <v>res20103</v>
      </c>
      <c r="H46" s="1" t="str">
        <f t="shared" si="35"/>
        <v>res20103</v>
      </c>
      <c r="I46" s="1" t="s">
        <v>56</v>
      </c>
      <c r="J46" s="1">
        <f t="shared" ref="J46:J63" si="41">J45</f>
        <v>3</v>
      </c>
      <c r="K46" s="1">
        <f t="shared" ref="K46:K63" si="42">K45</f>
        <v>1</v>
      </c>
      <c r="L46" s="1">
        <v>1</v>
      </c>
      <c r="M46" s="1">
        <f t="shared" ref="M46:M63" si="43">M45</f>
        <v>9</v>
      </c>
      <c r="N46" s="1">
        <f t="shared" ref="N46:N63" si="44">N45</f>
        <v>0</v>
      </c>
      <c r="O46" s="1">
        <f t="shared" ref="O46:O63" si="45">O45</f>
        <v>0</v>
      </c>
      <c r="P46" s="2">
        <f t="shared" ref="P46:P63" si="46">P45*1.95</f>
        <v>7.605</v>
      </c>
      <c r="Q46" s="2">
        <f t="shared" ref="Q46:Q63" si="47">Q45*1.12</f>
        <v>0.840448</v>
      </c>
      <c r="R46" s="1">
        <v>0.1</v>
      </c>
      <c r="S46" s="1">
        <f t="shared" si="38"/>
        <v>200</v>
      </c>
      <c r="T46" s="1">
        <v>0</v>
      </c>
      <c r="U46" s="1">
        <v>72001</v>
      </c>
      <c r="V46" s="1">
        <v>0</v>
      </c>
      <c r="W46" s="1">
        <v>0</v>
      </c>
      <c r="X46" s="1">
        <v>0</v>
      </c>
      <c r="Y46" s="1">
        <v>0</v>
      </c>
      <c r="Z46" s="3" t="str">
        <f t="shared" si="39"/>
        <v>召唤小鬼进行攻击</v>
      </c>
    </row>
    <row r="47" s="1" customFormat="1" spans="1:26">
      <c r="A47" s="1">
        <v>20104</v>
      </c>
      <c r="B47" s="1">
        <f t="shared" si="36"/>
        <v>20101</v>
      </c>
      <c r="C47" s="1" t="str">
        <f t="shared" si="37"/>
        <v>宝塔</v>
      </c>
      <c r="D47" s="1" t="str">
        <f t="shared" si="31"/>
        <v>2</v>
      </c>
      <c r="E47" s="1">
        <f t="shared" si="40"/>
        <v>1</v>
      </c>
      <c r="F47" s="1">
        <v>4</v>
      </c>
      <c r="G47" s="1" t="str">
        <f t="shared" si="34"/>
        <v>res20104</v>
      </c>
      <c r="H47" s="1" t="str">
        <f t="shared" si="35"/>
        <v>res20104</v>
      </c>
      <c r="I47" s="1" t="s">
        <v>56</v>
      </c>
      <c r="J47" s="1">
        <f t="shared" si="41"/>
        <v>3</v>
      </c>
      <c r="K47" s="1">
        <f t="shared" si="42"/>
        <v>1</v>
      </c>
      <c r="L47" s="1">
        <v>1</v>
      </c>
      <c r="M47" s="1">
        <f t="shared" si="43"/>
        <v>9</v>
      </c>
      <c r="N47" s="1">
        <f t="shared" si="44"/>
        <v>0</v>
      </c>
      <c r="O47" s="1">
        <f t="shared" si="45"/>
        <v>0</v>
      </c>
      <c r="P47" s="2">
        <f t="shared" si="46"/>
        <v>14.82975</v>
      </c>
      <c r="Q47" s="2">
        <f t="shared" si="47"/>
        <v>0.94130176</v>
      </c>
      <c r="R47" s="1">
        <v>0.1</v>
      </c>
      <c r="S47" s="1">
        <f t="shared" si="38"/>
        <v>200</v>
      </c>
      <c r="T47" s="1">
        <v>0</v>
      </c>
      <c r="U47" s="1">
        <v>72001</v>
      </c>
      <c r="V47" s="1">
        <v>0</v>
      </c>
      <c r="W47" s="1">
        <v>0</v>
      </c>
      <c r="X47" s="1">
        <v>0</v>
      </c>
      <c r="Y47" s="1">
        <v>0</v>
      </c>
      <c r="Z47" s="3" t="str">
        <f t="shared" si="39"/>
        <v>召唤小鬼进行攻击</v>
      </c>
    </row>
    <row r="48" s="1" customFormat="1" spans="1:26">
      <c r="A48" s="1">
        <v>20105</v>
      </c>
      <c r="B48" s="1">
        <f t="shared" si="36"/>
        <v>20101</v>
      </c>
      <c r="C48" s="1" t="str">
        <f t="shared" si="37"/>
        <v>宝塔</v>
      </c>
      <c r="D48" s="1" t="str">
        <f t="shared" si="31"/>
        <v>2</v>
      </c>
      <c r="E48" s="1">
        <f t="shared" si="40"/>
        <v>1</v>
      </c>
      <c r="F48" s="1">
        <v>5</v>
      </c>
      <c r="G48" s="1" t="str">
        <f t="shared" si="34"/>
        <v>res20105</v>
      </c>
      <c r="H48" s="1" t="str">
        <f t="shared" si="35"/>
        <v>res20105</v>
      </c>
      <c r="I48" s="1" t="s">
        <v>56</v>
      </c>
      <c r="J48" s="1">
        <f t="shared" si="41"/>
        <v>3</v>
      </c>
      <c r="K48" s="1">
        <f t="shared" si="42"/>
        <v>1</v>
      </c>
      <c r="L48" s="1">
        <v>1</v>
      </c>
      <c r="M48" s="1">
        <f t="shared" si="43"/>
        <v>9</v>
      </c>
      <c r="N48" s="1">
        <f t="shared" si="44"/>
        <v>0</v>
      </c>
      <c r="O48" s="1">
        <f t="shared" si="45"/>
        <v>0</v>
      </c>
      <c r="P48" s="2">
        <f t="shared" si="46"/>
        <v>28.9180125</v>
      </c>
      <c r="Q48" s="2">
        <f t="shared" si="47"/>
        <v>1.0542579712</v>
      </c>
      <c r="R48" s="1">
        <v>0.1</v>
      </c>
      <c r="S48" s="1">
        <f t="shared" si="38"/>
        <v>200</v>
      </c>
      <c r="T48" s="1">
        <v>0</v>
      </c>
      <c r="U48" s="1">
        <v>72001</v>
      </c>
      <c r="V48" s="1">
        <v>0</v>
      </c>
      <c r="W48" s="1">
        <v>0</v>
      </c>
      <c r="X48" s="1">
        <v>0</v>
      </c>
      <c r="Y48" s="1">
        <v>0</v>
      </c>
      <c r="Z48" s="3" t="str">
        <f t="shared" si="39"/>
        <v>召唤小鬼进行攻击</v>
      </c>
    </row>
    <row r="49" s="1" customFormat="1" spans="1:26">
      <c r="A49" s="1">
        <v>20106</v>
      </c>
      <c r="B49" s="1">
        <f t="shared" si="36"/>
        <v>20101</v>
      </c>
      <c r="C49" s="1" t="str">
        <f t="shared" si="37"/>
        <v>宝塔</v>
      </c>
      <c r="D49" s="1" t="str">
        <f t="shared" si="31"/>
        <v>2</v>
      </c>
      <c r="E49" s="1">
        <f t="shared" si="40"/>
        <v>1</v>
      </c>
      <c r="F49" s="1">
        <v>6</v>
      </c>
      <c r="G49" s="1" t="str">
        <f t="shared" si="34"/>
        <v>res20106</v>
      </c>
      <c r="H49" s="1" t="str">
        <f t="shared" si="35"/>
        <v>res20106</v>
      </c>
      <c r="I49" s="1" t="s">
        <v>56</v>
      </c>
      <c r="J49" s="1">
        <f t="shared" si="41"/>
        <v>3</v>
      </c>
      <c r="K49" s="1">
        <f t="shared" si="42"/>
        <v>1</v>
      </c>
      <c r="L49" s="1">
        <v>1</v>
      </c>
      <c r="M49" s="1">
        <f t="shared" si="43"/>
        <v>9</v>
      </c>
      <c r="N49" s="1">
        <f t="shared" si="44"/>
        <v>0</v>
      </c>
      <c r="O49" s="1">
        <f t="shared" si="45"/>
        <v>0</v>
      </c>
      <c r="P49" s="2">
        <f t="shared" si="46"/>
        <v>56.390124375</v>
      </c>
      <c r="Q49" s="2">
        <f t="shared" si="47"/>
        <v>1.180768927744</v>
      </c>
      <c r="R49" s="1">
        <v>0.1</v>
      </c>
      <c r="S49" s="1">
        <f t="shared" si="38"/>
        <v>200</v>
      </c>
      <c r="T49" s="1">
        <v>0</v>
      </c>
      <c r="U49" s="1">
        <v>72001</v>
      </c>
      <c r="V49" s="1">
        <v>0</v>
      </c>
      <c r="W49" s="1">
        <v>0</v>
      </c>
      <c r="X49" s="1">
        <v>0</v>
      </c>
      <c r="Y49" s="1">
        <v>0</v>
      </c>
      <c r="Z49" s="3" t="str">
        <f t="shared" si="39"/>
        <v>召唤小鬼进行攻击</v>
      </c>
    </row>
    <row r="50" s="1" customFormat="1" spans="1:26">
      <c r="A50" s="1">
        <v>20107</v>
      </c>
      <c r="B50" s="1">
        <f t="shared" si="36"/>
        <v>20101</v>
      </c>
      <c r="C50" s="1" t="str">
        <f t="shared" si="37"/>
        <v>宝塔</v>
      </c>
      <c r="D50" s="1" t="str">
        <f t="shared" si="31"/>
        <v>2</v>
      </c>
      <c r="E50" s="1">
        <f t="shared" si="40"/>
        <v>1</v>
      </c>
      <c r="F50" s="1">
        <v>7</v>
      </c>
      <c r="G50" s="1" t="str">
        <f t="shared" si="34"/>
        <v>res20107</v>
      </c>
      <c r="H50" s="1" t="str">
        <f t="shared" si="35"/>
        <v>res20107</v>
      </c>
      <c r="I50" s="1" t="s">
        <v>56</v>
      </c>
      <c r="J50" s="1">
        <f t="shared" si="41"/>
        <v>3</v>
      </c>
      <c r="K50" s="1">
        <f t="shared" si="42"/>
        <v>1</v>
      </c>
      <c r="L50" s="1">
        <v>1</v>
      </c>
      <c r="M50" s="1">
        <f t="shared" si="43"/>
        <v>9</v>
      </c>
      <c r="N50" s="1">
        <f t="shared" si="44"/>
        <v>0</v>
      </c>
      <c r="O50" s="1">
        <f t="shared" si="45"/>
        <v>0</v>
      </c>
      <c r="P50" s="2">
        <f t="shared" si="46"/>
        <v>109.96074253125</v>
      </c>
      <c r="Q50" s="2">
        <f t="shared" si="47"/>
        <v>1.32246119907328</v>
      </c>
      <c r="R50" s="1">
        <v>0.1</v>
      </c>
      <c r="S50" s="1">
        <f t="shared" si="38"/>
        <v>200</v>
      </c>
      <c r="T50" s="1">
        <v>0</v>
      </c>
      <c r="U50" s="1">
        <v>72001</v>
      </c>
      <c r="V50" s="1">
        <v>0</v>
      </c>
      <c r="W50" s="1">
        <v>0</v>
      </c>
      <c r="X50" s="1">
        <v>0</v>
      </c>
      <c r="Y50" s="1">
        <v>0</v>
      </c>
      <c r="Z50" s="3" t="str">
        <f t="shared" si="39"/>
        <v>召唤小鬼进行攻击</v>
      </c>
    </row>
    <row r="51" s="1" customFormat="1" spans="1:26">
      <c r="A51" s="1">
        <v>20108</v>
      </c>
      <c r="B51" s="1">
        <f t="shared" si="36"/>
        <v>20101</v>
      </c>
      <c r="C51" s="1" t="str">
        <f t="shared" si="37"/>
        <v>宝塔</v>
      </c>
      <c r="D51" s="1" t="str">
        <f t="shared" si="31"/>
        <v>2</v>
      </c>
      <c r="E51" s="1">
        <f t="shared" si="40"/>
        <v>1</v>
      </c>
      <c r="F51" s="1">
        <v>8</v>
      </c>
      <c r="G51" s="1" t="str">
        <f t="shared" si="34"/>
        <v>res20108</v>
      </c>
      <c r="H51" s="1" t="str">
        <f t="shared" si="35"/>
        <v>res20108</v>
      </c>
      <c r="I51" s="1" t="s">
        <v>56</v>
      </c>
      <c r="J51" s="1">
        <f t="shared" si="41"/>
        <v>3</v>
      </c>
      <c r="K51" s="1">
        <f t="shared" si="42"/>
        <v>1</v>
      </c>
      <c r="L51" s="1">
        <v>1</v>
      </c>
      <c r="M51" s="1">
        <f t="shared" si="43"/>
        <v>9</v>
      </c>
      <c r="N51" s="1">
        <f t="shared" si="44"/>
        <v>0</v>
      </c>
      <c r="O51" s="1">
        <f t="shared" si="45"/>
        <v>0</v>
      </c>
      <c r="P51" s="2">
        <f t="shared" si="46"/>
        <v>214.423447935937</v>
      </c>
      <c r="Q51" s="2">
        <f t="shared" si="47"/>
        <v>1.48115654296207</v>
      </c>
      <c r="R51" s="1">
        <v>0.1</v>
      </c>
      <c r="S51" s="1">
        <f t="shared" si="38"/>
        <v>200</v>
      </c>
      <c r="T51" s="1">
        <v>0</v>
      </c>
      <c r="U51" s="1">
        <v>72001</v>
      </c>
      <c r="V51" s="1">
        <v>0</v>
      </c>
      <c r="W51" s="1">
        <v>0</v>
      </c>
      <c r="X51" s="1">
        <v>0</v>
      </c>
      <c r="Y51" s="1">
        <v>0</v>
      </c>
      <c r="Z51" s="3" t="str">
        <f t="shared" si="39"/>
        <v>召唤小鬼进行攻击</v>
      </c>
    </row>
    <row r="52" s="1" customFormat="1" spans="1:26">
      <c r="A52" s="1">
        <v>20109</v>
      </c>
      <c r="B52" s="1">
        <f t="shared" si="36"/>
        <v>20101</v>
      </c>
      <c r="C52" s="1" t="str">
        <f t="shared" si="37"/>
        <v>宝塔</v>
      </c>
      <c r="D52" s="1" t="str">
        <f t="shared" si="31"/>
        <v>2</v>
      </c>
      <c r="E52" s="1">
        <f t="shared" si="40"/>
        <v>1</v>
      </c>
      <c r="F52" s="1">
        <v>9</v>
      </c>
      <c r="G52" s="1" t="str">
        <f t="shared" si="34"/>
        <v>res20109</v>
      </c>
      <c r="H52" s="1" t="str">
        <f t="shared" si="35"/>
        <v>res20109</v>
      </c>
      <c r="I52" s="1" t="s">
        <v>56</v>
      </c>
      <c r="J52" s="1">
        <f t="shared" si="41"/>
        <v>3</v>
      </c>
      <c r="K52" s="1">
        <f t="shared" si="42"/>
        <v>1</v>
      </c>
      <c r="L52" s="1">
        <v>1</v>
      </c>
      <c r="M52" s="1">
        <f t="shared" si="43"/>
        <v>9</v>
      </c>
      <c r="N52" s="1">
        <f t="shared" si="44"/>
        <v>0</v>
      </c>
      <c r="O52" s="1">
        <f t="shared" si="45"/>
        <v>0</v>
      </c>
      <c r="P52" s="2">
        <f t="shared" si="46"/>
        <v>418.125723475078</v>
      </c>
      <c r="Q52" s="2">
        <f t="shared" si="47"/>
        <v>1.65889532811752</v>
      </c>
      <c r="R52" s="1">
        <v>0.1</v>
      </c>
      <c r="S52" s="1">
        <f t="shared" si="38"/>
        <v>200</v>
      </c>
      <c r="T52" s="1">
        <v>0</v>
      </c>
      <c r="U52" s="1">
        <v>72001</v>
      </c>
      <c r="V52" s="1">
        <v>0</v>
      </c>
      <c r="W52" s="1">
        <v>0</v>
      </c>
      <c r="X52" s="1">
        <v>0</v>
      </c>
      <c r="Y52" s="1">
        <v>0</v>
      </c>
      <c r="Z52" s="3" t="str">
        <f t="shared" si="39"/>
        <v>召唤小鬼进行攻击</v>
      </c>
    </row>
    <row r="53" s="1" customFormat="1" spans="1:26">
      <c r="A53" s="1">
        <v>20110</v>
      </c>
      <c r="B53" s="1">
        <f t="shared" si="36"/>
        <v>20101</v>
      </c>
      <c r="C53" s="1" t="str">
        <f t="shared" si="37"/>
        <v>宝塔</v>
      </c>
      <c r="D53" s="1" t="str">
        <f t="shared" si="31"/>
        <v>2</v>
      </c>
      <c r="E53" s="1">
        <f t="shared" si="40"/>
        <v>1</v>
      </c>
      <c r="F53" s="1">
        <v>10</v>
      </c>
      <c r="G53" s="1" t="str">
        <f t="shared" si="34"/>
        <v>res20110</v>
      </c>
      <c r="H53" s="1" t="str">
        <f t="shared" si="35"/>
        <v>res20110</v>
      </c>
      <c r="I53" s="1" t="s">
        <v>56</v>
      </c>
      <c r="J53" s="1">
        <f t="shared" si="41"/>
        <v>3</v>
      </c>
      <c r="K53" s="1">
        <f t="shared" si="42"/>
        <v>1</v>
      </c>
      <c r="L53" s="1">
        <v>1</v>
      </c>
      <c r="M53" s="1">
        <f t="shared" si="43"/>
        <v>9</v>
      </c>
      <c r="N53" s="1">
        <f t="shared" si="44"/>
        <v>0</v>
      </c>
      <c r="O53" s="1">
        <f t="shared" si="45"/>
        <v>0</v>
      </c>
      <c r="P53" s="2">
        <f t="shared" si="46"/>
        <v>815.345160776402</v>
      </c>
      <c r="Q53" s="2">
        <f t="shared" si="47"/>
        <v>1.85796276749163</v>
      </c>
      <c r="R53" s="1">
        <v>0.1</v>
      </c>
      <c r="S53" s="1">
        <f t="shared" si="38"/>
        <v>200</v>
      </c>
      <c r="T53" s="1">
        <v>0</v>
      </c>
      <c r="U53" s="1">
        <v>72001</v>
      </c>
      <c r="V53" s="1">
        <v>0</v>
      </c>
      <c r="W53" s="1">
        <v>0</v>
      </c>
      <c r="X53" s="1">
        <v>0</v>
      </c>
      <c r="Y53" s="1">
        <v>0</v>
      </c>
      <c r="Z53" s="3" t="str">
        <f t="shared" si="39"/>
        <v>召唤小鬼进行攻击</v>
      </c>
    </row>
    <row r="54" s="1" customFormat="1" spans="1:26">
      <c r="A54" s="1">
        <v>20111</v>
      </c>
      <c r="B54" s="1">
        <f t="shared" si="36"/>
        <v>20101</v>
      </c>
      <c r="C54" s="1" t="str">
        <f t="shared" si="37"/>
        <v>宝塔</v>
      </c>
      <c r="D54" s="1" t="str">
        <f t="shared" si="31"/>
        <v>2</v>
      </c>
      <c r="E54" s="1">
        <f t="shared" si="40"/>
        <v>1</v>
      </c>
      <c r="F54" s="1">
        <v>11</v>
      </c>
      <c r="G54" s="1" t="str">
        <f t="shared" si="34"/>
        <v>res20111</v>
      </c>
      <c r="H54" s="1" t="str">
        <f t="shared" si="35"/>
        <v>res20111</v>
      </c>
      <c r="I54" s="1" t="s">
        <v>56</v>
      </c>
      <c r="J54" s="1">
        <f t="shared" si="41"/>
        <v>3</v>
      </c>
      <c r="K54" s="1">
        <f t="shared" si="42"/>
        <v>1</v>
      </c>
      <c r="L54" s="1">
        <v>1</v>
      </c>
      <c r="M54" s="1">
        <f t="shared" si="43"/>
        <v>9</v>
      </c>
      <c r="N54" s="1">
        <f t="shared" si="44"/>
        <v>0</v>
      </c>
      <c r="O54" s="1">
        <f t="shared" si="45"/>
        <v>0</v>
      </c>
      <c r="P54" s="2">
        <f t="shared" si="46"/>
        <v>1589.92306351398</v>
      </c>
      <c r="Q54" s="2">
        <f t="shared" si="47"/>
        <v>2.08091829959062</v>
      </c>
      <c r="R54" s="1">
        <v>0.1</v>
      </c>
      <c r="S54" s="1">
        <f t="shared" si="38"/>
        <v>200</v>
      </c>
      <c r="T54" s="1">
        <v>0</v>
      </c>
      <c r="U54" s="1">
        <v>72001</v>
      </c>
      <c r="V54" s="1">
        <v>0</v>
      </c>
      <c r="W54" s="1">
        <v>0</v>
      </c>
      <c r="X54" s="1">
        <v>0</v>
      </c>
      <c r="Y54" s="1">
        <v>0</v>
      </c>
      <c r="Z54" s="3" t="str">
        <f t="shared" si="39"/>
        <v>召唤小鬼进行攻击</v>
      </c>
    </row>
    <row r="55" s="1" customFormat="1" spans="1:26">
      <c r="A55" s="1">
        <v>20112</v>
      </c>
      <c r="B55" s="1">
        <f t="shared" si="36"/>
        <v>20101</v>
      </c>
      <c r="C55" s="1" t="str">
        <f t="shared" si="37"/>
        <v>宝塔</v>
      </c>
      <c r="D55" s="1" t="str">
        <f t="shared" si="31"/>
        <v>2</v>
      </c>
      <c r="E55" s="1">
        <f t="shared" si="40"/>
        <v>1</v>
      </c>
      <c r="F55" s="1">
        <v>12</v>
      </c>
      <c r="G55" s="1" t="str">
        <f t="shared" si="34"/>
        <v>res20112</v>
      </c>
      <c r="H55" s="1" t="str">
        <f t="shared" si="35"/>
        <v>res20112</v>
      </c>
      <c r="I55" s="1" t="s">
        <v>56</v>
      </c>
      <c r="J55" s="1">
        <f t="shared" si="41"/>
        <v>3</v>
      </c>
      <c r="K55" s="1">
        <f t="shared" si="42"/>
        <v>1</v>
      </c>
      <c r="L55" s="1">
        <v>1</v>
      </c>
      <c r="M55" s="1">
        <f t="shared" si="43"/>
        <v>9</v>
      </c>
      <c r="N55" s="1">
        <f t="shared" si="44"/>
        <v>0</v>
      </c>
      <c r="O55" s="1">
        <f t="shared" si="45"/>
        <v>0</v>
      </c>
      <c r="P55" s="2">
        <f t="shared" si="46"/>
        <v>3100.34997385227</v>
      </c>
      <c r="Q55" s="2">
        <f t="shared" si="47"/>
        <v>2.3306284955415</v>
      </c>
      <c r="R55" s="1">
        <v>0.1</v>
      </c>
      <c r="S55" s="1">
        <f t="shared" si="38"/>
        <v>200</v>
      </c>
      <c r="T55" s="1">
        <v>0</v>
      </c>
      <c r="U55" s="1">
        <v>72001</v>
      </c>
      <c r="V55" s="1">
        <v>0</v>
      </c>
      <c r="W55" s="1">
        <v>0</v>
      </c>
      <c r="X55" s="1">
        <v>0</v>
      </c>
      <c r="Y55" s="1">
        <v>0</v>
      </c>
      <c r="Z55" s="3" t="str">
        <f t="shared" si="39"/>
        <v>召唤小鬼进行攻击</v>
      </c>
    </row>
    <row r="56" s="1" customFormat="1" spans="1:26">
      <c r="A56" s="1">
        <v>20113</v>
      </c>
      <c r="B56" s="1">
        <f t="shared" si="36"/>
        <v>20101</v>
      </c>
      <c r="C56" s="1" t="str">
        <f t="shared" si="37"/>
        <v>宝塔</v>
      </c>
      <c r="D56" s="1" t="str">
        <f t="shared" si="31"/>
        <v>2</v>
      </c>
      <c r="E56" s="1">
        <f t="shared" si="40"/>
        <v>1</v>
      </c>
      <c r="F56" s="1">
        <v>13</v>
      </c>
      <c r="G56" s="1" t="str">
        <f t="shared" si="34"/>
        <v>res20113</v>
      </c>
      <c r="H56" s="1" t="str">
        <f t="shared" si="35"/>
        <v>res20113</v>
      </c>
      <c r="I56" s="1" t="s">
        <v>56</v>
      </c>
      <c r="J56" s="1">
        <f t="shared" si="41"/>
        <v>3</v>
      </c>
      <c r="K56" s="1">
        <f t="shared" si="42"/>
        <v>1</v>
      </c>
      <c r="L56" s="1">
        <v>1</v>
      </c>
      <c r="M56" s="1">
        <f t="shared" si="43"/>
        <v>9</v>
      </c>
      <c r="N56" s="1">
        <f t="shared" si="44"/>
        <v>0</v>
      </c>
      <c r="O56" s="1">
        <f t="shared" si="45"/>
        <v>0</v>
      </c>
      <c r="P56" s="2">
        <f t="shared" si="46"/>
        <v>6045.68244901192</v>
      </c>
      <c r="Q56" s="2">
        <f t="shared" si="47"/>
        <v>2.61030391500648</v>
      </c>
      <c r="R56" s="1">
        <v>0.1</v>
      </c>
      <c r="S56" s="1">
        <f t="shared" si="38"/>
        <v>200</v>
      </c>
      <c r="T56" s="1">
        <v>0</v>
      </c>
      <c r="U56" s="1">
        <v>72001</v>
      </c>
      <c r="V56" s="1">
        <v>0</v>
      </c>
      <c r="W56" s="1">
        <v>0</v>
      </c>
      <c r="X56" s="1">
        <v>0</v>
      </c>
      <c r="Y56" s="1">
        <v>0</v>
      </c>
      <c r="Z56" s="3" t="str">
        <f t="shared" si="39"/>
        <v>召唤小鬼进行攻击</v>
      </c>
    </row>
    <row r="57" s="1" customFormat="1" spans="1:26">
      <c r="A57" s="1">
        <v>20114</v>
      </c>
      <c r="B57" s="1">
        <f t="shared" si="36"/>
        <v>20101</v>
      </c>
      <c r="C57" s="1" t="str">
        <f t="shared" si="37"/>
        <v>宝塔</v>
      </c>
      <c r="D57" s="1" t="str">
        <f t="shared" si="31"/>
        <v>2</v>
      </c>
      <c r="E57" s="1">
        <f t="shared" si="40"/>
        <v>1</v>
      </c>
      <c r="F57" s="1">
        <v>14</v>
      </c>
      <c r="G57" s="1" t="str">
        <f t="shared" si="34"/>
        <v>res20114</v>
      </c>
      <c r="H57" s="1" t="str">
        <f t="shared" si="35"/>
        <v>res20114</v>
      </c>
      <c r="I57" s="1" t="s">
        <v>56</v>
      </c>
      <c r="J57" s="1">
        <f t="shared" si="41"/>
        <v>3</v>
      </c>
      <c r="K57" s="1">
        <f t="shared" si="42"/>
        <v>1</v>
      </c>
      <c r="L57" s="1">
        <v>1</v>
      </c>
      <c r="M57" s="1">
        <f t="shared" si="43"/>
        <v>9</v>
      </c>
      <c r="N57" s="1">
        <f t="shared" si="44"/>
        <v>0</v>
      </c>
      <c r="O57" s="1">
        <f t="shared" si="45"/>
        <v>0</v>
      </c>
      <c r="P57" s="2">
        <f t="shared" si="46"/>
        <v>11789.0807755733</v>
      </c>
      <c r="Q57" s="2">
        <f t="shared" si="47"/>
        <v>2.92354038480725</v>
      </c>
      <c r="R57" s="1">
        <v>0.1</v>
      </c>
      <c r="S57" s="1">
        <f t="shared" si="38"/>
        <v>200</v>
      </c>
      <c r="T57" s="1">
        <v>0</v>
      </c>
      <c r="U57" s="1">
        <v>72001</v>
      </c>
      <c r="V57" s="1">
        <v>0</v>
      </c>
      <c r="W57" s="1">
        <v>0</v>
      </c>
      <c r="X57" s="1">
        <v>0</v>
      </c>
      <c r="Y57" s="1">
        <v>0</v>
      </c>
      <c r="Z57" s="3" t="str">
        <f t="shared" si="39"/>
        <v>召唤小鬼进行攻击</v>
      </c>
    </row>
    <row r="58" s="1" customFormat="1" spans="1:26">
      <c r="A58" s="1">
        <v>20115</v>
      </c>
      <c r="B58" s="1">
        <f t="shared" si="36"/>
        <v>20101</v>
      </c>
      <c r="C58" s="1" t="str">
        <f t="shared" si="37"/>
        <v>宝塔</v>
      </c>
      <c r="D58" s="1" t="str">
        <f t="shared" si="31"/>
        <v>2</v>
      </c>
      <c r="E58" s="1">
        <f t="shared" si="40"/>
        <v>1</v>
      </c>
      <c r="F58" s="1">
        <v>15</v>
      </c>
      <c r="G58" s="1" t="str">
        <f t="shared" si="34"/>
        <v>res20115</v>
      </c>
      <c r="H58" s="1" t="str">
        <f t="shared" si="35"/>
        <v>res20115</v>
      </c>
      <c r="I58" s="1" t="s">
        <v>56</v>
      </c>
      <c r="J58" s="1">
        <f t="shared" si="41"/>
        <v>3</v>
      </c>
      <c r="K58" s="1">
        <f t="shared" si="42"/>
        <v>1</v>
      </c>
      <c r="L58" s="1">
        <v>1</v>
      </c>
      <c r="M58" s="1">
        <f t="shared" si="43"/>
        <v>9</v>
      </c>
      <c r="N58" s="1">
        <f t="shared" si="44"/>
        <v>0</v>
      </c>
      <c r="O58" s="1">
        <f t="shared" si="45"/>
        <v>0</v>
      </c>
      <c r="P58" s="2">
        <f t="shared" si="46"/>
        <v>22988.7075123678</v>
      </c>
      <c r="Q58" s="2">
        <f t="shared" si="47"/>
        <v>3.27436523098413</v>
      </c>
      <c r="R58" s="1">
        <v>0.1</v>
      </c>
      <c r="S58" s="1">
        <f t="shared" si="38"/>
        <v>200</v>
      </c>
      <c r="T58" s="1">
        <v>0</v>
      </c>
      <c r="U58" s="1">
        <v>72001</v>
      </c>
      <c r="V58" s="1">
        <v>0</v>
      </c>
      <c r="W58" s="1">
        <v>0</v>
      </c>
      <c r="X58" s="1">
        <v>0</v>
      </c>
      <c r="Y58" s="1">
        <v>0</v>
      </c>
      <c r="Z58" s="3" t="str">
        <f t="shared" si="39"/>
        <v>召唤小鬼进行攻击</v>
      </c>
    </row>
    <row r="59" s="1" customFormat="1" spans="1:26">
      <c r="A59" s="1">
        <v>20116</v>
      </c>
      <c r="B59" s="1">
        <f t="shared" si="36"/>
        <v>20101</v>
      </c>
      <c r="C59" s="1" t="str">
        <f t="shared" si="37"/>
        <v>宝塔</v>
      </c>
      <c r="D59" s="1" t="str">
        <f t="shared" si="31"/>
        <v>2</v>
      </c>
      <c r="E59" s="1">
        <f t="shared" si="40"/>
        <v>1</v>
      </c>
      <c r="F59" s="1">
        <v>16</v>
      </c>
      <c r="G59" s="1" t="str">
        <f t="shared" si="34"/>
        <v>res20116</v>
      </c>
      <c r="H59" s="1" t="str">
        <f t="shared" si="35"/>
        <v>res20116</v>
      </c>
      <c r="I59" s="1" t="s">
        <v>56</v>
      </c>
      <c r="J59" s="1">
        <f t="shared" si="41"/>
        <v>3</v>
      </c>
      <c r="K59" s="1">
        <f t="shared" si="42"/>
        <v>1</v>
      </c>
      <c r="L59" s="1">
        <v>1</v>
      </c>
      <c r="M59" s="1">
        <f t="shared" si="43"/>
        <v>9</v>
      </c>
      <c r="N59" s="1">
        <f t="shared" si="44"/>
        <v>0</v>
      </c>
      <c r="O59" s="1">
        <f t="shared" si="45"/>
        <v>0</v>
      </c>
      <c r="P59" s="2">
        <f t="shared" si="46"/>
        <v>44827.9796491173</v>
      </c>
      <c r="Q59" s="2">
        <f t="shared" si="47"/>
        <v>3.66728905870222</v>
      </c>
      <c r="R59" s="1">
        <v>0.1</v>
      </c>
      <c r="S59" s="1">
        <f t="shared" si="38"/>
        <v>200</v>
      </c>
      <c r="T59" s="1">
        <v>0</v>
      </c>
      <c r="U59" s="1">
        <v>72001</v>
      </c>
      <c r="V59" s="1">
        <v>0</v>
      </c>
      <c r="W59" s="1">
        <v>0</v>
      </c>
      <c r="X59" s="1">
        <v>0</v>
      </c>
      <c r="Y59" s="1">
        <v>0</v>
      </c>
      <c r="Z59" s="3" t="str">
        <f t="shared" si="39"/>
        <v>召唤小鬼进行攻击</v>
      </c>
    </row>
    <row r="60" s="1" customFormat="1" spans="1:26">
      <c r="A60" s="1">
        <v>20117</v>
      </c>
      <c r="B60" s="1">
        <f t="shared" si="36"/>
        <v>20101</v>
      </c>
      <c r="C60" s="1" t="str">
        <f t="shared" si="37"/>
        <v>宝塔</v>
      </c>
      <c r="D60" s="1" t="str">
        <f t="shared" si="31"/>
        <v>2</v>
      </c>
      <c r="E60" s="1">
        <f t="shared" si="40"/>
        <v>1</v>
      </c>
      <c r="F60" s="1">
        <v>17</v>
      </c>
      <c r="G60" s="1" t="str">
        <f t="shared" si="34"/>
        <v>res20117</v>
      </c>
      <c r="H60" s="1" t="str">
        <f t="shared" si="35"/>
        <v>res20117</v>
      </c>
      <c r="I60" s="1" t="s">
        <v>56</v>
      </c>
      <c r="J60" s="1">
        <f t="shared" si="41"/>
        <v>3</v>
      </c>
      <c r="K60" s="1">
        <f t="shared" si="42"/>
        <v>1</v>
      </c>
      <c r="L60" s="1">
        <v>1</v>
      </c>
      <c r="M60" s="1">
        <f t="shared" si="43"/>
        <v>9</v>
      </c>
      <c r="N60" s="1">
        <f t="shared" si="44"/>
        <v>0</v>
      </c>
      <c r="O60" s="1">
        <f t="shared" si="45"/>
        <v>0</v>
      </c>
      <c r="P60" s="2">
        <f t="shared" si="46"/>
        <v>87414.5603157787</v>
      </c>
      <c r="Q60" s="2">
        <f t="shared" si="47"/>
        <v>4.10736374574649</v>
      </c>
      <c r="R60" s="1">
        <v>0.1</v>
      </c>
      <c r="S60" s="1">
        <f t="shared" si="38"/>
        <v>200</v>
      </c>
      <c r="T60" s="1">
        <v>0</v>
      </c>
      <c r="U60" s="1">
        <v>72001</v>
      </c>
      <c r="V60" s="1">
        <v>0</v>
      </c>
      <c r="W60" s="1">
        <v>0</v>
      </c>
      <c r="X60" s="1">
        <v>0</v>
      </c>
      <c r="Y60" s="1">
        <v>0</v>
      </c>
      <c r="Z60" s="3" t="str">
        <f t="shared" si="39"/>
        <v>召唤小鬼进行攻击</v>
      </c>
    </row>
    <row r="61" s="1" customFormat="1" spans="1:26">
      <c r="A61" s="1">
        <v>20118</v>
      </c>
      <c r="B61" s="1">
        <f t="shared" si="36"/>
        <v>20101</v>
      </c>
      <c r="C61" s="1" t="str">
        <f t="shared" si="37"/>
        <v>宝塔</v>
      </c>
      <c r="D61" s="1" t="str">
        <f t="shared" si="31"/>
        <v>2</v>
      </c>
      <c r="E61" s="1">
        <f t="shared" si="40"/>
        <v>1</v>
      </c>
      <c r="F61" s="1">
        <v>18</v>
      </c>
      <c r="G61" s="1" t="str">
        <f t="shared" si="34"/>
        <v>res20118</v>
      </c>
      <c r="H61" s="1" t="str">
        <f t="shared" si="35"/>
        <v>res20118</v>
      </c>
      <c r="I61" s="1" t="s">
        <v>56</v>
      </c>
      <c r="J61" s="1">
        <f t="shared" si="41"/>
        <v>3</v>
      </c>
      <c r="K61" s="1">
        <f t="shared" si="42"/>
        <v>1</v>
      </c>
      <c r="L61" s="1">
        <v>1</v>
      </c>
      <c r="M61" s="1">
        <f t="shared" si="43"/>
        <v>9</v>
      </c>
      <c r="N61" s="1">
        <f t="shared" si="44"/>
        <v>0</v>
      </c>
      <c r="O61" s="1">
        <f t="shared" si="45"/>
        <v>0</v>
      </c>
      <c r="P61" s="2">
        <f t="shared" si="46"/>
        <v>170458.392615768</v>
      </c>
      <c r="Q61" s="2">
        <f t="shared" si="47"/>
        <v>4.60024739523607</v>
      </c>
      <c r="R61" s="1">
        <v>0.1</v>
      </c>
      <c r="S61" s="1">
        <f t="shared" si="38"/>
        <v>200</v>
      </c>
      <c r="T61" s="1">
        <v>0</v>
      </c>
      <c r="U61" s="1">
        <v>72001</v>
      </c>
      <c r="V61" s="1">
        <v>0</v>
      </c>
      <c r="W61" s="1">
        <v>0</v>
      </c>
      <c r="X61" s="1">
        <v>0</v>
      </c>
      <c r="Y61" s="1">
        <v>0</v>
      </c>
      <c r="Z61" s="3" t="str">
        <f t="shared" si="39"/>
        <v>召唤小鬼进行攻击</v>
      </c>
    </row>
    <row r="62" s="1" customFormat="1" spans="1:26">
      <c r="A62" s="1">
        <v>20119</v>
      </c>
      <c r="B62" s="1">
        <f t="shared" si="36"/>
        <v>20101</v>
      </c>
      <c r="C62" s="1" t="str">
        <f t="shared" si="37"/>
        <v>宝塔</v>
      </c>
      <c r="D62" s="1" t="str">
        <f t="shared" si="31"/>
        <v>2</v>
      </c>
      <c r="E62" s="1">
        <f t="shared" si="40"/>
        <v>1</v>
      </c>
      <c r="F62" s="1">
        <v>19</v>
      </c>
      <c r="G62" s="1" t="str">
        <f t="shared" si="34"/>
        <v>res20119</v>
      </c>
      <c r="H62" s="1" t="str">
        <f t="shared" si="35"/>
        <v>res20119</v>
      </c>
      <c r="I62" s="1" t="s">
        <v>56</v>
      </c>
      <c r="J62" s="1">
        <f t="shared" si="41"/>
        <v>3</v>
      </c>
      <c r="K62" s="1">
        <f t="shared" si="42"/>
        <v>1</v>
      </c>
      <c r="L62" s="1">
        <v>1</v>
      </c>
      <c r="M62" s="1">
        <f t="shared" si="43"/>
        <v>9</v>
      </c>
      <c r="N62" s="1">
        <f t="shared" si="44"/>
        <v>0</v>
      </c>
      <c r="O62" s="1">
        <f t="shared" si="45"/>
        <v>0</v>
      </c>
      <c r="P62" s="2">
        <f t="shared" si="46"/>
        <v>332393.865600749</v>
      </c>
      <c r="Q62" s="2">
        <f t="shared" si="47"/>
        <v>5.1522770826644</v>
      </c>
      <c r="R62" s="1">
        <v>0.1</v>
      </c>
      <c r="S62" s="1">
        <f t="shared" si="38"/>
        <v>200</v>
      </c>
      <c r="T62" s="1">
        <v>0</v>
      </c>
      <c r="U62" s="1">
        <v>72001</v>
      </c>
      <c r="V62" s="1">
        <v>0</v>
      </c>
      <c r="W62" s="1">
        <v>0</v>
      </c>
      <c r="X62" s="1">
        <v>0</v>
      </c>
      <c r="Y62" s="1">
        <v>0</v>
      </c>
      <c r="Z62" s="3" t="str">
        <f t="shared" si="39"/>
        <v>召唤小鬼进行攻击</v>
      </c>
    </row>
    <row r="63" s="1" customFormat="1" spans="1:26">
      <c r="A63" s="1">
        <v>20120</v>
      </c>
      <c r="B63" s="1">
        <f t="shared" si="36"/>
        <v>20101</v>
      </c>
      <c r="C63" s="1" t="str">
        <f t="shared" si="37"/>
        <v>宝塔</v>
      </c>
      <c r="D63" s="1" t="str">
        <f t="shared" si="31"/>
        <v>2</v>
      </c>
      <c r="E63" s="1">
        <f t="shared" si="40"/>
        <v>1</v>
      </c>
      <c r="F63" s="1">
        <v>20</v>
      </c>
      <c r="G63" s="1" t="str">
        <f t="shared" si="34"/>
        <v>res20120</v>
      </c>
      <c r="H63" s="1" t="str">
        <f t="shared" si="35"/>
        <v>res20120</v>
      </c>
      <c r="I63" s="1" t="s">
        <v>56</v>
      </c>
      <c r="J63" s="1">
        <f t="shared" si="41"/>
        <v>3</v>
      </c>
      <c r="K63" s="1">
        <f t="shared" si="42"/>
        <v>1</v>
      </c>
      <c r="L63" s="1">
        <v>1</v>
      </c>
      <c r="M63" s="1">
        <f t="shared" si="43"/>
        <v>9</v>
      </c>
      <c r="N63" s="1">
        <f t="shared" si="44"/>
        <v>0</v>
      </c>
      <c r="O63" s="1">
        <f t="shared" si="45"/>
        <v>0</v>
      </c>
      <c r="P63" s="2">
        <f t="shared" si="46"/>
        <v>648168.03792146</v>
      </c>
      <c r="Q63" s="2">
        <f t="shared" si="47"/>
        <v>5.77055033258412</v>
      </c>
      <c r="R63" s="1">
        <v>0.1</v>
      </c>
      <c r="S63" s="1">
        <f t="shared" si="38"/>
        <v>200</v>
      </c>
      <c r="T63" s="1">
        <v>0</v>
      </c>
      <c r="U63" s="1">
        <v>72001</v>
      </c>
      <c r="V63" s="1">
        <v>0</v>
      </c>
      <c r="W63" s="1">
        <v>0</v>
      </c>
      <c r="X63" s="1">
        <v>0</v>
      </c>
      <c r="Y63" s="1">
        <v>0</v>
      </c>
      <c r="Z63" s="3" t="str">
        <f t="shared" si="39"/>
        <v>召唤小鬼进行攻击</v>
      </c>
    </row>
    <row r="64" s="1" customFormat="1" spans="1:26">
      <c r="A64" s="1">
        <v>20201</v>
      </c>
      <c r="B64" s="1">
        <f>A64</f>
        <v>20201</v>
      </c>
      <c r="C64" s="1" t="s">
        <v>58</v>
      </c>
      <c r="D64" s="1" t="str">
        <f t="shared" si="31"/>
        <v>2</v>
      </c>
      <c r="E64" s="1">
        <v>2</v>
      </c>
      <c r="F64" s="1">
        <v>1</v>
      </c>
      <c r="G64" s="1" t="str">
        <f t="shared" si="34"/>
        <v>res20201</v>
      </c>
      <c r="H64" s="1" t="str">
        <f t="shared" si="35"/>
        <v>res20201</v>
      </c>
      <c r="I64" s="1" t="s">
        <v>60</v>
      </c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2">
        <v>0</v>
      </c>
      <c r="Q64" s="2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 t="s">
        <v>310</v>
      </c>
      <c r="Z64" s="3" t="s">
        <v>311</v>
      </c>
    </row>
    <row r="65" s="1" customFormat="1" spans="1:26">
      <c r="A65" s="1">
        <v>20202</v>
      </c>
      <c r="B65" s="1">
        <f>B64</f>
        <v>20201</v>
      </c>
      <c r="C65" s="1" t="str">
        <f>C64</f>
        <v>轰炸者</v>
      </c>
      <c r="D65" s="1" t="str">
        <f t="shared" si="31"/>
        <v>2</v>
      </c>
      <c r="E65" s="1">
        <f>E64</f>
        <v>2</v>
      </c>
      <c r="F65" s="1">
        <v>2</v>
      </c>
      <c r="G65" s="1" t="str">
        <f>G64</f>
        <v>res20201</v>
      </c>
      <c r="H65" s="1" t="str">
        <f t="shared" si="35"/>
        <v>res20201</v>
      </c>
      <c r="I65" s="1" t="s">
        <v>60</v>
      </c>
      <c r="J65" s="1">
        <f>J64</f>
        <v>1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2">
        <v>0</v>
      </c>
      <c r="Q65" s="2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 t="s">
        <v>312</v>
      </c>
      <c r="Z65" s="3" t="str">
        <f>Z64</f>
        <v>冲向敌方并爆炸，造成范围伤害</v>
      </c>
    </row>
    <row r="66" s="1" customFormat="1" spans="1:26">
      <c r="A66" s="1">
        <v>20203</v>
      </c>
      <c r="B66" s="1">
        <f t="shared" ref="B66:B71" si="48">B65</f>
        <v>20201</v>
      </c>
      <c r="C66" s="1" t="str">
        <f>C65</f>
        <v>轰炸者</v>
      </c>
      <c r="D66" s="1" t="str">
        <f t="shared" si="31"/>
        <v>2</v>
      </c>
      <c r="E66" s="1">
        <f>E65</f>
        <v>2</v>
      </c>
      <c r="F66" s="1">
        <v>3</v>
      </c>
      <c r="G66" s="1" t="str">
        <f t="shared" ref="G66:G71" si="49">G65</f>
        <v>res20201</v>
      </c>
      <c r="H66" s="1" t="str">
        <f t="shared" si="35"/>
        <v>res20201</v>
      </c>
      <c r="I66" s="1" t="s">
        <v>60</v>
      </c>
      <c r="J66" s="1">
        <f t="shared" ref="J66:J71" si="50">J65</f>
        <v>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">
        <v>0</v>
      </c>
      <c r="Q66" s="2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 t="s">
        <v>313</v>
      </c>
      <c r="Z66" s="3" t="str">
        <f t="shared" ref="Z66:Z71" si="51">Z64</f>
        <v>冲向敌方并爆炸，造成范围伤害</v>
      </c>
    </row>
    <row r="67" s="1" customFormat="1" spans="1:26">
      <c r="A67" s="1">
        <v>20301</v>
      </c>
      <c r="B67" s="1">
        <f t="shared" ref="B67:B73" si="52">A67</f>
        <v>20301</v>
      </c>
      <c r="C67" s="1" t="s">
        <v>62</v>
      </c>
      <c r="D67" s="1" t="str">
        <f t="shared" si="31"/>
        <v>2</v>
      </c>
      <c r="E67" s="1">
        <v>2</v>
      </c>
      <c r="F67" s="1">
        <v>1</v>
      </c>
      <c r="G67" s="1" t="str">
        <f t="shared" ref="G67:G73" si="53">"res"&amp;A67</f>
        <v>res20301</v>
      </c>
      <c r="H67" s="1" t="str">
        <f t="shared" si="35"/>
        <v>res20301</v>
      </c>
      <c r="I67" s="1" t="s">
        <v>60</v>
      </c>
      <c r="J67" s="1">
        <v>1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2">
        <v>0</v>
      </c>
      <c r="Q67" s="2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 t="s">
        <v>314</v>
      </c>
      <c r="Z67" s="3" t="s">
        <v>315</v>
      </c>
    </row>
    <row r="68" s="1" customFormat="1" spans="1:26">
      <c r="A68" s="1">
        <v>20302</v>
      </c>
      <c r="B68" s="1">
        <f t="shared" si="48"/>
        <v>20301</v>
      </c>
      <c r="C68" s="1" t="str">
        <f>C67</f>
        <v>小鬼</v>
      </c>
      <c r="D68" s="1" t="str">
        <f t="shared" si="31"/>
        <v>2</v>
      </c>
      <c r="E68" s="1">
        <f>E67</f>
        <v>2</v>
      </c>
      <c r="F68" s="1">
        <v>2</v>
      </c>
      <c r="G68" s="1" t="str">
        <f t="shared" si="49"/>
        <v>res20301</v>
      </c>
      <c r="H68" s="1" t="str">
        <f t="shared" si="35"/>
        <v>res20301</v>
      </c>
      <c r="I68" s="1" t="s">
        <v>60</v>
      </c>
      <c r="J68" s="1">
        <f t="shared" si="50"/>
        <v>1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2">
        <v>0</v>
      </c>
      <c r="Q68" s="2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 t="s">
        <v>316</v>
      </c>
      <c r="Z68" s="3" t="str">
        <f>Z67</f>
        <v>快速进攻型部队，拥有许多小型单位</v>
      </c>
    </row>
    <row r="69" s="1" customFormat="1" spans="1:26">
      <c r="A69" s="1">
        <v>20303</v>
      </c>
      <c r="B69" s="1">
        <f t="shared" si="48"/>
        <v>20301</v>
      </c>
      <c r="C69" s="1" t="str">
        <f>C68</f>
        <v>小鬼</v>
      </c>
      <c r="D69" s="1" t="str">
        <f t="shared" ref="D69:D106" si="54">LEFT(A69,1)</f>
        <v>2</v>
      </c>
      <c r="E69" s="1">
        <f>E68</f>
        <v>2</v>
      </c>
      <c r="F69" s="1">
        <v>3</v>
      </c>
      <c r="G69" s="1" t="str">
        <f t="shared" si="49"/>
        <v>res20301</v>
      </c>
      <c r="H69" s="1" t="str">
        <f t="shared" si="35"/>
        <v>res20301</v>
      </c>
      <c r="I69" s="1" t="s">
        <v>60</v>
      </c>
      <c r="J69" s="1">
        <f t="shared" si="50"/>
        <v>1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2">
        <v>0</v>
      </c>
      <c r="Q69" s="2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 t="s">
        <v>317</v>
      </c>
      <c r="Z69" s="3" t="str">
        <f t="shared" si="51"/>
        <v>快速进攻型部队，拥有许多小型单位</v>
      </c>
    </row>
    <row r="70" s="1" customFormat="1" spans="1:26">
      <c r="A70" s="1">
        <v>20401</v>
      </c>
      <c r="B70" s="1">
        <v>20401</v>
      </c>
      <c r="C70" s="1" t="s">
        <v>65</v>
      </c>
      <c r="D70" s="1" t="str">
        <f t="shared" si="54"/>
        <v>2</v>
      </c>
      <c r="E70" s="1">
        <v>6</v>
      </c>
      <c r="F70" s="1">
        <v>1</v>
      </c>
      <c r="G70" s="1" t="str">
        <f>"res"&amp;A70</f>
        <v>res20401</v>
      </c>
      <c r="H70" s="1" t="str">
        <f t="shared" si="35"/>
        <v>res20401</v>
      </c>
      <c r="I70" s="1" t="s">
        <v>67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2">
        <v>0</v>
      </c>
      <c r="Q70" s="2">
        <v>0</v>
      </c>
      <c r="R70" s="1">
        <v>0</v>
      </c>
      <c r="S70" s="1">
        <v>0</v>
      </c>
      <c r="T70" s="1">
        <v>0</v>
      </c>
      <c r="U70" s="1">
        <v>32001</v>
      </c>
      <c r="V70" s="1">
        <v>0</v>
      </c>
      <c r="W70" s="1">
        <v>0</v>
      </c>
      <c r="X70" s="1">
        <v>0</v>
      </c>
      <c r="Y70" s="1">
        <v>0</v>
      </c>
      <c r="Z70" s="3" t="str">
        <f t="shared" si="51"/>
        <v>快速进攻型部队，拥有许多小型单位</v>
      </c>
    </row>
    <row r="71" s="1" customFormat="1" spans="1:26">
      <c r="A71" s="1">
        <v>20501</v>
      </c>
      <c r="B71" s="1">
        <f t="shared" si="52"/>
        <v>20501</v>
      </c>
      <c r="C71" s="1" t="s">
        <v>69</v>
      </c>
      <c r="D71" s="1" t="str">
        <f t="shared" si="54"/>
        <v>2</v>
      </c>
      <c r="E71" s="1">
        <v>5</v>
      </c>
      <c r="F71" s="1">
        <v>1</v>
      </c>
      <c r="G71" s="1" t="str">
        <f t="shared" si="53"/>
        <v>res20501</v>
      </c>
      <c r="H71" s="1" t="str">
        <f t="shared" si="35"/>
        <v>res20501</v>
      </c>
      <c r="I71" s="1" t="s">
        <v>67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2">
        <v>0</v>
      </c>
      <c r="Q71" s="2">
        <v>0</v>
      </c>
      <c r="R71" s="1">
        <v>0</v>
      </c>
      <c r="S71" s="1">
        <v>0</v>
      </c>
      <c r="T71" s="1">
        <v>0</v>
      </c>
      <c r="U71" s="1">
        <v>22001</v>
      </c>
      <c r="V71" s="1">
        <v>0</v>
      </c>
      <c r="W71" s="1">
        <v>0</v>
      </c>
      <c r="X71" s="1">
        <v>0</v>
      </c>
      <c r="Y71" s="1">
        <v>0</v>
      </c>
      <c r="Z71" s="3" t="s">
        <v>311</v>
      </c>
    </row>
    <row r="72" s="1" customFormat="1" spans="1:26">
      <c r="A72" s="1">
        <v>20601</v>
      </c>
      <c r="B72" s="1">
        <f t="shared" si="52"/>
        <v>20601</v>
      </c>
      <c r="C72" s="1" t="s">
        <v>72</v>
      </c>
      <c r="D72" s="1" t="str">
        <f t="shared" si="54"/>
        <v>2</v>
      </c>
      <c r="E72" s="1">
        <v>6</v>
      </c>
      <c r="F72" s="1">
        <v>1</v>
      </c>
      <c r="G72" s="1" t="str">
        <f t="shared" si="53"/>
        <v>res20601</v>
      </c>
      <c r="H72" s="1" t="str">
        <f t="shared" si="35"/>
        <v>res20601</v>
      </c>
      <c r="I72" s="1" t="s">
        <v>67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2">
        <v>0</v>
      </c>
      <c r="Q72" s="2">
        <v>0</v>
      </c>
      <c r="R72" s="1">
        <v>0</v>
      </c>
      <c r="S72" s="1">
        <v>0</v>
      </c>
      <c r="T72" s="1">
        <v>0</v>
      </c>
      <c r="U72" s="1">
        <v>32002</v>
      </c>
      <c r="V72" s="1">
        <v>0</v>
      </c>
      <c r="W72" s="1">
        <v>0</v>
      </c>
      <c r="X72" s="1">
        <v>0</v>
      </c>
      <c r="Y72" s="1">
        <v>0</v>
      </c>
      <c r="Z72" s="3" t="s">
        <v>318</v>
      </c>
    </row>
    <row r="73" s="1" customFormat="1" spans="1:26">
      <c r="A73" s="1">
        <v>20701</v>
      </c>
      <c r="B73" s="1">
        <f t="shared" si="52"/>
        <v>20701</v>
      </c>
      <c r="C73" s="1" t="s">
        <v>75</v>
      </c>
      <c r="D73" s="1" t="str">
        <f t="shared" si="54"/>
        <v>2</v>
      </c>
      <c r="E73" s="1">
        <v>3</v>
      </c>
      <c r="F73" s="1">
        <v>1</v>
      </c>
      <c r="G73" s="1" t="str">
        <f t="shared" si="53"/>
        <v>res20701</v>
      </c>
      <c r="H73" s="1" t="str">
        <f t="shared" si="35"/>
        <v>res20701</v>
      </c>
      <c r="I73" s="1" t="s">
        <v>77</v>
      </c>
      <c r="J73" s="1">
        <v>1</v>
      </c>
      <c r="K73" s="1">
        <v>2</v>
      </c>
      <c r="L73" s="1">
        <v>0</v>
      </c>
      <c r="M73" s="1">
        <v>0</v>
      </c>
      <c r="N73" s="1">
        <v>300</v>
      </c>
      <c r="O73" s="1">
        <v>0</v>
      </c>
      <c r="P73" s="2">
        <v>1</v>
      </c>
      <c r="Q73" s="2">
        <v>0.31</v>
      </c>
      <c r="R73" s="1">
        <v>0</v>
      </c>
      <c r="S73" s="1">
        <v>0</v>
      </c>
      <c r="T73" s="1">
        <v>0</v>
      </c>
      <c r="U73" s="1">
        <v>12001</v>
      </c>
      <c r="V73" s="1">
        <v>0</v>
      </c>
      <c r="W73" s="1">
        <v>0</v>
      </c>
      <c r="X73" s="1">
        <v>1</v>
      </c>
      <c r="Y73" s="1">
        <v>0</v>
      </c>
      <c r="Z73" s="3" t="s">
        <v>319</v>
      </c>
    </row>
    <row r="74" s="1" customFormat="1" spans="1:26">
      <c r="A74" s="1">
        <f t="shared" ref="A74:A78" si="55">A73+1</f>
        <v>20702</v>
      </c>
      <c r="B74" s="1">
        <f t="shared" ref="B74:G74" si="56">B73</f>
        <v>20701</v>
      </c>
      <c r="C74" s="1" t="str">
        <f t="shared" si="56"/>
        <v>绞肉塔</v>
      </c>
      <c r="D74" s="1" t="str">
        <f t="shared" si="54"/>
        <v>2</v>
      </c>
      <c r="E74" s="1">
        <f t="shared" si="56"/>
        <v>3</v>
      </c>
      <c r="F74" s="1">
        <v>2</v>
      </c>
      <c r="G74" s="1" t="str">
        <f t="shared" si="56"/>
        <v>res20701</v>
      </c>
      <c r="H74" s="1" t="str">
        <f t="shared" si="35"/>
        <v>res20701</v>
      </c>
      <c r="I74" s="1" t="s">
        <v>77</v>
      </c>
      <c r="J74" s="1">
        <f t="shared" ref="J74:J78" si="57">J73</f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2">
        <f t="shared" ref="P74:P78" si="58">P73*1.2</f>
        <v>1.2</v>
      </c>
      <c r="Q74" s="2">
        <f t="shared" ref="Q74:Q78" si="59">Q73*1.23</f>
        <v>0.3813</v>
      </c>
      <c r="R74" s="1">
        <v>0</v>
      </c>
      <c r="S74" s="1">
        <v>0</v>
      </c>
      <c r="T74" s="1">
        <v>0</v>
      </c>
      <c r="U74" s="1">
        <v>12001</v>
      </c>
      <c r="V74" s="1">
        <v>0</v>
      </c>
      <c r="W74" s="1">
        <v>0</v>
      </c>
      <c r="X74" s="1">
        <v>2</v>
      </c>
      <c r="Y74" s="1">
        <v>0</v>
      </c>
      <c r="Z74" s="3" t="str">
        <f>Z73</f>
        <v>范围伤害炮塔，每回合牺牲相邻单位，攻击+2</v>
      </c>
    </row>
    <row r="75" s="1" customFormat="1" spans="1:26">
      <c r="A75" s="1">
        <f t="shared" si="55"/>
        <v>20703</v>
      </c>
      <c r="B75" s="1">
        <f t="shared" ref="B75:G75" si="60">B74</f>
        <v>20701</v>
      </c>
      <c r="C75" s="1" t="str">
        <f t="shared" si="60"/>
        <v>绞肉塔</v>
      </c>
      <c r="D75" s="1" t="str">
        <f t="shared" si="54"/>
        <v>2</v>
      </c>
      <c r="E75" s="1">
        <f t="shared" si="60"/>
        <v>3</v>
      </c>
      <c r="F75" s="1">
        <v>3</v>
      </c>
      <c r="G75" s="1" t="str">
        <f t="shared" si="60"/>
        <v>res20701</v>
      </c>
      <c r="H75" s="1" t="str">
        <f t="shared" si="35"/>
        <v>res20701</v>
      </c>
      <c r="I75" s="1" t="s">
        <v>77</v>
      </c>
      <c r="J75" s="1">
        <f t="shared" si="57"/>
        <v>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2">
        <f t="shared" si="58"/>
        <v>1.44</v>
      </c>
      <c r="Q75" s="2">
        <f t="shared" si="59"/>
        <v>0.468999</v>
      </c>
      <c r="R75" s="1">
        <v>0</v>
      </c>
      <c r="S75" s="1">
        <v>0</v>
      </c>
      <c r="T75" s="1">
        <v>0</v>
      </c>
      <c r="U75" s="1">
        <v>12001</v>
      </c>
      <c r="V75" s="1">
        <v>0</v>
      </c>
      <c r="W75" s="1">
        <v>0</v>
      </c>
      <c r="X75" s="1">
        <v>3</v>
      </c>
      <c r="Y75" s="1">
        <v>0</v>
      </c>
      <c r="Z75" s="3" t="str">
        <f>Z73</f>
        <v>范围伤害炮塔，每回合牺牲相邻单位，攻击+2</v>
      </c>
    </row>
    <row r="76" s="1" customFormat="1" spans="1:26">
      <c r="A76" s="1">
        <v>20801</v>
      </c>
      <c r="B76" s="1">
        <f>A76</f>
        <v>20801</v>
      </c>
      <c r="C76" s="1" t="s">
        <v>79</v>
      </c>
      <c r="D76" s="1" t="str">
        <f t="shared" si="54"/>
        <v>2</v>
      </c>
      <c r="E76" s="1">
        <v>4</v>
      </c>
      <c r="F76" s="1">
        <v>1</v>
      </c>
      <c r="G76" s="1" t="str">
        <f>"res"&amp;A76</f>
        <v>res20801</v>
      </c>
      <c r="H76" s="1" t="str">
        <f t="shared" si="35"/>
        <v>res20801</v>
      </c>
      <c r="I76" s="1" t="s">
        <v>81</v>
      </c>
      <c r="J76" s="1">
        <v>3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2">
        <v>0</v>
      </c>
      <c r="Q76" s="2">
        <v>0</v>
      </c>
      <c r="R76" s="1">
        <v>0</v>
      </c>
      <c r="S76" s="1">
        <v>0</v>
      </c>
      <c r="T76" s="1">
        <v>0</v>
      </c>
      <c r="U76" s="1">
        <v>12002</v>
      </c>
      <c r="V76" s="1">
        <v>0</v>
      </c>
      <c r="W76" s="1">
        <v>0</v>
      </c>
      <c r="X76" s="1">
        <v>0</v>
      </c>
      <c r="Y76" s="1" t="s">
        <v>320</v>
      </c>
      <c r="Z76" s="3" t="s">
        <v>321</v>
      </c>
    </row>
    <row r="77" s="1" customFormat="1" spans="1:26">
      <c r="A77" s="1">
        <f t="shared" si="55"/>
        <v>20802</v>
      </c>
      <c r="B77" s="1">
        <f t="shared" ref="B77:G77" si="61">B76</f>
        <v>20801</v>
      </c>
      <c r="C77" s="1" t="str">
        <f t="shared" si="61"/>
        <v>墓地</v>
      </c>
      <c r="D77" s="1" t="str">
        <f t="shared" si="54"/>
        <v>2</v>
      </c>
      <c r="E77" s="1">
        <f t="shared" si="61"/>
        <v>4</v>
      </c>
      <c r="F77" s="1">
        <v>2</v>
      </c>
      <c r="G77" s="1" t="str">
        <f t="shared" si="61"/>
        <v>res20801</v>
      </c>
      <c r="H77" s="1" t="str">
        <f t="shared" si="35"/>
        <v>res20801</v>
      </c>
      <c r="I77" s="1" t="s">
        <v>81</v>
      </c>
      <c r="J77" s="1">
        <f t="shared" si="57"/>
        <v>3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2">
        <f t="shared" si="58"/>
        <v>0</v>
      </c>
      <c r="Q77" s="2">
        <f t="shared" si="59"/>
        <v>0</v>
      </c>
      <c r="R77" s="1">
        <v>0</v>
      </c>
      <c r="S77" s="1">
        <v>0</v>
      </c>
      <c r="T77" s="1">
        <v>0</v>
      </c>
      <c r="U77" s="1">
        <v>12002</v>
      </c>
      <c r="V77" s="1">
        <v>0</v>
      </c>
      <c r="W77" s="1">
        <v>0</v>
      </c>
      <c r="X77" s="1">
        <v>0</v>
      </c>
      <c r="Y77" s="1" t="s">
        <v>322</v>
      </c>
      <c r="Z77" s="3" t="str">
        <f>Z76</f>
        <v>若一个相邻单位在战斗中死亡，则召唤出一个小鬼假如战斗</v>
      </c>
    </row>
    <row r="78" s="1" customFormat="1" spans="1:26">
      <c r="A78" s="1">
        <f t="shared" si="55"/>
        <v>20803</v>
      </c>
      <c r="B78" s="1">
        <f t="shared" ref="B78:G78" si="62">B77</f>
        <v>20801</v>
      </c>
      <c r="C78" s="1" t="str">
        <f t="shared" si="62"/>
        <v>墓地</v>
      </c>
      <c r="D78" s="1" t="str">
        <f t="shared" si="54"/>
        <v>2</v>
      </c>
      <c r="E78" s="1">
        <f t="shared" si="62"/>
        <v>4</v>
      </c>
      <c r="F78" s="1">
        <v>3</v>
      </c>
      <c r="G78" s="1" t="str">
        <f t="shared" si="62"/>
        <v>res20801</v>
      </c>
      <c r="H78" s="1" t="str">
        <f t="shared" si="35"/>
        <v>res20801</v>
      </c>
      <c r="I78" s="1" t="s">
        <v>81</v>
      </c>
      <c r="J78" s="1">
        <f t="shared" si="57"/>
        <v>3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2">
        <f t="shared" si="58"/>
        <v>0</v>
      </c>
      <c r="Q78" s="2">
        <f t="shared" si="59"/>
        <v>0</v>
      </c>
      <c r="R78" s="1">
        <v>0</v>
      </c>
      <c r="S78" s="1">
        <v>0</v>
      </c>
      <c r="T78" s="1">
        <v>0</v>
      </c>
      <c r="U78" s="1">
        <v>12002</v>
      </c>
      <c r="V78" s="1">
        <v>0</v>
      </c>
      <c r="W78" s="1">
        <v>0</v>
      </c>
      <c r="X78" s="1">
        <v>0</v>
      </c>
      <c r="Y78" s="1" t="s">
        <v>323</v>
      </c>
      <c r="Z78" s="3" t="str">
        <f>Z76</f>
        <v>若一个相邻单位在战斗中死亡，则召唤出一个小鬼假如战斗</v>
      </c>
    </row>
    <row r="79" s="1" customFormat="1" spans="1:26">
      <c r="A79" s="1">
        <v>20901</v>
      </c>
      <c r="B79" s="1">
        <f>A79</f>
        <v>20901</v>
      </c>
      <c r="C79" s="1" t="s">
        <v>83</v>
      </c>
      <c r="D79" s="1" t="str">
        <f t="shared" si="54"/>
        <v>2</v>
      </c>
      <c r="E79" s="1">
        <v>4</v>
      </c>
      <c r="F79" s="1">
        <v>1</v>
      </c>
      <c r="G79" s="1" t="str">
        <f t="shared" ref="G79:G102" si="63">"res"&amp;A79</f>
        <v>res20901</v>
      </c>
      <c r="H79" s="1" t="str">
        <f t="shared" si="35"/>
        <v>res20901</v>
      </c>
      <c r="I79" s="1" t="s">
        <v>81</v>
      </c>
      <c r="J79" s="1">
        <v>3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2">
        <v>0</v>
      </c>
      <c r="Q79" s="2">
        <v>0</v>
      </c>
      <c r="R79" s="1">
        <v>0</v>
      </c>
      <c r="S79" s="1">
        <v>0</v>
      </c>
      <c r="T79" s="1">
        <v>0</v>
      </c>
      <c r="U79" s="1">
        <v>12002</v>
      </c>
      <c r="V79" s="1">
        <v>0</v>
      </c>
      <c r="W79" s="1">
        <v>0</v>
      </c>
      <c r="X79" s="1">
        <v>1</v>
      </c>
      <c r="Y79" s="1" t="s">
        <v>324</v>
      </c>
      <c r="Z79" s="3" t="s">
        <v>325</v>
      </c>
    </row>
    <row r="80" s="1" customFormat="1" spans="1:26">
      <c r="A80" s="1">
        <f>A79+1</f>
        <v>20902</v>
      </c>
      <c r="B80" s="1">
        <f t="shared" ref="B80:G80" si="64">B79</f>
        <v>20901</v>
      </c>
      <c r="C80" s="1" t="str">
        <f t="shared" si="64"/>
        <v>恶魔祭坛</v>
      </c>
      <c r="D80" s="1" t="str">
        <f t="shared" si="54"/>
        <v>2</v>
      </c>
      <c r="E80" s="1">
        <f t="shared" si="64"/>
        <v>4</v>
      </c>
      <c r="F80" s="1">
        <v>2</v>
      </c>
      <c r="G80" s="1" t="str">
        <f t="shared" si="64"/>
        <v>res20901</v>
      </c>
      <c r="H80" s="1" t="str">
        <f t="shared" si="35"/>
        <v>res20901</v>
      </c>
      <c r="I80" s="1" t="s">
        <v>81</v>
      </c>
      <c r="J80" s="1">
        <f t="shared" ref="J80:J101" si="65">J79</f>
        <v>3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2">
        <f>P79*1.2</f>
        <v>0</v>
      </c>
      <c r="Q80" s="2">
        <f>Q79*1.23</f>
        <v>0</v>
      </c>
      <c r="R80" s="1">
        <v>0</v>
      </c>
      <c r="S80" s="1">
        <v>0</v>
      </c>
      <c r="T80" s="1">
        <v>0</v>
      </c>
      <c r="U80" s="1">
        <v>12002</v>
      </c>
      <c r="V80" s="1">
        <v>0</v>
      </c>
      <c r="W80" s="1">
        <v>0</v>
      </c>
      <c r="X80" s="1">
        <v>1</v>
      </c>
      <c r="Y80" s="1" t="s">
        <v>326</v>
      </c>
      <c r="Z80" s="3" t="str">
        <f t="shared" ref="Z80:Z101" si="66">Z79</f>
        <v>每级召唤1个恶魔，每有一个友军死亡，获得0.5%永久强化</v>
      </c>
    </row>
    <row r="81" s="1" customFormat="1" spans="1:26">
      <c r="A81" s="1">
        <f>A80+1</f>
        <v>20903</v>
      </c>
      <c r="B81" s="1">
        <f t="shared" ref="B81:G81" si="67">B80</f>
        <v>20901</v>
      </c>
      <c r="C81" s="1" t="str">
        <f t="shared" si="67"/>
        <v>恶魔祭坛</v>
      </c>
      <c r="D81" s="1" t="str">
        <f t="shared" si="54"/>
        <v>2</v>
      </c>
      <c r="E81" s="1">
        <f t="shared" si="67"/>
        <v>4</v>
      </c>
      <c r="F81" s="1">
        <v>3</v>
      </c>
      <c r="G81" s="1" t="str">
        <f t="shared" si="67"/>
        <v>res20901</v>
      </c>
      <c r="H81" s="1" t="str">
        <f t="shared" si="35"/>
        <v>res20901</v>
      </c>
      <c r="I81" s="1" t="s">
        <v>81</v>
      </c>
      <c r="J81" s="1">
        <f t="shared" si="65"/>
        <v>3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2">
        <f>P80*1.2</f>
        <v>0</v>
      </c>
      <c r="Q81" s="2">
        <f>Q80*1.23</f>
        <v>0</v>
      </c>
      <c r="R81" s="1">
        <v>0</v>
      </c>
      <c r="S81" s="1">
        <v>0</v>
      </c>
      <c r="T81" s="1">
        <v>0</v>
      </c>
      <c r="U81" s="1">
        <v>12002</v>
      </c>
      <c r="V81" s="1">
        <v>0</v>
      </c>
      <c r="W81" s="1">
        <v>0</v>
      </c>
      <c r="X81" s="1">
        <v>1</v>
      </c>
      <c r="Y81" s="1" t="s">
        <v>327</v>
      </c>
      <c r="Z81" s="3" t="str">
        <f>Z79</f>
        <v>每级召唤1个恶魔，每有一个友军死亡，获得0.5%永久强化</v>
      </c>
    </row>
    <row r="82" s="1" customFormat="1" spans="1:26">
      <c r="A82" s="1">
        <v>30101</v>
      </c>
      <c r="B82" s="1">
        <f>A82</f>
        <v>30101</v>
      </c>
      <c r="C82" s="1" t="s">
        <v>86</v>
      </c>
      <c r="D82" s="1" t="str">
        <f t="shared" si="54"/>
        <v>3</v>
      </c>
      <c r="E82" s="1">
        <v>1</v>
      </c>
      <c r="F82" s="1">
        <v>1</v>
      </c>
      <c r="G82" s="1" t="str">
        <f t="shared" si="63"/>
        <v>res30101</v>
      </c>
      <c r="H82" s="1" t="str">
        <f t="shared" si="35"/>
        <v>res30101</v>
      </c>
      <c r="I82" s="1" t="s">
        <v>88</v>
      </c>
      <c r="J82" s="1">
        <v>1</v>
      </c>
      <c r="K82" s="1">
        <v>2</v>
      </c>
      <c r="L82" s="1">
        <v>1</v>
      </c>
      <c r="M82" s="1">
        <v>0</v>
      </c>
      <c r="N82" s="1">
        <v>200</v>
      </c>
      <c r="O82" s="1">
        <v>1</v>
      </c>
      <c r="P82" s="2">
        <v>10</v>
      </c>
      <c r="Q82" s="2">
        <v>0.29</v>
      </c>
      <c r="R82" s="1">
        <v>0</v>
      </c>
      <c r="S82" s="1">
        <v>200</v>
      </c>
      <c r="T82" s="1">
        <v>0</v>
      </c>
      <c r="U82" s="1">
        <v>73001</v>
      </c>
      <c r="V82" s="1">
        <v>0</v>
      </c>
      <c r="W82" s="1">
        <v>0</v>
      </c>
      <c r="X82" s="1">
        <v>0</v>
      </c>
      <c r="Y82" s="1">
        <v>0</v>
      </c>
      <c r="Z82" s="3" t="s">
        <v>291</v>
      </c>
    </row>
    <row r="83" s="1" customFormat="1" spans="1:26">
      <c r="A83" s="1">
        <f>A82+1</f>
        <v>30102</v>
      </c>
      <c r="B83" s="1">
        <f t="shared" ref="B83:B101" si="68">B82</f>
        <v>30101</v>
      </c>
      <c r="C83" s="1" t="str">
        <f t="shared" ref="C83:C101" si="69">C82</f>
        <v>宫殿</v>
      </c>
      <c r="D83" s="1" t="str">
        <f t="shared" si="54"/>
        <v>3</v>
      </c>
      <c r="E83" s="1">
        <f t="shared" ref="E83:E101" si="70">E82</f>
        <v>1</v>
      </c>
      <c r="F83" s="1">
        <v>2</v>
      </c>
      <c r="G83" s="1" t="str">
        <f t="shared" si="63"/>
        <v>res30102</v>
      </c>
      <c r="H83" s="1" t="str">
        <f t="shared" si="35"/>
        <v>res30102</v>
      </c>
      <c r="I83" s="1" t="s">
        <v>88</v>
      </c>
      <c r="J83" s="1">
        <f t="shared" si="65"/>
        <v>1</v>
      </c>
      <c r="K83" s="1">
        <v>2</v>
      </c>
      <c r="L83" s="1">
        <v>1</v>
      </c>
      <c r="M83" s="1">
        <v>0</v>
      </c>
      <c r="N83" s="1">
        <v>200</v>
      </c>
      <c r="O83" s="1">
        <v>1</v>
      </c>
      <c r="P83" s="2">
        <f t="shared" ref="P83:P101" si="71">P82*1.35</f>
        <v>13.5</v>
      </c>
      <c r="Q83" s="2">
        <v>0.29</v>
      </c>
      <c r="R83" s="1">
        <v>0</v>
      </c>
      <c r="S83" s="1">
        <f t="shared" ref="S83:S101" si="72">S82</f>
        <v>200</v>
      </c>
      <c r="T83" s="1">
        <v>0</v>
      </c>
      <c r="U83" s="1">
        <f>U82</f>
        <v>73001</v>
      </c>
      <c r="V83" s="1">
        <v>0</v>
      </c>
      <c r="W83" s="1">
        <v>0</v>
      </c>
      <c r="X83" s="1">
        <v>0</v>
      </c>
      <c r="Y83" s="1">
        <v>0</v>
      </c>
      <c r="Z83" s="3" t="str">
        <f t="shared" si="66"/>
        <v>向敌人投掷石弹</v>
      </c>
    </row>
    <row r="84" s="1" customFormat="1" spans="1:26">
      <c r="A84" s="1">
        <f t="shared" ref="A84:A101" si="73">A83+1</f>
        <v>30103</v>
      </c>
      <c r="B84" s="1">
        <f t="shared" si="68"/>
        <v>30101</v>
      </c>
      <c r="C84" s="1" t="str">
        <f t="shared" si="69"/>
        <v>宫殿</v>
      </c>
      <c r="D84" s="1" t="str">
        <f t="shared" si="54"/>
        <v>3</v>
      </c>
      <c r="E84" s="1">
        <f t="shared" si="70"/>
        <v>1</v>
      </c>
      <c r="F84" s="1">
        <v>3</v>
      </c>
      <c r="G84" s="1" t="str">
        <f t="shared" si="63"/>
        <v>res30103</v>
      </c>
      <c r="H84" s="1" t="str">
        <f t="shared" si="35"/>
        <v>res30103</v>
      </c>
      <c r="I84" s="1" t="s">
        <v>88</v>
      </c>
      <c r="J84" s="1">
        <f t="shared" si="65"/>
        <v>1</v>
      </c>
      <c r="K84" s="1">
        <v>2</v>
      </c>
      <c r="L84" s="1">
        <v>1</v>
      </c>
      <c r="M84" s="1">
        <v>0</v>
      </c>
      <c r="N84" s="1">
        <v>200</v>
      </c>
      <c r="O84" s="1">
        <v>1</v>
      </c>
      <c r="P84" s="2">
        <f t="shared" si="71"/>
        <v>18.225</v>
      </c>
      <c r="Q84" s="2">
        <v>0.29</v>
      </c>
      <c r="R84" s="1">
        <v>0</v>
      </c>
      <c r="S84" s="1">
        <f t="shared" si="72"/>
        <v>200</v>
      </c>
      <c r="T84" s="1">
        <v>0</v>
      </c>
      <c r="U84" s="1">
        <f t="shared" ref="U84:U101" si="74">U83</f>
        <v>73001</v>
      </c>
      <c r="V84" s="1">
        <v>0</v>
      </c>
      <c r="W84" s="1">
        <v>0</v>
      </c>
      <c r="X84" s="1">
        <v>0</v>
      </c>
      <c r="Y84" s="1">
        <v>0</v>
      </c>
      <c r="Z84" s="3" t="str">
        <f t="shared" si="66"/>
        <v>向敌人投掷石弹</v>
      </c>
    </row>
    <row r="85" s="1" customFormat="1" spans="1:26">
      <c r="A85" s="1">
        <f t="shared" si="73"/>
        <v>30104</v>
      </c>
      <c r="B85" s="1">
        <f t="shared" si="68"/>
        <v>30101</v>
      </c>
      <c r="C85" s="1" t="str">
        <f t="shared" si="69"/>
        <v>宫殿</v>
      </c>
      <c r="D85" s="1" t="str">
        <f t="shared" si="54"/>
        <v>3</v>
      </c>
      <c r="E85" s="1">
        <f t="shared" si="70"/>
        <v>1</v>
      </c>
      <c r="F85" s="1">
        <v>4</v>
      </c>
      <c r="G85" s="1" t="str">
        <f t="shared" si="63"/>
        <v>res30104</v>
      </c>
      <c r="H85" s="1" t="str">
        <f t="shared" si="35"/>
        <v>res30104</v>
      </c>
      <c r="I85" s="1" t="s">
        <v>88</v>
      </c>
      <c r="J85" s="1">
        <f t="shared" si="65"/>
        <v>1</v>
      </c>
      <c r="K85" s="1">
        <v>2</v>
      </c>
      <c r="L85" s="1">
        <v>1</v>
      </c>
      <c r="M85" s="1">
        <v>0</v>
      </c>
      <c r="N85" s="1">
        <v>200</v>
      </c>
      <c r="O85" s="1">
        <v>1</v>
      </c>
      <c r="P85" s="2">
        <f t="shared" si="71"/>
        <v>24.60375</v>
      </c>
      <c r="Q85" s="2">
        <v>0.29</v>
      </c>
      <c r="R85" s="1">
        <v>0</v>
      </c>
      <c r="S85" s="1">
        <f t="shared" si="72"/>
        <v>200</v>
      </c>
      <c r="T85" s="1">
        <v>0</v>
      </c>
      <c r="U85" s="1">
        <f t="shared" si="74"/>
        <v>73001</v>
      </c>
      <c r="V85" s="1">
        <v>0</v>
      </c>
      <c r="W85" s="1">
        <v>0</v>
      </c>
      <c r="X85" s="1">
        <v>0</v>
      </c>
      <c r="Y85" s="1">
        <v>0</v>
      </c>
      <c r="Z85" s="3" t="str">
        <f t="shared" si="66"/>
        <v>向敌人投掷石弹</v>
      </c>
    </row>
    <row r="86" s="1" customFormat="1" spans="1:26">
      <c r="A86" s="1">
        <f t="shared" si="73"/>
        <v>30105</v>
      </c>
      <c r="B86" s="1">
        <f t="shared" si="68"/>
        <v>30101</v>
      </c>
      <c r="C86" s="1" t="str">
        <f t="shared" si="69"/>
        <v>宫殿</v>
      </c>
      <c r="D86" s="1" t="str">
        <f t="shared" si="54"/>
        <v>3</v>
      </c>
      <c r="E86" s="1">
        <f t="shared" si="70"/>
        <v>1</v>
      </c>
      <c r="F86" s="1">
        <v>5</v>
      </c>
      <c r="G86" s="1" t="str">
        <f t="shared" si="63"/>
        <v>res30105</v>
      </c>
      <c r="H86" s="1" t="str">
        <f t="shared" si="35"/>
        <v>res30105</v>
      </c>
      <c r="I86" s="1" t="s">
        <v>88</v>
      </c>
      <c r="J86" s="1">
        <f t="shared" si="65"/>
        <v>1</v>
      </c>
      <c r="K86" s="1">
        <v>2</v>
      </c>
      <c r="L86" s="1">
        <v>1</v>
      </c>
      <c r="M86" s="1">
        <v>0</v>
      </c>
      <c r="N86" s="1">
        <v>200</v>
      </c>
      <c r="O86" s="1">
        <v>1</v>
      </c>
      <c r="P86" s="2">
        <f t="shared" si="71"/>
        <v>33.2150625</v>
      </c>
      <c r="Q86" s="2">
        <v>0.29</v>
      </c>
      <c r="R86" s="1">
        <v>0</v>
      </c>
      <c r="S86" s="1">
        <f t="shared" si="72"/>
        <v>200</v>
      </c>
      <c r="T86" s="1">
        <v>0</v>
      </c>
      <c r="U86" s="1">
        <f t="shared" si="74"/>
        <v>73001</v>
      </c>
      <c r="V86" s="1">
        <v>0</v>
      </c>
      <c r="W86" s="1">
        <v>0</v>
      </c>
      <c r="X86" s="1">
        <v>0</v>
      </c>
      <c r="Y86" s="1">
        <v>0</v>
      </c>
      <c r="Z86" s="3" t="str">
        <f t="shared" si="66"/>
        <v>向敌人投掷石弹</v>
      </c>
    </row>
    <row r="87" s="1" customFormat="1" spans="1:26">
      <c r="A87" s="1">
        <f t="shared" si="73"/>
        <v>30106</v>
      </c>
      <c r="B87" s="1">
        <f t="shared" si="68"/>
        <v>30101</v>
      </c>
      <c r="C87" s="1" t="str">
        <f t="shared" si="69"/>
        <v>宫殿</v>
      </c>
      <c r="D87" s="1" t="str">
        <f t="shared" si="54"/>
        <v>3</v>
      </c>
      <c r="E87" s="1">
        <f t="shared" si="70"/>
        <v>1</v>
      </c>
      <c r="F87" s="1">
        <v>6</v>
      </c>
      <c r="G87" s="1" t="str">
        <f t="shared" si="63"/>
        <v>res30106</v>
      </c>
      <c r="H87" s="1" t="str">
        <f t="shared" si="35"/>
        <v>res30106</v>
      </c>
      <c r="I87" s="1" t="s">
        <v>88</v>
      </c>
      <c r="J87" s="1">
        <f t="shared" si="65"/>
        <v>1</v>
      </c>
      <c r="K87" s="1">
        <v>2</v>
      </c>
      <c r="L87" s="1">
        <v>1</v>
      </c>
      <c r="M87" s="1">
        <v>0</v>
      </c>
      <c r="N87" s="1">
        <v>200</v>
      </c>
      <c r="O87" s="1">
        <v>1</v>
      </c>
      <c r="P87" s="2">
        <f t="shared" si="71"/>
        <v>44.840334375</v>
      </c>
      <c r="Q87" s="2">
        <v>0.29</v>
      </c>
      <c r="R87" s="1">
        <v>0</v>
      </c>
      <c r="S87" s="1">
        <f t="shared" si="72"/>
        <v>200</v>
      </c>
      <c r="T87" s="1">
        <v>0</v>
      </c>
      <c r="U87" s="1">
        <f t="shared" si="74"/>
        <v>73001</v>
      </c>
      <c r="V87" s="1">
        <v>0</v>
      </c>
      <c r="W87" s="1">
        <v>0</v>
      </c>
      <c r="X87" s="1">
        <v>0</v>
      </c>
      <c r="Y87" s="1">
        <v>0</v>
      </c>
      <c r="Z87" s="3" t="str">
        <f t="shared" si="66"/>
        <v>向敌人投掷石弹</v>
      </c>
    </row>
    <row r="88" s="1" customFormat="1" spans="1:26">
      <c r="A88" s="1">
        <f t="shared" si="73"/>
        <v>30107</v>
      </c>
      <c r="B88" s="1">
        <f t="shared" si="68"/>
        <v>30101</v>
      </c>
      <c r="C88" s="1" t="str">
        <f t="shared" si="69"/>
        <v>宫殿</v>
      </c>
      <c r="D88" s="1" t="str">
        <f t="shared" si="54"/>
        <v>3</v>
      </c>
      <c r="E88" s="1">
        <f t="shared" si="70"/>
        <v>1</v>
      </c>
      <c r="F88" s="1">
        <v>7</v>
      </c>
      <c r="G88" s="1" t="str">
        <f t="shared" si="63"/>
        <v>res30107</v>
      </c>
      <c r="H88" s="1" t="str">
        <f t="shared" si="35"/>
        <v>res30107</v>
      </c>
      <c r="I88" s="1" t="s">
        <v>88</v>
      </c>
      <c r="J88" s="1">
        <f t="shared" si="65"/>
        <v>1</v>
      </c>
      <c r="K88" s="1">
        <v>2</v>
      </c>
      <c r="L88" s="1">
        <v>1</v>
      </c>
      <c r="M88" s="1">
        <v>0</v>
      </c>
      <c r="N88" s="1">
        <v>200</v>
      </c>
      <c r="O88" s="1">
        <v>1</v>
      </c>
      <c r="P88" s="2">
        <f t="shared" si="71"/>
        <v>60.53445140625</v>
      </c>
      <c r="Q88" s="2">
        <v>0.29</v>
      </c>
      <c r="R88" s="1">
        <v>0</v>
      </c>
      <c r="S88" s="1">
        <f t="shared" si="72"/>
        <v>200</v>
      </c>
      <c r="T88" s="1">
        <v>0</v>
      </c>
      <c r="U88" s="1">
        <f t="shared" si="74"/>
        <v>73001</v>
      </c>
      <c r="V88" s="1">
        <v>0</v>
      </c>
      <c r="W88" s="1">
        <v>0</v>
      </c>
      <c r="X88" s="1">
        <v>0</v>
      </c>
      <c r="Y88" s="1">
        <v>0</v>
      </c>
      <c r="Z88" s="3" t="str">
        <f t="shared" si="66"/>
        <v>向敌人投掷石弹</v>
      </c>
    </row>
    <row r="89" s="1" customFormat="1" spans="1:26">
      <c r="A89" s="1">
        <f t="shared" si="73"/>
        <v>30108</v>
      </c>
      <c r="B89" s="1">
        <f t="shared" si="68"/>
        <v>30101</v>
      </c>
      <c r="C89" s="1" t="str">
        <f t="shared" si="69"/>
        <v>宫殿</v>
      </c>
      <c r="D89" s="1" t="str">
        <f t="shared" si="54"/>
        <v>3</v>
      </c>
      <c r="E89" s="1">
        <f t="shared" si="70"/>
        <v>1</v>
      </c>
      <c r="F89" s="1">
        <v>8</v>
      </c>
      <c r="G89" s="1" t="str">
        <f t="shared" si="63"/>
        <v>res30108</v>
      </c>
      <c r="H89" s="1" t="str">
        <f t="shared" si="35"/>
        <v>res30108</v>
      </c>
      <c r="I89" s="1" t="s">
        <v>88</v>
      </c>
      <c r="J89" s="1">
        <f t="shared" si="65"/>
        <v>1</v>
      </c>
      <c r="K89" s="1">
        <v>2</v>
      </c>
      <c r="L89" s="1">
        <v>1</v>
      </c>
      <c r="M89" s="1">
        <v>0</v>
      </c>
      <c r="N89" s="1">
        <v>200</v>
      </c>
      <c r="O89" s="1">
        <v>1</v>
      </c>
      <c r="P89" s="2">
        <f t="shared" si="71"/>
        <v>81.7215093984375</v>
      </c>
      <c r="Q89" s="2">
        <v>0.29</v>
      </c>
      <c r="R89" s="1">
        <v>0</v>
      </c>
      <c r="S89" s="1">
        <f t="shared" si="72"/>
        <v>200</v>
      </c>
      <c r="T89" s="1">
        <v>0</v>
      </c>
      <c r="U89" s="1">
        <f t="shared" si="74"/>
        <v>73001</v>
      </c>
      <c r="V89" s="1">
        <v>0</v>
      </c>
      <c r="W89" s="1">
        <v>0</v>
      </c>
      <c r="X89" s="1">
        <v>0</v>
      </c>
      <c r="Y89" s="1">
        <v>0</v>
      </c>
      <c r="Z89" s="3" t="str">
        <f t="shared" si="66"/>
        <v>向敌人投掷石弹</v>
      </c>
    </row>
    <row r="90" s="1" customFormat="1" spans="1:26">
      <c r="A90" s="1">
        <f t="shared" si="73"/>
        <v>30109</v>
      </c>
      <c r="B90" s="1">
        <f t="shared" si="68"/>
        <v>30101</v>
      </c>
      <c r="C90" s="1" t="str">
        <f t="shared" si="69"/>
        <v>宫殿</v>
      </c>
      <c r="D90" s="1" t="str">
        <f t="shared" si="54"/>
        <v>3</v>
      </c>
      <c r="E90" s="1">
        <f t="shared" si="70"/>
        <v>1</v>
      </c>
      <c r="F90" s="1">
        <v>9</v>
      </c>
      <c r="G90" s="1" t="str">
        <f t="shared" si="63"/>
        <v>res30109</v>
      </c>
      <c r="H90" s="1" t="str">
        <f t="shared" si="35"/>
        <v>res30109</v>
      </c>
      <c r="I90" s="1" t="s">
        <v>88</v>
      </c>
      <c r="J90" s="1">
        <f t="shared" si="65"/>
        <v>1</v>
      </c>
      <c r="K90" s="1">
        <v>2</v>
      </c>
      <c r="L90" s="1">
        <v>1</v>
      </c>
      <c r="M90" s="1">
        <v>0</v>
      </c>
      <c r="N90" s="1">
        <v>200</v>
      </c>
      <c r="O90" s="1">
        <v>1</v>
      </c>
      <c r="P90" s="2">
        <f t="shared" si="71"/>
        <v>110.324037687891</v>
      </c>
      <c r="Q90" s="2">
        <v>0.29</v>
      </c>
      <c r="R90" s="1">
        <v>0</v>
      </c>
      <c r="S90" s="1">
        <f t="shared" si="72"/>
        <v>200</v>
      </c>
      <c r="T90" s="1">
        <v>0</v>
      </c>
      <c r="U90" s="1">
        <f t="shared" si="74"/>
        <v>73001</v>
      </c>
      <c r="V90" s="1">
        <v>0</v>
      </c>
      <c r="W90" s="1">
        <v>0</v>
      </c>
      <c r="X90" s="1">
        <v>0</v>
      </c>
      <c r="Y90" s="1">
        <v>0</v>
      </c>
      <c r="Z90" s="3" t="str">
        <f t="shared" si="66"/>
        <v>向敌人投掷石弹</v>
      </c>
    </row>
    <row r="91" s="1" customFormat="1" spans="1:26">
      <c r="A91" s="1">
        <f t="shared" si="73"/>
        <v>30110</v>
      </c>
      <c r="B91" s="1">
        <f t="shared" si="68"/>
        <v>30101</v>
      </c>
      <c r="C91" s="1" t="str">
        <f t="shared" si="69"/>
        <v>宫殿</v>
      </c>
      <c r="D91" s="1" t="str">
        <f t="shared" si="54"/>
        <v>3</v>
      </c>
      <c r="E91" s="1">
        <f t="shared" si="70"/>
        <v>1</v>
      </c>
      <c r="F91" s="1">
        <v>10</v>
      </c>
      <c r="G91" s="1" t="str">
        <f t="shared" si="63"/>
        <v>res30110</v>
      </c>
      <c r="H91" s="1" t="str">
        <f t="shared" si="35"/>
        <v>res30110</v>
      </c>
      <c r="I91" s="1" t="s">
        <v>88</v>
      </c>
      <c r="J91" s="1">
        <f t="shared" si="65"/>
        <v>1</v>
      </c>
      <c r="K91" s="1">
        <v>2</v>
      </c>
      <c r="L91" s="1">
        <v>1</v>
      </c>
      <c r="M91" s="1">
        <v>0</v>
      </c>
      <c r="N91" s="1">
        <v>200</v>
      </c>
      <c r="O91" s="1">
        <v>1</v>
      </c>
      <c r="P91" s="2">
        <f t="shared" si="71"/>
        <v>148.937450878652</v>
      </c>
      <c r="Q91" s="2">
        <v>0.29</v>
      </c>
      <c r="R91" s="1">
        <v>0</v>
      </c>
      <c r="S91" s="1">
        <f t="shared" si="72"/>
        <v>200</v>
      </c>
      <c r="T91" s="1">
        <v>0</v>
      </c>
      <c r="U91" s="1">
        <f t="shared" si="74"/>
        <v>73001</v>
      </c>
      <c r="V91" s="1">
        <v>0</v>
      </c>
      <c r="W91" s="1">
        <v>0</v>
      </c>
      <c r="X91" s="1">
        <v>0</v>
      </c>
      <c r="Y91" s="1">
        <v>0</v>
      </c>
      <c r="Z91" s="3" t="str">
        <f t="shared" si="66"/>
        <v>向敌人投掷石弹</v>
      </c>
    </row>
    <row r="92" s="1" customFormat="1" spans="1:26">
      <c r="A92" s="1">
        <f t="shared" si="73"/>
        <v>30111</v>
      </c>
      <c r="B92" s="1">
        <f t="shared" si="68"/>
        <v>30101</v>
      </c>
      <c r="C92" s="1" t="str">
        <f t="shared" si="69"/>
        <v>宫殿</v>
      </c>
      <c r="D92" s="1" t="str">
        <f t="shared" si="54"/>
        <v>3</v>
      </c>
      <c r="E92" s="1">
        <f t="shared" si="70"/>
        <v>1</v>
      </c>
      <c r="F92" s="1">
        <v>11</v>
      </c>
      <c r="G92" s="1" t="str">
        <f t="shared" si="63"/>
        <v>res30111</v>
      </c>
      <c r="H92" s="1" t="str">
        <f t="shared" si="35"/>
        <v>res30111</v>
      </c>
      <c r="I92" s="1" t="s">
        <v>88</v>
      </c>
      <c r="J92" s="1">
        <f t="shared" si="65"/>
        <v>1</v>
      </c>
      <c r="K92" s="1">
        <v>2</v>
      </c>
      <c r="L92" s="1">
        <v>1</v>
      </c>
      <c r="M92" s="1">
        <v>0</v>
      </c>
      <c r="N92" s="1">
        <v>200</v>
      </c>
      <c r="O92" s="1">
        <v>1</v>
      </c>
      <c r="P92" s="2">
        <f t="shared" si="71"/>
        <v>201.065558686181</v>
      </c>
      <c r="Q92" s="2">
        <v>0.29</v>
      </c>
      <c r="R92" s="1">
        <v>0</v>
      </c>
      <c r="S92" s="1">
        <f t="shared" si="72"/>
        <v>200</v>
      </c>
      <c r="T92" s="1">
        <v>0</v>
      </c>
      <c r="U92" s="1">
        <f t="shared" si="74"/>
        <v>73001</v>
      </c>
      <c r="V92" s="1">
        <v>0</v>
      </c>
      <c r="W92" s="1">
        <v>0</v>
      </c>
      <c r="X92" s="1">
        <v>0</v>
      </c>
      <c r="Y92" s="1">
        <v>0</v>
      </c>
      <c r="Z92" s="3" t="str">
        <f t="shared" si="66"/>
        <v>向敌人投掷石弹</v>
      </c>
    </row>
    <row r="93" s="1" customFormat="1" spans="1:26">
      <c r="A93" s="1">
        <f t="shared" si="73"/>
        <v>30112</v>
      </c>
      <c r="B93" s="1">
        <f t="shared" si="68"/>
        <v>30101</v>
      </c>
      <c r="C93" s="1" t="str">
        <f t="shared" si="69"/>
        <v>宫殿</v>
      </c>
      <c r="D93" s="1" t="str">
        <f t="shared" si="54"/>
        <v>3</v>
      </c>
      <c r="E93" s="1">
        <f t="shared" si="70"/>
        <v>1</v>
      </c>
      <c r="F93" s="1">
        <v>12</v>
      </c>
      <c r="G93" s="1" t="str">
        <f t="shared" si="63"/>
        <v>res30112</v>
      </c>
      <c r="H93" s="1" t="str">
        <f t="shared" si="35"/>
        <v>res30112</v>
      </c>
      <c r="I93" s="1" t="s">
        <v>88</v>
      </c>
      <c r="J93" s="1">
        <f t="shared" si="65"/>
        <v>1</v>
      </c>
      <c r="K93" s="1">
        <v>2</v>
      </c>
      <c r="L93" s="1">
        <v>1</v>
      </c>
      <c r="M93" s="1">
        <v>0</v>
      </c>
      <c r="N93" s="1">
        <v>200</v>
      </c>
      <c r="O93" s="1">
        <v>1</v>
      </c>
      <c r="P93" s="2">
        <f t="shared" si="71"/>
        <v>271.438504226344</v>
      </c>
      <c r="Q93" s="2">
        <v>0.29</v>
      </c>
      <c r="R93" s="1">
        <v>0</v>
      </c>
      <c r="S93" s="1">
        <f t="shared" si="72"/>
        <v>200</v>
      </c>
      <c r="T93" s="1">
        <v>0</v>
      </c>
      <c r="U93" s="1">
        <f t="shared" si="74"/>
        <v>73001</v>
      </c>
      <c r="V93" s="1">
        <v>0</v>
      </c>
      <c r="W93" s="1">
        <v>0</v>
      </c>
      <c r="X93" s="1">
        <v>0</v>
      </c>
      <c r="Y93" s="1">
        <v>0</v>
      </c>
      <c r="Z93" s="3" t="str">
        <f t="shared" si="66"/>
        <v>向敌人投掷石弹</v>
      </c>
    </row>
    <row r="94" s="1" customFormat="1" spans="1:26">
      <c r="A94" s="1">
        <f t="shared" si="73"/>
        <v>30113</v>
      </c>
      <c r="B94" s="1">
        <f t="shared" si="68"/>
        <v>30101</v>
      </c>
      <c r="C94" s="1" t="str">
        <f t="shared" si="69"/>
        <v>宫殿</v>
      </c>
      <c r="D94" s="1" t="str">
        <f t="shared" si="54"/>
        <v>3</v>
      </c>
      <c r="E94" s="1">
        <f t="shared" si="70"/>
        <v>1</v>
      </c>
      <c r="F94" s="1">
        <v>13</v>
      </c>
      <c r="G94" s="1" t="str">
        <f t="shared" si="63"/>
        <v>res30113</v>
      </c>
      <c r="H94" s="1" t="str">
        <f t="shared" si="35"/>
        <v>res30113</v>
      </c>
      <c r="I94" s="1" t="s">
        <v>88</v>
      </c>
      <c r="J94" s="1">
        <f t="shared" si="65"/>
        <v>1</v>
      </c>
      <c r="K94" s="1">
        <v>2</v>
      </c>
      <c r="L94" s="1">
        <v>1</v>
      </c>
      <c r="M94" s="1">
        <v>0</v>
      </c>
      <c r="N94" s="1">
        <v>200</v>
      </c>
      <c r="O94" s="1">
        <v>1</v>
      </c>
      <c r="P94" s="2">
        <f t="shared" si="71"/>
        <v>366.441980705565</v>
      </c>
      <c r="Q94" s="2">
        <v>0.29</v>
      </c>
      <c r="R94" s="1">
        <v>0</v>
      </c>
      <c r="S94" s="1">
        <f t="shared" si="72"/>
        <v>200</v>
      </c>
      <c r="T94" s="1">
        <v>0</v>
      </c>
      <c r="U94" s="1">
        <f t="shared" si="74"/>
        <v>73001</v>
      </c>
      <c r="V94" s="1">
        <v>0</v>
      </c>
      <c r="W94" s="1">
        <v>0</v>
      </c>
      <c r="X94" s="1">
        <v>0</v>
      </c>
      <c r="Y94" s="1">
        <v>0</v>
      </c>
      <c r="Z94" s="3" t="str">
        <f t="shared" si="66"/>
        <v>向敌人投掷石弹</v>
      </c>
    </row>
    <row r="95" s="1" customFormat="1" spans="1:26">
      <c r="A95" s="1">
        <f t="shared" si="73"/>
        <v>30114</v>
      </c>
      <c r="B95" s="1">
        <f t="shared" si="68"/>
        <v>30101</v>
      </c>
      <c r="C95" s="1" t="str">
        <f t="shared" si="69"/>
        <v>宫殿</v>
      </c>
      <c r="D95" s="1" t="str">
        <f t="shared" si="54"/>
        <v>3</v>
      </c>
      <c r="E95" s="1">
        <f t="shared" si="70"/>
        <v>1</v>
      </c>
      <c r="F95" s="1">
        <v>14</v>
      </c>
      <c r="G95" s="1" t="str">
        <f t="shared" si="63"/>
        <v>res30114</v>
      </c>
      <c r="H95" s="1" t="str">
        <f t="shared" si="35"/>
        <v>res30114</v>
      </c>
      <c r="I95" s="1" t="s">
        <v>88</v>
      </c>
      <c r="J95" s="1">
        <f t="shared" si="65"/>
        <v>1</v>
      </c>
      <c r="K95" s="1">
        <v>2</v>
      </c>
      <c r="L95" s="1">
        <v>1</v>
      </c>
      <c r="M95" s="1">
        <v>0</v>
      </c>
      <c r="N95" s="1">
        <v>200</v>
      </c>
      <c r="O95" s="1">
        <v>1</v>
      </c>
      <c r="P95" s="2">
        <f t="shared" si="71"/>
        <v>494.696673952512</v>
      </c>
      <c r="Q95" s="2">
        <v>0.29</v>
      </c>
      <c r="R95" s="1">
        <v>0</v>
      </c>
      <c r="S95" s="1">
        <f t="shared" si="72"/>
        <v>200</v>
      </c>
      <c r="T95" s="1">
        <v>0</v>
      </c>
      <c r="U95" s="1">
        <f t="shared" si="74"/>
        <v>73001</v>
      </c>
      <c r="V95" s="1">
        <v>0</v>
      </c>
      <c r="W95" s="1">
        <v>0</v>
      </c>
      <c r="X95" s="1">
        <v>0</v>
      </c>
      <c r="Y95" s="1">
        <v>0</v>
      </c>
      <c r="Z95" s="3" t="str">
        <f t="shared" si="66"/>
        <v>向敌人投掷石弹</v>
      </c>
    </row>
    <row r="96" s="1" customFormat="1" spans="1:26">
      <c r="A96" s="1">
        <f t="shared" si="73"/>
        <v>30115</v>
      </c>
      <c r="B96" s="1">
        <f t="shared" si="68"/>
        <v>30101</v>
      </c>
      <c r="C96" s="1" t="str">
        <f t="shared" si="69"/>
        <v>宫殿</v>
      </c>
      <c r="D96" s="1" t="str">
        <f t="shared" si="54"/>
        <v>3</v>
      </c>
      <c r="E96" s="1">
        <f t="shared" si="70"/>
        <v>1</v>
      </c>
      <c r="F96" s="1">
        <v>15</v>
      </c>
      <c r="G96" s="1" t="str">
        <f t="shared" si="63"/>
        <v>res30115</v>
      </c>
      <c r="H96" s="1" t="str">
        <f t="shared" si="35"/>
        <v>res30115</v>
      </c>
      <c r="I96" s="1" t="s">
        <v>88</v>
      </c>
      <c r="J96" s="1">
        <f t="shared" si="65"/>
        <v>1</v>
      </c>
      <c r="K96" s="1">
        <v>2</v>
      </c>
      <c r="L96" s="1">
        <v>1</v>
      </c>
      <c r="M96" s="1">
        <v>0</v>
      </c>
      <c r="N96" s="1">
        <v>200</v>
      </c>
      <c r="O96" s="1">
        <v>1</v>
      </c>
      <c r="P96" s="2">
        <f t="shared" si="71"/>
        <v>667.840509835892</v>
      </c>
      <c r="Q96" s="2">
        <v>0.29</v>
      </c>
      <c r="R96" s="1">
        <v>0</v>
      </c>
      <c r="S96" s="1">
        <f t="shared" si="72"/>
        <v>200</v>
      </c>
      <c r="T96" s="1">
        <v>0</v>
      </c>
      <c r="U96" s="1">
        <f t="shared" si="74"/>
        <v>73001</v>
      </c>
      <c r="V96" s="1">
        <v>0</v>
      </c>
      <c r="W96" s="1">
        <v>0</v>
      </c>
      <c r="X96" s="1">
        <v>0</v>
      </c>
      <c r="Y96" s="1">
        <v>0</v>
      </c>
      <c r="Z96" s="3" t="str">
        <f t="shared" si="66"/>
        <v>向敌人投掷石弹</v>
      </c>
    </row>
    <row r="97" s="1" customFormat="1" spans="1:26">
      <c r="A97" s="1">
        <f t="shared" si="73"/>
        <v>30116</v>
      </c>
      <c r="B97" s="1">
        <f t="shared" si="68"/>
        <v>30101</v>
      </c>
      <c r="C97" s="1" t="str">
        <f t="shared" si="69"/>
        <v>宫殿</v>
      </c>
      <c r="D97" s="1" t="str">
        <f t="shared" si="54"/>
        <v>3</v>
      </c>
      <c r="E97" s="1">
        <f t="shared" si="70"/>
        <v>1</v>
      </c>
      <c r="F97" s="1">
        <v>16</v>
      </c>
      <c r="G97" s="1" t="str">
        <f t="shared" si="63"/>
        <v>res30116</v>
      </c>
      <c r="H97" s="1" t="str">
        <f t="shared" si="35"/>
        <v>res30116</v>
      </c>
      <c r="I97" s="1" t="s">
        <v>88</v>
      </c>
      <c r="J97" s="1">
        <f t="shared" si="65"/>
        <v>1</v>
      </c>
      <c r="K97" s="1">
        <v>2</v>
      </c>
      <c r="L97" s="1">
        <v>1</v>
      </c>
      <c r="M97" s="1">
        <v>0</v>
      </c>
      <c r="N97" s="1">
        <v>200</v>
      </c>
      <c r="O97" s="1">
        <v>1</v>
      </c>
      <c r="P97" s="2">
        <f t="shared" si="71"/>
        <v>901.584688278454</v>
      </c>
      <c r="Q97" s="2">
        <v>0.29</v>
      </c>
      <c r="R97" s="1">
        <v>0</v>
      </c>
      <c r="S97" s="1">
        <f t="shared" si="72"/>
        <v>200</v>
      </c>
      <c r="T97" s="1">
        <v>0</v>
      </c>
      <c r="U97" s="1">
        <f t="shared" si="74"/>
        <v>73001</v>
      </c>
      <c r="V97" s="1">
        <v>0</v>
      </c>
      <c r="W97" s="1">
        <v>0</v>
      </c>
      <c r="X97" s="1">
        <v>0</v>
      </c>
      <c r="Y97" s="1">
        <v>0</v>
      </c>
      <c r="Z97" s="3" t="str">
        <f t="shared" si="66"/>
        <v>向敌人投掷石弹</v>
      </c>
    </row>
    <row r="98" s="1" customFormat="1" spans="1:26">
      <c r="A98" s="1">
        <f t="shared" si="73"/>
        <v>30117</v>
      </c>
      <c r="B98" s="1">
        <f t="shared" si="68"/>
        <v>30101</v>
      </c>
      <c r="C98" s="1" t="str">
        <f t="shared" si="69"/>
        <v>宫殿</v>
      </c>
      <c r="D98" s="1" t="str">
        <f t="shared" si="54"/>
        <v>3</v>
      </c>
      <c r="E98" s="1">
        <f t="shared" si="70"/>
        <v>1</v>
      </c>
      <c r="F98" s="1">
        <v>17</v>
      </c>
      <c r="G98" s="1" t="str">
        <f t="shared" si="63"/>
        <v>res30117</v>
      </c>
      <c r="H98" s="1" t="str">
        <f t="shared" si="35"/>
        <v>res30117</v>
      </c>
      <c r="I98" s="1" t="s">
        <v>88</v>
      </c>
      <c r="J98" s="1">
        <f t="shared" si="65"/>
        <v>1</v>
      </c>
      <c r="K98" s="1">
        <v>2</v>
      </c>
      <c r="L98" s="1">
        <v>1</v>
      </c>
      <c r="M98" s="1">
        <v>0</v>
      </c>
      <c r="N98" s="1">
        <v>200</v>
      </c>
      <c r="O98" s="1">
        <v>1</v>
      </c>
      <c r="P98" s="2">
        <f t="shared" si="71"/>
        <v>1217.13932917591</v>
      </c>
      <c r="Q98" s="2">
        <v>0.29</v>
      </c>
      <c r="R98" s="1">
        <v>0</v>
      </c>
      <c r="S98" s="1">
        <f t="shared" si="72"/>
        <v>200</v>
      </c>
      <c r="T98" s="1">
        <v>0</v>
      </c>
      <c r="U98" s="1">
        <f t="shared" si="74"/>
        <v>73001</v>
      </c>
      <c r="V98" s="1">
        <v>0</v>
      </c>
      <c r="W98" s="1">
        <v>0</v>
      </c>
      <c r="X98" s="1">
        <v>0</v>
      </c>
      <c r="Y98" s="1">
        <v>0</v>
      </c>
      <c r="Z98" s="3" t="str">
        <f t="shared" si="66"/>
        <v>向敌人投掷石弹</v>
      </c>
    </row>
    <row r="99" s="1" customFormat="1" spans="1:26">
      <c r="A99" s="1">
        <f t="shared" si="73"/>
        <v>30118</v>
      </c>
      <c r="B99" s="1">
        <f t="shared" si="68"/>
        <v>30101</v>
      </c>
      <c r="C99" s="1" t="str">
        <f t="shared" si="69"/>
        <v>宫殿</v>
      </c>
      <c r="D99" s="1" t="str">
        <f t="shared" si="54"/>
        <v>3</v>
      </c>
      <c r="E99" s="1">
        <f t="shared" si="70"/>
        <v>1</v>
      </c>
      <c r="F99" s="1">
        <v>18</v>
      </c>
      <c r="G99" s="1" t="str">
        <f t="shared" si="63"/>
        <v>res30118</v>
      </c>
      <c r="H99" s="1" t="str">
        <f t="shared" si="35"/>
        <v>res30118</v>
      </c>
      <c r="I99" s="1" t="s">
        <v>88</v>
      </c>
      <c r="J99" s="1">
        <f t="shared" si="65"/>
        <v>1</v>
      </c>
      <c r="K99" s="1">
        <v>2</v>
      </c>
      <c r="L99" s="1">
        <v>1</v>
      </c>
      <c r="M99" s="1">
        <v>0</v>
      </c>
      <c r="N99" s="1">
        <v>200</v>
      </c>
      <c r="O99" s="1">
        <v>1</v>
      </c>
      <c r="P99" s="2">
        <f t="shared" si="71"/>
        <v>1643.13809438748</v>
      </c>
      <c r="Q99" s="2">
        <v>0.29</v>
      </c>
      <c r="R99" s="1">
        <v>0</v>
      </c>
      <c r="S99" s="1">
        <f t="shared" si="72"/>
        <v>200</v>
      </c>
      <c r="T99" s="1">
        <v>0</v>
      </c>
      <c r="U99" s="1">
        <f t="shared" si="74"/>
        <v>73001</v>
      </c>
      <c r="V99" s="1">
        <v>0</v>
      </c>
      <c r="W99" s="1">
        <v>0</v>
      </c>
      <c r="X99" s="1">
        <v>0</v>
      </c>
      <c r="Y99" s="1">
        <v>0</v>
      </c>
      <c r="Z99" s="3" t="str">
        <f t="shared" si="66"/>
        <v>向敌人投掷石弹</v>
      </c>
    </row>
    <row r="100" s="1" customFormat="1" spans="1:26">
      <c r="A100" s="1">
        <f t="shared" si="73"/>
        <v>30119</v>
      </c>
      <c r="B100" s="1">
        <f t="shared" si="68"/>
        <v>30101</v>
      </c>
      <c r="C100" s="1" t="str">
        <f t="shared" si="69"/>
        <v>宫殿</v>
      </c>
      <c r="D100" s="1" t="str">
        <f t="shared" si="54"/>
        <v>3</v>
      </c>
      <c r="E100" s="1">
        <f t="shared" si="70"/>
        <v>1</v>
      </c>
      <c r="F100" s="1">
        <v>19</v>
      </c>
      <c r="G100" s="1" t="str">
        <f t="shared" si="63"/>
        <v>res30119</v>
      </c>
      <c r="H100" s="1" t="str">
        <f t="shared" si="35"/>
        <v>res30119</v>
      </c>
      <c r="I100" s="1" t="s">
        <v>88</v>
      </c>
      <c r="J100" s="1">
        <f t="shared" si="65"/>
        <v>1</v>
      </c>
      <c r="K100" s="1">
        <v>2</v>
      </c>
      <c r="L100" s="1">
        <v>1</v>
      </c>
      <c r="M100" s="1">
        <v>0</v>
      </c>
      <c r="N100" s="1">
        <v>200</v>
      </c>
      <c r="O100" s="1">
        <v>1</v>
      </c>
      <c r="P100" s="2">
        <f t="shared" si="71"/>
        <v>2218.2364274231</v>
      </c>
      <c r="Q100" s="2">
        <v>0.29</v>
      </c>
      <c r="R100" s="1">
        <v>0</v>
      </c>
      <c r="S100" s="1">
        <f t="shared" si="72"/>
        <v>200</v>
      </c>
      <c r="T100" s="1">
        <v>0</v>
      </c>
      <c r="U100" s="1">
        <f t="shared" si="74"/>
        <v>73001</v>
      </c>
      <c r="V100" s="1">
        <v>0</v>
      </c>
      <c r="W100" s="1">
        <v>0</v>
      </c>
      <c r="X100" s="1">
        <v>0</v>
      </c>
      <c r="Y100" s="1">
        <v>0</v>
      </c>
      <c r="Z100" s="3" t="str">
        <f t="shared" si="66"/>
        <v>向敌人投掷石弹</v>
      </c>
    </row>
    <row r="101" s="1" customFormat="1" spans="1:26">
      <c r="A101" s="1">
        <f t="shared" si="73"/>
        <v>30120</v>
      </c>
      <c r="B101" s="1">
        <f t="shared" si="68"/>
        <v>30101</v>
      </c>
      <c r="C101" s="1" t="str">
        <f t="shared" si="69"/>
        <v>宫殿</v>
      </c>
      <c r="D101" s="1" t="str">
        <f t="shared" si="54"/>
        <v>3</v>
      </c>
      <c r="E101" s="1">
        <f t="shared" si="70"/>
        <v>1</v>
      </c>
      <c r="F101" s="1">
        <v>20</v>
      </c>
      <c r="G101" s="1" t="str">
        <f t="shared" si="63"/>
        <v>res30120</v>
      </c>
      <c r="H101" s="1" t="str">
        <f t="shared" si="35"/>
        <v>res30120</v>
      </c>
      <c r="I101" s="1" t="s">
        <v>88</v>
      </c>
      <c r="J101" s="1">
        <f t="shared" si="65"/>
        <v>1</v>
      </c>
      <c r="K101" s="1">
        <v>2</v>
      </c>
      <c r="L101" s="1">
        <v>1</v>
      </c>
      <c r="M101" s="1">
        <v>0</v>
      </c>
      <c r="N101" s="1">
        <v>200</v>
      </c>
      <c r="O101" s="1">
        <v>1</v>
      </c>
      <c r="P101" s="2">
        <f t="shared" si="71"/>
        <v>2994.61917702119</v>
      </c>
      <c r="Q101" s="2">
        <v>0.29</v>
      </c>
      <c r="R101" s="1">
        <v>0</v>
      </c>
      <c r="S101" s="1">
        <f t="shared" si="72"/>
        <v>200</v>
      </c>
      <c r="T101" s="1">
        <v>0</v>
      </c>
      <c r="U101" s="1">
        <f t="shared" si="74"/>
        <v>73001</v>
      </c>
      <c r="V101" s="1">
        <v>0</v>
      </c>
      <c r="W101" s="1">
        <v>0</v>
      </c>
      <c r="X101" s="1">
        <v>0</v>
      </c>
      <c r="Y101" s="1">
        <v>0</v>
      </c>
      <c r="Z101" s="3" t="str">
        <f t="shared" si="66"/>
        <v>向敌人投掷石弹</v>
      </c>
    </row>
    <row r="102" s="1" customFormat="1" spans="1:26">
      <c r="A102" s="1">
        <v>30201</v>
      </c>
      <c r="B102" s="1">
        <f>A102</f>
        <v>30201</v>
      </c>
      <c r="C102" s="1" t="s">
        <v>90</v>
      </c>
      <c r="D102" s="1" t="str">
        <f t="shared" si="54"/>
        <v>3</v>
      </c>
      <c r="E102" s="1">
        <v>4</v>
      </c>
      <c r="F102" s="1">
        <v>1</v>
      </c>
      <c r="G102" s="1" t="str">
        <f t="shared" si="63"/>
        <v>res30201</v>
      </c>
      <c r="H102" s="1" t="str">
        <f t="shared" si="35"/>
        <v>res30201</v>
      </c>
      <c r="I102" s="1" t="s">
        <v>92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2">
        <v>0</v>
      </c>
      <c r="Q102" s="2">
        <v>0</v>
      </c>
      <c r="R102" s="1">
        <v>0</v>
      </c>
      <c r="S102" s="1">
        <v>0</v>
      </c>
      <c r="T102" s="1">
        <v>0</v>
      </c>
      <c r="U102" s="1">
        <v>19081</v>
      </c>
      <c r="V102" s="1">
        <v>0</v>
      </c>
      <c r="W102" s="1">
        <v>0</v>
      </c>
      <c r="X102" s="1">
        <v>1</v>
      </c>
      <c r="Y102" s="1">
        <v>0</v>
      </c>
      <c r="Z102" s="3" t="s">
        <v>328</v>
      </c>
    </row>
    <row r="103" s="1" customFormat="1" spans="1:26">
      <c r="A103" s="1">
        <f t="shared" ref="A103:A107" si="75">A102+1</f>
        <v>30202</v>
      </c>
      <c r="B103" s="1">
        <f t="shared" ref="B103:G103" si="76">B102</f>
        <v>30201</v>
      </c>
      <c r="C103" s="1" t="str">
        <f t="shared" si="76"/>
        <v>信标</v>
      </c>
      <c r="D103" s="1" t="str">
        <f t="shared" si="54"/>
        <v>3</v>
      </c>
      <c r="E103" s="1">
        <f t="shared" si="76"/>
        <v>4</v>
      </c>
      <c r="F103" s="1">
        <v>2</v>
      </c>
      <c r="G103" s="1" t="str">
        <f t="shared" si="76"/>
        <v>res30201</v>
      </c>
      <c r="H103" s="1" t="str">
        <f t="shared" si="35"/>
        <v>res30201</v>
      </c>
      <c r="I103" s="1" t="s">
        <v>92</v>
      </c>
      <c r="J103" s="1">
        <f t="shared" ref="J103:J107" si="77">J102</f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2">
        <v>0</v>
      </c>
      <c r="Q103" s="2">
        <v>0</v>
      </c>
      <c r="R103" s="1">
        <v>0</v>
      </c>
      <c r="S103" s="1">
        <v>0</v>
      </c>
      <c r="T103" s="1">
        <v>0</v>
      </c>
      <c r="U103" s="1">
        <v>19081</v>
      </c>
      <c r="V103" s="1">
        <v>0</v>
      </c>
      <c r="W103" s="1">
        <v>0</v>
      </c>
      <c r="X103" s="1">
        <v>2</v>
      </c>
      <c r="Y103" s="1">
        <v>0</v>
      </c>
      <c r="Z103" s="3" t="str">
        <f>Z102</f>
        <v>使相邻部队和炮塔攻击速度提升2%</v>
      </c>
    </row>
    <row r="104" s="1" customFormat="1" spans="1:26">
      <c r="A104" s="1">
        <f t="shared" si="75"/>
        <v>30203</v>
      </c>
      <c r="B104" s="1">
        <f t="shared" ref="B104:G104" si="78">B103</f>
        <v>30201</v>
      </c>
      <c r="C104" s="1" t="str">
        <f t="shared" si="78"/>
        <v>信标</v>
      </c>
      <c r="D104" s="1" t="str">
        <f t="shared" si="54"/>
        <v>3</v>
      </c>
      <c r="E104" s="1">
        <f t="shared" si="78"/>
        <v>4</v>
      </c>
      <c r="F104" s="1">
        <v>3</v>
      </c>
      <c r="G104" s="1" t="str">
        <f t="shared" si="78"/>
        <v>res30201</v>
      </c>
      <c r="H104" s="1" t="str">
        <f t="shared" si="35"/>
        <v>res30201</v>
      </c>
      <c r="I104" s="1" t="s">
        <v>92</v>
      </c>
      <c r="J104" s="1">
        <f t="shared" si="77"/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2">
        <v>0</v>
      </c>
      <c r="Q104" s="2">
        <v>0</v>
      </c>
      <c r="R104" s="1">
        <v>0</v>
      </c>
      <c r="S104" s="1">
        <v>0</v>
      </c>
      <c r="T104" s="1">
        <v>0</v>
      </c>
      <c r="U104" s="1">
        <v>19081</v>
      </c>
      <c r="V104" s="1">
        <v>0</v>
      </c>
      <c r="W104" s="1">
        <v>0</v>
      </c>
      <c r="X104" s="1">
        <v>3</v>
      </c>
      <c r="Y104" s="1">
        <v>0</v>
      </c>
      <c r="Z104" s="3" t="str">
        <f>Z102</f>
        <v>使相邻部队和炮塔攻击速度提升2%</v>
      </c>
    </row>
    <row r="105" s="1" customFormat="1" spans="1:26">
      <c r="A105" s="1">
        <v>30301</v>
      </c>
      <c r="B105" s="1">
        <f>A105</f>
        <v>30301</v>
      </c>
      <c r="C105" s="1" t="s">
        <v>94</v>
      </c>
      <c r="D105" s="1" t="str">
        <f t="shared" si="54"/>
        <v>3</v>
      </c>
      <c r="E105" s="1">
        <v>4</v>
      </c>
      <c r="F105" s="1">
        <v>1</v>
      </c>
      <c r="G105" s="1" t="str">
        <f>"res"&amp;A105</f>
        <v>res30301</v>
      </c>
      <c r="H105" s="1" t="str">
        <f t="shared" si="35"/>
        <v>res30301</v>
      </c>
      <c r="I105" s="1" t="s">
        <v>92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2">
        <v>0</v>
      </c>
      <c r="Q105" s="2">
        <v>0</v>
      </c>
      <c r="R105" s="1">
        <v>0</v>
      </c>
      <c r="S105" s="1">
        <v>0</v>
      </c>
      <c r="T105" s="1">
        <v>0</v>
      </c>
      <c r="U105" s="1">
        <v>13002</v>
      </c>
      <c r="V105" s="1">
        <v>0</v>
      </c>
      <c r="W105" s="1">
        <v>0</v>
      </c>
      <c r="X105" s="1">
        <v>1</v>
      </c>
      <c r="Y105" s="1">
        <v>0</v>
      </c>
      <c r="Z105" s="3" t="s">
        <v>329</v>
      </c>
    </row>
    <row r="106" s="1" customFormat="1" spans="1:26">
      <c r="A106" s="1">
        <f t="shared" si="75"/>
        <v>30302</v>
      </c>
      <c r="B106" s="1">
        <f t="shared" ref="B106:G106" si="79">B105</f>
        <v>30301</v>
      </c>
      <c r="C106" s="1" t="str">
        <f t="shared" si="79"/>
        <v>金库</v>
      </c>
      <c r="D106" s="1" t="str">
        <f t="shared" si="54"/>
        <v>3</v>
      </c>
      <c r="E106" s="1">
        <f t="shared" si="79"/>
        <v>4</v>
      </c>
      <c r="F106" s="1">
        <v>2</v>
      </c>
      <c r="G106" s="1" t="str">
        <f t="shared" si="79"/>
        <v>res30301</v>
      </c>
      <c r="H106" s="1" t="str">
        <f t="shared" si="35"/>
        <v>res30301</v>
      </c>
      <c r="I106" s="1" t="s">
        <v>92</v>
      </c>
      <c r="J106" s="1">
        <f t="shared" si="77"/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2">
        <v>0</v>
      </c>
      <c r="Q106" s="2">
        <v>0</v>
      </c>
      <c r="R106" s="1">
        <v>0</v>
      </c>
      <c r="S106" s="1">
        <v>0</v>
      </c>
      <c r="T106" s="1">
        <v>0</v>
      </c>
      <c r="U106" s="1">
        <v>13002</v>
      </c>
      <c r="V106" s="1">
        <v>0</v>
      </c>
      <c r="W106" s="1">
        <v>0</v>
      </c>
      <c r="X106" s="1">
        <v>2</v>
      </c>
      <c r="Y106" s="1">
        <v>0</v>
      </c>
      <c r="Z106" s="3" t="str">
        <f>Z105</f>
        <v>每回合开始获得3金币</v>
      </c>
    </row>
    <row r="107" s="1" customFormat="1" spans="1:26">
      <c r="A107" s="1">
        <f t="shared" si="75"/>
        <v>30303</v>
      </c>
      <c r="B107" s="1">
        <f t="shared" ref="B107:G107" si="80">B106</f>
        <v>30301</v>
      </c>
      <c r="C107" s="1" t="str">
        <f t="shared" si="80"/>
        <v>金库</v>
      </c>
      <c r="D107" s="1" t="str">
        <f t="shared" ref="D107:D112" si="81">LEFT(A107,1)</f>
        <v>3</v>
      </c>
      <c r="E107" s="1">
        <f t="shared" si="80"/>
        <v>4</v>
      </c>
      <c r="F107" s="1">
        <v>3</v>
      </c>
      <c r="G107" s="1" t="str">
        <f t="shared" si="80"/>
        <v>res30301</v>
      </c>
      <c r="H107" s="1" t="str">
        <f t="shared" si="35"/>
        <v>res30301</v>
      </c>
      <c r="I107" s="1" t="s">
        <v>92</v>
      </c>
      <c r="J107" s="1">
        <f t="shared" si="77"/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2">
        <v>0</v>
      </c>
      <c r="Q107" s="2">
        <v>0</v>
      </c>
      <c r="R107" s="1">
        <v>0</v>
      </c>
      <c r="S107" s="1">
        <v>0</v>
      </c>
      <c r="T107" s="1">
        <v>0</v>
      </c>
      <c r="U107" s="1">
        <v>13002</v>
      </c>
      <c r="V107" s="1">
        <v>0</v>
      </c>
      <c r="W107" s="1">
        <v>0</v>
      </c>
      <c r="X107" s="1">
        <v>3</v>
      </c>
      <c r="Y107" s="1">
        <v>0</v>
      </c>
      <c r="Z107" s="3" t="str">
        <f t="shared" ref="Z107:Z111" si="82">Z105</f>
        <v>每回合开始获得3金币</v>
      </c>
    </row>
    <row r="108" s="1" customFormat="1" spans="1:26">
      <c r="A108" s="1">
        <v>30401</v>
      </c>
      <c r="B108" s="1">
        <f t="shared" ref="B108:B114" si="83">A108</f>
        <v>30401</v>
      </c>
      <c r="C108" s="1" t="s">
        <v>97</v>
      </c>
      <c r="D108" s="1" t="str">
        <f t="shared" si="81"/>
        <v>3</v>
      </c>
      <c r="E108" s="1">
        <v>3</v>
      </c>
      <c r="F108" s="1">
        <v>1</v>
      </c>
      <c r="G108" s="1" t="str">
        <f t="shared" ref="G108:G114" si="84">"res"&amp;A108</f>
        <v>res30401</v>
      </c>
      <c r="H108" s="1" t="str">
        <f t="shared" ref="H108:H139" si="85">G108</f>
        <v>res30401</v>
      </c>
      <c r="I108" s="1" t="s">
        <v>99</v>
      </c>
      <c r="J108" s="1">
        <v>1</v>
      </c>
      <c r="K108" s="1">
        <v>2</v>
      </c>
      <c r="L108" s="1">
        <v>1</v>
      </c>
      <c r="M108" s="1">
        <v>0</v>
      </c>
      <c r="N108" s="1">
        <v>0</v>
      </c>
      <c r="O108" s="1">
        <v>800</v>
      </c>
      <c r="P108" s="2">
        <v>22</v>
      </c>
      <c r="Q108" s="2">
        <v>0.5</v>
      </c>
      <c r="R108" s="1">
        <v>0.05</v>
      </c>
      <c r="S108" s="1">
        <f t="shared" ref="S108:S110" si="86">S107</f>
        <v>0</v>
      </c>
      <c r="T108" s="1">
        <v>0</v>
      </c>
      <c r="U108" s="1">
        <v>13003</v>
      </c>
      <c r="V108" s="1">
        <v>0</v>
      </c>
      <c r="W108" s="1">
        <v>0</v>
      </c>
      <c r="X108" s="1">
        <v>0</v>
      </c>
      <c r="Y108" s="1">
        <v>0</v>
      </c>
      <c r="Z108" s="3" t="s">
        <v>330</v>
      </c>
    </row>
    <row r="109" s="1" customFormat="1" spans="1:26">
      <c r="A109" s="1">
        <f>A108+1</f>
        <v>30402</v>
      </c>
      <c r="B109" s="1">
        <f t="shared" ref="B109:G109" si="87">B108</f>
        <v>30401</v>
      </c>
      <c r="C109" s="1" t="str">
        <f t="shared" si="87"/>
        <v>分发塔</v>
      </c>
      <c r="D109" s="1" t="str">
        <f t="shared" si="81"/>
        <v>3</v>
      </c>
      <c r="E109" s="1">
        <f t="shared" si="87"/>
        <v>3</v>
      </c>
      <c r="F109" s="1">
        <v>2</v>
      </c>
      <c r="G109" s="1" t="str">
        <f t="shared" si="87"/>
        <v>res30401</v>
      </c>
      <c r="H109" s="1" t="str">
        <f t="shared" si="85"/>
        <v>res30401</v>
      </c>
      <c r="I109" s="1" t="s">
        <v>99</v>
      </c>
      <c r="J109" s="1">
        <f>J108</f>
        <v>1</v>
      </c>
      <c r="K109" s="1">
        <v>2</v>
      </c>
      <c r="L109" s="1">
        <v>1</v>
      </c>
      <c r="M109" s="1">
        <v>0</v>
      </c>
      <c r="N109" s="1">
        <v>0</v>
      </c>
      <c r="O109" s="1">
        <v>800</v>
      </c>
      <c r="P109" s="2">
        <f>P108*1.4</f>
        <v>30.8</v>
      </c>
      <c r="Q109" s="2">
        <f>Q108*1.26</f>
        <v>0.63</v>
      </c>
      <c r="R109" s="1">
        <v>0.05</v>
      </c>
      <c r="S109" s="1">
        <f t="shared" si="86"/>
        <v>0</v>
      </c>
      <c r="T109" s="1">
        <v>0</v>
      </c>
      <c r="U109" s="1">
        <v>13003</v>
      </c>
      <c r="V109" s="1">
        <v>0</v>
      </c>
      <c r="W109" s="1">
        <v>0</v>
      </c>
      <c r="X109" s="1">
        <v>0</v>
      </c>
      <c r="Y109" s="1">
        <v>0</v>
      </c>
      <c r="Z109" s="3" t="str">
        <f>Z108</f>
        <v>单体炮塔，获得1金币时，攻速+1%</v>
      </c>
    </row>
    <row r="110" s="1" customFormat="1" spans="1:26">
      <c r="A110" s="1">
        <f>A109+1</f>
        <v>30403</v>
      </c>
      <c r="B110" s="1">
        <f t="shared" ref="B110:G110" si="88">B109</f>
        <v>30401</v>
      </c>
      <c r="C110" s="1" t="str">
        <f t="shared" si="88"/>
        <v>分发塔</v>
      </c>
      <c r="D110" s="1" t="str">
        <f t="shared" si="81"/>
        <v>3</v>
      </c>
      <c r="E110" s="1">
        <f t="shared" si="88"/>
        <v>3</v>
      </c>
      <c r="F110" s="1">
        <v>3</v>
      </c>
      <c r="G110" s="1" t="str">
        <f t="shared" si="88"/>
        <v>res30401</v>
      </c>
      <c r="H110" s="1" t="str">
        <f t="shared" si="85"/>
        <v>res30401</v>
      </c>
      <c r="I110" s="1" t="s">
        <v>99</v>
      </c>
      <c r="J110" s="1">
        <f>J109</f>
        <v>1</v>
      </c>
      <c r="K110" s="1">
        <v>2</v>
      </c>
      <c r="L110" s="1">
        <v>1</v>
      </c>
      <c r="M110" s="1">
        <v>0</v>
      </c>
      <c r="N110" s="1">
        <v>0</v>
      </c>
      <c r="O110" s="1">
        <v>800</v>
      </c>
      <c r="P110" s="2">
        <f>P109*1.4</f>
        <v>43.12</v>
      </c>
      <c r="Q110" s="2">
        <f>Q109*1.26</f>
        <v>0.7938</v>
      </c>
      <c r="R110" s="1">
        <v>0.05</v>
      </c>
      <c r="S110" s="1">
        <f t="shared" si="86"/>
        <v>0</v>
      </c>
      <c r="T110" s="1">
        <v>0</v>
      </c>
      <c r="U110" s="1">
        <v>13003</v>
      </c>
      <c r="V110" s="1">
        <v>0</v>
      </c>
      <c r="W110" s="1">
        <v>0</v>
      </c>
      <c r="X110" s="1">
        <v>0</v>
      </c>
      <c r="Y110" s="1">
        <v>0</v>
      </c>
      <c r="Z110" s="3" t="str">
        <f t="shared" si="82"/>
        <v>单体炮塔，获得1金币时，攻速+1%</v>
      </c>
    </row>
    <row r="111" s="1" customFormat="1" spans="1:26">
      <c r="A111" s="1">
        <v>30501</v>
      </c>
      <c r="B111" s="1">
        <f t="shared" si="83"/>
        <v>30501</v>
      </c>
      <c r="C111" s="1" t="s">
        <v>101</v>
      </c>
      <c r="D111" s="1" t="str">
        <f t="shared" si="81"/>
        <v>3</v>
      </c>
      <c r="E111" s="1">
        <v>6</v>
      </c>
      <c r="F111" s="1">
        <v>1</v>
      </c>
      <c r="G111" s="1" t="str">
        <f t="shared" si="84"/>
        <v>res30501</v>
      </c>
      <c r="H111" s="1" t="str">
        <f t="shared" si="85"/>
        <v>res30501</v>
      </c>
      <c r="I111" s="1" t="s">
        <v>103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2">
        <v>0</v>
      </c>
      <c r="Q111" s="2">
        <v>0</v>
      </c>
      <c r="R111" s="1">
        <v>0</v>
      </c>
      <c r="S111" s="1">
        <v>0</v>
      </c>
      <c r="T111" s="1">
        <v>0</v>
      </c>
      <c r="U111" s="1">
        <v>33001</v>
      </c>
      <c r="V111" s="1">
        <v>0</v>
      </c>
      <c r="W111" s="1">
        <v>0</v>
      </c>
      <c r="X111" s="1">
        <v>0</v>
      </c>
      <c r="Y111" s="1">
        <v>0</v>
      </c>
      <c r="Z111" s="3" t="s">
        <v>331</v>
      </c>
    </row>
    <row r="112" s="1" customFormat="1" spans="1:26">
      <c r="A112" s="1">
        <v>30601</v>
      </c>
      <c r="B112" s="1">
        <f t="shared" si="83"/>
        <v>30601</v>
      </c>
      <c r="C112" s="1" t="s">
        <v>105</v>
      </c>
      <c r="D112" s="1">
        <v>5</v>
      </c>
      <c r="E112" s="1">
        <v>6</v>
      </c>
      <c r="F112" s="1">
        <v>1</v>
      </c>
      <c r="G112" s="1" t="str">
        <f t="shared" si="84"/>
        <v>res30601</v>
      </c>
      <c r="H112" s="1" t="str">
        <f t="shared" si="85"/>
        <v>res30601</v>
      </c>
      <c r="I112" s="1" t="s">
        <v>103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2">
        <v>0</v>
      </c>
      <c r="Q112" s="2">
        <v>0</v>
      </c>
      <c r="R112" s="1">
        <v>0</v>
      </c>
      <c r="S112" s="1">
        <v>0</v>
      </c>
      <c r="T112" s="1">
        <v>0</v>
      </c>
      <c r="U112" s="1">
        <v>23001</v>
      </c>
      <c r="V112" s="1">
        <v>0</v>
      </c>
      <c r="W112" s="1">
        <v>0</v>
      </c>
      <c r="X112" s="1">
        <v>0</v>
      </c>
      <c r="Y112" s="1">
        <v>0</v>
      </c>
      <c r="Z112" s="3" t="s">
        <v>332</v>
      </c>
    </row>
    <row r="113" s="1" customFormat="1" spans="1:26">
      <c r="A113" s="1">
        <v>30701</v>
      </c>
      <c r="B113" s="1">
        <f t="shared" si="83"/>
        <v>30701</v>
      </c>
      <c r="C113" s="1" t="s">
        <v>109</v>
      </c>
      <c r="D113" s="1">
        <v>5</v>
      </c>
      <c r="E113" s="1">
        <v>6</v>
      </c>
      <c r="F113" s="1">
        <v>1</v>
      </c>
      <c r="G113" s="1" t="str">
        <f t="shared" si="84"/>
        <v>res30701</v>
      </c>
      <c r="H113" s="1" t="str">
        <f t="shared" si="85"/>
        <v>res30701</v>
      </c>
      <c r="I113" s="1" t="s">
        <v>103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2">
        <v>0</v>
      </c>
      <c r="Q113" s="2">
        <v>0</v>
      </c>
      <c r="R113" s="1">
        <v>0</v>
      </c>
      <c r="S113" s="1">
        <v>0</v>
      </c>
      <c r="T113" s="1">
        <v>0</v>
      </c>
      <c r="U113" s="1">
        <v>33002</v>
      </c>
      <c r="V113" s="1">
        <v>0</v>
      </c>
      <c r="W113" s="1">
        <v>0</v>
      </c>
      <c r="X113" s="1">
        <v>0</v>
      </c>
      <c r="Y113" s="1">
        <v>0</v>
      </c>
      <c r="Z113" s="3" t="s">
        <v>332</v>
      </c>
    </row>
    <row r="114" s="1" customFormat="1" spans="1:26">
      <c r="A114" s="1">
        <v>30801</v>
      </c>
      <c r="B114" s="1">
        <f t="shared" si="83"/>
        <v>30801</v>
      </c>
      <c r="C114" s="1" t="s">
        <v>112</v>
      </c>
      <c r="D114" s="1" t="str">
        <f t="shared" ref="D114:D119" si="89">LEFT(A114,1)</f>
        <v>3</v>
      </c>
      <c r="E114" s="1">
        <v>2</v>
      </c>
      <c r="F114" s="1">
        <v>1</v>
      </c>
      <c r="G114" s="1" t="str">
        <f t="shared" si="84"/>
        <v>res30801</v>
      </c>
      <c r="H114" s="1" t="str">
        <f t="shared" si="85"/>
        <v>res30801</v>
      </c>
      <c r="I114" s="1" t="s">
        <v>114</v>
      </c>
      <c r="J114" s="1">
        <v>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2">
        <v>0</v>
      </c>
      <c r="Q114" s="2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 t="s">
        <v>333</v>
      </c>
      <c r="Z114" s="3" t="s">
        <v>334</v>
      </c>
    </row>
    <row r="115" s="1" customFormat="1" spans="1:26">
      <c r="A115" s="1">
        <v>30802</v>
      </c>
      <c r="B115" s="1">
        <f t="shared" ref="B115:G115" si="90">B114</f>
        <v>30801</v>
      </c>
      <c r="C115" s="1" t="str">
        <f t="shared" si="90"/>
        <v>雇佣兵</v>
      </c>
      <c r="D115" s="1" t="str">
        <f t="shared" si="89"/>
        <v>3</v>
      </c>
      <c r="E115" s="1">
        <f t="shared" si="90"/>
        <v>2</v>
      </c>
      <c r="F115" s="1">
        <v>2</v>
      </c>
      <c r="G115" s="1" t="str">
        <f t="shared" si="90"/>
        <v>res30801</v>
      </c>
      <c r="H115" s="1" t="str">
        <f t="shared" si="85"/>
        <v>res30801</v>
      </c>
      <c r="I115" s="1" t="s">
        <v>114</v>
      </c>
      <c r="J115" s="1">
        <f t="shared" ref="J115:J119" si="91">J114</f>
        <v>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2">
        <v>0</v>
      </c>
      <c r="Q115" s="2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 t="s">
        <v>335</v>
      </c>
      <c r="Z115" s="3" t="str">
        <f>Z114</f>
        <v>每拥有15金币可额外招募1个雇佣兵</v>
      </c>
    </row>
    <row r="116" s="1" customFormat="1" spans="1:26">
      <c r="A116" s="1">
        <v>30803</v>
      </c>
      <c r="B116" s="1">
        <f t="shared" ref="B116:G116" si="92">B115</f>
        <v>30801</v>
      </c>
      <c r="C116" s="1" t="str">
        <f t="shared" si="92"/>
        <v>雇佣兵</v>
      </c>
      <c r="D116" s="1" t="str">
        <f t="shared" si="89"/>
        <v>3</v>
      </c>
      <c r="E116" s="1">
        <f t="shared" si="92"/>
        <v>2</v>
      </c>
      <c r="F116" s="1">
        <v>3</v>
      </c>
      <c r="G116" s="1" t="str">
        <f t="shared" si="92"/>
        <v>res30801</v>
      </c>
      <c r="H116" s="1" t="str">
        <f t="shared" si="85"/>
        <v>res30801</v>
      </c>
      <c r="I116" s="1" t="s">
        <v>114</v>
      </c>
      <c r="J116" s="1">
        <f t="shared" si="91"/>
        <v>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2">
        <v>0</v>
      </c>
      <c r="Q116" s="2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 t="s">
        <v>336</v>
      </c>
      <c r="Z116" s="3" t="str">
        <f>Z114</f>
        <v>每拥有15金币可额外招募1个雇佣兵</v>
      </c>
    </row>
    <row r="117" s="1" customFormat="1" spans="1:26">
      <c r="A117" s="1">
        <v>30901</v>
      </c>
      <c r="B117" s="1">
        <f>A117</f>
        <v>30901</v>
      </c>
      <c r="C117" s="1" t="s">
        <v>116</v>
      </c>
      <c r="D117" s="1" t="str">
        <f t="shared" si="89"/>
        <v>3</v>
      </c>
      <c r="E117" s="1">
        <v>2</v>
      </c>
      <c r="F117" s="1">
        <v>1</v>
      </c>
      <c r="G117" s="1" t="str">
        <f>"res"&amp;A117</f>
        <v>res30901</v>
      </c>
      <c r="H117" s="1" t="str">
        <f t="shared" si="85"/>
        <v>res30901</v>
      </c>
      <c r="I117" s="1" t="s">
        <v>114</v>
      </c>
      <c r="J117" s="1">
        <v>1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2">
        <v>0</v>
      </c>
      <c r="Q117" s="2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 t="s">
        <v>337</v>
      </c>
      <c r="Z117" s="3" t="s">
        <v>338</v>
      </c>
    </row>
    <row r="118" s="1" customFormat="1" spans="1:26">
      <c r="A118" s="1">
        <v>30902</v>
      </c>
      <c r="B118" s="1">
        <f t="shared" ref="B118:G118" si="93">B117</f>
        <v>30901</v>
      </c>
      <c r="C118" s="1" t="str">
        <f t="shared" si="93"/>
        <v>盗贼</v>
      </c>
      <c r="D118" s="1" t="str">
        <f t="shared" si="89"/>
        <v>3</v>
      </c>
      <c r="E118" s="1">
        <f t="shared" si="93"/>
        <v>2</v>
      </c>
      <c r="F118" s="1">
        <v>2</v>
      </c>
      <c r="G118" s="1" t="str">
        <f t="shared" si="93"/>
        <v>res30901</v>
      </c>
      <c r="H118" s="1" t="str">
        <f t="shared" si="85"/>
        <v>res30901</v>
      </c>
      <c r="I118" s="1" t="s">
        <v>114</v>
      </c>
      <c r="J118" s="1">
        <f t="shared" si="91"/>
        <v>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2">
        <v>0</v>
      </c>
      <c r="Q118" s="2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 t="s">
        <v>339</v>
      </c>
      <c r="Z118" s="3" t="str">
        <f>Z117</f>
        <v>快速跳到敌方阵营后方，优先攻击后方单位</v>
      </c>
    </row>
    <row r="119" s="1" customFormat="1" spans="1:26">
      <c r="A119" s="1">
        <v>30903</v>
      </c>
      <c r="B119" s="1">
        <f t="shared" ref="B119:G119" si="94">B118</f>
        <v>30901</v>
      </c>
      <c r="C119" s="1" t="str">
        <f t="shared" si="94"/>
        <v>盗贼</v>
      </c>
      <c r="D119" s="1" t="str">
        <f t="shared" si="89"/>
        <v>3</v>
      </c>
      <c r="E119" s="1">
        <f t="shared" si="94"/>
        <v>2</v>
      </c>
      <c r="F119" s="1">
        <v>3</v>
      </c>
      <c r="G119" s="1" t="str">
        <f t="shared" si="94"/>
        <v>res30901</v>
      </c>
      <c r="H119" s="1" t="str">
        <f t="shared" si="85"/>
        <v>res30901</v>
      </c>
      <c r="I119" s="1" t="s">
        <v>114</v>
      </c>
      <c r="J119" s="1">
        <f t="shared" si="91"/>
        <v>1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">
        <v>0</v>
      </c>
      <c r="Q119" s="2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 t="s">
        <v>340</v>
      </c>
      <c r="Z119" s="3" t="str">
        <f>Z117</f>
        <v>快速跳到敌方阵营后方，优先攻击后方单位</v>
      </c>
    </row>
    <row r="120" spans="1:26">
      <c r="A120" s="1">
        <v>40101</v>
      </c>
      <c r="B120" s="1">
        <v>40101</v>
      </c>
      <c r="C120" s="1" t="s">
        <v>119</v>
      </c>
      <c r="D120" s="1" t="str">
        <f t="shared" ref="D120:D139" si="95">LEFT(A120,1)</f>
        <v>4</v>
      </c>
      <c r="E120" s="1">
        <v>1</v>
      </c>
      <c r="F120" s="1">
        <v>1</v>
      </c>
      <c r="G120" s="1" t="str">
        <f>"res"&amp;A120</f>
        <v>res40101</v>
      </c>
      <c r="H120" s="1" t="str">
        <f t="shared" si="85"/>
        <v>res40101</v>
      </c>
      <c r="J120" s="1">
        <v>1</v>
      </c>
      <c r="K120" s="1">
        <v>2</v>
      </c>
      <c r="L120" s="1">
        <v>0</v>
      </c>
      <c r="M120" s="1">
        <v>0</v>
      </c>
      <c r="N120" s="1">
        <v>50</v>
      </c>
      <c r="O120" s="1">
        <v>1</v>
      </c>
      <c r="P120" s="2">
        <v>10</v>
      </c>
      <c r="Q120" s="2">
        <v>0.29</v>
      </c>
      <c r="R120" s="1">
        <v>0.1</v>
      </c>
      <c r="S120" s="1">
        <v>200</v>
      </c>
      <c r="T120" s="1">
        <v>0</v>
      </c>
      <c r="U120" s="1">
        <v>81001</v>
      </c>
      <c r="V120" s="1">
        <v>0</v>
      </c>
      <c r="W120" s="1">
        <v>0</v>
      </c>
      <c r="X120" s="1">
        <v>0</v>
      </c>
      <c r="Y120" s="1">
        <v>0</v>
      </c>
      <c r="Z120" s="3" t="s">
        <v>341</v>
      </c>
    </row>
    <row r="121" spans="1:26">
      <c r="A121" s="1">
        <v>40102</v>
      </c>
      <c r="B121" s="1">
        <v>40101</v>
      </c>
      <c r="C121" s="1" t="s">
        <v>119</v>
      </c>
      <c r="D121" s="1" t="str">
        <f t="shared" si="95"/>
        <v>4</v>
      </c>
      <c r="E121" s="1">
        <v>1</v>
      </c>
      <c r="F121" s="1">
        <v>2</v>
      </c>
      <c r="G121" s="1" t="str">
        <f t="shared" ref="G120:G139" si="96">G120</f>
        <v>res40101</v>
      </c>
      <c r="H121" s="1" t="str">
        <f t="shared" si="85"/>
        <v>res40101</v>
      </c>
      <c r="J121" s="1">
        <v>1</v>
      </c>
      <c r="K121" s="1">
        <v>2</v>
      </c>
      <c r="L121" s="1">
        <v>0</v>
      </c>
      <c r="M121" s="1">
        <v>0</v>
      </c>
      <c r="N121" s="1">
        <v>50</v>
      </c>
      <c r="O121" s="1">
        <v>1</v>
      </c>
      <c r="P121" s="2">
        <f t="shared" ref="P121:P139" si="97">P120*1.35</f>
        <v>13.5</v>
      </c>
      <c r="Q121" s="2">
        <v>0.29</v>
      </c>
      <c r="R121" s="1">
        <v>0.1</v>
      </c>
      <c r="S121" s="1">
        <v>200</v>
      </c>
      <c r="T121" s="1">
        <v>0</v>
      </c>
      <c r="U121" s="1">
        <v>81001</v>
      </c>
      <c r="V121" s="1">
        <v>0</v>
      </c>
      <c r="W121" s="1">
        <v>0</v>
      </c>
      <c r="X121" s="1">
        <v>0</v>
      </c>
      <c r="Y121" s="1">
        <v>0</v>
      </c>
      <c r="Z121" s="3" t="s">
        <v>341</v>
      </c>
    </row>
    <row r="122" spans="1:26">
      <c r="A122" s="1">
        <v>40103</v>
      </c>
      <c r="B122" s="1">
        <v>40101</v>
      </c>
      <c r="C122" s="1" t="s">
        <v>119</v>
      </c>
      <c r="D122" s="1" t="str">
        <f t="shared" si="95"/>
        <v>4</v>
      </c>
      <c r="E122" s="1">
        <v>1</v>
      </c>
      <c r="F122" s="1">
        <v>3</v>
      </c>
      <c r="G122" s="1" t="str">
        <f t="shared" si="96"/>
        <v>res40101</v>
      </c>
      <c r="H122" s="1" t="str">
        <f t="shared" si="85"/>
        <v>res40101</v>
      </c>
      <c r="J122" s="1">
        <v>1</v>
      </c>
      <c r="K122" s="1">
        <v>2</v>
      </c>
      <c r="L122" s="1">
        <v>0</v>
      </c>
      <c r="M122" s="1">
        <v>0</v>
      </c>
      <c r="N122" s="1">
        <v>50</v>
      </c>
      <c r="O122" s="1">
        <v>1</v>
      </c>
      <c r="P122" s="2">
        <f t="shared" si="97"/>
        <v>18.225</v>
      </c>
      <c r="Q122" s="2">
        <v>0.29</v>
      </c>
      <c r="R122" s="1">
        <v>0.1</v>
      </c>
      <c r="S122" s="1">
        <v>200</v>
      </c>
      <c r="T122" s="1">
        <v>0</v>
      </c>
      <c r="U122" s="1">
        <v>81001</v>
      </c>
      <c r="V122" s="1">
        <v>0</v>
      </c>
      <c r="W122" s="1">
        <v>0</v>
      </c>
      <c r="X122" s="1">
        <v>0</v>
      </c>
      <c r="Y122" s="1">
        <v>0</v>
      </c>
      <c r="Z122" s="3" t="s">
        <v>341</v>
      </c>
    </row>
    <row r="123" spans="1:26">
      <c r="A123" s="1">
        <v>40104</v>
      </c>
      <c r="B123" s="1">
        <v>40101</v>
      </c>
      <c r="C123" s="1" t="s">
        <v>119</v>
      </c>
      <c r="D123" s="1" t="str">
        <f t="shared" si="95"/>
        <v>4</v>
      </c>
      <c r="E123" s="1">
        <v>1</v>
      </c>
      <c r="F123" s="1">
        <v>4</v>
      </c>
      <c r="G123" s="1" t="str">
        <f t="shared" si="96"/>
        <v>res40101</v>
      </c>
      <c r="H123" s="1" t="str">
        <f t="shared" si="85"/>
        <v>res40101</v>
      </c>
      <c r="J123" s="1">
        <v>1</v>
      </c>
      <c r="K123" s="1">
        <v>2</v>
      </c>
      <c r="L123" s="1">
        <v>0</v>
      </c>
      <c r="M123" s="1">
        <v>0</v>
      </c>
      <c r="N123" s="1">
        <v>50</v>
      </c>
      <c r="O123" s="1">
        <v>1</v>
      </c>
      <c r="P123" s="2">
        <f t="shared" si="97"/>
        <v>24.60375</v>
      </c>
      <c r="Q123" s="2">
        <v>0.29</v>
      </c>
      <c r="R123" s="1">
        <v>0.1</v>
      </c>
      <c r="S123" s="1">
        <v>200</v>
      </c>
      <c r="T123" s="1">
        <v>0</v>
      </c>
      <c r="U123" s="1">
        <v>81001</v>
      </c>
      <c r="V123" s="1">
        <v>0</v>
      </c>
      <c r="W123" s="1">
        <v>0</v>
      </c>
      <c r="X123" s="1">
        <v>0</v>
      </c>
      <c r="Y123" s="1">
        <v>0</v>
      </c>
      <c r="Z123" s="3" t="s">
        <v>341</v>
      </c>
    </row>
    <row r="124" spans="1:26">
      <c r="A124" s="1">
        <v>40105</v>
      </c>
      <c r="B124" s="1">
        <v>40101</v>
      </c>
      <c r="C124" s="1" t="s">
        <v>119</v>
      </c>
      <c r="D124" s="1" t="str">
        <f t="shared" si="95"/>
        <v>4</v>
      </c>
      <c r="E124" s="1">
        <v>1</v>
      </c>
      <c r="F124" s="1">
        <v>5</v>
      </c>
      <c r="G124" s="1" t="str">
        <f t="shared" si="96"/>
        <v>res40101</v>
      </c>
      <c r="H124" s="1" t="str">
        <f t="shared" si="85"/>
        <v>res40101</v>
      </c>
      <c r="J124" s="1">
        <v>1</v>
      </c>
      <c r="K124" s="1">
        <v>2</v>
      </c>
      <c r="L124" s="1">
        <v>0</v>
      </c>
      <c r="M124" s="1">
        <v>0</v>
      </c>
      <c r="N124" s="1">
        <v>50</v>
      </c>
      <c r="O124" s="1">
        <v>1</v>
      </c>
      <c r="P124" s="2">
        <f t="shared" si="97"/>
        <v>33.2150625</v>
      </c>
      <c r="Q124" s="2">
        <v>0.29</v>
      </c>
      <c r="R124" s="1">
        <v>0.1</v>
      </c>
      <c r="S124" s="1">
        <v>200</v>
      </c>
      <c r="T124" s="1">
        <v>0</v>
      </c>
      <c r="U124" s="1">
        <v>81001</v>
      </c>
      <c r="V124" s="1">
        <v>0</v>
      </c>
      <c r="W124" s="1">
        <v>0</v>
      </c>
      <c r="X124" s="1">
        <v>0</v>
      </c>
      <c r="Y124" s="1">
        <v>0</v>
      </c>
      <c r="Z124" s="3" t="s">
        <v>341</v>
      </c>
    </row>
    <row r="125" spans="1:26">
      <c r="A125" s="1">
        <v>40106</v>
      </c>
      <c r="B125" s="1">
        <v>40101</v>
      </c>
      <c r="C125" s="1" t="s">
        <v>119</v>
      </c>
      <c r="D125" s="1" t="str">
        <f t="shared" si="95"/>
        <v>4</v>
      </c>
      <c r="E125" s="1">
        <v>1</v>
      </c>
      <c r="F125" s="1">
        <v>6</v>
      </c>
      <c r="G125" s="1" t="str">
        <f t="shared" si="96"/>
        <v>res40101</v>
      </c>
      <c r="H125" s="1" t="str">
        <f t="shared" si="85"/>
        <v>res40101</v>
      </c>
      <c r="J125" s="1">
        <v>1</v>
      </c>
      <c r="K125" s="1">
        <v>2</v>
      </c>
      <c r="L125" s="1">
        <v>0</v>
      </c>
      <c r="M125" s="1">
        <v>0</v>
      </c>
      <c r="N125" s="1">
        <v>50</v>
      </c>
      <c r="O125" s="1">
        <v>1</v>
      </c>
      <c r="P125" s="2">
        <f t="shared" si="97"/>
        <v>44.840334375</v>
      </c>
      <c r="Q125" s="2">
        <v>0.29</v>
      </c>
      <c r="R125" s="1">
        <v>0.1</v>
      </c>
      <c r="S125" s="1">
        <v>200</v>
      </c>
      <c r="T125" s="1">
        <v>0</v>
      </c>
      <c r="U125" s="1">
        <v>81001</v>
      </c>
      <c r="V125" s="1">
        <v>0</v>
      </c>
      <c r="W125" s="1">
        <v>0</v>
      </c>
      <c r="X125" s="1">
        <v>0</v>
      </c>
      <c r="Y125" s="1">
        <v>0</v>
      </c>
      <c r="Z125" s="3" t="s">
        <v>341</v>
      </c>
    </row>
    <row r="126" spans="1:26">
      <c r="A126" s="1">
        <v>40107</v>
      </c>
      <c r="B126" s="1">
        <v>40101</v>
      </c>
      <c r="C126" s="1" t="s">
        <v>119</v>
      </c>
      <c r="D126" s="1" t="str">
        <f t="shared" si="95"/>
        <v>4</v>
      </c>
      <c r="E126" s="1">
        <v>1</v>
      </c>
      <c r="F126" s="1">
        <v>7</v>
      </c>
      <c r="G126" s="1" t="str">
        <f t="shared" si="96"/>
        <v>res40101</v>
      </c>
      <c r="H126" s="1" t="str">
        <f t="shared" si="85"/>
        <v>res40101</v>
      </c>
      <c r="J126" s="1">
        <v>1</v>
      </c>
      <c r="K126" s="1">
        <v>2</v>
      </c>
      <c r="L126" s="1">
        <v>0</v>
      </c>
      <c r="M126" s="1">
        <v>0</v>
      </c>
      <c r="N126" s="1">
        <v>50</v>
      </c>
      <c r="O126" s="1">
        <v>1</v>
      </c>
      <c r="P126" s="2">
        <f t="shared" si="97"/>
        <v>60.53445140625</v>
      </c>
      <c r="Q126" s="2">
        <v>0.29</v>
      </c>
      <c r="R126" s="1">
        <v>0.1</v>
      </c>
      <c r="S126" s="1">
        <v>200</v>
      </c>
      <c r="T126" s="1">
        <v>0</v>
      </c>
      <c r="U126" s="1">
        <v>81001</v>
      </c>
      <c r="V126" s="1">
        <v>0</v>
      </c>
      <c r="W126" s="1">
        <v>0</v>
      </c>
      <c r="X126" s="1">
        <v>0</v>
      </c>
      <c r="Y126" s="1">
        <v>0</v>
      </c>
      <c r="Z126" s="3" t="s">
        <v>341</v>
      </c>
    </row>
    <row r="127" spans="1:26">
      <c r="A127" s="1">
        <v>40108</v>
      </c>
      <c r="B127" s="1">
        <v>40101</v>
      </c>
      <c r="C127" s="1" t="s">
        <v>119</v>
      </c>
      <c r="D127" s="1" t="str">
        <f t="shared" si="95"/>
        <v>4</v>
      </c>
      <c r="E127" s="1">
        <v>1</v>
      </c>
      <c r="F127" s="1">
        <v>8</v>
      </c>
      <c r="G127" s="1" t="str">
        <f t="shared" si="96"/>
        <v>res40101</v>
      </c>
      <c r="H127" s="1" t="str">
        <f t="shared" si="85"/>
        <v>res40101</v>
      </c>
      <c r="J127" s="1">
        <v>1</v>
      </c>
      <c r="K127" s="1">
        <v>2</v>
      </c>
      <c r="L127" s="1">
        <v>0</v>
      </c>
      <c r="M127" s="1">
        <v>0</v>
      </c>
      <c r="N127" s="1">
        <v>50</v>
      </c>
      <c r="O127" s="1">
        <v>1</v>
      </c>
      <c r="P127" s="2">
        <f t="shared" si="97"/>
        <v>81.7215093984375</v>
      </c>
      <c r="Q127" s="2">
        <v>0.29</v>
      </c>
      <c r="R127" s="1">
        <v>0.1</v>
      </c>
      <c r="S127" s="1">
        <v>200</v>
      </c>
      <c r="T127" s="1">
        <v>0</v>
      </c>
      <c r="U127" s="1">
        <v>81001</v>
      </c>
      <c r="V127" s="1">
        <v>0</v>
      </c>
      <c r="W127" s="1">
        <v>0</v>
      </c>
      <c r="X127" s="1">
        <v>0</v>
      </c>
      <c r="Y127" s="1">
        <v>0</v>
      </c>
      <c r="Z127" s="3" t="s">
        <v>341</v>
      </c>
    </row>
    <row r="128" spans="1:26">
      <c r="A128" s="1">
        <v>40109</v>
      </c>
      <c r="B128" s="1">
        <v>40101</v>
      </c>
      <c r="C128" s="1" t="s">
        <v>119</v>
      </c>
      <c r="D128" s="1" t="str">
        <f t="shared" si="95"/>
        <v>4</v>
      </c>
      <c r="E128" s="1">
        <v>1</v>
      </c>
      <c r="F128" s="1">
        <v>9</v>
      </c>
      <c r="G128" s="1" t="str">
        <f t="shared" si="96"/>
        <v>res40101</v>
      </c>
      <c r="H128" s="1" t="str">
        <f t="shared" si="85"/>
        <v>res40101</v>
      </c>
      <c r="J128" s="1">
        <v>1</v>
      </c>
      <c r="K128" s="1">
        <v>2</v>
      </c>
      <c r="L128" s="1">
        <v>0</v>
      </c>
      <c r="M128" s="1">
        <v>0</v>
      </c>
      <c r="N128" s="1">
        <v>50</v>
      </c>
      <c r="O128" s="1">
        <v>1</v>
      </c>
      <c r="P128" s="2">
        <f t="shared" si="97"/>
        <v>110.324037687891</v>
      </c>
      <c r="Q128" s="2">
        <v>0.29</v>
      </c>
      <c r="R128" s="1">
        <v>0.1</v>
      </c>
      <c r="S128" s="1">
        <v>200</v>
      </c>
      <c r="T128" s="1">
        <v>0</v>
      </c>
      <c r="U128" s="1">
        <v>81001</v>
      </c>
      <c r="V128" s="1">
        <v>0</v>
      </c>
      <c r="W128" s="1">
        <v>0</v>
      </c>
      <c r="X128" s="1">
        <v>0</v>
      </c>
      <c r="Y128" s="1">
        <v>0</v>
      </c>
      <c r="Z128" s="3" t="s">
        <v>341</v>
      </c>
    </row>
    <row r="129" spans="1:26">
      <c r="A129" s="1">
        <v>40110</v>
      </c>
      <c r="B129" s="1">
        <v>40101</v>
      </c>
      <c r="C129" s="1" t="s">
        <v>119</v>
      </c>
      <c r="D129" s="1" t="str">
        <f t="shared" si="95"/>
        <v>4</v>
      </c>
      <c r="E129" s="1">
        <v>1</v>
      </c>
      <c r="F129" s="1">
        <v>10</v>
      </c>
      <c r="G129" s="1" t="str">
        <f t="shared" si="96"/>
        <v>res40101</v>
      </c>
      <c r="H129" s="1" t="str">
        <f t="shared" si="85"/>
        <v>res40101</v>
      </c>
      <c r="J129" s="1">
        <v>1</v>
      </c>
      <c r="K129" s="1">
        <v>2</v>
      </c>
      <c r="L129" s="1">
        <v>0</v>
      </c>
      <c r="M129" s="1">
        <v>0</v>
      </c>
      <c r="N129" s="1">
        <v>50</v>
      </c>
      <c r="O129" s="1">
        <v>1</v>
      </c>
      <c r="P129" s="2">
        <f t="shared" si="97"/>
        <v>148.937450878652</v>
      </c>
      <c r="Q129" s="2">
        <v>0.29</v>
      </c>
      <c r="R129" s="1">
        <v>0.1</v>
      </c>
      <c r="S129" s="1">
        <v>200</v>
      </c>
      <c r="T129" s="1">
        <v>0</v>
      </c>
      <c r="U129" s="1">
        <v>81001</v>
      </c>
      <c r="V129" s="1">
        <v>0</v>
      </c>
      <c r="W129" s="1">
        <v>0</v>
      </c>
      <c r="X129" s="1">
        <v>0</v>
      </c>
      <c r="Y129" s="1">
        <v>0</v>
      </c>
      <c r="Z129" s="3" t="s">
        <v>341</v>
      </c>
    </row>
    <row r="130" spans="1:26">
      <c r="A130" s="1">
        <v>40111</v>
      </c>
      <c r="B130" s="1">
        <v>40101</v>
      </c>
      <c r="C130" s="1" t="s">
        <v>119</v>
      </c>
      <c r="D130" s="1" t="str">
        <f t="shared" si="95"/>
        <v>4</v>
      </c>
      <c r="E130" s="1">
        <v>1</v>
      </c>
      <c r="F130" s="1">
        <v>11</v>
      </c>
      <c r="G130" s="1" t="str">
        <f t="shared" si="96"/>
        <v>res40101</v>
      </c>
      <c r="H130" s="1" t="str">
        <f t="shared" si="85"/>
        <v>res40101</v>
      </c>
      <c r="J130" s="1">
        <v>1</v>
      </c>
      <c r="K130" s="1">
        <v>2</v>
      </c>
      <c r="L130" s="1">
        <v>0</v>
      </c>
      <c r="M130" s="1">
        <v>0</v>
      </c>
      <c r="N130" s="1">
        <v>50</v>
      </c>
      <c r="O130" s="1">
        <v>1</v>
      </c>
      <c r="P130" s="2">
        <f t="shared" si="97"/>
        <v>201.065558686181</v>
      </c>
      <c r="Q130" s="2">
        <v>0.29</v>
      </c>
      <c r="R130" s="1">
        <v>0.1</v>
      </c>
      <c r="S130" s="1">
        <v>200</v>
      </c>
      <c r="T130" s="1">
        <v>0</v>
      </c>
      <c r="U130" s="1">
        <v>81001</v>
      </c>
      <c r="V130" s="1">
        <v>0</v>
      </c>
      <c r="W130" s="1">
        <v>0</v>
      </c>
      <c r="X130" s="1">
        <v>0</v>
      </c>
      <c r="Y130" s="1">
        <v>0</v>
      </c>
      <c r="Z130" s="3" t="s">
        <v>341</v>
      </c>
    </row>
    <row r="131" spans="1:26">
      <c r="A131" s="1">
        <v>40112</v>
      </c>
      <c r="B131" s="1">
        <v>40101</v>
      </c>
      <c r="C131" s="1" t="s">
        <v>119</v>
      </c>
      <c r="D131" s="1" t="str">
        <f t="shared" si="95"/>
        <v>4</v>
      </c>
      <c r="E131" s="1">
        <v>1</v>
      </c>
      <c r="F131" s="1">
        <v>12</v>
      </c>
      <c r="G131" s="1" t="str">
        <f t="shared" si="96"/>
        <v>res40101</v>
      </c>
      <c r="H131" s="1" t="str">
        <f t="shared" si="85"/>
        <v>res40101</v>
      </c>
      <c r="J131" s="1">
        <v>1</v>
      </c>
      <c r="K131" s="1">
        <v>2</v>
      </c>
      <c r="L131" s="1">
        <v>0</v>
      </c>
      <c r="M131" s="1">
        <v>0</v>
      </c>
      <c r="N131" s="1">
        <v>50</v>
      </c>
      <c r="O131" s="1">
        <v>1</v>
      </c>
      <c r="P131" s="2">
        <f t="shared" si="97"/>
        <v>271.438504226344</v>
      </c>
      <c r="Q131" s="2">
        <v>0.29</v>
      </c>
      <c r="R131" s="1">
        <v>0.1</v>
      </c>
      <c r="S131" s="1">
        <v>200</v>
      </c>
      <c r="T131" s="1">
        <v>0</v>
      </c>
      <c r="U131" s="1">
        <v>81001</v>
      </c>
      <c r="V131" s="1">
        <v>0</v>
      </c>
      <c r="W131" s="1">
        <v>0</v>
      </c>
      <c r="X131" s="1">
        <v>0</v>
      </c>
      <c r="Y131" s="1">
        <v>0</v>
      </c>
      <c r="Z131" s="3" t="s">
        <v>341</v>
      </c>
    </row>
    <row r="132" spans="1:26">
      <c r="A132" s="1">
        <v>40113</v>
      </c>
      <c r="B132" s="1">
        <v>40101</v>
      </c>
      <c r="C132" s="1" t="s">
        <v>119</v>
      </c>
      <c r="D132" s="1" t="str">
        <f t="shared" si="95"/>
        <v>4</v>
      </c>
      <c r="E132" s="1">
        <v>1</v>
      </c>
      <c r="F132" s="1">
        <v>13</v>
      </c>
      <c r="G132" s="1" t="str">
        <f t="shared" si="96"/>
        <v>res40101</v>
      </c>
      <c r="H132" s="1" t="str">
        <f t="shared" si="85"/>
        <v>res40101</v>
      </c>
      <c r="J132" s="1">
        <v>1</v>
      </c>
      <c r="K132" s="1">
        <v>2</v>
      </c>
      <c r="L132" s="1">
        <v>0</v>
      </c>
      <c r="M132" s="1">
        <v>0</v>
      </c>
      <c r="N132" s="1">
        <v>50</v>
      </c>
      <c r="O132" s="1">
        <v>1</v>
      </c>
      <c r="P132" s="2">
        <f t="shared" si="97"/>
        <v>366.441980705565</v>
      </c>
      <c r="Q132" s="2">
        <v>0.29</v>
      </c>
      <c r="R132" s="1">
        <v>0.1</v>
      </c>
      <c r="S132" s="1">
        <v>200</v>
      </c>
      <c r="T132" s="1">
        <v>0</v>
      </c>
      <c r="U132" s="1">
        <v>81001</v>
      </c>
      <c r="V132" s="1">
        <v>0</v>
      </c>
      <c r="W132" s="1">
        <v>0</v>
      </c>
      <c r="X132" s="1">
        <v>0</v>
      </c>
      <c r="Y132" s="1">
        <v>0</v>
      </c>
      <c r="Z132" s="3" t="s">
        <v>341</v>
      </c>
    </row>
    <row r="133" spans="1:26">
      <c r="A133" s="1">
        <v>40114</v>
      </c>
      <c r="B133" s="1">
        <v>40101</v>
      </c>
      <c r="C133" s="1" t="s">
        <v>119</v>
      </c>
      <c r="D133" s="1" t="str">
        <f t="shared" si="95"/>
        <v>4</v>
      </c>
      <c r="E133" s="1">
        <v>1</v>
      </c>
      <c r="F133" s="1">
        <v>14</v>
      </c>
      <c r="G133" s="1" t="str">
        <f t="shared" si="96"/>
        <v>res40101</v>
      </c>
      <c r="H133" s="1" t="str">
        <f t="shared" si="85"/>
        <v>res40101</v>
      </c>
      <c r="J133" s="1">
        <v>1</v>
      </c>
      <c r="K133" s="1">
        <v>2</v>
      </c>
      <c r="L133" s="1">
        <v>0</v>
      </c>
      <c r="M133" s="1">
        <v>0</v>
      </c>
      <c r="N133" s="1">
        <v>50</v>
      </c>
      <c r="O133" s="1">
        <v>1</v>
      </c>
      <c r="P133" s="2">
        <f t="shared" si="97"/>
        <v>494.696673952512</v>
      </c>
      <c r="Q133" s="2">
        <v>0.29</v>
      </c>
      <c r="R133" s="1">
        <v>0.1</v>
      </c>
      <c r="S133" s="1">
        <v>200</v>
      </c>
      <c r="T133" s="1">
        <v>0</v>
      </c>
      <c r="U133" s="1">
        <v>81001</v>
      </c>
      <c r="V133" s="1">
        <v>0</v>
      </c>
      <c r="W133" s="1">
        <v>0</v>
      </c>
      <c r="X133" s="1">
        <v>0</v>
      </c>
      <c r="Y133" s="1">
        <v>0</v>
      </c>
      <c r="Z133" s="3" t="s">
        <v>341</v>
      </c>
    </row>
    <row r="134" spans="1:26">
      <c r="A134" s="1">
        <v>40115</v>
      </c>
      <c r="B134" s="1">
        <v>40101</v>
      </c>
      <c r="C134" s="1" t="s">
        <v>119</v>
      </c>
      <c r="D134" s="1" t="str">
        <f t="shared" si="95"/>
        <v>4</v>
      </c>
      <c r="E134" s="1">
        <v>1</v>
      </c>
      <c r="F134" s="1">
        <v>15</v>
      </c>
      <c r="G134" s="1" t="str">
        <f t="shared" si="96"/>
        <v>res40101</v>
      </c>
      <c r="H134" s="1" t="str">
        <f t="shared" si="85"/>
        <v>res40101</v>
      </c>
      <c r="J134" s="1">
        <v>1</v>
      </c>
      <c r="K134" s="1">
        <v>2</v>
      </c>
      <c r="L134" s="1">
        <v>0</v>
      </c>
      <c r="M134" s="1">
        <v>0</v>
      </c>
      <c r="N134" s="1">
        <v>50</v>
      </c>
      <c r="O134" s="1">
        <v>1</v>
      </c>
      <c r="P134" s="2">
        <f t="shared" si="97"/>
        <v>667.840509835892</v>
      </c>
      <c r="Q134" s="2">
        <v>0.29</v>
      </c>
      <c r="R134" s="1">
        <v>0.1</v>
      </c>
      <c r="S134" s="1">
        <v>200</v>
      </c>
      <c r="T134" s="1">
        <v>0</v>
      </c>
      <c r="U134" s="1">
        <v>81001</v>
      </c>
      <c r="V134" s="1">
        <v>0</v>
      </c>
      <c r="W134" s="1">
        <v>0</v>
      </c>
      <c r="X134" s="1">
        <v>0</v>
      </c>
      <c r="Y134" s="1">
        <v>0</v>
      </c>
      <c r="Z134" s="3" t="s">
        <v>341</v>
      </c>
    </row>
    <row r="135" spans="1:26">
      <c r="A135" s="1">
        <v>40116</v>
      </c>
      <c r="B135" s="1">
        <v>40101</v>
      </c>
      <c r="C135" s="1" t="s">
        <v>119</v>
      </c>
      <c r="D135" s="1" t="str">
        <f t="shared" si="95"/>
        <v>4</v>
      </c>
      <c r="E135" s="1">
        <v>1</v>
      </c>
      <c r="F135" s="1">
        <v>16</v>
      </c>
      <c r="G135" s="1" t="str">
        <f t="shared" si="96"/>
        <v>res40101</v>
      </c>
      <c r="H135" s="1" t="str">
        <f t="shared" si="85"/>
        <v>res40101</v>
      </c>
      <c r="J135" s="1">
        <v>1</v>
      </c>
      <c r="K135" s="1">
        <v>2</v>
      </c>
      <c r="L135" s="1">
        <v>0</v>
      </c>
      <c r="M135" s="1">
        <v>0</v>
      </c>
      <c r="N135" s="1">
        <v>50</v>
      </c>
      <c r="O135" s="1">
        <v>1</v>
      </c>
      <c r="P135" s="2">
        <f t="shared" si="97"/>
        <v>901.584688278454</v>
      </c>
      <c r="Q135" s="2">
        <v>0.29</v>
      </c>
      <c r="R135" s="1">
        <v>0.1</v>
      </c>
      <c r="S135" s="1">
        <v>200</v>
      </c>
      <c r="T135" s="1">
        <v>0</v>
      </c>
      <c r="U135" s="1">
        <v>81001</v>
      </c>
      <c r="V135" s="1">
        <v>0</v>
      </c>
      <c r="W135" s="1">
        <v>0</v>
      </c>
      <c r="X135" s="1">
        <v>0</v>
      </c>
      <c r="Y135" s="1">
        <v>0</v>
      </c>
      <c r="Z135" s="3" t="s">
        <v>341</v>
      </c>
    </row>
    <row r="136" spans="1:26">
      <c r="A136" s="1">
        <v>40117</v>
      </c>
      <c r="B136" s="1">
        <v>40101</v>
      </c>
      <c r="C136" s="1" t="s">
        <v>119</v>
      </c>
      <c r="D136" s="1" t="str">
        <f t="shared" si="95"/>
        <v>4</v>
      </c>
      <c r="E136" s="1">
        <v>1</v>
      </c>
      <c r="F136" s="1">
        <v>17</v>
      </c>
      <c r="G136" s="1" t="str">
        <f t="shared" si="96"/>
        <v>res40101</v>
      </c>
      <c r="H136" s="1" t="str">
        <f t="shared" si="85"/>
        <v>res40101</v>
      </c>
      <c r="J136" s="1">
        <v>1</v>
      </c>
      <c r="K136" s="1">
        <v>2</v>
      </c>
      <c r="L136" s="1">
        <v>0</v>
      </c>
      <c r="M136" s="1">
        <v>0</v>
      </c>
      <c r="N136" s="1">
        <v>50</v>
      </c>
      <c r="O136" s="1">
        <v>1</v>
      </c>
      <c r="P136" s="2">
        <f t="shared" si="97"/>
        <v>1217.13932917591</v>
      </c>
      <c r="Q136" s="2">
        <v>0.29</v>
      </c>
      <c r="R136" s="1">
        <v>0.1</v>
      </c>
      <c r="S136" s="1">
        <v>200</v>
      </c>
      <c r="T136" s="1">
        <v>0</v>
      </c>
      <c r="U136" s="1">
        <v>81001</v>
      </c>
      <c r="V136" s="1">
        <v>0</v>
      </c>
      <c r="W136" s="1">
        <v>0</v>
      </c>
      <c r="X136" s="1">
        <v>0</v>
      </c>
      <c r="Y136" s="1">
        <v>0</v>
      </c>
      <c r="Z136" s="3" t="s">
        <v>341</v>
      </c>
    </row>
    <row r="137" spans="1:26">
      <c r="A137" s="1">
        <v>40118</v>
      </c>
      <c r="B137" s="1">
        <v>40101</v>
      </c>
      <c r="C137" s="1" t="s">
        <v>119</v>
      </c>
      <c r="D137" s="1" t="str">
        <f t="shared" si="95"/>
        <v>4</v>
      </c>
      <c r="E137" s="1">
        <v>1</v>
      </c>
      <c r="F137" s="1">
        <v>18</v>
      </c>
      <c r="G137" s="1" t="str">
        <f t="shared" si="96"/>
        <v>res40101</v>
      </c>
      <c r="H137" s="1" t="str">
        <f t="shared" si="85"/>
        <v>res40101</v>
      </c>
      <c r="J137" s="1">
        <v>1</v>
      </c>
      <c r="K137" s="1">
        <v>2</v>
      </c>
      <c r="L137" s="1">
        <v>0</v>
      </c>
      <c r="M137" s="1">
        <v>0</v>
      </c>
      <c r="N137" s="1">
        <v>50</v>
      </c>
      <c r="O137" s="1">
        <v>1</v>
      </c>
      <c r="P137" s="2">
        <f t="shared" si="97"/>
        <v>1643.13809438748</v>
      </c>
      <c r="Q137" s="2">
        <v>0.29</v>
      </c>
      <c r="R137" s="1">
        <v>0.1</v>
      </c>
      <c r="S137" s="1">
        <v>200</v>
      </c>
      <c r="T137" s="1">
        <v>0</v>
      </c>
      <c r="U137" s="1">
        <v>81001</v>
      </c>
      <c r="V137" s="1">
        <v>0</v>
      </c>
      <c r="W137" s="1">
        <v>0</v>
      </c>
      <c r="X137" s="1">
        <v>0</v>
      </c>
      <c r="Y137" s="1">
        <v>0</v>
      </c>
      <c r="Z137" s="3" t="s">
        <v>341</v>
      </c>
    </row>
    <row r="138" spans="1:26">
      <c r="A138" s="1">
        <v>40119</v>
      </c>
      <c r="B138" s="1">
        <v>40101</v>
      </c>
      <c r="C138" s="1" t="s">
        <v>119</v>
      </c>
      <c r="D138" s="1" t="str">
        <f t="shared" si="95"/>
        <v>4</v>
      </c>
      <c r="E138" s="1">
        <v>1</v>
      </c>
      <c r="F138" s="1">
        <v>19</v>
      </c>
      <c r="G138" s="1" t="str">
        <f t="shared" si="96"/>
        <v>res40101</v>
      </c>
      <c r="H138" s="1" t="str">
        <f t="shared" si="85"/>
        <v>res40101</v>
      </c>
      <c r="J138" s="1">
        <v>1</v>
      </c>
      <c r="K138" s="1">
        <v>2</v>
      </c>
      <c r="L138" s="1">
        <v>0</v>
      </c>
      <c r="M138" s="1">
        <v>0</v>
      </c>
      <c r="N138" s="1">
        <v>50</v>
      </c>
      <c r="O138" s="1">
        <v>1</v>
      </c>
      <c r="P138" s="2">
        <f t="shared" si="97"/>
        <v>2218.2364274231</v>
      </c>
      <c r="Q138" s="2">
        <v>0.29</v>
      </c>
      <c r="R138" s="1">
        <v>0.1</v>
      </c>
      <c r="S138" s="1">
        <v>200</v>
      </c>
      <c r="T138" s="1">
        <v>0</v>
      </c>
      <c r="U138" s="1">
        <v>81001</v>
      </c>
      <c r="V138" s="1">
        <v>0</v>
      </c>
      <c r="W138" s="1">
        <v>0</v>
      </c>
      <c r="X138" s="1">
        <v>0</v>
      </c>
      <c r="Y138" s="1">
        <v>0</v>
      </c>
      <c r="Z138" s="3" t="s">
        <v>341</v>
      </c>
    </row>
    <row r="139" spans="1:26">
      <c r="A139" s="1">
        <v>40120</v>
      </c>
      <c r="B139" s="1">
        <v>40101</v>
      </c>
      <c r="C139" s="1" t="s">
        <v>119</v>
      </c>
      <c r="D139" s="1" t="str">
        <f t="shared" si="95"/>
        <v>4</v>
      </c>
      <c r="E139" s="1">
        <v>1</v>
      </c>
      <c r="F139" s="1">
        <v>20</v>
      </c>
      <c r="G139" s="1" t="str">
        <f t="shared" si="96"/>
        <v>res40101</v>
      </c>
      <c r="H139" s="1" t="str">
        <f t="shared" si="85"/>
        <v>res40101</v>
      </c>
      <c r="J139" s="1">
        <v>1</v>
      </c>
      <c r="K139" s="1">
        <v>2</v>
      </c>
      <c r="L139" s="1">
        <v>0</v>
      </c>
      <c r="M139" s="1">
        <v>0</v>
      </c>
      <c r="N139" s="1">
        <v>50</v>
      </c>
      <c r="O139" s="1">
        <v>1</v>
      </c>
      <c r="P139" s="2">
        <f t="shared" si="97"/>
        <v>2994.61917702119</v>
      </c>
      <c r="Q139" s="2">
        <v>0.29</v>
      </c>
      <c r="R139" s="1">
        <v>0.1</v>
      </c>
      <c r="S139" s="1">
        <v>200</v>
      </c>
      <c r="T139" s="1">
        <v>0</v>
      </c>
      <c r="U139" s="1">
        <v>81001</v>
      </c>
      <c r="V139" s="1">
        <v>0</v>
      </c>
      <c r="W139" s="1">
        <v>0</v>
      </c>
      <c r="X139" s="1">
        <v>0</v>
      </c>
      <c r="Y139" s="1">
        <v>0</v>
      </c>
      <c r="Z139" s="3" t="s">
        <v>341</v>
      </c>
    </row>
    <row r="140" spans="1:26">
      <c r="A140" s="1">
        <v>40201</v>
      </c>
      <c r="B140" s="1">
        <v>40201</v>
      </c>
      <c r="C140" s="1" t="s">
        <v>123</v>
      </c>
      <c r="D140" s="1" t="str">
        <f t="shared" ref="D140:D157" si="98">LEFT(A140,1)</f>
        <v>4</v>
      </c>
      <c r="E140" s="1">
        <v>2</v>
      </c>
      <c r="F140" s="1">
        <v>1</v>
      </c>
      <c r="G140" s="1" t="str">
        <f>"res"&amp;B140</f>
        <v>res40201</v>
      </c>
      <c r="H140" s="1" t="str">
        <f>"res"&amp;B140</f>
        <v>res40201</v>
      </c>
      <c r="J140" s="1">
        <v>1</v>
      </c>
      <c r="K140" s="1">
        <v>1</v>
      </c>
      <c r="L140" s="1">
        <v>0</v>
      </c>
      <c r="M140" s="1">
        <v>0</v>
      </c>
      <c r="N140" s="1">
        <v>0</v>
      </c>
      <c r="O140" s="1">
        <v>500</v>
      </c>
      <c r="P140" s="2">
        <v>0</v>
      </c>
      <c r="Q140" s="2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 t="s">
        <v>342</v>
      </c>
      <c r="Z140" s="3" t="s">
        <v>343</v>
      </c>
    </row>
    <row r="141" spans="1:26">
      <c r="A141" s="1">
        <v>40202</v>
      </c>
      <c r="B141" s="1">
        <v>40201</v>
      </c>
      <c r="C141" s="1" t="s">
        <v>123</v>
      </c>
      <c r="D141" s="1" t="str">
        <f t="shared" si="98"/>
        <v>4</v>
      </c>
      <c r="E141" s="1">
        <v>2</v>
      </c>
      <c r="F141" s="1">
        <v>2</v>
      </c>
      <c r="G141" s="1" t="str">
        <f t="shared" ref="G141:G158" si="99">"res"&amp;B141</f>
        <v>res40201</v>
      </c>
      <c r="H141" s="1" t="str">
        <f t="shared" ref="H141:H158" si="100">"res"&amp;B141</f>
        <v>res40201</v>
      </c>
      <c r="J141" s="1">
        <v>1</v>
      </c>
      <c r="K141" s="1">
        <v>1</v>
      </c>
      <c r="L141" s="1">
        <v>0</v>
      </c>
      <c r="M141" s="1">
        <v>0</v>
      </c>
      <c r="N141" s="1">
        <v>0</v>
      </c>
      <c r="O141" s="1">
        <v>500</v>
      </c>
      <c r="P141" s="2">
        <v>0</v>
      </c>
      <c r="Q141" s="2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 t="s">
        <v>344</v>
      </c>
      <c r="Z141" s="3" t="s">
        <v>343</v>
      </c>
    </row>
    <row r="142" spans="1:26">
      <c r="A142" s="1">
        <v>40203</v>
      </c>
      <c r="B142" s="1">
        <v>40201</v>
      </c>
      <c r="C142" s="1" t="s">
        <v>123</v>
      </c>
      <c r="D142" s="1" t="str">
        <f t="shared" si="98"/>
        <v>4</v>
      </c>
      <c r="E142" s="1">
        <v>2</v>
      </c>
      <c r="F142" s="1">
        <v>3</v>
      </c>
      <c r="G142" s="1" t="str">
        <f t="shared" si="99"/>
        <v>res40201</v>
      </c>
      <c r="H142" s="1" t="str">
        <f t="shared" si="100"/>
        <v>res40201</v>
      </c>
      <c r="J142" s="1">
        <v>1</v>
      </c>
      <c r="K142" s="1">
        <v>1</v>
      </c>
      <c r="L142" s="1">
        <v>0</v>
      </c>
      <c r="M142" s="1">
        <v>0</v>
      </c>
      <c r="N142" s="1">
        <v>0</v>
      </c>
      <c r="O142" s="1">
        <v>500</v>
      </c>
      <c r="P142" s="2">
        <v>0</v>
      </c>
      <c r="Q142" s="2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 t="s">
        <v>345</v>
      </c>
      <c r="Z142" s="3" t="s">
        <v>343</v>
      </c>
    </row>
    <row r="143" spans="1:26">
      <c r="A143" s="1">
        <v>40301</v>
      </c>
      <c r="B143" s="1">
        <v>40301</v>
      </c>
      <c r="C143" s="1" t="s">
        <v>127</v>
      </c>
      <c r="D143" s="1" t="str">
        <f t="shared" si="98"/>
        <v>4</v>
      </c>
      <c r="E143" s="1">
        <v>2</v>
      </c>
      <c r="F143" s="1">
        <v>1</v>
      </c>
      <c r="G143" s="1" t="str">
        <f t="shared" si="99"/>
        <v>res40301</v>
      </c>
      <c r="H143" s="1" t="str">
        <f t="shared" si="100"/>
        <v>res40301</v>
      </c>
      <c r="J143" s="1">
        <v>1</v>
      </c>
      <c r="K143" s="1">
        <v>1</v>
      </c>
      <c r="L143" s="1">
        <v>0</v>
      </c>
      <c r="M143" s="1">
        <v>0</v>
      </c>
      <c r="N143" s="1">
        <v>0</v>
      </c>
      <c r="O143" s="1">
        <v>50</v>
      </c>
      <c r="P143" s="2">
        <v>0</v>
      </c>
      <c r="Q143" s="2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 t="s">
        <v>346</v>
      </c>
      <c r="Z143" s="3" t="s">
        <v>347</v>
      </c>
    </row>
    <row r="144" spans="1:26">
      <c r="A144" s="1">
        <v>40302</v>
      </c>
      <c r="B144" s="1">
        <v>40301</v>
      </c>
      <c r="C144" s="1" t="s">
        <v>127</v>
      </c>
      <c r="D144" s="1" t="str">
        <f t="shared" si="98"/>
        <v>4</v>
      </c>
      <c r="E144" s="1">
        <v>2</v>
      </c>
      <c r="F144" s="1">
        <v>2</v>
      </c>
      <c r="G144" s="1" t="str">
        <f t="shared" si="99"/>
        <v>res40301</v>
      </c>
      <c r="H144" s="1" t="str">
        <f t="shared" si="100"/>
        <v>res40301</v>
      </c>
      <c r="J144" s="1">
        <v>1</v>
      </c>
      <c r="K144" s="1">
        <v>1</v>
      </c>
      <c r="L144" s="1">
        <v>0</v>
      </c>
      <c r="M144" s="1">
        <v>0</v>
      </c>
      <c r="N144" s="1">
        <v>0</v>
      </c>
      <c r="O144" s="1">
        <v>50</v>
      </c>
      <c r="P144" s="2">
        <v>0</v>
      </c>
      <c r="Q144" s="2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 t="s">
        <v>348</v>
      </c>
      <c r="Z144" s="3" t="s">
        <v>347</v>
      </c>
    </row>
    <row r="145" spans="1:26">
      <c r="A145" s="1">
        <v>40303</v>
      </c>
      <c r="B145" s="1">
        <v>40301</v>
      </c>
      <c r="C145" s="1" t="s">
        <v>127</v>
      </c>
      <c r="D145" s="1" t="str">
        <f t="shared" si="98"/>
        <v>4</v>
      </c>
      <c r="E145" s="1">
        <v>2</v>
      </c>
      <c r="F145" s="1">
        <v>3</v>
      </c>
      <c r="G145" s="1" t="str">
        <f t="shared" si="99"/>
        <v>res40301</v>
      </c>
      <c r="H145" s="1" t="str">
        <f t="shared" si="100"/>
        <v>res40301</v>
      </c>
      <c r="J145" s="1">
        <v>1</v>
      </c>
      <c r="K145" s="1">
        <v>1</v>
      </c>
      <c r="L145" s="1">
        <v>0</v>
      </c>
      <c r="M145" s="1">
        <v>0</v>
      </c>
      <c r="N145" s="1">
        <v>0</v>
      </c>
      <c r="O145" s="1">
        <v>50</v>
      </c>
      <c r="P145" s="2">
        <v>0</v>
      </c>
      <c r="Q145" s="2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 t="s">
        <v>349</v>
      </c>
      <c r="Z145" s="3" t="s">
        <v>347</v>
      </c>
    </row>
    <row r="146" spans="1:26">
      <c r="A146" s="1">
        <v>40401</v>
      </c>
      <c r="B146" s="1">
        <v>40401</v>
      </c>
      <c r="C146" s="1" t="s">
        <v>130</v>
      </c>
      <c r="D146" s="1" t="str">
        <f t="shared" si="98"/>
        <v>4</v>
      </c>
      <c r="E146" s="1">
        <v>6</v>
      </c>
      <c r="F146" s="1">
        <v>1</v>
      </c>
      <c r="G146" s="1" t="str">
        <f t="shared" si="99"/>
        <v>res40401</v>
      </c>
      <c r="H146" s="1" t="str">
        <f t="shared" si="100"/>
        <v>res40401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2">
        <v>0</v>
      </c>
      <c r="Q146" s="2">
        <v>0</v>
      </c>
      <c r="R146" s="1">
        <v>0</v>
      </c>
      <c r="S146" s="1">
        <v>0</v>
      </c>
      <c r="T146" s="1">
        <v>0</v>
      </c>
      <c r="U146" s="1">
        <v>32001</v>
      </c>
      <c r="V146" s="1">
        <v>0</v>
      </c>
      <c r="W146" s="1">
        <v>0</v>
      </c>
      <c r="X146" s="1">
        <v>0</v>
      </c>
      <c r="Y146" s="1">
        <v>0</v>
      </c>
      <c r="Z146" s="3" t="s">
        <v>350</v>
      </c>
    </row>
    <row r="147" spans="1:26">
      <c r="A147" s="1">
        <v>40501</v>
      </c>
      <c r="B147" s="1">
        <v>40501</v>
      </c>
      <c r="C147" s="1" t="s">
        <v>134</v>
      </c>
      <c r="D147" s="1" t="str">
        <f t="shared" si="98"/>
        <v>4</v>
      </c>
      <c r="E147" s="1">
        <v>5</v>
      </c>
      <c r="F147" s="1">
        <v>1</v>
      </c>
      <c r="G147" s="1" t="str">
        <f t="shared" si="99"/>
        <v>res40501</v>
      </c>
      <c r="H147" s="1" t="str">
        <f t="shared" si="100"/>
        <v>res40501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2">
        <v>0</v>
      </c>
      <c r="Q147" s="2">
        <v>0</v>
      </c>
      <c r="R147" s="1">
        <v>0</v>
      </c>
      <c r="S147" s="1">
        <v>0</v>
      </c>
      <c r="T147" s="1">
        <v>0</v>
      </c>
      <c r="U147" s="1">
        <v>22001</v>
      </c>
      <c r="V147" s="1">
        <v>0</v>
      </c>
      <c r="W147" s="1">
        <v>0</v>
      </c>
      <c r="X147" s="1">
        <v>0</v>
      </c>
      <c r="Y147" s="1">
        <v>0</v>
      </c>
      <c r="Z147" s="3" t="s">
        <v>351</v>
      </c>
    </row>
    <row r="148" spans="1:26">
      <c r="A148" s="1">
        <v>40601</v>
      </c>
      <c r="B148" s="1">
        <v>40601</v>
      </c>
      <c r="C148" s="1" t="s">
        <v>138</v>
      </c>
      <c r="D148" s="1" t="str">
        <f t="shared" si="98"/>
        <v>4</v>
      </c>
      <c r="E148" s="1">
        <v>6</v>
      </c>
      <c r="F148" s="1">
        <v>1</v>
      </c>
      <c r="G148" s="1" t="str">
        <f t="shared" si="99"/>
        <v>res40601</v>
      </c>
      <c r="H148" s="1" t="str">
        <f t="shared" si="100"/>
        <v>res40601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2">
        <v>0</v>
      </c>
      <c r="Q148" s="2">
        <v>0</v>
      </c>
      <c r="R148" s="1">
        <v>0</v>
      </c>
      <c r="S148" s="1">
        <v>0</v>
      </c>
      <c r="T148" s="1">
        <v>0</v>
      </c>
      <c r="U148" s="1">
        <v>33001</v>
      </c>
      <c r="V148" s="1">
        <v>0</v>
      </c>
      <c r="W148" s="1">
        <v>0</v>
      </c>
      <c r="X148" s="1">
        <v>0</v>
      </c>
      <c r="Y148" s="1">
        <v>0</v>
      </c>
      <c r="Z148" s="3" t="s">
        <v>352</v>
      </c>
    </row>
    <row r="149" spans="1:26">
      <c r="A149" s="1">
        <v>40701</v>
      </c>
      <c r="B149" s="1">
        <v>40701</v>
      </c>
      <c r="C149" s="1" t="s">
        <v>141</v>
      </c>
      <c r="D149" s="1" t="str">
        <f t="shared" si="98"/>
        <v>4</v>
      </c>
      <c r="E149" s="1">
        <v>2</v>
      </c>
      <c r="F149" s="1">
        <v>1</v>
      </c>
      <c r="G149" s="1" t="str">
        <f t="shared" si="99"/>
        <v>res40701</v>
      </c>
      <c r="H149" s="1" t="str">
        <f t="shared" si="100"/>
        <v>res40701</v>
      </c>
      <c r="J149" s="1">
        <v>1</v>
      </c>
      <c r="K149" s="1">
        <v>1</v>
      </c>
      <c r="L149" s="1">
        <v>0</v>
      </c>
      <c r="M149" s="1">
        <v>0</v>
      </c>
      <c r="N149" s="1">
        <v>0</v>
      </c>
      <c r="O149" s="1">
        <v>50</v>
      </c>
      <c r="P149" s="2">
        <v>0</v>
      </c>
      <c r="Q149" s="2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 t="s">
        <v>353</v>
      </c>
      <c r="Z149" s="3" t="s">
        <v>354</v>
      </c>
    </row>
    <row r="150" spans="1:26">
      <c r="A150" s="1">
        <v>40702</v>
      </c>
      <c r="B150" s="1">
        <v>40701</v>
      </c>
      <c r="C150" s="1" t="s">
        <v>141</v>
      </c>
      <c r="D150" s="1" t="str">
        <f t="shared" si="98"/>
        <v>4</v>
      </c>
      <c r="E150" s="1">
        <v>2</v>
      </c>
      <c r="F150" s="1">
        <v>2</v>
      </c>
      <c r="G150" s="1" t="str">
        <f t="shared" si="99"/>
        <v>res40701</v>
      </c>
      <c r="H150" s="1" t="str">
        <f t="shared" si="100"/>
        <v>res40701</v>
      </c>
      <c r="J150" s="1">
        <v>1</v>
      </c>
      <c r="K150" s="1">
        <v>1</v>
      </c>
      <c r="L150" s="1">
        <v>0</v>
      </c>
      <c r="M150" s="1">
        <v>0</v>
      </c>
      <c r="N150" s="1">
        <v>0</v>
      </c>
      <c r="O150" s="1">
        <v>50</v>
      </c>
      <c r="P150" s="2">
        <v>0</v>
      </c>
      <c r="Q150" s="2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 t="s">
        <v>355</v>
      </c>
      <c r="Z150" s="3" t="s">
        <v>354</v>
      </c>
    </row>
    <row r="151" spans="1:26">
      <c r="A151" s="1">
        <v>40703</v>
      </c>
      <c r="B151" s="1">
        <v>40701</v>
      </c>
      <c r="C151" s="1" t="s">
        <v>141</v>
      </c>
      <c r="D151" s="1" t="str">
        <f t="shared" si="98"/>
        <v>4</v>
      </c>
      <c r="E151" s="1">
        <v>2</v>
      </c>
      <c r="F151" s="1">
        <v>3</v>
      </c>
      <c r="G151" s="1" t="str">
        <f t="shared" si="99"/>
        <v>res40701</v>
      </c>
      <c r="H151" s="1" t="str">
        <f t="shared" si="100"/>
        <v>res40701</v>
      </c>
      <c r="J151" s="1">
        <v>1</v>
      </c>
      <c r="K151" s="1">
        <v>1</v>
      </c>
      <c r="L151" s="1">
        <v>0</v>
      </c>
      <c r="M151" s="1">
        <v>0</v>
      </c>
      <c r="N151" s="1">
        <v>0</v>
      </c>
      <c r="O151" s="1">
        <v>50</v>
      </c>
      <c r="P151" s="2">
        <v>0</v>
      </c>
      <c r="Q151" s="2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 t="s">
        <v>356</v>
      </c>
      <c r="Z151" s="3" t="s">
        <v>354</v>
      </c>
    </row>
    <row r="152" spans="1:26">
      <c r="A152" s="1">
        <v>40801</v>
      </c>
      <c r="B152" s="1">
        <v>40801</v>
      </c>
      <c r="C152" s="1" t="s">
        <v>144</v>
      </c>
      <c r="D152" s="1" t="str">
        <f t="shared" si="98"/>
        <v>4</v>
      </c>
      <c r="E152" s="1">
        <v>4</v>
      </c>
      <c r="F152" s="1">
        <v>1</v>
      </c>
      <c r="G152" s="1" t="str">
        <f t="shared" si="99"/>
        <v>res40801</v>
      </c>
      <c r="H152" s="1" t="str">
        <f t="shared" si="100"/>
        <v>res40801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2">
        <v>0</v>
      </c>
      <c r="Q152" s="2">
        <v>0</v>
      </c>
      <c r="R152" s="1">
        <v>0</v>
      </c>
      <c r="S152" s="1">
        <v>0</v>
      </c>
      <c r="T152" s="1">
        <v>0</v>
      </c>
      <c r="U152" s="1">
        <v>12001</v>
      </c>
      <c r="V152" s="1">
        <v>0</v>
      </c>
      <c r="W152" s="1">
        <v>0</v>
      </c>
      <c r="X152" s="1">
        <v>1</v>
      </c>
      <c r="Y152" s="1">
        <v>0</v>
      </c>
      <c r="Z152" s="3" t="s">
        <v>357</v>
      </c>
    </row>
    <row r="153" spans="1:26">
      <c r="A153" s="1">
        <v>40802</v>
      </c>
      <c r="B153" s="1">
        <v>40801</v>
      </c>
      <c r="C153" s="1" t="s">
        <v>144</v>
      </c>
      <c r="D153" s="1" t="str">
        <f t="shared" si="98"/>
        <v>4</v>
      </c>
      <c r="E153" s="1">
        <v>4</v>
      </c>
      <c r="F153" s="1">
        <v>2</v>
      </c>
      <c r="G153" s="1" t="str">
        <f t="shared" si="99"/>
        <v>res40801</v>
      </c>
      <c r="H153" s="1" t="str">
        <f t="shared" si="100"/>
        <v>res40801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2">
        <v>0</v>
      </c>
      <c r="Q153" s="2">
        <v>0</v>
      </c>
      <c r="R153" s="1">
        <v>0</v>
      </c>
      <c r="S153" s="1">
        <v>0</v>
      </c>
      <c r="T153" s="1">
        <v>0</v>
      </c>
      <c r="U153" s="1">
        <v>12001</v>
      </c>
      <c r="V153" s="1">
        <v>0</v>
      </c>
      <c r="W153" s="1">
        <v>0</v>
      </c>
      <c r="X153" s="1">
        <v>2</v>
      </c>
      <c r="Y153" s="1">
        <v>0</v>
      </c>
      <c r="Z153" s="3" t="s">
        <v>357</v>
      </c>
    </row>
    <row r="154" spans="1:26">
      <c r="A154" s="1">
        <v>40803</v>
      </c>
      <c r="B154" s="1">
        <v>40801</v>
      </c>
      <c r="C154" s="1" t="s">
        <v>144</v>
      </c>
      <c r="D154" s="1" t="str">
        <f t="shared" si="98"/>
        <v>4</v>
      </c>
      <c r="E154" s="1">
        <v>4</v>
      </c>
      <c r="F154" s="1">
        <v>3</v>
      </c>
      <c r="G154" s="1" t="str">
        <f t="shared" si="99"/>
        <v>res40801</v>
      </c>
      <c r="H154" s="1" t="str">
        <f t="shared" si="100"/>
        <v>res40801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2">
        <v>0</v>
      </c>
      <c r="Q154" s="2">
        <v>0</v>
      </c>
      <c r="R154" s="1">
        <v>0</v>
      </c>
      <c r="S154" s="1">
        <v>0</v>
      </c>
      <c r="T154" s="1">
        <v>0</v>
      </c>
      <c r="U154" s="1">
        <v>12001</v>
      </c>
      <c r="V154" s="1">
        <v>0</v>
      </c>
      <c r="W154" s="1">
        <v>0</v>
      </c>
      <c r="X154" s="1">
        <v>3</v>
      </c>
      <c r="Y154" s="1">
        <v>0</v>
      </c>
      <c r="Z154" s="3" t="s">
        <v>357</v>
      </c>
    </row>
    <row r="155" spans="1:26">
      <c r="A155" s="1">
        <v>40901</v>
      </c>
      <c r="B155" s="1">
        <v>40901</v>
      </c>
      <c r="C155" s="1" t="s">
        <v>148</v>
      </c>
      <c r="D155" s="1" t="str">
        <f t="shared" si="98"/>
        <v>4</v>
      </c>
      <c r="E155" s="1">
        <v>3</v>
      </c>
      <c r="F155" s="1">
        <v>1</v>
      </c>
      <c r="G155" s="1" t="str">
        <f t="shared" si="99"/>
        <v>res40901</v>
      </c>
      <c r="H155" s="1" t="str">
        <f t="shared" si="100"/>
        <v>res40901</v>
      </c>
      <c r="J155" s="1">
        <v>1</v>
      </c>
      <c r="K155" s="1">
        <v>3</v>
      </c>
      <c r="L155" s="1">
        <v>3</v>
      </c>
      <c r="M155" s="1">
        <v>0</v>
      </c>
      <c r="N155" s="1">
        <v>0</v>
      </c>
      <c r="O155" s="1">
        <v>1</v>
      </c>
      <c r="P155" s="2">
        <v>4</v>
      </c>
      <c r="Q155" s="2">
        <v>0</v>
      </c>
      <c r="R155" s="1">
        <v>0.1</v>
      </c>
      <c r="S155" s="1">
        <v>200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3" t="s">
        <v>358</v>
      </c>
    </row>
    <row r="156" spans="1:26">
      <c r="A156" s="1">
        <v>40902</v>
      </c>
      <c r="B156" s="1">
        <v>40901</v>
      </c>
      <c r="C156" s="1" t="s">
        <v>148</v>
      </c>
      <c r="D156" s="1" t="str">
        <f t="shared" si="98"/>
        <v>4</v>
      </c>
      <c r="E156" s="1">
        <v>3</v>
      </c>
      <c r="F156" s="1">
        <v>2</v>
      </c>
      <c r="G156" s="1" t="str">
        <f t="shared" si="99"/>
        <v>res40901</v>
      </c>
      <c r="H156" s="1" t="str">
        <f t="shared" si="100"/>
        <v>res40901</v>
      </c>
      <c r="J156" s="1">
        <v>1</v>
      </c>
      <c r="K156" s="1">
        <v>3</v>
      </c>
      <c r="L156" s="1">
        <v>4</v>
      </c>
      <c r="M156" s="1">
        <v>0</v>
      </c>
      <c r="N156" s="1">
        <v>0</v>
      </c>
      <c r="O156" s="1">
        <v>1</v>
      </c>
      <c r="P156" s="2">
        <v>5</v>
      </c>
      <c r="Q156" s="2">
        <v>0</v>
      </c>
      <c r="R156" s="1">
        <v>0.1</v>
      </c>
      <c r="S156" s="1">
        <v>200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3" t="s">
        <v>358</v>
      </c>
    </row>
    <row r="157" spans="1:26">
      <c r="A157" s="1">
        <v>40903</v>
      </c>
      <c r="B157" s="1">
        <v>40901</v>
      </c>
      <c r="C157" s="1" t="s">
        <v>148</v>
      </c>
      <c r="D157" s="1" t="str">
        <f t="shared" si="98"/>
        <v>4</v>
      </c>
      <c r="E157" s="1">
        <v>3</v>
      </c>
      <c r="F157" s="1">
        <v>3</v>
      </c>
      <c r="G157" s="1" t="str">
        <f t="shared" si="99"/>
        <v>res40901</v>
      </c>
      <c r="H157" s="1" t="str">
        <f t="shared" si="100"/>
        <v>res40901</v>
      </c>
      <c r="J157" s="1">
        <v>1</v>
      </c>
      <c r="K157" s="1">
        <v>3</v>
      </c>
      <c r="L157" s="1">
        <v>5</v>
      </c>
      <c r="M157" s="1">
        <v>0</v>
      </c>
      <c r="N157" s="1">
        <v>0</v>
      </c>
      <c r="O157" s="1">
        <v>1</v>
      </c>
      <c r="P157" s="2">
        <v>6</v>
      </c>
      <c r="Q157" s="2">
        <v>0</v>
      </c>
      <c r="R157" s="1">
        <v>0.1</v>
      </c>
      <c r="S157" s="1">
        <v>200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3" t="s">
        <v>358</v>
      </c>
    </row>
    <row r="158" spans="1:26">
      <c r="A158" s="1">
        <v>50101</v>
      </c>
      <c r="B158" s="1">
        <v>50101</v>
      </c>
      <c r="C158" s="1" t="s">
        <v>152</v>
      </c>
      <c r="D158" s="1">
        <v>5</v>
      </c>
      <c r="E158" s="1">
        <v>1</v>
      </c>
      <c r="F158" s="1">
        <v>1</v>
      </c>
      <c r="G158" s="1" t="str">
        <f t="shared" si="99"/>
        <v>res50101</v>
      </c>
      <c r="H158" s="1" t="str">
        <f t="shared" si="100"/>
        <v>res50101</v>
      </c>
      <c r="J158" s="1">
        <v>1</v>
      </c>
      <c r="K158" s="1">
        <v>2</v>
      </c>
      <c r="L158" s="1">
        <v>0</v>
      </c>
      <c r="M158" s="1">
        <v>0</v>
      </c>
      <c r="N158" s="1">
        <v>200</v>
      </c>
      <c r="O158" s="1">
        <v>1</v>
      </c>
      <c r="P158" s="2">
        <v>10</v>
      </c>
      <c r="Q158" s="2">
        <v>0.29</v>
      </c>
      <c r="R158" s="1">
        <v>0.1</v>
      </c>
      <c r="S158" s="1">
        <v>200</v>
      </c>
      <c r="T158" s="1">
        <v>0</v>
      </c>
      <c r="U158" s="1">
        <v>14001</v>
      </c>
      <c r="V158" s="1">
        <v>0</v>
      </c>
      <c r="W158" s="1">
        <v>0</v>
      </c>
      <c r="X158" s="1">
        <v>0</v>
      </c>
      <c r="Y158" s="1">
        <v>0</v>
      </c>
      <c r="Z158" s="3" t="s">
        <v>359</v>
      </c>
    </row>
    <row r="159" spans="1:26">
      <c r="A159" s="1">
        <v>50102</v>
      </c>
      <c r="B159" s="1">
        <v>50101</v>
      </c>
      <c r="C159" s="1" t="s">
        <v>152</v>
      </c>
      <c r="D159" s="1">
        <v>5</v>
      </c>
      <c r="E159" s="1">
        <v>1</v>
      </c>
      <c r="F159" s="1">
        <v>2</v>
      </c>
      <c r="G159" s="1" t="str">
        <f t="shared" ref="G159:G177" si="101">"res"&amp;B159</f>
        <v>res50101</v>
      </c>
      <c r="H159" s="1" t="str">
        <f t="shared" ref="H159:H177" si="102">"res"&amp;B159</f>
        <v>res50101</v>
      </c>
      <c r="J159" s="1">
        <v>1</v>
      </c>
      <c r="K159" s="1">
        <v>2</v>
      </c>
      <c r="L159" s="1">
        <v>0</v>
      </c>
      <c r="M159" s="1">
        <v>0</v>
      </c>
      <c r="N159" s="1">
        <v>200</v>
      </c>
      <c r="O159" s="1">
        <v>1</v>
      </c>
      <c r="P159" s="2">
        <f t="shared" ref="P159:P177" si="103">P158*1.35</f>
        <v>13.5</v>
      </c>
      <c r="Q159" s="2">
        <v>0.29</v>
      </c>
      <c r="R159" s="1">
        <v>0.1</v>
      </c>
      <c r="S159" s="1">
        <v>200</v>
      </c>
      <c r="T159" s="1">
        <v>0</v>
      </c>
      <c r="U159" s="1">
        <v>14001</v>
      </c>
      <c r="V159" s="1">
        <v>0</v>
      </c>
      <c r="W159" s="1">
        <v>0</v>
      </c>
      <c r="X159" s="1">
        <v>0</v>
      </c>
      <c r="Y159" s="1">
        <v>0</v>
      </c>
      <c r="Z159" s="3" t="s">
        <v>359</v>
      </c>
    </row>
    <row r="160" spans="1:26">
      <c r="A160" s="1">
        <v>50103</v>
      </c>
      <c r="B160" s="1">
        <v>50101</v>
      </c>
      <c r="C160" s="1" t="s">
        <v>152</v>
      </c>
      <c r="D160" s="1">
        <v>5</v>
      </c>
      <c r="E160" s="1">
        <v>1</v>
      </c>
      <c r="F160" s="1">
        <v>3</v>
      </c>
      <c r="G160" s="1" t="str">
        <f t="shared" si="101"/>
        <v>res50101</v>
      </c>
      <c r="H160" s="1" t="str">
        <f t="shared" si="102"/>
        <v>res50101</v>
      </c>
      <c r="J160" s="1">
        <v>1</v>
      </c>
      <c r="K160" s="1">
        <v>2</v>
      </c>
      <c r="L160" s="1">
        <v>0</v>
      </c>
      <c r="M160" s="1">
        <v>0</v>
      </c>
      <c r="N160" s="1">
        <v>200</v>
      </c>
      <c r="O160" s="1">
        <v>1</v>
      </c>
      <c r="P160" s="2">
        <f t="shared" si="103"/>
        <v>18.225</v>
      </c>
      <c r="Q160" s="2">
        <v>0.29</v>
      </c>
      <c r="R160" s="1">
        <v>0.1</v>
      </c>
      <c r="S160" s="1">
        <v>200</v>
      </c>
      <c r="T160" s="1">
        <v>0</v>
      </c>
      <c r="U160" s="1">
        <v>14001</v>
      </c>
      <c r="V160" s="1">
        <v>0</v>
      </c>
      <c r="W160" s="1">
        <v>0</v>
      </c>
      <c r="X160" s="1">
        <v>0</v>
      </c>
      <c r="Y160" s="1">
        <v>0</v>
      </c>
      <c r="Z160" s="3" t="s">
        <v>359</v>
      </c>
    </row>
    <row r="161" spans="1:26">
      <c r="A161" s="1">
        <v>50104</v>
      </c>
      <c r="B161" s="1">
        <v>50101</v>
      </c>
      <c r="C161" s="1" t="s">
        <v>152</v>
      </c>
      <c r="D161" s="1">
        <v>5</v>
      </c>
      <c r="E161" s="1">
        <v>1</v>
      </c>
      <c r="F161" s="1">
        <v>4</v>
      </c>
      <c r="G161" s="1" t="str">
        <f t="shared" si="101"/>
        <v>res50101</v>
      </c>
      <c r="H161" s="1" t="str">
        <f t="shared" si="102"/>
        <v>res50101</v>
      </c>
      <c r="J161" s="1">
        <v>1</v>
      </c>
      <c r="K161" s="1">
        <v>2</v>
      </c>
      <c r="L161" s="1">
        <v>0</v>
      </c>
      <c r="M161" s="1">
        <v>0</v>
      </c>
      <c r="N161" s="1">
        <v>200</v>
      </c>
      <c r="O161" s="1">
        <v>1</v>
      </c>
      <c r="P161" s="2">
        <f t="shared" si="103"/>
        <v>24.60375</v>
      </c>
      <c r="Q161" s="2">
        <v>0.29</v>
      </c>
      <c r="R161" s="1">
        <v>0.1</v>
      </c>
      <c r="S161" s="1">
        <v>200</v>
      </c>
      <c r="T161" s="1">
        <v>0</v>
      </c>
      <c r="U161" s="1">
        <v>14001</v>
      </c>
      <c r="V161" s="1">
        <v>0</v>
      </c>
      <c r="W161" s="1">
        <v>0</v>
      </c>
      <c r="X161" s="1">
        <v>0</v>
      </c>
      <c r="Y161" s="1">
        <v>0</v>
      </c>
      <c r="Z161" s="3" t="s">
        <v>359</v>
      </c>
    </row>
    <row r="162" spans="1:26">
      <c r="A162" s="1">
        <v>50105</v>
      </c>
      <c r="B162" s="1">
        <v>50101</v>
      </c>
      <c r="C162" s="1" t="s">
        <v>152</v>
      </c>
      <c r="D162" s="1">
        <v>5</v>
      </c>
      <c r="E162" s="1">
        <v>1</v>
      </c>
      <c r="F162" s="1">
        <v>5</v>
      </c>
      <c r="G162" s="1" t="str">
        <f t="shared" si="101"/>
        <v>res50101</v>
      </c>
      <c r="H162" s="1" t="str">
        <f t="shared" si="102"/>
        <v>res50101</v>
      </c>
      <c r="J162" s="1">
        <v>1</v>
      </c>
      <c r="K162" s="1">
        <v>2</v>
      </c>
      <c r="L162" s="1">
        <v>0</v>
      </c>
      <c r="M162" s="1">
        <v>0</v>
      </c>
      <c r="N162" s="1">
        <v>200</v>
      </c>
      <c r="O162" s="1">
        <v>1</v>
      </c>
      <c r="P162" s="2">
        <f t="shared" si="103"/>
        <v>33.2150625</v>
      </c>
      <c r="Q162" s="2">
        <v>0.29</v>
      </c>
      <c r="R162" s="1">
        <v>0.1</v>
      </c>
      <c r="S162" s="1">
        <v>200</v>
      </c>
      <c r="T162" s="1">
        <v>0</v>
      </c>
      <c r="U162" s="1">
        <v>14001</v>
      </c>
      <c r="V162" s="1">
        <v>0</v>
      </c>
      <c r="W162" s="1">
        <v>0</v>
      </c>
      <c r="X162" s="1">
        <v>0</v>
      </c>
      <c r="Y162" s="1">
        <v>0</v>
      </c>
      <c r="Z162" s="3" t="s">
        <v>359</v>
      </c>
    </row>
    <row r="163" spans="1:26">
      <c r="A163" s="1">
        <v>50106</v>
      </c>
      <c r="B163" s="1">
        <v>50101</v>
      </c>
      <c r="C163" s="1" t="s">
        <v>152</v>
      </c>
      <c r="D163" s="1">
        <v>5</v>
      </c>
      <c r="E163" s="1">
        <v>1</v>
      </c>
      <c r="F163" s="1">
        <v>6</v>
      </c>
      <c r="G163" s="1" t="str">
        <f t="shared" si="101"/>
        <v>res50101</v>
      </c>
      <c r="H163" s="1" t="str">
        <f t="shared" si="102"/>
        <v>res50101</v>
      </c>
      <c r="J163" s="1">
        <v>1</v>
      </c>
      <c r="K163" s="1">
        <v>2</v>
      </c>
      <c r="L163" s="1">
        <v>0</v>
      </c>
      <c r="M163" s="1">
        <v>0</v>
      </c>
      <c r="N163" s="1">
        <v>200</v>
      </c>
      <c r="O163" s="1">
        <v>1</v>
      </c>
      <c r="P163" s="2">
        <f t="shared" si="103"/>
        <v>44.840334375</v>
      </c>
      <c r="Q163" s="2">
        <v>0.29</v>
      </c>
      <c r="R163" s="1">
        <v>0.1</v>
      </c>
      <c r="S163" s="1">
        <v>200</v>
      </c>
      <c r="T163" s="1">
        <v>0</v>
      </c>
      <c r="U163" s="1">
        <v>14001</v>
      </c>
      <c r="V163" s="1">
        <v>0</v>
      </c>
      <c r="W163" s="1">
        <v>0</v>
      </c>
      <c r="X163" s="1">
        <v>0</v>
      </c>
      <c r="Y163" s="1">
        <v>0</v>
      </c>
      <c r="Z163" s="3" t="s">
        <v>359</v>
      </c>
    </row>
    <row r="164" spans="1:26">
      <c r="A164" s="1">
        <v>50107</v>
      </c>
      <c r="B164" s="1">
        <v>50101</v>
      </c>
      <c r="C164" s="1" t="s">
        <v>152</v>
      </c>
      <c r="D164" s="1">
        <v>5</v>
      </c>
      <c r="E164" s="1">
        <v>1</v>
      </c>
      <c r="F164" s="1">
        <v>7</v>
      </c>
      <c r="G164" s="1" t="str">
        <f t="shared" si="101"/>
        <v>res50101</v>
      </c>
      <c r="H164" s="1" t="str">
        <f t="shared" si="102"/>
        <v>res50101</v>
      </c>
      <c r="J164" s="1">
        <v>1</v>
      </c>
      <c r="K164" s="1">
        <v>2</v>
      </c>
      <c r="L164" s="1">
        <v>0</v>
      </c>
      <c r="M164" s="1">
        <v>0</v>
      </c>
      <c r="N164" s="1">
        <v>200</v>
      </c>
      <c r="O164" s="1">
        <v>1</v>
      </c>
      <c r="P164" s="2">
        <f t="shared" si="103"/>
        <v>60.53445140625</v>
      </c>
      <c r="Q164" s="2">
        <v>0.29</v>
      </c>
      <c r="R164" s="1">
        <v>0.1</v>
      </c>
      <c r="S164" s="1">
        <v>200</v>
      </c>
      <c r="T164" s="1">
        <v>0</v>
      </c>
      <c r="U164" s="1">
        <v>14001</v>
      </c>
      <c r="V164" s="1">
        <v>0</v>
      </c>
      <c r="W164" s="1">
        <v>0</v>
      </c>
      <c r="X164" s="1">
        <v>0</v>
      </c>
      <c r="Y164" s="1">
        <v>0</v>
      </c>
      <c r="Z164" s="3" t="s">
        <v>359</v>
      </c>
    </row>
    <row r="165" spans="1:26">
      <c r="A165" s="1">
        <v>50108</v>
      </c>
      <c r="B165" s="1">
        <v>50101</v>
      </c>
      <c r="C165" s="1" t="s">
        <v>152</v>
      </c>
      <c r="D165" s="1">
        <v>5</v>
      </c>
      <c r="E165" s="1">
        <v>1</v>
      </c>
      <c r="F165" s="1">
        <v>8</v>
      </c>
      <c r="G165" s="1" t="str">
        <f t="shared" si="101"/>
        <v>res50101</v>
      </c>
      <c r="H165" s="1" t="str">
        <f t="shared" si="102"/>
        <v>res50101</v>
      </c>
      <c r="J165" s="1">
        <v>1</v>
      </c>
      <c r="K165" s="1">
        <v>2</v>
      </c>
      <c r="L165" s="1">
        <v>0</v>
      </c>
      <c r="M165" s="1">
        <v>0</v>
      </c>
      <c r="N165" s="1">
        <v>200</v>
      </c>
      <c r="O165" s="1">
        <v>1</v>
      </c>
      <c r="P165" s="2">
        <f t="shared" si="103"/>
        <v>81.7215093984375</v>
      </c>
      <c r="Q165" s="2">
        <v>0.29</v>
      </c>
      <c r="R165" s="1">
        <v>0.1</v>
      </c>
      <c r="S165" s="1">
        <v>200</v>
      </c>
      <c r="T165" s="1">
        <v>0</v>
      </c>
      <c r="U165" s="1">
        <v>14001</v>
      </c>
      <c r="V165" s="1">
        <v>0</v>
      </c>
      <c r="W165" s="1">
        <v>0</v>
      </c>
      <c r="X165" s="1">
        <v>0</v>
      </c>
      <c r="Y165" s="1">
        <v>0</v>
      </c>
      <c r="Z165" s="3" t="s">
        <v>359</v>
      </c>
    </row>
    <row r="166" spans="1:26">
      <c r="A166" s="1">
        <v>50109</v>
      </c>
      <c r="B166" s="1">
        <v>50101</v>
      </c>
      <c r="C166" s="1" t="s">
        <v>152</v>
      </c>
      <c r="D166" s="1">
        <v>5</v>
      </c>
      <c r="E166" s="1">
        <v>1</v>
      </c>
      <c r="F166" s="1">
        <v>9</v>
      </c>
      <c r="G166" s="1" t="str">
        <f t="shared" si="101"/>
        <v>res50101</v>
      </c>
      <c r="H166" s="1" t="str">
        <f t="shared" si="102"/>
        <v>res50101</v>
      </c>
      <c r="J166" s="1">
        <v>1</v>
      </c>
      <c r="K166" s="1">
        <v>2</v>
      </c>
      <c r="L166" s="1">
        <v>0</v>
      </c>
      <c r="M166" s="1">
        <v>0</v>
      </c>
      <c r="N166" s="1">
        <v>200</v>
      </c>
      <c r="O166" s="1">
        <v>1</v>
      </c>
      <c r="P166" s="2">
        <f t="shared" si="103"/>
        <v>110.324037687891</v>
      </c>
      <c r="Q166" s="2">
        <v>0.29</v>
      </c>
      <c r="R166" s="1">
        <v>0.1</v>
      </c>
      <c r="S166" s="1">
        <v>200</v>
      </c>
      <c r="T166" s="1">
        <v>0</v>
      </c>
      <c r="U166" s="1">
        <v>14001</v>
      </c>
      <c r="V166" s="1">
        <v>0</v>
      </c>
      <c r="W166" s="1">
        <v>0</v>
      </c>
      <c r="X166" s="1">
        <v>0</v>
      </c>
      <c r="Y166" s="1">
        <v>0</v>
      </c>
      <c r="Z166" s="3" t="s">
        <v>359</v>
      </c>
    </row>
    <row r="167" spans="1:26">
      <c r="A167" s="1">
        <v>50110</v>
      </c>
      <c r="B167" s="1">
        <v>50101</v>
      </c>
      <c r="C167" s="1" t="s">
        <v>152</v>
      </c>
      <c r="D167" s="1">
        <v>5</v>
      </c>
      <c r="E167" s="1">
        <v>1</v>
      </c>
      <c r="F167" s="1">
        <v>10</v>
      </c>
      <c r="G167" s="1" t="str">
        <f t="shared" si="101"/>
        <v>res50101</v>
      </c>
      <c r="H167" s="1" t="str">
        <f t="shared" si="102"/>
        <v>res50101</v>
      </c>
      <c r="J167" s="1">
        <v>1</v>
      </c>
      <c r="K167" s="1">
        <v>2</v>
      </c>
      <c r="L167" s="1">
        <v>0</v>
      </c>
      <c r="M167" s="1">
        <v>0</v>
      </c>
      <c r="N167" s="1">
        <v>200</v>
      </c>
      <c r="O167" s="1">
        <v>1</v>
      </c>
      <c r="P167" s="2">
        <f t="shared" si="103"/>
        <v>148.937450878652</v>
      </c>
      <c r="Q167" s="2">
        <v>0.29</v>
      </c>
      <c r="R167" s="1">
        <v>0.1</v>
      </c>
      <c r="S167" s="1">
        <v>200</v>
      </c>
      <c r="T167" s="1">
        <v>0</v>
      </c>
      <c r="U167" s="1">
        <v>14001</v>
      </c>
      <c r="V167" s="1">
        <v>0</v>
      </c>
      <c r="W167" s="1">
        <v>0</v>
      </c>
      <c r="X167" s="1">
        <v>0</v>
      </c>
      <c r="Y167" s="1">
        <v>0</v>
      </c>
      <c r="Z167" s="3" t="s">
        <v>359</v>
      </c>
    </row>
    <row r="168" spans="1:26">
      <c r="A168" s="1">
        <v>50111</v>
      </c>
      <c r="B168" s="1">
        <v>50101</v>
      </c>
      <c r="C168" s="1" t="s">
        <v>152</v>
      </c>
      <c r="D168" s="1">
        <v>5</v>
      </c>
      <c r="E168" s="1">
        <v>1</v>
      </c>
      <c r="F168" s="1">
        <v>11</v>
      </c>
      <c r="G168" s="1" t="str">
        <f t="shared" si="101"/>
        <v>res50101</v>
      </c>
      <c r="H168" s="1" t="str">
        <f t="shared" si="102"/>
        <v>res50101</v>
      </c>
      <c r="J168" s="1">
        <v>1</v>
      </c>
      <c r="K168" s="1">
        <v>2</v>
      </c>
      <c r="L168" s="1">
        <v>0</v>
      </c>
      <c r="M168" s="1">
        <v>0</v>
      </c>
      <c r="N168" s="1">
        <v>200</v>
      </c>
      <c r="O168" s="1">
        <v>1</v>
      </c>
      <c r="P168" s="2">
        <f t="shared" si="103"/>
        <v>201.065558686181</v>
      </c>
      <c r="Q168" s="2">
        <v>0.29</v>
      </c>
      <c r="R168" s="1">
        <v>0.1</v>
      </c>
      <c r="S168" s="1">
        <v>200</v>
      </c>
      <c r="T168" s="1">
        <v>0</v>
      </c>
      <c r="U168" s="1">
        <v>14001</v>
      </c>
      <c r="V168" s="1">
        <v>0</v>
      </c>
      <c r="W168" s="1">
        <v>0</v>
      </c>
      <c r="X168" s="1">
        <v>0</v>
      </c>
      <c r="Y168" s="1">
        <v>0</v>
      </c>
      <c r="Z168" s="3" t="s">
        <v>359</v>
      </c>
    </row>
    <row r="169" spans="1:26">
      <c r="A169" s="1">
        <v>50112</v>
      </c>
      <c r="B169" s="1">
        <v>50101</v>
      </c>
      <c r="C169" s="1" t="s">
        <v>152</v>
      </c>
      <c r="D169" s="1">
        <v>5</v>
      </c>
      <c r="E169" s="1">
        <v>1</v>
      </c>
      <c r="F169" s="1">
        <v>12</v>
      </c>
      <c r="G169" s="1" t="str">
        <f t="shared" si="101"/>
        <v>res50101</v>
      </c>
      <c r="H169" s="1" t="str">
        <f t="shared" si="102"/>
        <v>res50101</v>
      </c>
      <c r="J169" s="1">
        <v>1</v>
      </c>
      <c r="K169" s="1">
        <v>2</v>
      </c>
      <c r="L169" s="1">
        <v>0</v>
      </c>
      <c r="M169" s="1">
        <v>0</v>
      </c>
      <c r="N169" s="1">
        <v>200</v>
      </c>
      <c r="O169" s="1">
        <v>1</v>
      </c>
      <c r="P169" s="2">
        <f t="shared" si="103"/>
        <v>271.438504226344</v>
      </c>
      <c r="Q169" s="2">
        <v>0.29</v>
      </c>
      <c r="R169" s="1">
        <v>0.1</v>
      </c>
      <c r="S169" s="1">
        <v>200</v>
      </c>
      <c r="T169" s="1">
        <v>0</v>
      </c>
      <c r="U169" s="1">
        <v>14001</v>
      </c>
      <c r="V169" s="1">
        <v>0</v>
      </c>
      <c r="W169" s="1">
        <v>0</v>
      </c>
      <c r="X169" s="1">
        <v>0</v>
      </c>
      <c r="Y169" s="1">
        <v>0</v>
      </c>
      <c r="Z169" s="3" t="s">
        <v>359</v>
      </c>
    </row>
    <row r="170" spans="1:26">
      <c r="A170" s="1">
        <v>50113</v>
      </c>
      <c r="B170" s="1">
        <v>50101</v>
      </c>
      <c r="C170" s="1" t="s">
        <v>152</v>
      </c>
      <c r="D170" s="1">
        <v>5</v>
      </c>
      <c r="E170" s="1">
        <v>1</v>
      </c>
      <c r="F170" s="1">
        <v>13</v>
      </c>
      <c r="G170" s="1" t="str">
        <f t="shared" si="101"/>
        <v>res50101</v>
      </c>
      <c r="H170" s="1" t="str">
        <f t="shared" si="102"/>
        <v>res50101</v>
      </c>
      <c r="J170" s="1">
        <v>1</v>
      </c>
      <c r="K170" s="1">
        <v>2</v>
      </c>
      <c r="L170" s="1">
        <v>0</v>
      </c>
      <c r="M170" s="1">
        <v>0</v>
      </c>
      <c r="N170" s="1">
        <v>200</v>
      </c>
      <c r="O170" s="1">
        <v>1</v>
      </c>
      <c r="P170" s="2">
        <f t="shared" si="103"/>
        <v>366.441980705565</v>
      </c>
      <c r="Q170" s="2">
        <v>0.29</v>
      </c>
      <c r="R170" s="1">
        <v>0.1</v>
      </c>
      <c r="S170" s="1">
        <v>200</v>
      </c>
      <c r="T170" s="1">
        <v>0</v>
      </c>
      <c r="U170" s="1">
        <v>14001</v>
      </c>
      <c r="V170" s="1">
        <v>0</v>
      </c>
      <c r="W170" s="1">
        <v>0</v>
      </c>
      <c r="X170" s="1">
        <v>0</v>
      </c>
      <c r="Y170" s="1">
        <v>0</v>
      </c>
      <c r="Z170" s="3" t="s">
        <v>359</v>
      </c>
    </row>
    <row r="171" spans="1:26">
      <c r="A171" s="1">
        <v>50114</v>
      </c>
      <c r="B171" s="1">
        <v>50101</v>
      </c>
      <c r="C171" s="1" t="s">
        <v>152</v>
      </c>
      <c r="D171" s="1">
        <v>5</v>
      </c>
      <c r="E171" s="1">
        <v>1</v>
      </c>
      <c r="F171" s="1">
        <v>14</v>
      </c>
      <c r="G171" s="1" t="str">
        <f t="shared" si="101"/>
        <v>res50101</v>
      </c>
      <c r="H171" s="1" t="str">
        <f t="shared" si="102"/>
        <v>res50101</v>
      </c>
      <c r="J171" s="1">
        <v>1</v>
      </c>
      <c r="K171" s="1">
        <v>2</v>
      </c>
      <c r="L171" s="1">
        <v>0</v>
      </c>
      <c r="M171" s="1">
        <v>0</v>
      </c>
      <c r="N171" s="1">
        <v>200</v>
      </c>
      <c r="O171" s="1">
        <v>1</v>
      </c>
      <c r="P171" s="2">
        <f t="shared" si="103"/>
        <v>494.696673952512</v>
      </c>
      <c r="Q171" s="2">
        <v>0.29</v>
      </c>
      <c r="R171" s="1">
        <v>0.1</v>
      </c>
      <c r="S171" s="1">
        <v>200</v>
      </c>
      <c r="T171" s="1">
        <v>0</v>
      </c>
      <c r="U171" s="1">
        <v>14001</v>
      </c>
      <c r="V171" s="1">
        <v>0</v>
      </c>
      <c r="W171" s="1">
        <v>0</v>
      </c>
      <c r="X171" s="1">
        <v>0</v>
      </c>
      <c r="Y171" s="1">
        <v>0</v>
      </c>
      <c r="Z171" s="3" t="s">
        <v>359</v>
      </c>
    </row>
    <row r="172" spans="1:26">
      <c r="A172" s="1">
        <v>50115</v>
      </c>
      <c r="B172" s="1">
        <v>50101</v>
      </c>
      <c r="C172" s="1" t="s">
        <v>152</v>
      </c>
      <c r="D172" s="1">
        <v>5</v>
      </c>
      <c r="E172" s="1">
        <v>1</v>
      </c>
      <c r="F172" s="1">
        <v>15</v>
      </c>
      <c r="G172" s="1" t="str">
        <f t="shared" si="101"/>
        <v>res50101</v>
      </c>
      <c r="H172" s="1" t="str">
        <f t="shared" si="102"/>
        <v>res50101</v>
      </c>
      <c r="J172" s="1">
        <v>1</v>
      </c>
      <c r="K172" s="1">
        <v>2</v>
      </c>
      <c r="L172" s="1">
        <v>0</v>
      </c>
      <c r="M172" s="1">
        <v>0</v>
      </c>
      <c r="N172" s="1">
        <v>200</v>
      </c>
      <c r="O172" s="1">
        <v>1</v>
      </c>
      <c r="P172" s="2">
        <f t="shared" si="103"/>
        <v>667.840509835892</v>
      </c>
      <c r="Q172" s="2">
        <v>0.29</v>
      </c>
      <c r="R172" s="1">
        <v>0.1</v>
      </c>
      <c r="S172" s="1">
        <v>200</v>
      </c>
      <c r="T172" s="1">
        <v>0</v>
      </c>
      <c r="U172" s="1">
        <v>14001</v>
      </c>
      <c r="V172" s="1">
        <v>0</v>
      </c>
      <c r="W172" s="1">
        <v>0</v>
      </c>
      <c r="X172" s="1">
        <v>0</v>
      </c>
      <c r="Y172" s="1">
        <v>0</v>
      </c>
      <c r="Z172" s="3" t="s">
        <v>359</v>
      </c>
    </row>
    <row r="173" spans="1:26">
      <c r="A173" s="1">
        <v>50116</v>
      </c>
      <c r="B173" s="1">
        <v>50101</v>
      </c>
      <c r="C173" s="1" t="s">
        <v>152</v>
      </c>
      <c r="D173" s="1">
        <v>5</v>
      </c>
      <c r="E173" s="1">
        <v>1</v>
      </c>
      <c r="F173" s="1">
        <v>16</v>
      </c>
      <c r="G173" s="1" t="str">
        <f t="shared" si="101"/>
        <v>res50101</v>
      </c>
      <c r="H173" s="1" t="str">
        <f t="shared" si="102"/>
        <v>res50101</v>
      </c>
      <c r="J173" s="1">
        <v>1</v>
      </c>
      <c r="K173" s="1">
        <v>2</v>
      </c>
      <c r="L173" s="1">
        <v>0</v>
      </c>
      <c r="M173" s="1">
        <v>0</v>
      </c>
      <c r="N173" s="1">
        <v>200</v>
      </c>
      <c r="O173" s="1">
        <v>1</v>
      </c>
      <c r="P173" s="2">
        <f t="shared" si="103"/>
        <v>901.584688278454</v>
      </c>
      <c r="Q173" s="2">
        <v>0.29</v>
      </c>
      <c r="R173" s="1">
        <v>0.1</v>
      </c>
      <c r="S173" s="1">
        <v>200</v>
      </c>
      <c r="T173" s="1">
        <v>0</v>
      </c>
      <c r="U173" s="1">
        <v>14001</v>
      </c>
      <c r="V173" s="1">
        <v>0</v>
      </c>
      <c r="W173" s="1">
        <v>0</v>
      </c>
      <c r="X173" s="1">
        <v>0</v>
      </c>
      <c r="Y173" s="1">
        <v>0</v>
      </c>
      <c r="Z173" s="3" t="s">
        <v>359</v>
      </c>
    </row>
    <row r="174" spans="1:26">
      <c r="A174" s="1">
        <v>50117</v>
      </c>
      <c r="B174" s="1">
        <v>50101</v>
      </c>
      <c r="C174" s="1" t="s">
        <v>152</v>
      </c>
      <c r="D174" s="1">
        <v>5</v>
      </c>
      <c r="E174" s="1">
        <v>1</v>
      </c>
      <c r="F174" s="1">
        <v>17</v>
      </c>
      <c r="G174" s="1" t="str">
        <f t="shared" si="101"/>
        <v>res50101</v>
      </c>
      <c r="H174" s="1" t="str">
        <f t="shared" si="102"/>
        <v>res50101</v>
      </c>
      <c r="J174" s="1">
        <v>1</v>
      </c>
      <c r="K174" s="1">
        <v>2</v>
      </c>
      <c r="L174" s="1">
        <v>0</v>
      </c>
      <c r="M174" s="1">
        <v>0</v>
      </c>
      <c r="N174" s="1">
        <v>200</v>
      </c>
      <c r="O174" s="1">
        <v>1</v>
      </c>
      <c r="P174" s="2">
        <f t="shared" si="103"/>
        <v>1217.13932917591</v>
      </c>
      <c r="Q174" s="2">
        <v>0.29</v>
      </c>
      <c r="R174" s="1">
        <v>0.1</v>
      </c>
      <c r="S174" s="1">
        <v>200</v>
      </c>
      <c r="T174" s="1">
        <v>0</v>
      </c>
      <c r="U174" s="1">
        <v>14001</v>
      </c>
      <c r="V174" s="1">
        <v>0</v>
      </c>
      <c r="W174" s="1">
        <v>0</v>
      </c>
      <c r="X174" s="1">
        <v>0</v>
      </c>
      <c r="Y174" s="1">
        <v>0</v>
      </c>
      <c r="Z174" s="3" t="s">
        <v>359</v>
      </c>
    </row>
    <row r="175" spans="1:26">
      <c r="A175" s="1">
        <v>50118</v>
      </c>
      <c r="B175" s="1">
        <v>50101</v>
      </c>
      <c r="C175" s="1" t="s">
        <v>152</v>
      </c>
      <c r="D175" s="1">
        <v>5</v>
      </c>
      <c r="E175" s="1">
        <v>1</v>
      </c>
      <c r="F175" s="1">
        <v>18</v>
      </c>
      <c r="G175" s="1" t="str">
        <f t="shared" si="101"/>
        <v>res50101</v>
      </c>
      <c r="H175" s="1" t="str">
        <f t="shared" si="102"/>
        <v>res50101</v>
      </c>
      <c r="J175" s="1">
        <v>1</v>
      </c>
      <c r="K175" s="1">
        <v>2</v>
      </c>
      <c r="L175" s="1">
        <v>0</v>
      </c>
      <c r="M175" s="1">
        <v>0</v>
      </c>
      <c r="N175" s="1">
        <v>200</v>
      </c>
      <c r="O175" s="1">
        <v>1</v>
      </c>
      <c r="P175" s="2">
        <f t="shared" si="103"/>
        <v>1643.13809438748</v>
      </c>
      <c r="Q175" s="2">
        <v>0.29</v>
      </c>
      <c r="R175" s="1">
        <v>0.1</v>
      </c>
      <c r="S175" s="1">
        <v>200</v>
      </c>
      <c r="T175" s="1">
        <v>0</v>
      </c>
      <c r="U175" s="1">
        <v>14001</v>
      </c>
      <c r="V175" s="1">
        <v>0</v>
      </c>
      <c r="W175" s="1">
        <v>0</v>
      </c>
      <c r="X175" s="1">
        <v>0</v>
      </c>
      <c r="Y175" s="1">
        <v>0</v>
      </c>
      <c r="Z175" s="3" t="s">
        <v>359</v>
      </c>
    </row>
    <row r="176" spans="1:26">
      <c r="A176" s="1">
        <v>50119</v>
      </c>
      <c r="B176" s="1">
        <v>50101</v>
      </c>
      <c r="C176" s="1" t="s">
        <v>152</v>
      </c>
      <c r="D176" s="1">
        <v>5</v>
      </c>
      <c r="E176" s="1">
        <v>1</v>
      </c>
      <c r="F176" s="1">
        <v>19</v>
      </c>
      <c r="G176" s="1" t="str">
        <f t="shared" si="101"/>
        <v>res50101</v>
      </c>
      <c r="H176" s="1" t="str">
        <f t="shared" si="102"/>
        <v>res50101</v>
      </c>
      <c r="J176" s="1">
        <v>1</v>
      </c>
      <c r="K176" s="1">
        <v>2</v>
      </c>
      <c r="L176" s="1">
        <v>0</v>
      </c>
      <c r="M176" s="1">
        <v>0</v>
      </c>
      <c r="N176" s="1">
        <v>200</v>
      </c>
      <c r="O176" s="1">
        <v>1</v>
      </c>
      <c r="P176" s="2">
        <f t="shared" si="103"/>
        <v>2218.2364274231</v>
      </c>
      <c r="Q176" s="2">
        <v>0.29</v>
      </c>
      <c r="R176" s="1">
        <v>0.1</v>
      </c>
      <c r="S176" s="1">
        <v>200</v>
      </c>
      <c r="T176" s="1">
        <v>0</v>
      </c>
      <c r="U176" s="1">
        <v>14001</v>
      </c>
      <c r="V176" s="1">
        <v>0</v>
      </c>
      <c r="W176" s="1">
        <v>0</v>
      </c>
      <c r="X176" s="1">
        <v>0</v>
      </c>
      <c r="Y176" s="1">
        <v>0</v>
      </c>
      <c r="Z176" s="3" t="s">
        <v>359</v>
      </c>
    </row>
    <row r="177" spans="1:26">
      <c r="A177" s="1">
        <v>50120</v>
      </c>
      <c r="B177" s="1">
        <v>50101</v>
      </c>
      <c r="C177" s="1" t="s">
        <v>152</v>
      </c>
      <c r="D177" s="1">
        <v>5</v>
      </c>
      <c r="E177" s="1">
        <v>1</v>
      </c>
      <c r="F177" s="1">
        <v>20</v>
      </c>
      <c r="G177" s="1" t="str">
        <f t="shared" si="101"/>
        <v>res50101</v>
      </c>
      <c r="H177" s="1" t="str">
        <f t="shared" si="102"/>
        <v>res50101</v>
      </c>
      <c r="J177" s="1">
        <v>1</v>
      </c>
      <c r="K177" s="1">
        <v>2</v>
      </c>
      <c r="L177" s="1">
        <v>0</v>
      </c>
      <c r="M177" s="1">
        <v>0</v>
      </c>
      <c r="N177" s="1">
        <v>200</v>
      </c>
      <c r="O177" s="1">
        <v>1</v>
      </c>
      <c r="P177" s="2">
        <f t="shared" si="103"/>
        <v>2994.61917702119</v>
      </c>
      <c r="Q177" s="2">
        <v>0.29</v>
      </c>
      <c r="R177" s="1">
        <v>0.1</v>
      </c>
      <c r="S177" s="1">
        <v>200</v>
      </c>
      <c r="T177" s="1">
        <v>0</v>
      </c>
      <c r="U177" s="1">
        <v>14001</v>
      </c>
      <c r="V177" s="1">
        <v>0</v>
      </c>
      <c r="W177" s="1">
        <v>0</v>
      </c>
      <c r="X177" s="1">
        <v>0</v>
      </c>
      <c r="Y177" s="1">
        <v>0</v>
      </c>
      <c r="Z177" s="3" t="s">
        <v>359</v>
      </c>
    </row>
    <row r="178" spans="1:26">
      <c r="A178" s="1">
        <v>50201</v>
      </c>
      <c r="B178" s="1">
        <v>50201</v>
      </c>
      <c r="C178" s="1" t="s">
        <v>156</v>
      </c>
      <c r="D178" s="1">
        <v>5</v>
      </c>
      <c r="E178" s="1">
        <v>3</v>
      </c>
      <c r="F178" s="1">
        <v>1</v>
      </c>
      <c r="G178" s="1" t="str">
        <f t="shared" ref="G178:G195" si="104">"res"&amp;B178</f>
        <v>res50201</v>
      </c>
      <c r="H178" s="1" t="str">
        <f t="shared" ref="H178:H195" si="105">"res"&amp;B178</f>
        <v>res50201</v>
      </c>
      <c r="J178" s="1">
        <v>3</v>
      </c>
      <c r="K178" s="1">
        <v>0</v>
      </c>
      <c r="L178" s="1">
        <v>0</v>
      </c>
      <c r="M178" s="1">
        <v>1</v>
      </c>
      <c r="N178" s="1">
        <v>0</v>
      </c>
      <c r="O178" s="1">
        <v>1</v>
      </c>
      <c r="P178" s="2">
        <v>10</v>
      </c>
      <c r="Q178" s="2">
        <v>0.29</v>
      </c>
      <c r="R178" s="1">
        <v>0.1</v>
      </c>
      <c r="S178" s="1">
        <v>200</v>
      </c>
      <c r="T178" s="1">
        <v>0</v>
      </c>
      <c r="U178" s="1">
        <v>13001</v>
      </c>
      <c r="V178" s="1">
        <v>0</v>
      </c>
      <c r="W178" s="1">
        <v>0</v>
      </c>
      <c r="X178" s="1">
        <v>0</v>
      </c>
      <c r="Y178" s="1">
        <v>0</v>
      </c>
      <c r="Z178" s="3" t="s">
        <v>360</v>
      </c>
    </row>
    <row r="179" spans="1:26">
      <c r="A179" s="1">
        <v>50202</v>
      </c>
      <c r="B179" s="1">
        <v>50201</v>
      </c>
      <c r="C179" s="1" t="s">
        <v>156</v>
      </c>
      <c r="D179" s="1">
        <v>5</v>
      </c>
      <c r="E179" s="1">
        <v>3</v>
      </c>
      <c r="F179" s="1">
        <v>2</v>
      </c>
      <c r="G179" s="1" t="str">
        <f t="shared" si="104"/>
        <v>res50201</v>
      </c>
      <c r="H179" s="1" t="str">
        <f t="shared" si="105"/>
        <v>res50201</v>
      </c>
      <c r="J179" s="1">
        <v>3</v>
      </c>
      <c r="K179" s="1">
        <v>0</v>
      </c>
      <c r="L179" s="1">
        <v>0</v>
      </c>
      <c r="M179" s="1">
        <v>1</v>
      </c>
      <c r="N179" s="1">
        <v>0</v>
      </c>
      <c r="O179" s="1">
        <v>1</v>
      </c>
      <c r="P179" s="2">
        <f>P178*1.35</f>
        <v>13.5</v>
      </c>
      <c r="Q179" s="2">
        <v>0.29</v>
      </c>
      <c r="R179" s="1">
        <v>0.1</v>
      </c>
      <c r="S179" s="1">
        <v>200</v>
      </c>
      <c r="T179" s="1">
        <v>0</v>
      </c>
      <c r="U179" s="1">
        <v>13001</v>
      </c>
      <c r="V179" s="1">
        <v>0</v>
      </c>
      <c r="W179" s="1">
        <v>0</v>
      </c>
      <c r="X179" s="1">
        <v>0</v>
      </c>
      <c r="Y179" s="1">
        <v>0</v>
      </c>
      <c r="Z179" s="3" t="s">
        <v>360</v>
      </c>
    </row>
    <row r="180" spans="1:26">
      <c r="A180" s="1">
        <v>50203</v>
      </c>
      <c r="B180" s="1">
        <v>50201</v>
      </c>
      <c r="C180" s="1" t="s">
        <v>156</v>
      </c>
      <c r="D180" s="1">
        <v>5</v>
      </c>
      <c r="E180" s="1">
        <v>3</v>
      </c>
      <c r="F180" s="1">
        <v>3</v>
      </c>
      <c r="G180" s="1" t="str">
        <f t="shared" si="104"/>
        <v>res50201</v>
      </c>
      <c r="H180" s="1" t="str">
        <f t="shared" si="105"/>
        <v>res50201</v>
      </c>
      <c r="J180" s="1">
        <v>3</v>
      </c>
      <c r="K180" s="1">
        <v>0</v>
      </c>
      <c r="L180" s="1">
        <v>0</v>
      </c>
      <c r="M180" s="1">
        <v>1</v>
      </c>
      <c r="N180" s="1">
        <v>0</v>
      </c>
      <c r="O180" s="1">
        <v>1</v>
      </c>
      <c r="P180" s="2">
        <f>P179*1.35</f>
        <v>18.225</v>
      </c>
      <c r="Q180" s="2">
        <v>0.29</v>
      </c>
      <c r="R180" s="1">
        <v>0.1</v>
      </c>
      <c r="S180" s="1">
        <v>200</v>
      </c>
      <c r="T180" s="1">
        <v>0</v>
      </c>
      <c r="U180" s="1">
        <v>13001</v>
      </c>
      <c r="V180" s="1">
        <v>0</v>
      </c>
      <c r="W180" s="1">
        <v>0</v>
      </c>
      <c r="X180" s="1">
        <v>0</v>
      </c>
      <c r="Y180" s="1">
        <v>0</v>
      </c>
      <c r="Z180" s="3" t="s">
        <v>360</v>
      </c>
    </row>
    <row r="181" spans="1:26">
      <c r="A181" s="1">
        <v>50301</v>
      </c>
      <c r="B181" s="1">
        <v>50301</v>
      </c>
      <c r="C181" s="1" t="s">
        <v>160</v>
      </c>
      <c r="D181" s="1">
        <v>5</v>
      </c>
      <c r="E181" s="1">
        <v>5</v>
      </c>
      <c r="F181" s="1">
        <v>1</v>
      </c>
      <c r="G181" s="1" t="str">
        <f t="shared" si="104"/>
        <v>res50301</v>
      </c>
      <c r="H181" s="1" t="str">
        <f t="shared" si="105"/>
        <v>res50301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2">
        <v>0</v>
      </c>
      <c r="Q181" s="2">
        <v>0</v>
      </c>
      <c r="R181" s="1">
        <v>0</v>
      </c>
      <c r="S181" s="1">
        <v>0</v>
      </c>
      <c r="T181" s="1">
        <v>0</v>
      </c>
      <c r="U181" s="1">
        <v>23001</v>
      </c>
      <c r="V181" s="1">
        <v>0</v>
      </c>
      <c r="W181" s="1">
        <v>0</v>
      </c>
      <c r="X181" s="1">
        <v>0</v>
      </c>
      <c r="Y181" s="1">
        <v>0</v>
      </c>
      <c r="Z181" s="3" t="s">
        <v>361</v>
      </c>
    </row>
    <row r="182" spans="1:26">
      <c r="A182" s="1">
        <v>50401</v>
      </c>
      <c r="B182" s="1">
        <v>50401</v>
      </c>
      <c r="C182" s="1" t="s">
        <v>164</v>
      </c>
      <c r="D182" s="1">
        <v>5</v>
      </c>
      <c r="E182" s="1">
        <v>2</v>
      </c>
      <c r="F182" s="1">
        <v>1</v>
      </c>
      <c r="G182" s="1" t="str">
        <f t="shared" si="104"/>
        <v>res50401</v>
      </c>
      <c r="H182" s="1" t="str">
        <f t="shared" si="105"/>
        <v>res50401</v>
      </c>
      <c r="J182" s="1">
        <v>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2">
        <v>0</v>
      </c>
      <c r="Q182" s="2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 t="s">
        <v>362</v>
      </c>
      <c r="Z182" s="3" t="s">
        <v>363</v>
      </c>
    </row>
    <row r="183" spans="1:26">
      <c r="A183" s="1">
        <v>50402</v>
      </c>
      <c r="B183" s="1">
        <v>50401</v>
      </c>
      <c r="C183" s="1" t="s">
        <v>164</v>
      </c>
      <c r="D183" s="1">
        <v>5</v>
      </c>
      <c r="E183" s="1">
        <v>2</v>
      </c>
      <c r="F183" s="1">
        <v>2</v>
      </c>
      <c r="G183" s="1" t="str">
        <f t="shared" si="104"/>
        <v>res50401</v>
      </c>
      <c r="H183" s="1" t="str">
        <f t="shared" si="105"/>
        <v>res50401</v>
      </c>
      <c r="J183" s="1">
        <v>1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2">
        <v>0</v>
      </c>
      <c r="Q183" s="2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 t="s">
        <v>364</v>
      </c>
      <c r="Z183" s="3" t="s">
        <v>363</v>
      </c>
    </row>
    <row r="184" spans="1:26">
      <c r="A184" s="1">
        <v>50403</v>
      </c>
      <c r="B184" s="1">
        <v>50401</v>
      </c>
      <c r="C184" s="1" t="s">
        <v>164</v>
      </c>
      <c r="D184" s="1">
        <v>5</v>
      </c>
      <c r="E184" s="1">
        <v>2</v>
      </c>
      <c r="F184" s="1">
        <v>3</v>
      </c>
      <c r="G184" s="1" t="str">
        <f t="shared" si="104"/>
        <v>res50401</v>
      </c>
      <c r="H184" s="1" t="str">
        <f t="shared" si="105"/>
        <v>res50401</v>
      </c>
      <c r="J184" s="1">
        <v>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2">
        <v>0</v>
      </c>
      <c r="Q184" s="2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 t="s">
        <v>365</v>
      </c>
      <c r="Z184" s="3" t="s">
        <v>363</v>
      </c>
    </row>
    <row r="185" spans="1:26">
      <c r="A185" s="1">
        <v>50501</v>
      </c>
      <c r="B185" s="1">
        <v>50501</v>
      </c>
      <c r="C185" s="1" t="s">
        <v>168</v>
      </c>
      <c r="D185" s="1">
        <v>5</v>
      </c>
      <c r="E185" s="1">
        <v>2</v>
      </c>
      <c r="F185" s="1">
        <v>1</v>
      </c>
      <c r="G185" s="1" t="str">
        <f t="shared" si="104"/>
        <v>res50501</v>
      </c>
      <c r="H185" s="1" t="str">
        <f t="shared" si="105"/>
        <v>res50501</v>
      </c>
      <c r="J185" s="1">
        <v>1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2">
        <v>0</v>
      </c>
      <c r="Q185" s="2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 t="s">
        <v>366</v>
      </c>
      <c r="Z185" s="3" t="s">
        <v>367</v>
      </c>
    </row>
    <row r="186" spans="1:26">
      <c r="A186" s="1">
        <v>50502</v>
      </c>
      <c r="B186" s="1">
        <v>50501</v>
      </c>
      <c r="C186" s="1" t="s">
        <v>168</v>
      </c>
      <c r="D186" s="1">
        <v>5</v>
      </c>
      <c r="E186" s="1">
        <v>2</v>
      </c>
      <c r="F186" s="1">
        <v>2</v>
      </c>
      <c r="G186" s="1" t="str">
        <f t="shared" si="104"/>
        <v>res50501</v>
      </c>
      <c r="H186" s="1" t="str">
        <f t="shared" si="105"/>
        <v>res50501</v>
      </c>
      <c r="J186" s="1">
        <v>1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2">
        <v>0</v>
      </c>
      <c r="Q186" s="2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 t="s">
        <v>368</v>
      </c>
      <c r="Z186" s="3" t="s">
        <v>367</v>
      </c>
    </row>
    <row r="187" spans="1:26">
      <c r="A187" s="1">
        <v>50503</v>
      </c>
      <c r="B187" s="1">
        <v>50501</v>
      </c>
      <c r="C187" s="1" t="s">
        <v>168</v>
      </c>
      <c r="D187" s="1">
        <v>5</v>
      </c>
      <c r="E187" s="1">
        <v>2</v>
      </c>
      <c r="F187" s="1">
        <v>3</v>
      </c>
      <c r="G187" s="1" t="str">
        <f t="shared" si="104"/>
        <v>res50501</v>
      </c>
      <c r="H187" s="1" t="str">
        <f t="shared" si="105"/>
        <v>res50501</v>
      </c>
      <c r="J187" s="1">
        <v>1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2">
        <v>0</v>
      </c>
      <c r="Q187" s="2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 t="s">
        <v>369</v>
      </c>
      <c r="Z187" s="3" t="s">
        <v>367</v>
      </c>
    </row>
    <row r="188" spans="1:26">
      <c r="A188" s="1">
        <v>50601</v>
      </c>
      <c r="B188" s="1">
        <v>50601</v>
      </c>
      <c r="C188" s="1" t="s">
        <v>171</v>
      </c>
      <c r="D188" s="1">
        <v>5</v>
      </c>
      <c r="E188" s="1">
        <v>3</v>
      </c>
      <c r="F188" s="1">
        <v>1</v>
      </c>
      <c r="G188" s="1" t="str">
        <f t="shared" si="104"/>
        <v>res50601</v>
      </c>
      <c r="H188" s="1" t="str">
        <f t="shared" si="105"/>
        <v>res50601</v>
      </c>
      <c r="J188" s="1">
        <v>1</v>
      </c>
      <c r="K188" s="1">
        <v>1</v>
      </c>
      <c r="L188" s="1">
        <v>3</v>
      </c>
      <c r="M188" s="1">
        <v>0</v>
      </c>
      <c r="N188" s="1">
        <v>0</v>
      </c>
      <c r="O188" s="1">
        <v>1</v>
      </c>
      <c r="P188" s="2">
        <v>10</v>
      </c>
      <c r="Q188" s="2">
        <v>0.29</v>
      </c>
      <c r="R188" s="1">
        <v>0.1</v>
      </c>
      <c r="S188" s="1">
        <v>200</v>
      </c>
      <c r="T188" s="1">
        <v>0</v>
      </c>
      <c r="U188" s="1">
        <v>15001</v>
      </c>
      <c r="V188" s="1">
        <v>0</v>
      </c>
      <c r="W188" s="1">
        <v>0</v>
      </c>
      <c r="X188" s="1">
        <v>0</v>
      </c>
      <c r="Y188" s="1">
        <v>0</v>
      </c>
      <c r="Z188" s="3" t="s">
        <v>370</v>
      </c>
    </row>
    <row r="189" spans="1:26">
      <c r="A189" s="1">
        <v>50602</v>
      </c>
      <c r="B189" s="1">
        <v>50601</v>
      </c>
      <c r="C189" s="1" t="s">
        <v>171</v>
      </c>
      <c r="D189" s="1">
        <v>5</v>
      </c>
      <c r="E189" s="1">
        <v>3</v>
      </c>
      <c r="F189" s="1">
        <v>2</v>
      </c>
      <c r="G189" s="1" t="str">
        <f t="shared" si="104"/>
        <v>res50601</v>
      </c>
      <c r="H189" s="1" t="str">
        <f t="shared" si="105"/>
        <v>res50601</v>
      </c>
      <c r="J189" s="1">
        <v>1</v>
      </c>
      <c r="K189" s="1">
        <v>1</v>
      </c>
      <c r="L189" s="1">
        <v>6</v>
      </c>
      <c r="M189" s="1">
        <v>0</v>
      </c>
      <c r="N189" s="1">
        <v>0</v>
      </c>
      <c r="O189" s="1">
        <v>1</v>
      </c>
      <c r="P189" s="2">
        <f>P188*1.35</f>
        <v>13.5</v>
      </c>
      <c r="Q189" s="2">
        <v>0.29</v>
      </c>
      <c r="R189" s="1">
        <v>0.1</v>
      </c>
      <c r="S189" s="1">
        <v>200</v>
      </c>
      <c r="T189" s="1">
        <v>0</v>
      </c>
      <c r="U189" s="1">
        <v>15001</v>
      </c>
      <c r="V189" s="1">
        <v>0</v>
      </c>
      <c r="W189" s="1">
        <v>0</v>
      </c>
      <c r="X189" s="1">
        <v>0</v>
      </c>
      <c r="Y189" s="1">
        <v>0</v>
      </c>
      <c r="Z189" s="3" t="s">
        <v>370</v>
      </c>
    </row>
    <row r="190" spans="1:26">
      <c r="A190" s="1">
        <v>50603</v>
      </c>
      <c r="B190" s="1">
        <v>50601</v>
      </c>
      <c r="C190" s="1" t="s">
        <v>171</v>
      </c>
      <c r="D190" s="1">
        <v>5</v>
      </c>
      <c r="E190" s="1">
        <v>3</v>
      </c>
      <c r="F190" s="1">
        <v>3</v>
      </c>
      <c r="G190" s="1" t="str">
        <f t="shared" si="104"/>
        <v>res50601</v>
      </c>
      <c r="H190" s="1" t="str">
        <f t="shared" si="105"/>
        <v>res50601</v>
      </c>
      <c r="J190" s="1">
        <v>1</v>
      </c>
      <c r="K190" s="1">
        <v>1</v>
      </c>
      <c r="L190" s="1">
        <v>9</v>
      </c>
      <c r="M190" s="1">
        <v>0</v>
      </c>
      <c r="N190" s="1">
        <v>0</v>
      </c>
      <c r="O190" s="1">
        <v>1</v>
      </c>
      <c r="P190" s="2">
        <f>P189*1.35</f>
        <v>18.225</v>
      </c>
      <c r="Q190" s="2">
        <v>0.29</v>
      </c>
      <c r="R190" s="1">
        <v>0.1</v>
      </c>
      <c r="S190" s="1">
        <v>200</v>
      </c>
      <c r="T190" s="1">
        <v>0</v>
      </c>
      <c r="U190" s="1">
        <v>15001</v>
      </c>
      <c r="V190" s="1">
        <v>0</v>
      </c>
      <c r="W190" s="1">
        <v>0</v>
      </c>
      <c r="X190" s="1">
        <v>0</v>
      </c>
      <c r="Y190" s="1">
        <v>0</v>
      </c>
      <c r="Z190" s="3" t="s">
        <v>370</v>
      </c>
    </row>
    <row r="191" spans="1:26">
      <c r="A191" s="1">
        <v>50701</v>
      </c>
      <c r="B191" s="1">
        <v>50701</v>
      </c>
      <c r="C191" s="1" t="s">
        <v>174</v>
      </c>
      <c r="D191" s="1">
        <v>5</v>
      </c>
      <c r="E191" s="1">
        <v>6</v>
      </c>
      <c r="F191" s="1">
        <v>1</v>
      </c>
      <c r="G191" s="1" t="str">
        <f t="shared" si="104"/>
        <v>res50701</v>
      </c>
      <c r="H191" s="1" t="str">
        <f t="shared" si="105"/>
        <v>res50701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2">
        <v>0</v>
      </c>
      <c r="Q191" s="2">
        <v>0</v>
      </c>
      <c r="R191" s="1">
        <v>0</v>
      </c>
      <c r="S191" s="1">
        <v>0</v>
      </c>
      <c r="T191" s="1">
        <v>0</v>
      </c>
      <c r="U191" s="1">
        <v>34001</v>
      </c>
      <c r="V191" s="1">
        <v>0</v>
      </c>
      <c r="W191" s="1">
        <v>0</v>
      </c>
      <c r="X191" s="1">
        <v>0</v>
      </c>
      <c r="Y191" s="1">
        <v>0</v>
      </c>
      <c r="Z191" s="3" t="s">
        <v>371</v>
      </c>
    </row>
    <row r="192" spans="1:26">
      <c r="A192" s="1">
        <v>50801</v>
      </c>
      <c r="B192" s="1">
        <v>50801</v>
      </c>
      <c r="C192" s="1" t="s">
        <v>178</v>
      </c>
      <c r="D192" s="1">
        <v>5</v>
      </c>
      <c r="E192" s="1">
        <v>4</v>
      </c>
      <c r="F192" s="1">
        <v>1</v>
      </c>
      <c r="G192" s="1" t="str">
        <f t="shared" si="104"/>
        <v>res50801</v>
      </c>
      <c r="H192" s="1" t="str">
        <f t="shared" si="105"/>
        <v>res50801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2">
        <v>0</v>
      </c>
      <c r="Q192" s="2">
        <v>0</v>
      </c>
      <c r="R192" s="1">
        <v>0</v>
      </c>
      <c r="S192" s="1">
        <v>0</v>
      </c>
      <c r="T192" s="1">
        <v>0</v>
      </c>
      <c r="U192" s="1">
        <v>16001</v>
      </c>
      <c r="V192" s="1">
        <v>0</v>
      </c>
      <c r="W192" s="1">
        <v>0</v>
      </c>
      <c r="X192" s="1">
        <v>1</v>
      </c>
      <c r="Y192" s="1">
        <v>0</v>
      </c>
      <c r="Z192" s="3" t="s">
        <v>372</v>
      </c>
    </row>
    <row r="193" spans="1:26">
      <c r="A193" s="1">
        <v>50802</v>
      </c>
      <c r="B193" s="1">
        <v>50801</v>
      </c>
      <c r="C193" s="1" t="s">
        <v>178</v>
      </c>
      <c r="D193" s="1">
        <v>5</v>
      </c>
      <c r="E193" s="1">
        <v>4</v>
      </c>
      <c r="F193" s="1">
        <v>2</v>
      </c>
      <c r="G193" s="1" t="str">
        <f t="shared" si="104"/>
        <v>res50801</v>
      </c>
      <c r="H193" s="1" t="str">
        <f t="shared" si="105"/>
        <v>res50801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2">
        <v>0</v>
      </c>
      <c r="Q193" s="2">
        <v>0</v>
      </c>
      <c r="R193" s="1">
        <v>0</v>
      </c>
      <c r="S193" s="1">
        <v>0</v>
      </c>
      <c r="T193" s="1">
        <v>0</v>
      </c>
      <c r="U193" s="1">
        <v>16001</v>
      </c>
      <c r="V193" s="1">
        <v>0</v>
      </c>
      <c r="W193" s="1">
        <v>0</v>
      </c>
      <c r="X193" s="1">
        <v>2</v>
      </c>
      <c r="Y193" s="1">
        <v>0</v>
      </c>
      <c r="Z193" s="3" t="s">
        <v>372</v>
      </c>
    </row>
    <row r="194" spans="1:26">
      <c r="A194" s="1">
        <v>50803</v>
      </c>
      <c r="B194" s="1">
        <v>50801</v>
      </c>
      <c r="C194" s="1" t="s">
        <v>178</v>
      </c>
      <c r="D194" s="1">
        <v>5</v>
      </c>
      <c r="E194" s="1">
        <v>4</v>
      </c>
      <c r="F194" s="1">
        <v>3</v>
      </c>
      <c r="G194" s="1" t="str">
        <f t="shared" si="104"/>
        <v>res50801</v>
      </c>
      <c r="H194" s="1" t="str">
        <f t="shared" si="105"/>
        <v>res50801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2">
        <v>0</v>
      </c>
      <c r="Q194" s="2">
        <v>0</v>
      </c>
      <c r="R194" s="1">
        <v>0</v>
      </c>
      <c r="S194" s="1">
        <v>0</v>
      </c>
      <c r="T194" s="1">
        <v>0</v>
      </c>
      <c r="U194" s="1">
        <v>16001</v>
      </c>
      <c r="V194" s="1">
        <v>0</v>
      </c>
      <c r="W194" s="1">
        <v>0</v>
      </c>
      <c r="X194" s="1">
        <v>3</v>
      </c>
      <c r="Y194" s="1">
        <v>0</v>
      </c>
      <c r="Z194" s="3" t="s">
        <v>372</v>
      </c>
    </row>
    <row r="195" spans="1:26">
      <c r="A195" s="1">
        <v>50901</v>
      </c>
      <c r="B195" s="1">
        <v>50901</v>
      </c>
      <c r="C195" s="1" t="s">
        <v>182</v>
      </c>
      <c r="D195" s="1">
        <v>5</v>
      </c>
      <c r="E195" s="1">
        <v>6</v>
      </c>
      <c r="F195" s="1">
        <v>1</v>
      </c>
      <c r="G195" s="1" t="str">
        <f t="shared" si="104"/>
        <v>res50901</v>
      </c>
      <c r="H195" s="1" t="str">
        <f t="shared" si="105"/>
        <v>res50901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2">
        <v>0</v>
      </c>
      <c r="Q195" s="2">
        <v>0</v>
      </c>
      <c r="R195" s="1">
        <v>0</v>
      </c>
      <c r="S195" s="1">
        <v>0</v>
      </c>
      <c r="T195" s="1">
        <v>0</v>
      </c>
      <c r="U195" s="1">
        <v>35001</v>
      </c>
      <c r="V195" s="1">
        <v>0</v>
      </c>
      <c r="W195" s="1">
        <v>0</v>
      </c>
      <c r="X195" s="1">
        <v>0</v>
      </c>
      <c r="Y195" s="1">
        <v>0</v>
      </c>
      <c r="Z195" s="3" t="s">
        <v>373</v>
      </c>
    </row>
    <row r="196" spans="1:26">
      <c r="A196" s="1">
        <v>60101</v>
      </c>
      <c r="B196" s="1">
        <v>60101</v>
      </c>
      <c r="C196" s="1" t="s">
        <v>185</v>
      </c>
      <c r="D196" s="1">
        <v>6</v>
      </c>
      <c r="E196" s="1">
        <v>1</v>
      </c>
      <c r="F196" s="1">
        <v>1</v>
      </c>
      <c r="G196" s="1" t="str">
        <f t="shared" ref="G196:G215" si="106">"res"&amp;B196</f>
        <v>res60101</v>
      </c>
      <c r="H196" s="1" t="str">
        <f t="shared" ref="H196:H215" si="107">"res"&amp;B196</f>
        <v>res60101</v>
      </c>
      <c r="J196" s="1">
        <v>3</v>
      </c>
      <c r="K196" s="1">
        <v>0</v>
      </c>
      <c r="L196" s="1">
        <v>0</v>
      </c>
      <c r="M196" s="1">
        <v>1</v>
      </c>
      <c r="N196" s="1">
        <v>0</v>
      </c>
      <c r="O196" s="1">
        <v>1</v>
      </c>
      <c r="P196" s="2">
        <v>10</v>
      </c>
      <c r="Q196" s="2">
        <v>0.29</v>
      </c>
      <c r="R196" s="1">
        <v>0.1</v>
      </c>
      <c r="S196" s="1">
        <v>200</v>
      </c>
      <c r="T196" s="1">
        <v>0</v>
      </c>
      <c r="U196" s="1">
        <v>17001</v>
      </c>
      <c r="V196" s="1">
        <v>0</v>
      </c>
      <c r="W196" s="1">
        <v>0</v>
      </c>
      <c r="X196" s="1">
        <v>0</v>
      </c>
      <c r="Y196" s="1">
        <v>0</v>
      </c>
      <c r="Z196" s="3" t="s">
        <v>374</v>
      </c>
    </row>
    <row r="197" spans="1:26">
      <c r="A197" s="1">
        <v>60102</v>
      </c>
      <c r="B197" s="1">
        <v>60101</v>
      </c>
      <c r="C197" s="1" t="s">
        <v>185</v>
      </c>
      <c r="D197" s="1">
        <v>6</v>
      </c>
      <c r="E197" s="1">
        <v>1</v>
      </c>
      <c r="F197" s="1">
        <v>2</v>
      </c>
      <c r="G197" s="1" t="str">
        <f t="shared" si="106"/>
        <v>res60101</v>
      </c>
      <c r="H197" s="1" t="str">
        <f t="shared" si="107"/>
        <v>res60101</v>
      </c>
      <c r="J197" s="1">
        <v>3</v>
      </c>
      <c r="K197" s="1">
        <v>0</v>
      </c>
      <c r="L197" s="1">
        <v>0</v>
      </c>
      <c r="M197" s="1">
        <v>1</v>
      </c>
      <c r="N197" s="1">
        <v>0</v>
      </c>
      <c r="O197" s="1">
        <v>1</v>
      </c>
      <c r="P197" s="2">
        <f t="shared" ref="P197:P215" si="108">P196*1.35</f>
        <v>13.5</v>
      </c>
      <c r="Q197" s="2">
        <v>0.29</v>
      </c>
      <c r="R197" s="1">
        <v>0.1</v>
      </c>
      <c r="S197" s="1">
        <v>200</v>
      </c>
      <c r="T197" s="1">
        <v>0</v>
      </c>
      <c r="U197" s="1">
        <v>17001</v>
      </c>
      <c r="V197" s="1">
        <v>0</v>
      </c>
      <c r="W197" s="1">
        <v>0</v>
      </c>
      <c r="X197" s="1">
        <v>0</v>
      </c>
      <c r="Y197" s="1">
        <v>0</v>
      </c>
      <c r="Z197" s="3" t="s">
        <v>374</v>
      </c>
    </row>
    <row r="198" spans="1:26">
      <c r="A198" s="1">
        <v>60103</v>
      </c>
      <c r="B198" s="1">
        <v>60101</v>
      </c>
      <c r="C198" s="1" t="s">
        <v>185</v>
      </c>
      <c r="D198" s="1">
        <v>6</v>
      </c>
      <c r="E198" s="1">
        <v>1</v>
      </c>
      <c r="F198" s="1">
        <v>3</v>
      </c>
      <c r="G198" s="1" t="str">
        <f t="shared" si="106"/>
        <v>res60101</v>
      </c>
      <c r="H198" s="1" t="str">
        <f t="shared" si="107"/>
        <v>res60101</v>
      </c>
      <c r="J198" s="1">
        <v>3</v>
      </c>
      <c r="K198" s="1">
        <v>0</v>
      </c>
      <c r="L198" s="1">
        <v>0</v>
      </c>
      <c r="M198" s="1">
        <v>1</v>
      </c>
      <c r="N198" s="1">
        <v>0</v>
      </c>
      <c r="O198" s="1">
        <v>1</v>
      </c>
      <c r="P198" s="2">
        <f t="shared" si="108"/>
        <v>18.225</v>
      </c>
      <c r="Q198" s="2">
        <v>0.29</v>
      </c>
      <c r="R198" s="1">
        <v>0.1</v>
      </c>
      <c r="S198" s="1">
        <v>200</v>
      </c>
      <c r="T198" s="1">
        <v>0</v>
      </c>
      <c r="U198" s="1">
        <v>17001</v>
      </c>
      <c r="V198" s="1">
        <v>0</v>
      </c>
      <c r="W198" s="1">
        <v>0</v>
      </c>
      <c r="X198" s="1">
        <v>0</v>
      </c>
      <c r="Y198" s="1">
        <v>0</v>
      </c>
      <c r="Z198" s="3" t="s">
        <v>374</v>
      </c>
    </row>
    <row r="199" spans="1:26">
      <c r="A199" s="1">
        <v>60104</v>
      </c>
      <c r="B199" s="1">
        <v>60101</v>
      </c>
      <c r="C199" s="1" t="s">
        <v>185</v>
      </c>
      <c r="D199" s="1">
        <v>6</v>
      </c>
      <c r="E199" s="1">
        <v>1</v>
      </c>
      <c r="F199" s="1">
        <v>4</v>
      </c>
      <c r="G199" s="1" t="str">
        <f t="shared" si="106"/>
        <v>res60101</v>
      </c>
      <c r="H199" s="1" t="str">
        <f t="shared" si="107"/>
        <v>res60101</v>
      </c>
      <c r="J199" s="1">
        <v>3</v>
      </c>
      <c r="K199" s="1">
        <v>0</v>
      </c>
      <c r="L199" s="1">
        <v>0</v>
      </c>
      <c r="M199" s="1">
        <v>1</v>
      </c>
      <c r="N199" s="1">
        <v>0</v>
      </c>
      <c r="O199" s="1">
        <v>1</v>
      </c>
      <c r="P199" s="2">
        <f t="shared" si="108"/>
        <v>24.60375</v>
      </c>
      <c r="Q199" s="2">
        <v>0.29</v>
      </c>
      <c r="R199" s="1">
        <v>0.1</v>
      </c>
      <c r="S199" s="1">
        <v>200</v>
      </c>
      <c r="T199" s="1">
        <v>0</v>
      </c>
      <c r="U199" s="1">
        <v>17001</v>
      </c>
      <c r="V199" s="1">
        <v>0</v>
      </c>
      <c r="W199" s="1">
        <v>0</v>
      </c>
      <c r="X199" s="1">
        <v>0</v>
      </c>
      <c r="Y199" s="1">
        <v>0</v>
      </c>
      <c r="Z199" s="3" t="s">
        <v>374</v>
      </c>
    </row>
    <row r="200" spans="1:26">
      <c r="A200" s="1">
        <v>60105</v>
      </c>
      <c r="B200" s="1">
        <v>60101</v>
      </c>
      <c r="C200" s="1" t="s">
        <v>185</v>
      </c>
      <c r="D200" s="1">
        <v>6</v>
      </c>
      <c r="E200" s="1">
        <v>1</v>
      </c>
      <c r="F200" s="1">
        <v>5</v>
      </c>
      <c r="G200" s="1" t="str">
        <f t="shared" si="106"/>
        <v>res60101</v>
      </c>
      <c r="H200" s="1" t="str">
        <f t="shared" si="107"/>
        <v>res60101</v>
      </c>
      <c r="J200" s="1">
        <v>3</v>
      </c>
      <c r="K200" s="1">
        <v>0</v>
      </c>
      <c r="L200" s="1">
        <v>0</v>
      </c>
      <c r="M200" s="1">
        <v>1</v>
      </c>
      <c r="N200" s="1">
        <v>0</v>
      </c>
      <c r="O200" s="1">
        <v>1</v>
      </c>
      <c r="P200" s="2">
        <f t="shared" si="108"/>
        <v>33.2150625</v>
      </c>
      <c r="Q200" s="2">
        <v>0.29</v>
      </c>
      <c r="R200" s="1">
        <v>0.1</v>
      </c>
      <c r="S200" s="1">
        <v>200</v>
      </c>
      <c r="T200" s="1">
        <v>0</v>
      </c>
      <c r="U200" s="1">
        <v>17001</v>
      </c>
      <c r="V200" s="1">
        <v>0</v>
      </c>
      <c r="W200" s="1">
        <v>0</v>
      </c>
      <c r="X200" s="1">
        <v>0</v>
      </c>
      <c r="Y200" s="1">
        <v>0</v>
      </c>
      <c r="Z200" s="3" t="s">
        <v>374</v>
      </c>
    </row>
    <row r="201" spans="1:26">
      <c r="A201" s="1">
        <v>60106</v>
      </c>
      <c r="B201" s="1">
        <v>60101</v>
      </c>
      <c r="C201" s="1" t="s">
        <v>185</v>
      </c>
      <c r="D201" s="1">
        <v>6</v>
      </c>
      <c r="E201" s="1">
        <v>1</v>
      </c>
      <c r="F201" s="1">
        <v>6</v>
      </c>
      <c r="G201" s="1" t="str">
        <f t="shared" si="106"/>
        <v>res60101</v>
      </c>
      <c r="H201" s="1" t="str">
        <f t="shared" si="107"/>
        <v>res60101</v>
      </c>
      <c r="J201" s="1">
        <v>3</v>
      </c>
      <c r="K201" s="1">
        <v>0</v>
      </c>
      <c r="L201" s="1">
        <v>0</v>
      </c>
      <c r="M201" s="1">
        <v>1</v>
      </c>
      <c r="N201" s="1">
        <v>0</v>
      </c>
      <c r="O201" s="1">
        <v>1</v>
      </c>
      <c r="P201" s="2">
        <f t="shared" si="108"/>
        <v>44.840334375</v>
      </c>
      <c r="Q201" s="2">
        <v>0.29</v>
      </c>
      <c r="R201" s="1">
        <v>0.1</v>
      </c>
      <c r="S201" s="1">
        <v>200</v>
      </c>
      <c r="T201" s="1">
        <v>0</v>
      </c>
      <c r="U201" s="1">
        <v>17001</v>
      </c>
      <c r="V201" s="1">
        <v>0</v>
      </c>
      <c r="W201" s="1">
        <v>0</v>
      </c>
      <c r="X201" s="1">
        <v>0</v>
      </c>
      <c r="Y201" s="1">
        <v>0</v>
      </c>
      <c r="Z201" s="3" t="s">
        <v>374</v>
      </c>
    </row>
    <row r="202" spans="1:26">
      <c r="A202" s="1">
        <v>60107</v>
      </c>
      <c r="B202" s="1">
        <v>60101</v>
      </c>
      <c r="C202" s="1" t="s">
        <v>185</v>
      </c>
      <c r="D202" s="1">
        <v>6</v>
      </c>
      <c r="E202" s="1">
        <v>1</v>
      </c>
      <c r="F202" s="1">
        <v>7</v>
      </c>
      <c r="G202" s="1" t="str">
        <f t="shared" si="106"/>
        <v>res60101</v>
      </c>
      <c r="H202" s="1" t="str">
        <f t="shared" si="107"/>
        <v>res60101</v>
      </c>
      <c r="J202" s="1">
        <v>3</v>
      </c>
      <c r="K202" s="1">
        <v>0</v>
      </c>
      <c r="L202" s="1">
        <v>0</v>
      </c>
      <c r="M202" s="1">
        <v>1</v>
      </c>
      <c r="N202" s="1">
        <v>0</v>
      </c>
      <c r="O202" s="1">
        <v>1</v>
      </c>
      <c r="P202" s="2">
        <f t="shared" si="108"/>
        <v>60.53445140625</v>
      </c>
      <c r="Q202" s="2">
        <v>0.29</v>
      </c>
      <c r="R202" s="1">
        <v>0.1</v>
      </c>
      <c r="S202" s="1">
        <v>200</v>
      </c>
      <c r="T202" s="1">
        <v>0</v>
      </c>
      <c r="U202" s="1">
        <v>17001</v>
      </c>
      <c r="V202" s="1">
        <v>0</v>
      </c>
      <c r="W202" s="1">
        <v>0</v>
      </c>
      <c r="X202" s="1">
        <v>0</v>
      </c>
      <c r="Y202" s="1">
        <v>0</v>
      </c>
      <c r="Z202" s="3" t="s">
        <v>374</v>
      </c>
    </row>
    <row r="203" spans="1:26">
      <c r="A203" s="1">
        <v>60108</v>
      </c>
      <c r="B203" s="1">
        <v>60101</v>
      </c>
      <c r="C203" s="1" t="s">
        <v>185</v>
      </c>
      <c r="D203" s="1">
        <v>6</v>
      </c>
      <c r="E203" s="1">
        <v>1</v>
      </c>
      <c r="F203" s="1">
        <v>8</v>
      </c>
      <c r="G203" s="1" t="str">
        <f t="shared" si="106"/>
        <v>res60101</v>
      </c>
      <c r="H203" s="1" t="str">
        <f t="shared" si="107"/>
        <v>res60101</v>
      </c>
      <c r="J203" s="1">
        <v>3</v>
      </c>
      <c r="K203" s="1">
        <v>0</v>
      </c>
      <c r="L203" s="1">
        <v>0</v>
      </c>
      <c r="M203" s="1">
        <v>1</v>
      </c>
      <c r="N203" s="1">
        <v>0</v>
      </c>
      <c r="O203" s="1">
        <v>1</v>
      </c>
      <c r="P203" s="2">
        <f t="shared" si="108"/>
        <v>81.7215093984375</v>
      </c>
      <c r="Q203" s="2">
        <v>0.29</v>
      </c>
      <c r="R203" s="1">
        <v>0.1</v>
      </c>
      <c r="S203" s="1">
        <v>200</v>
      </c>
      <c r="T203" s="1">
        <v>0</v>
      </c>
      <c r="U203" s="1">
        <v>17001</v>
      </c>
      <c r="V203" s="1">
        <v>0</v>
      </c>
      <c r="W203" s="1">
        <v>0</v>
      </c>
      <c r="X203" s="1">
        <v>0</v>
      </c>
      <c r="Y203" s="1">
        <v>0</v>
      </c>
      <c r="Z203" s="3" t="s">
        <v>374</v>
      </c>
    </row>
    <row r="204" spans="1:26">
      <c r="A204" s="1">
        <v>60109</v>
      </c>
      <c r="B204" s="1">
        <v>60101</v>
      </c>
      <c r="C204" s="1" t="s">
        <v>185</v>
      </c>
      <c r="D204" s="1">
        <v>6</v>
      </c>
      <c r="E204" s="1">
        <v>1</v>
      </c>
      <c r="F204" s="1">
        <v>9</v>
      </c>
      <c r="G204" s="1" t="str">
        <f t="shared" si="106"/>
        <v>res60101</v>
      </c>
      <c r="H204" s="1" t="str">
        <f t="shared" si="107"/>
        <v>res60101</v>
      </c>
      <c r="J204" s="1">
        <v>3</v>
      </c>
      <c r="K204" s="1">
        <v>0</v>
      </c>
      <c r="L204" s="1">
        <v>0</v>
      </c>
      <c r="M204" s="1">
        <v>1</v>
      </c>
      <c r="N204" s="1">
        <v>0</v>
      </c>
      <c r="O204" s="1">
        <v>1</v>
      </c>
      <c r="P204" s="2">
        <f t="shared" si="108"/>
        <v>110.324037687891</v>
      </c>
      <c r="Q204" s="2">
        <v>0.29</v>
      </c>
      <c r="R204" s="1">
        <v>0.1</v>
      </c>
      <c r="S204" s="1">
        <v>200</v>
      </c>
      <c r="T204" s="1">
        <v>0</v>
      </c>
      <c r="U204" s="1">
        <v>17001</v>
      </c>
      <c r="V204" s="1">
        <v>0</v>
      </c>
      <c r="W204" s="1">
        <v>0</v>
      </c>
      <c r="X204" s="1">
        <v>0</v>
      </c>
      <c r="Y204" s="1">
        <v>0</v>
      </c>
      <c r="Z204" s="3" t="s">
        <v>374</v>
      </c>
    </row>
    <row r="205" spans="1:26">
      <c r="A205" s="1">
        <v>60110</v>
      </c>
      <c r="B205" s="1">
        <v>60101</v>
      </c>
      <c r="C205" s="1" t="s">
        <v>185</v>
      </c>
      <c r="D205" s="1">
        <v>6</v>
      </c>
      <c r="E205" s="1">
        <v>1</v>
      </c>
      <c r="F205" s="1">
        <v>10</v>
      </c>
      <c r="G205" s="1" t="str">
        <f t="shared" si="106"/>
        <v>res60101</v>
      </c>
      <c r="H205" s="1" t="str">
        <f t="shared" si="107"/>
        <v>res60101</v>
      </c>
      <c r="J205" s="1">
        <v>3</v>
      </c>
      <c r="K205" s="1">
        <v>0</v>
      </c>
      <c r="L205" s="1">
        <v>0</v>
      </c>
      <c r="M205" s="1">
        <v>1</v>
      </c>
      <c r="N205" s="1">
        <v>0</v>
      </c>
      <c r="O205" s="1">
        <v>1</v>
      </c>
      <c r="P205" s="2">
        <f t="shared" si="108"/>
        <v>148.937450878652</v>
      </c>
      <c r="Q205" s="2">
        <v>0.29</v>
      </c>
      <c r="R205" s="1">
        <v>0.1</v>
      </c>
      <c r="S205" s="1">
        <v>200</v>
      </c>
      <c r="T205" s="1">
        <v>0</v>
      </c>
      <c r="U205" s="1">
        <v>17001</v>
      </c>
      <c r="V205" s="1">
        <v>0</v>
      </c>
      <c r="W205" s="1">
        <v>0</v>
      </c>
      <c r="X205" s="1">
        <v>0</v>
      </c>
      <c r="Y205" s="1">
        <v>0</v>
      </c>
      <c r="Z205" s="3" t="s">
        <v>374</v>
      </c>
    </row>
    <row r="206" spans="1:26">
      <c r="A206" s="1">
        <v>60111</v>
      </c>
      <c r="B206" s="1">
        <v>60101</v>
      </c>
      <c r="C206" s="1" t="s">
        <v>185</v>
      </c>
      <c r="D206" s="1">
        <v>6</v>
      </c>
      <c r="E206" s="1">
        <v>1</v>
      </c>
      <c r="F206" s="1">
        <v>11</v>
      </c>
      <c r="G206" s="1" t="str">
        <f t="shared" si="106"/>
        <v>res60101</v>
      </c>
      <c r="H206" s="1" t="str">
        <f t="shared" si="107"/>
        <v>res60101</v>
      </c>
      <c r="J206" s="1">
        <v>3</v>
      </c>
      <c r="K206" s="1">
        <v>0</v>
      </c>
      <c r="L206" s="1">
        <v>0</v>
      </c>
      <c r="M206" s="1">
        <v>1</v>
      </c>
      <c r="N206" s="1">
        <v>0</v>
      </c>
      <c r="O206" s="1">
        <v>1</v>
      </c>
      <c r="P206" s="2">
        <f t="shared" si="108"/>
        <v>201.065558686181</v>
      </c>
      <c r="Q206" s="2">
        <v>0.29</v>
      </c>
      <c r="R206" s="1">
        <v>0.1</v>
      </c>
      <c r="S206" s="1">
        <v>200</v>
      </c>
      <c r="T206" s="1">
        <v>0</v>
      </c>
      <c r="U206" s="1">
        <v>17001</v>
      </c>
      <c r="V206" s="1">
        <v>0</v>
      </c>
      <c r="W206" s="1">
        <v>0</v>
      </c>
      <c r="X206" s="1">
        <v>0</v>
      </c>
      <c r="Y206" s="1">
        <v>0</v>
      </c>
      <c r="Z206" s="3" t="s">
        <v>374</v>
      </c>
    </row>
    <row r="207" spans="1:26">
      <c r="A207" s="1">
        <v>60112</v>
      </c>
      <c r="B207" s="1">
        <v>60101</v>
      </c>
      <c r="C207" s="1" t="s">
        <v>185</v>
      </c>
      <c r="D207" s="1">
        <v>6</v>
      </c>
      <c r="E207" s="1">
        <v>1</v>
      </c>
      <c r="F207" s="1">
        <v>12</v>
      </c>
      <c r="G207" s="1" t="str">
        <f t="shared" si="106"/>
        <v>res60101</v>
      </c>
      <c r="H207" s="1" t="str">
        <f t="shared" si="107"/>
        <v>res60101</v>
      </c>
      <c r="J207" s="1">
        <v>3</v>
      </c>
      <c r="K207" s="1">
        <v>0</v>
      </c>
      <c r="L207" s="1">
        <v>0</v>
      </c>
      <c r="M207" s="1">
        <v>1</v>
      </c>
      <c r="N207" s="1">
        <v>0</v>
      </c>
      <c r="O207" s="1">
        <v>1</v>
      </c>
      <c r="P207" s="2">
        <f t="shared" si="108"/>
        <v>271.438504226344</v>
      </c>
      <c r="Q207" s="2">
        <v>0.29</v>
      </c>
      <c r="R207" s="1">
        <v>0.1</v>
      </c>
      <c r="S207" s="1">
        <v>200</v>
      </c>
      <c r="T207" s="1">
        <v>0</v>
      </c>
      <c r="U207" s="1">
        <v>17001</v>
      </c>
      <c r="V207" s="1">
        <v>0</v>
      </c>
      <c r="W207" s="1">
        <v>0</v>
      </c>
      <c r="X207" s="1">
        <v>0</v>
      </c>
      <c r="Y207" s="1">
        <v>0</v>
      </c>
      <c r="Z207" s="3" t="s">
        <v>374</v>
      </c>
    </row>
    <row r="208" spans="1:26">
      <c r="A208" s="1">
        <v>60113</v>
      </c>
      <c r="B208" s="1">
        <v>60101</v>
      </c>
      <c r="C208" s="1" t="s">
        <v>185</v>
      </c>
      <c r="D208" s="1">
        <v>6</v>
      </c>
      <c r="E208" s="1">
        <v>1</v>
      </c>
      <c r="F208" s="1">
        <v>13</v>
      </c>
      <c r="G208" s="1" t="str">
        <f t="shared" si="106"/>
        <v>res60101</v>
      </c>
      <c r="H208" s="1" t="str">
        <f t="shared" si="107"/>
        <v>res60101</v>
      </c>
      <c r="J208" s="1">
        <v>3</v>
      </c>
      <c r="K208" s="1">
        <v>0</v>
      </c>
      <c r="L208" s="1">
        <v>0</v>
      </c>
      <c r="M208" s="1">
        <v>1</v>
      </c>
      <c r="N208" s="1">
        <v>0</v>
      </c>
      <c r="O208" s="1">
        <v>1</v>
      </c>
      <c r="P208" s="2">
        <f t="shared" si="108"/>
        <v>366.441980705565</v>
      </c>
      <c r="Q208" s="2">
        <v>0.29</v>
      </c>
      <c r="R208" s="1">
        <v>0.1</v>
      </c>
      <c r="S208" s="1">
        <v>200</v>
      </c>
      <c r="T208" s="1">
        <v>0</v>
      </c>
      <c r="U208" s="1">
        <v>17001</v>
      </c>
      <c r="V208" s="1">
        <v>0</v>
      </c>
      <c r="W208" s="1">
        <v>0</v>
      </c>
      <c r="X208" s="1">
        <v>0</v>
      </c>
      <c r="Y208" s="1">
        <v>0</v>
      </c>
      <c r="Z208" s="3" t="s">
        <v>374</v>
      </c>
    </row>
    <row r="209" spans="1:26">
      <c r="A209" s="1">
        <v>60114</v>
      </c>
      <c r="B209" s="1">
        <v>60101</v>
      </c>
      <c r="C209" s="1" t="s">
        <v>185</v>
      </c>
      <c r="D209" s="1">
        <v>6</v>
      </c>
      <c r="E209" s="1">
        <v>1</v>
      </c>
      <c r="F209" s="1">
        <v>14</v>
      </c>
      <c r="G209" s="1" t="str">
        <f t="shared" si="106"/>
        <v>res60101</v>
      </c>
      <c r="H209" s="1" t="str">
        <f t="shared" si="107"/>
        <v>res60101</v>
      </c>
      <c r="J209" s="1">
        <v>3</v>
      </c>
      <c r="K209" s="1">
        <v>0</v>
      </c>
      <c r="L209" s="1">
        <v>0</v>
      </c>
      <c r="M209" s="1">
        <v>1</v>
      </c>
      <c r="N209" s="1">
        <v>0</v>
      </c>
      <c r="O209" s="1">
        <v>1</v>
      </c>
      <c r="P209" s="2">
        <f t="shared" si="108"/>
        <v>494.696673952512</v>
      </c>
      <c r="Q209" s="2">
        <v>0.29</v>
      </c>
      <c r="R209" s="1">
        <v>0.1</v>
      </c>
      <c r="S209" s="1">
        <v>200</v>
      </c>
      <c r="T209" s="1">
        <v>0</v>
      </c>
      <c r="U209" s="1">
        <v>17001</v>
      </c>
      <c r="V209" s="1">
        <v>0</v>
      </c>
      <c r="W209" s="1">
        <v>0</v>
      </c>
      <c r="X209" s="1">
        <v>0</v>
      </c>
      <c r="Y209" s="1">
        <v>0</v>
      </c>
      <c r="Z209" s="3" t="s">
        <v>374</v>
      </c>
    </row>
    <row r="210" spans="1:26">
      <c r="A210" s="1">
        <v>60115</v>
      </c>
      <c r="B210" s="1">
        <v>60101</v>
      </c>
      <c r="C210" s="1" t="s">
        <v>185</v>
      </c>
      <c r="D210" s="1">
        <v>6</v>
      </c>
      <c r="E210" s="1">
        <v>1</v>
      </c>
      <c r="F210" s="1">
        <v>15</v>
      </c>
      <c r="G210" s="1" t="str">
        <f t="shared" si="106"/>
        <v>res60101</v>
      </c>
      <c r="H210" s="1" t="str">
        <f t="shared" si="107"/>
        <v>res60101</v>
      </c>
      <c r="J210" s="1">
        <v>3</v>
      </c>
      <c r="K210" s="1">
        <v>0</v>
      </c>
      <c r="L210" s="1">
        <v>0</v>
      </c>
      <c r="M210" s="1">
        <v>1</v>
      </c>
      <c r="N210" s="1">
        <v>0</v>
      </c>
      <c r="O210" s="1">
        <v>1</v>
      </c>
      <c r="P210" s="2">
        <f t="shared" si="108"/>
        <v>667.840509835892</v>
      </c>
      <c r="Q210" s="2">
        <v>0.29</v>
      </c>
      <c r="R210" s="1">
        <v>0.1</v>
      </c>
      <c r="S210" s="1">
        <v>200</v>
      </c>
      <c r="T210" s="1">
        <v>0</v>
      </c>
      <c r="U210" s="1">
        <v>17001</v>
      </c>
      <c r="V210" s="1">
        <v>0</v>
      </c>
      <c r="W210" s="1">
        <v>0</v>
      </c>
      <c r="X210" s="1">
        <v>0</v>
      </c>
      <c r="Y210" s="1">
        <v>0</v>
      </c>
      <c r="Z210" s="3" t="s">
        <v>374</v>
      </c>
    </row>
    <row r="211" spans="1:26">
      <c r="A211" s="1">
        <v>60116</v>
      </c>
      <c r="B211" s="1">
        <v>60101</v>
      </c>
      <c r="C211" s="1" t="s">
        <v>185</v>
      </c>
      <c r="D211" s="1">
        <v>6</v>
      </c>
      <c r="E211" s="1">
        <v>1</v>
      </c>
      <c r="F211" s="1">
        <v>16</v>
      </c>
      <c r="G211" s="1" t="str">
        <f t="shared" si="106"/>
        <v>res60101</v>
      </c>
      <c r="H211" s="1" t="str">
        <f t="shared" si="107"/>
        <v>res60101</v>
      </c>
      <c r="J211" s="1">
        <v>3</v>
      </c>
      <c r="K211" s="1">
        <v>0</v>
      </c>
      <c r="L211" s="1">
        <v>0</v>
      </c>
      <c r="M211" s="1">
        <v>1</v>
      </c>
      <c r="N211" s="1">
        <v>0</v>
      </c>
      <c r="O211" s="1">
        <v>1</v>
      </c>
      <c r="P211" s="2">
        <f t="shared" si="108"/>
        <v>901.584688278454</v>
      </c>
      <c r="Q211" s="2">
        <v>0.29</v>
      </c>
      <c r="R211" s="1">
        <v>0.1</v>
      </c>
      <c r="S211" s="1">
        <v>200</v>
      </c>
      <c r="T211" s="1">
        <v>0</v>
      </c>
      <c r="U211" s="1">
        <v>17001</v>
      </c>
      <c r="V211" s="1">
        <v>0</v>
      </c>
      <c r="W211" s="1">
        <v>0</v>
      </c>
      <c r="X211" s="1">
        <v>0</v>
      </c>
      <c r="Y211" s="1">
        <v>0</v>
      </c>
      <c r="Z211" s="3" t="s">
        <v>374</v>
      </c>
    </row>
    <row r="212" spans="1:26">
      <c r="A212" s="1">
        <v>60117</v>
      </c>
      <c r="B212" s="1">
        <v>60101</v>
      </c>
      <c r="C212" s="1" t="s">
        <v>185</v>
      </c>
      <c r="D212" s="1">
        <v>6</v>
      </c>
      <c r="E212" s="1">
        <v>1</v>
      </c>
      <c r="F212" s="1">
        <v>17</v>
      </c>
      <c r="G212" s="1" t="str">
        <f t="shared" si="106"/>
        <v>res60101</v>
      </c>
      <c r="H212" s="1" t="str">
        <f t="shared" si="107"/>
        <v>res60101</v>
      </c>
      <c r="J212" s="1">
        <v>3</v>
      </c>
      <c r="K212" s="1">
        <v>0</v>
      </c>
      <c r="L212" s="1">
        <v>0</v>
      </c>
      <c r="M212" s="1">
        <v>1</v>
      </c>
      <c r="N212" s="1">
        <v>0</v>
      </c>
      <c r="O212" s="1">
        <v>1</v>
      </c>
      <c r="P212" s="2">
        <f t="shared" si="108"/>
        <v>1217.13932917591</v>
      </c>
      <c r="Q212" s="2">
        <v>0.29</v>
      </c>
      <c r="R212" s="1">
        <v>0.1</v>
      </c>
      <c r="S212" s="1">
        <v>200</v>
      </c>
      <c r="T212" s="1">
        <v>0</v>
      </c>
      <c r="U212" s="1">
        <v>17001</v>
      </c>
      <c r="V212" s="1">
        <v>0</v>
      </c>
      <c r="W212" s="1">
        <v>0</v>
      </c>
      <c r="X212" s="1">
        <v>0</v>
      </c>
      <c r="Y212" s="1">
        <v>0</v>
      </c>
      <c r="Z212" s="3" t="s">
        <v>374</v>
      </c>
    </row>
    <row r="213" spans="1:26">
      <c r="A213" s="1">
        <v>60118</v>
      </c>
      <c r="B213" s="1">
        <v>60101</v>
      </c>
      <c r="C213" s="1" t="s">
        <v>185</v>
      </c>
      <c r="D213" s="1">
        <v>6</v>
      </c>
      <c r="E213" s="1">
        <v>1</v>
      </c>
      <c r="F213" s="1">
        <v>18</v>
      </c>
      <c r="G213" s="1" t="str">
        <f t="shared" si="106"/>
        <v>res60101</v>
      </c>
      <c r="H213" s="1" t="str">
        <f t="shared" si="107"/>
        <v>res60101</v>
      </c>
      <c r="J213" s="1">
        <v>3</v>
      </c>
      <c r="K213" s="1">
        <v>0</v>
      </c>
      <c r="L213" s="1">
        <v>0</v>
      </c>
      <c r="M213" s="1">
        <v>1</v>
      </c>
      <c r="N213" s="1">
        <v>0</v>
      </c>
      <c r="O213" s="1">
        <v>1</v>
      </c>
      <c r="P213" s="2">
        <f t="shared" si="108"/>
        <v>1643.13809438748</v>
      </c>
      <c r="Q213" s="2">
        <v>0.29</v>
      </c>
      <c r="R213" s="1">
        <v>0.1</v>
      </c>
      <c r="S213" s="1">
        <v>200</v>
      </c>
      <c r="T213" s="1">
        <v>0</v>
      </c>
      <c r="U213" s="1">
        <v>17001</v>
      </c>
      <c r="V213" s="1">
        <v>0</v>
      </c>
      <c r="W213" s="1">
        <v>0</v>
      </c>
      <c r="X213" s="1">
        <v>0</v>
      </c>
      <c r="Y213" s="1">
        <v>0</v>
      </c>
      <c r="Z213" s="3" t="s">
        <v>374</v>
      </c>
    </row>
    <row r="214" spans="1:26">
      <c r="A214" s="1">
        <v>60119</v>
      </c>
      <c r="B214" s="1">
        <v>60101</v>
      </c>
      <c r="C214" s="1" t="s">
        <v>185</v>
      </c>
      <c r="D214" s="1">
        <v>6</v>
      </c>
      <c r="E214" s="1">
        <v>1</v>
      </c>
      <c r="F214" s="1">
        <v>19</v>
      </c>
      <c r="G214" s="1" t="str">
        <f t="shared" si="106"/>
        <v>res60101</v>
      </c>
      <c r="H214" s="1" t="str">
        <f t="shared" si="107"/>
        <v>res60101</v>
      </c>
      <c r="J214" s="1">
        <v>3</v>
      </c>
      <c r="K214" s="1">
        <v>0</v>
      </c>
      <c r="L214" s="1">
        <v>0</v>
      </c>
      <c r="M214" s="1">
        <v>1</v>
      </c>
      <c r="N214" s="1">
        <v>0</v>
      </c>
      <c r="O214" s="1">
        <v>1</v>
      </c>
      <c r="P214" s="2">
        <f t="shared" si="108"/>
        <v>2218.2364274231</v>
      </c>
      <c r="Q214" s="2">
        <v>0.29</v>
      </c>
      <c r="R214" s="1">
        <v>0.1</v>
      </c>
      <c r="S214" s="1">
        <v>200</v>
      </c>
      <c r="T214" s="1">
        <v>0</v>
      </c>
      <c r="U214" s="1">
        <v>17001</v>
      </c>
      <c r="V214" s="1">
        <v>0</v>
      </c>
      <c r="W214" s="1">
        <v>0</v>
      </c>
      <c r="X214" s="1">
        <v>0</v>
      </c>
      <c r="Y214" s="1">
        <v>0</v>
      </c>
      <c r="Z214" s="3" t="s">
        <v>374</v>
      </c>
    </row>
    <row r="215" spans="1:26">
      <c r="A215" s="1">
        <v>60120</v>
      </c>
      <c r="B215" s="1">
        <v>60101</v>
      </c>
      <c r="C215" s="1" t="s">
        <v>185</v>
      </c>
      <c r="D215" s="1">
        <v>6</v>
      </c>
      <c r="E215" s="1">
        <v>1</v>
      </c>
      <c r="F215" s="1">
        <v>20</v>
      </c>
      <c r="G215" s="1" t="str">
        <f t="shared" si="106"/>
        <v>res60101</v>
      </c>
      <c r="H215" s="1" t="str">
        <f t="shared" si="107"/>
        <v>res60101</v>
      </c>
      <c r="J215" s="1">
        <v>3</v>
      </c>
      <c r="K215" s="1">
        <v>0</v>
      </c>
      <c r="L215" s="1">
        <v>0</v>
      </c>
      <c r="M215" s="1">
        <v>1</v>
      </c>
      <c r="N215" s="1">
        <v>0</v>
      </c>
      <c r="O215" s="1">
        <v>1</v>
      </c>
      <c r="P215" s="2">
        <f t="shared" si="108"/>
        <v>2994.61917702119</v>
      </c>
      <c r="Q215" s="2">
        <v>0.29</v>
      </c>
      <c r="R215" s="1">
        <v>0.1</v>
      </c>
      <c r="S215" s="1">
        <v>200</v>
      </c>
      <c r="T215" s="1">
        <v>0</v>
      </c>
      <c r="U215" s="1">
        <v>17001</v>
      </c>
      <c r="V215" s="1">
        <v>0</v>
      </c>
      <c r="W215" s="1">
        <v>0</v>
      </c>
      <c r="X215" s="1">
        <v>0</v>
      </c>
      <c r="Y215" s="1">
        <v>0</v>
      </c>
      <c r="Z215" s="3" t="s">
        <v>374</v>
      </c>
    </row>
    <row r="216" spans="1:26">
      <c r="A216" s="1">
        <v>60201</v>
      </c>
      <c r="B216" s="1">
        <v>60201</v>
      </c>
      <c r="C216" s="1" t="s">
        <v>189</v>
      </c>
      <c r="D216" s="1">
        <v>6</v>
      </c>
      <c r="E216" s="1">
        <v>4</v>
      </c>
      <c r="F216" s="1">
        <v>1</v>
      </c>
      <c r="G216" s="1" t="str">
        <f t="shared" ref="G216:G273" si="109">"res"&amp;B216</f>
        <v>res60201</v>
      </c>
      <c r="H216" s="1" t="str">
        <f t="shared" ref="H216:H279" si="110">"res"&amp;B216</f>
        <v>res60201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2">
        <v>0</v>
      </c>
      <c r="Q216" s="2">
        <v>0</v>
      </c>
      <c r="R216" s="1">
        <v>0</v>
      </c>
      <c r="S216" s="1">
        <v>0</v>
      </c>
      <c r="T216" s="1">
        <v>0</v>
      </c>
      <c r="U216" s="1">
        <v>18001</v>
      </c>
      <c r="V216" s="1">
        <v>0</v>
      </c>
      <c r="W216" s="1">
        <v>0</v>
      </c>
      <c r="X216" s="1">
        <v>0</v>
      </c>
      <c r="Y216" s="1">
        <v>0</v>
      </c>
      <c r="Z216" s="3" t="s">
        <v>375</v>
      </c>
    </row>
    <row r="217" spans="1:26">
      <c r="A217" s="1">
        <v>60202</v>
      </c>
      <c r="B217" s="1">
        <v>60201</v>
      </c>
      <c r="C217" s="1" t="s">
        <v>189</v>
      </c>
      <c r="D217" s="1">
        <v>6</v>
      </c>
      <c r="E217" s="1">
        <v>4</v>
      </c>
      <c r="F217" s="1">
        <v>2</v>
      </c>
      <c r="G217" s="1" t="str">
        <f t="shared" si="109"/>
        <v>res60201</v>
      </c>
      <c r="H217" s="1" t="str">
        <f t="shared" si="110"/>
        <v>res60201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2">
        <v>0</v>
      </c>
      <c r="Q217" s="2">
        <v>0</v>
      </c>
      <c r="R217" s="1">
        <v>0</v>
      </c>
      <c r="S217" s="1">
        <v>0</v>
      </c>
      <c r="T217" s="1">
        <v>0</v>
      </c>
      <c r="U217" s="1">
        <v>18002</v>
      </c>
      <c r="V217" s="1">
        <v>0</v>
      </c>
      <c r="W217" s="1">
        <v>0</v>
      </c>
      <c r="X217" s="1">
        <v>0</v>
      </c>
      <c r="Y217" s="1">
        <v>0</v>
      </c>
      <c r="Z217" s="3" t="s">
        <v>375</v>
      </c>
    </row>
    <row r="218" spans="1:26">
      <c r="A218" s="1">
        <v>60203</v>
      </c>
      <c r="B218" s="1">
        <v>60201</v>
      </c>
      <c r="C218" s="1" t="s">
        <v>189</v>
      </c>
      <c r="D218" s="1">
        <v>6</v>
      </c>
      <c r="E218" s="1">
        <v>4</v>
      </c>
      <c r="F218" s="1">
        <v>3</v>
      </c>
      <c r="G218" s="1" t="str">
        <f t="shared" si="109"/>
        <v>res60201</v>
      </c>
      <c r="H218" s="1" t="str">
        <f t="shared" si="110"/>
        <v>res60201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2">
        <v>0</v>
      </c>
      <c r="Q218" s="2">
        <v>0</v>
      </c>
      <c r="R218" s="1">
        <v>0</v>
      </c>
      <c r="S218" s="1">
        <v>0</v>
      </c>
      <c r="T218" s="1">
        <v>0</v>
      </c>
      <c r="U218" s="1">
        <v>18003</v>
      </c>
      <c r="V218" s="1">
        <v>0</v>
      </c>
      <c r="W218" s="1">
        <v>0</v>
      </c>
      <c r="X218" s="1">
        <v>0</v>
      </c>
      <c r="Y218" s="1">
        <v>0</v>
      </c>
      <c r="Z218" s="3" t="s">
        <v>375</v>
      </c>
    </row>
    <row r="219" spans="1:26">
      <c r="A219" s="1">
        <v>60301</v>
      </c>
      <c r="B219" s="1">
        <v>60301</v>
      </c>
      <c r="C219" s="1" t="s">
        <v>193</v>
      </c>
      <c r="D219" s="1">
        <v>6</v>
      </c>
      <c r="E219" s="1">
        <v>3</v>
      </c>
      <c r="F219" s="1">
        <v>1</v>
      </c>
      <c r="G219" s="1" t="str">
        <f t="shared" si="109"/>
        <v>res60301</v>
      </c>
      <c r="H219" s="1" t="str">
        <f t="shared" si="110"/>
        <v>res60301</v>
      </c>
      <c r="J219" s="1">
        <v>1</v>
      </c>
      <c r="K219" s="1">
        <v>3</v>
      </c>
      <c r="L219" s="1">
        <v>1</v>
      </c>
      <c r="M219" s="1">
        <v>0</v>
      </c>
      <c r="N219" s="1">
        <v>0</v>
      </c>
      <c r="O219" s="1">
        <v>1</v>
      </c>
      <c r="P219" s="2">
        <v>10</v>
      </c>
      <c r="Q219" s="2">
        <v>0.29</v>
      </c>
      <c r="R219" s="1">
        <v>0.1</v>
      </c>
      <c r="S219" s="1">
        <v>200</v>
      </c>
      <c r="T219" s="1">
        <v>0</v>
      </c>
      <c r="U219" s="1">
        <v>19001</v>
      </c>
      <c r="V219" s="1">
        <v>0</v>
      </c>
      <c r="W219" s="1">
        <v>0</v>
      </c>
      <c r="X219" s="1">
        <v>0</v>
      </c>
      <c r="Y219" s="1">
        <v>0</v>
      </c>
      <c r="Z219" s="3" t="s">
        <v>376</v>
      </c>
    </row>
    <row r="220" spans="1:26">
      <c r="A220" s="1">
        <v>60302</v>
      </c>
      <c r="B220" s="1">
        <v>60301</v>
      </c>
      <c r="C220" s="1" t="s">
        <v>193</v>
      </c>
      <c r="D220" s="1">
        <v>6</v>
      </c>
      <c r="E220" s="1">
        <v>3</v>
      </c>
      <c r="F220" s="1">
        <v>2</v>
      </c>
      <c r="G220" s="1" t="str">
        <f t="shared" si="109"/>
        <v>res60301</v>
      </c>
      <c r="H220" s="1" t="str">
        <f t="shared" si="110"/>
        <v>res60301</v>
      </c>
      <c r="J220" s="1">
        <v>1</v>
      </c>
      <c r="K220" s="1">
        <v>3</v>
      </c>
      <c r="L220" s="1">
        <v>1</v>
      </c>
      <c r="M220" s="1">
        <v>0</v>
      </c>
      <c r="N220" s="1">
        <v>0</v>
      </c>
      <c r="O220" s="1">
        <v>1</v>
      </c>
      <c r="P220" s="2">
        <f>P219*1.35</f>
        <v>13.5</v>
      </c>
      <c r="Q220" s="2">
        <v>0.29</v>
      </c>
      <c r="R220" s="1">
        <v>0.1</v>
      </c>
      <c r="S220" s="1">
        <v>200</v>
      </c>
      <c r="T220" s="1">
        <v>0</v>
      </c>
      <c r="U220" s="1">
        <v>19001</v>
      </c>
      <c r="V220" s="1">
        <v>0</v>
      </c>
      <c r="W220" s="1">
        <v>0</v>
      </c>
      <c r="X220" s="1">
        <v>0</v>
      </c>
      <c r="Y220" s="1">
        <v>0</v>
      </c>
      <c r="Z220" s="3" t="s">
        <v>376</v>
      </c>
    </row>
    <row r="221" spans="1:26">
      <c r="A221" s="1">
        <v>60303</v>
      </c>
      <c r="B221" s="1">
        <v>60301</v>
      </c>
      <c r="C221" s="1" t="s">
        <v>193</v>
      </c>
      <c r="D221" s="1">
        <v>6</v>
      </c>
      <c r="E221" s="1">
        <v>3</v>
      </c>
      <c r="F221" s="1">
        <v>3</v>
      </c>
      <c r="G221" s="1" t="str">
        <f t="shared" si="109"/>
        <v>res60301</v>
      </c>
      <c r="H221" s="1" t="str">
        <f t="shared" si="110"/>
        <v>res60301</v>
      </c>
      <c r="J221" s="1">
        <v>1</v>
      </c>
      <c r="K221" s="1">
        <v>3</v>
      </c>
      <c r="L221" s="1">
        <v>1</v>
      </c>
      <c r="M221" s="1">
        <v>0</v>
      </c>
      <c r="N221" s="1">
        <v>0</v>
      </c>
      <c r="O221" s="1">
        <v>1</v>
      </c>
      <c r="P221" s="2">
        <f>P220*1.35</f>
        <v>18.225</v>
      </c>
      <c r="Q221" s="2">
        <v>0.29</v>
      </c>
      <c r="R221" s="1">
        <v>0.1</v>
      </c>
      <c r="S221" s="1">
        <v>200</v>
      </c>
      <c r="T221" s="1">
        <v>0</v>
      </c>
      <c r="U221" s="1">
        <v>19001</v>
      </c>
      <c r="V221" s="1">
        <v>0</v>
      </c>
      <c r="W221" s="1">
        <v>0</v>
      </c>
      <c r="X221" s="1">
        <v>0</v>
      </c>
      <c r="Y221" s="1">
        <v>0</v>
      </c>
      <c r="Z221" s="3" t="s">
        <v>376</v>
      </c>
    </row>
    <row r="222" spans="1:26">
      <c r="A222" s="1">
        <v>60401</v>
      </c>
      <c r="B222" s="1">
        <v>60401</v>
      </c>
      <c r="C222" s="1" t="s">
        <v>197</v>
      </c>
      <c r="D222" s="1">
        <v>6</v>
      </c>
      <c r="E222" s="1">
        <v>4</v>
      </c>
      <c r="F222" s="1">
        <v>1</v>
      </c>
      <c r="G222" s="1" t="str">
        <f t="shared" si="109"/>
        <v>res60401</v>
      </c>
      <c r="H222" s="1" t="str">
        <f t="shared" si="110"/>
        <v>res60401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2">
        <v>0</v>
      </c>
      <c r="Q222" s="2">
        <v>0</v>
      </c>
      <c r="R222" s="1">
        <v>0</v>
      </c>
      <c r="S222" s="1">
        <v>0</v>
      </c>
      <c r="T222" s="1">
        <v>0</v>
      </c>
      <c r="U222" s="1">
        <v>19011</v>
      </c>
      <c r="V222" s="1">
        <v>0</v>
      </c>
      <c r="W222" s="1">
        <v>0</v>
      </c>
      <c r="X222" s="1">
        <v>1</v>
      </c>
      <c r="Y222" s="1">
        <v>0</v>
      </c>
      <c r="Z222" s="3" t="s">
        <v>377</v>
      </c>
    </row>
    <row r="223" spans="1:26">
      <c r="A223" s="1">
        <v>60402</v>
      </c>
      <c r="B223" s="1">
        <v>60401</v>
      </c>
      <c r="C223" s="1" t="s">
        <v>197</v>
      </c>
      <c r="D223" s="1">
        <v>6</v>
      </c>
      <c r="E223" s="1">
        <v>4</v>
      </c>
      <c r="F223" s="1">
        <v>2</v>
      </c>
      <c r="G223" s="1" t="str">
        <f t="shared" si="109"/>
        <v>res60401</v>
      </c>
      <c r="H223" s="1" t="str">
        <f t="shared" si="110"/>
        <v>res60401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2">
        <v>0</v>
      </c>
      <c r="Q223" s="2">
        <v>0</v>
      </c>
      <c r="R223" s="1">
        <v>0</v>
      </c>
      <c r="S223" s="1">
        <v>0</v>
      </c>
      <c r="T223" s="1">
        <v>0</v>
      </c>
      <c r="U223" s="1">
        <v>19011</v>
      </c>
      <c r="V223" s="1">
        <v>0</v>
      </c>
      <c r="W223" s="1">
        <v>0</v>
      </c>
      <c r="X223" s="1">
        <v>2</v>
      </c>
      <c r="Y223" s="1">
        <v>0</v>
      </c>
      <c r="Z223" s="3" t="s">
        <v>377</v>
      </c>
    </row>
    <row r="224" spans="1:26">
      <c r="A224" s="1">
        <v>60403</v>
      </c>
      <c r="B224" s="1">
        <v>60401</v>
      </c>
      <c r="C224" s="1" t="s">
        <v>197</v>
      </c>
      <c r="D224" s="1">
        <v>6</v>
      </c>
      <c r="E224" s="1">
        <v>4</v>
      </c>
      <c r="F224" s="1">
        <v>3</v>
      </c>
      <c r="G224" s="1" t="str">
        <f t="shared" si="109"/>
        <v>res60401</v>
      </c>
      <c r="H224" s="1" t="str">
        <f t="shared" si="110"/>
        <v>res60401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2">
        <v>0</v>
      </c>
      <c r="Q224" s="2">
        <v>0</v>
      </c>
      <c r="R224" s="1">
        <v>0</v>
      </c>
      <c r="S224" s="1">
        <v>0</v>
      </c>
      <c r="T224" s="1">
        <v>0</v>
      </c>
      <c r="U224" s="1">
        <v>19011</v>
      </c>
      <c r="V224" s="1">
        <v>0</v>
      </c>
      <c r="W224" s="1">
        <v>0</v>
      </c>
      <c r="X224" s="1">
        <v>3</v>
      </c>
      <c r="Y224" s="1">
        <v>0</v>
      </c>
      <c r="Z224" s="3" t="s">
        <v>377</v>
      </c>
    </row>
    <row r="225" spans="1:26">
      <c r="A225" s="1">
        <v>60501</v>
      </c>
      <c r="B225" s="1">
        <v>60501</v>
      </c>
      <c r="C225" s="1" t="s">
        <v>200</v>
      </c>
      <c r="D225" s="1">
        <v>6</v>
      </c>
      <c r="E225" s="1">
        <v>5</v>
      </c>
      <c r="F225" s="1">
        <v>1</v>
      </c>
      <c r="G225" s="1" t="str">
        <f t="shared" si="109"/>
        <v>res60501</v>
      </c>
      <c r="H225" s="1" t="str">
        <f t="shared" si="110"/>
        <v>res60501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2">
        <v>0</v>
      </c>
      <c r="Q225" s="2">
        <v>0</v>
      </c>
      <c r="R225" s="1">
        <v>0</v>
      </c>
      <c r="S225" s="1">
        <v>0</v>
      </c>
      <c r="T225" s="1">
        <v>0</v>
      </c>
      <c r="U225" s="1">
        <v>24001</v>
      </c>
      <c r="V225" s="1">
        <v>0</v>
      </c>
      <c r="W225" s="1">
        <v>0</v>
      </c>
      <c r="X225" s="1">
        <v>0</v>
      </c>
      <c r="Y225" s="1">
        <v>0</v>
      </c>
      <c r="Z225" s="3" t="s">
        <v>378</v>
      </c>
    </row>
    <row r="226" spans="1:26">
      <c r="A226" s="1">
        <v>60601</v>
      </c>
      <c r="B226" s="1">
        <v>60601</v>
      </c>
      <c r="C226" s="1" t="s">
        <v>204</v>
      </c>
      <c r="D226" s="1">
        <v>6</v>
      </c>
      <c r="E226" s="1">
        <v>2</v>
      </c>
      <c r="F226" s="1">
        <v>1</v>
      </c>
      <c r="G226" s="1" t="str">
        <f t="shared" si="109"/>
        <v>res60601</v>
      </c>
      <c r="H226" s="1" t="str">
        <f t="shared" si="110"/>
        <v>res60601</v>
      </c>
      <c r="J226" s="1">
        <v>1</v>
      </c>
      <c r="K226" s="1">
        <v>1</v>
      </c>
      <c r="L226" s="1">
        <v>1</v>
      </c>
      <c r="M226" s="1">
        <v>0</v>
      </c>
      <c r="N226" s="1">
        <v>0</v>
      </c>
      <c r="O226" s="1">
        <v>1</v>
      </c>
      <c r="P226" s="2">
        <v>0</v>
      </c>
      <c r="Q226" s="2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 t="s">
        <v>379</v>
      </c>
      <c r="Z226" s="3" t="s">
        <v>380</v>
      </c>
    </row>
    <row r="227" spans="1:26">
      <c r="A227" s="1">
        <v>60602</v>
      </c>
      <c r="B227" s="1">
        <v>60601</v>
      </c>
      <c r="C227" s="1" t="s">
        <v>204</v>
      </c>
      <c r="D227" s="1">
        <v>6</v>
      </c>
      <c r="E227" s="1">
        <v>2</v>
      </c>
      <c r="F227" s="1">
        <v>2</v>
      </c>
      <c r="G227" s="1" t="str">
        <f t="shared" si="109"/>
        <v>res60601</v>
      </c>
      <c r="H227" s="1" t="str">
        <f t="shared" si="110"/>
        <v>res60601</v>
      </c>
      <c r="J227" s="1">
        <v>1</v>
      </c>
      <c r="K227" s="1">
        <v>1</v>
      </c>
      <c r="L227" s="1">
        <v>1</v>
      </c>
      <c r="M227" s="1">
        <v>0</v>
      </c>
      <c r="N227" s="1">
        <v>0</v>
      </c>
      <c r="O227" s="1">
        <v>1</v>
      </c>
      <c r="P227" s="2">
        <v>0</v>
      </c>
      <c r="Q227" s="2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 t="s">
        <v>381</v>
      </c>
      <c r="Z227" s="3" t="s">
        <v>380</v>
      </c>
    </row>
    <row r="228" spans="1:26">
      <c r="A228" s="1">
        <v>60603</v>
      </c>
      <c r="B228" s="1">
        <v>60601</v>
      </c>
      <c r="C228" s="1" t="s">
        <v>204</v>
      </c>
      <c r="D228" s="1">
        <v>6</v>
      </c>
      <c r="E228" s="1">
        <v>2</v>
      </c>
      <c r="F228" s="1">
        <v>3</v>
      </c>
      <c r="G228" s="1" t="str">
        <f t="shared" si="109"/>
        <v>res60601</v>
      </c>
      <c r="H228" s="1" t="str">
        <f t="shared" si="110"/>
        <v>res60601</v>
      </c>
      <c r="J228" s="1">
        <v>1</v>
      </c>
      <c r="K228" s="1">
        <v>1</v>
      </c>
      <c r="L228" s="1">
        <v>1</v>
      </c>
      <c r="M228" s="1">
        <v>0</v>
      </c>
      <c r="N228" s="1">
        <v>0</v>
      </c>
      <c r="O228" s="1">
        <v>1</v>
      </c>
      <c r="P228" s="2">
        <v>0</v>
      </c>
      <c r="Q228" s="2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 t="s">
        <v>382</v>
      </c>
      <c r="Z228" s="3" t="s">
        <v>380</v>
      </c>
    </row>
    <row r="229" spans="1:26">
      <c r="A229" s="1">
        <v>60701</v>
      </c>
      <c r="B229" s="1">
        <v>60701</v>
      </c>
      <c r="C229" s="1" t="s">
        <v>208</v>
      </c>
      <c r="D229" s="1">
        <v>6</v>
      </c>
      <c r="E229" s="1">
        <v>2</v>
      </c>
      <c r="F229" s="1">
        <v>1</v>
      </c>
      <c r="G229" s="1" t="str">
        <f t="shared" si="109"/>
        <v>res60701</v>
      </c>
      <c r="H229" s="1" t="str">
        <f t="shared" si="110"/>
        <v>res60701</v>
      </c>
      <c r="J229" s="1">
        <v>3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2">
        <v>0</v>
      </c>
      <c r="Q229" s="2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 t="s">
        <v>383</v>
      </c>
      <c r="Z229" s="3" t="s">
        <v>384</v>
      </c>
    </row>
    <row r="230" spans="1:26">
      <c r="A230" s="1">
        <v>60702</v>
      </c>
      <c r="B230" s="1">
        <v>60701</v>
      </c>
      <c r="C230" s="1" t="s">
        <v>208</v>
      </c>
      <c r="D230" s="1">
        <v>6</v>
      </c>
      <c r="E230" s="1">
        <v>2</v>
      </c>
      <c r="F230" s="1">
        <v>2</v>
      </c>
      <c r="G230" s="1" t="str">
        <f t="shared" si="109"/>
        <v>res60701</v>
      </c>
      <c r="H230" s="1" t="str">
        <f t="shared" si="110"/>
        <v>res60701</v>
      </c>
      <c r="J230" s="1">
        <v>3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2">
        <v>0</v>
      </c>
      <c r="Q230" s="2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 t="s">
        <v>385</v>
      </c>
      <c r="Z230" s="3" t="s">
        <v>384</v>
      </c>
    </row>
    <row r="231" spans="1:26">
      <c r="A231" s="1">
        <v>60703</v>
      </c>
      <c r="B231" s="1">
        <v>60701</v>
      </c>
      <c r="C231" s="1" t="s">
        <v>208</v>
      </c>
      <c r="D231" s="1">
        <v>6</v>
      </c>
      <c r="E231" s="1">
        <v>2</v>
      </c>
      <c r="F231" s="1">
        <v>3</v>
      </c>
      <c r="G231" s="1" t="str">
        <f t="shared" si="109"/>
        <v>res60701</v>
      </c>
      <c r="H231" s="1" t="str">
        <f t="shared" si="110"/>
        <v>res60701</v>
      </c>
      <c r="J231" s="1">
        <v>3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2">
        <v>0</v>
      </c>
      <c r="Q231" s="2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 t="s">
        <v>386</v>
      </c>
      <c r="Z231" s="3" t="s">
        <v>384</v>
      </c>
    </row>
    <row r="232" spans="1:26">
      <c r="A232" s="1">
        <v>60801</v>
      </c>
      <c r="B232" s="1">
        <v>60801</v>
      </c>
      <c r="C232" s="1" t="s">
        <v>211</v>
      </c>
      <c r="D232" s="1">
        <v>6</v>
      </c>
      <c r="E232" s="1">
        <v>4</v>
      </c>
      <c r="F232" s="1">
        <v>1</v>
      </c>
      <c r="G232" s="1" t="str">
        <f t="shared" si="109"/>
        <v>res60801</v>
      </c>
      <c r="H232" s="1" t="str">
        <f t="shared" si="110"/>
        <v>res60801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2">
        <v>0</v>
      </c>
      <c r="Q232" s="2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3" t="s">
        <v>387</v>
      </c>
    </row>
    <row r="233" spans="1:26">
      <c r="A233" s="1">
        <v>60802</v>
      </c>
      <c r="B233" s="1">
        <v>60801</v>
      </c>
      <c r="C233" s="1" t="s">
        <v>211</v>
      </c>
      <c r="D233" s="1">
        <v>6</v>
      </c>
      <c r="E233" s="1">
        <v>4</v>
      </c>
      <c r="F233" s="1">
        <v>2</v>
      </c>
      <c r="G233" s="1" t="str">
        <f t="shared" si="109"/>
        <v>res60801</v>
      </c>
      <c r="H233" s="1" t="str">
        <f t="shared" si="110"/>
        <v>res60801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2">
        <v>0</v>
      </c>
      <c r="Q233" s="2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3" t="s">
        <v>387</v>
      </c>
    </row>
    <row r="234" spans="1:26">
      <c r="A234" s="1">
        <v>60803</v>
      </c>
      <c r="B234" s="1">
        <v>60801</v>
      </c>
      <c r="C234" s="1" t="s">
        <v>211</v>
      </c>
      <c r="D234" s="1">
        <v>6</v>
      </c>
      <c r="E234" s="1">
        <v>4</v>
      </c>
      <c r="F234" s="1">
        <v>3</v>
      </c>
      <c r="G234" s="1" t="str">
        <f t="shared" si="109"/>
        <v>res60801</v>
      </c>
      <c r="H234" s="1" t="str">
        <f t="shared" si="110"/>
        <v>res60801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2">
        <v>0</v>
      </c>
      <c r="Q234" s="2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3" t="s">
        <v>387</v>
      </c>
    </row>
    <row r="235" spans="1:26">
      <c r="A235" s="1">
        <v>60901</v>
      </c>
      <c r="B235" s="1">
        <v>60901</v>
      </c>
      <c r="C235" s="1" t="s">
        <v>214</v>
      </c>
      <c r="D235" s="1">
        <v>6</v>
      </c>
      <c r="E235" s="1">
        <v>3</v>
      </c>
      <c r="F235" s="1">
        <v>1</v>
      </c>
      <c r="G235" s="1" t="str">
        <f t="shared" si="109"/>
        <v>res60901</v>
      </c>
      <c r="H235" s="1" t="str">
        <f t="shared" si="110"/>
        <v>res60901</v>
      </c>
      <c r="J235" s="1">
        <v>2</v>
      </c>
      <c r="K235" s="1">
        <v>2</v>
      </c>
      <c r="L235" s="1">
        <v>0</v>
      </c>
      <c r="M235" s="1">
        <v>0</v>
      </c>
      <c r="N235" s="1">
        <v>1</v>
      </c>
      <c r="O235" s="1">
        <v>10</v>
      </c>
      <c r="P235" s="2">
        <v>10</v>
      </c>
      <c r="Q235" s="2">
        <v>0.29</v>
      </c>
      <c r="R235" s="1">
        <v>0.1</v>
      </c>
      <c r="S235" s="1">
        <v>200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3" t="s">
        <v>388</v>
      </c>
    </row>
    <row r="236" spans="1:26">
      <c r="A236" s="1">
        <v>60902</v>
      </c>
      <c r="B236" s="1">
        <v>60901</v>
      </c>
      <c r="C236" s="1" t="s">
        <v>214</v>
      </c>
      <c r="D236" s="1">
        <v>6</v>
      </c>
      <c r="E236" s="1">
        <v>3</v>
      </c>
      <c r="F236" s="1">
        <v>2</v>
      </c>
      <c r="G236" s="1" t="str">
        <f t="shared" si="109"/>
        <v>res60901</v>
      </c>
      <c r="H236" s="1" t="str">
        <f t="shared" si="110"/>
        <v>res60901</v>
      </c>
      <c r="J236" s="1">
        <v>2</v>
      </c>
      <c r="K236" s="1">
        <v>2</v>
      </c>
      <c r="L236" s="1">
        <v>0</v>
      </c>
      <c r="M236" s="1">
        <v>0</v>
      </c>
      <c r="N236" s="1">
        <v>1</v>
      </c>
      <c r="O236" s="1">
        <v>10</v>
      </c>
      <c r="P236" s="2">
        <f t="shared" ref="P236:P257" si="111">P235*1.35</f>
        <v>13.5</v>
      </c>
      <c r="Q236" s="2">
        <v>0.29</v>
      </c>
      <c r="R236" s="1">
        <v>0.1</v>
      </c>
      <c r="S236" s="1">
        <v>200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3" t="s">
        <v>388</v>
      </c>
    </row>
    <row r="237" spans="1:26">
      <c r="A237" s="1">
        <v>60903</v>
      </c>
      <c r="B237" s="1">
        <v>60901</v>
      </c>
      <c r="C237" s="1" t="s">
        <v>214</v>
      </c>
      <c r="D237" s="1">
        <v>6</v>
      </c>
      <c r="E237" s="1">
        <v>3</v>
      </c>
      <c r="F237" s="1">
        <v>3</v>
      </c>
      <c r="G237" s="1" t="str">
        <f t="shared" si="109"/>
        <v>res60901</v>
      </c>
      <c r="H237" s="1" t="str">
        <f t="shared" si="110"/>
        <v>res60901</v>
      </c>
      <c r="J237" s="1">
        <v>2</v>
      </c>
      <c r="K237" s="1">
        <v>2</v>
      </c>
      <c r="L237" s="1">
        <v>0</v>
      </c>
      <c r="M237" s="1">
        <v>0</v>
      </c>
      <c r="N237" s="1">
        <v>1</v>
      </c>
      <c r="O237" s="1">
        <v>10</v>
      </c>
      <c r="P237" s="2">
        <f t="shared" si="111"/>
        <v>18.225</v>
      </c>
      <c r="Q237" s="2">
        <v>0.29</v>
      </c>
      <c r="R237" s="1">
        <v>0.1</v>
      </c>
      <c r="S237" s="1">
        <v>200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3" t="s">
        <v>388</v>
      </c>
    </row>
    <row r="238" spans="1:26">
      <c r="A238" s="1">
        <v>70101</v>
      </c>
      <c r="B238" s="1">
        <v>70101</v>
      </c>
      <c r="C238" s="1" t="s">
        <v>217</v>
      </c>
      <c r="D238" s="1">
        <v>7</v>
      </c>
      <c r="E238" s="1">
        <v>1</v>
      </c>
      <c r="F238" s="1">
        <v>1</v>
      </c>
      <c r="G238" s="1" t="str">
        <f t="shared" si="109"/>
        <v>res70101</v>
      </c>
      <c r="H238" s="1" t="str">
        <f t="shared" si="110"/>
        <v>res70101</v>
      </c>
      <c r="J238" s="1">
        <v>2</v>
      </c>
      <c r="K238" s="1">
        <v>2</v>
      </c>
      <c r="L238" s="1">
        <v>0</v>
      </c>
      <c r="M238" s="1">
        <v>0</v>
      </c>
      <c r="N238" s="1">
        <v>1</v>
      </c>
      <c r="O238" s="1">
        <v>0</v>
      </c>
      <c r="P238" s="2">
        <v>10</v>
      </c>
      <c r="Q238" s="2">
        <v>0.29</v>
      </c>
      <c r="R238" s="1">
        <v>0.1</v>
      </c>
      <c r="S238" s="1">
        <v>200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3" t="s">
        <v>389</v>
      </c>
    </row>
    <row r="239" spans="1:26">
      <c r="A239" s="1">
        <v>70102</v>
      </c>
      <c r="B239" s="1">
        <v>70101</v>
      </c>
      <c r="C239" s="1" t="s">
        <v>217</v>
      </c>
      <c r="D239" s="1">
        <v>7</v>
      </c>
      <c r="E239" s="1">
        <v>1</v>
      </c>
      <c r="F239" s="1">
        <v>2</v>
      </c>
      <c r="G239" s="1" t="str">
        <f t="shared" si="109"/>
        <v>res70101</v>
      </c>
      <c r="H239" s="1" t="str">
        <f t="shared" si="110"/>
        <v>res70101</v>
      </c>
      <c r="J239" s="1">
        <v>2</v>
      </c>
      <c r="K239" s="1">
        <v>2</v>
      </c>
      <c r="L239" s="1">
        <v>0</v>
      </c>
      <c r="M239" s="1">
        <v>0</v>
      </c>
      <c r="N239" s="1">
        <v>1</v>
      </c>
      <c r="O239" s="1">
        <v>0</v>
      </c>
      <c r="P239" s="2">
        <f t="shared" si="111"/>
        <v>13.5</v>
      </c>
      <c r="Q239" s="2">
        <v>0.29</v>
      </c>
      <c r="R239" s="1">
        <v>0.1</v>
      </c>
      <c r="S239" s="1">
        <v>200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3" t="s">
        <v>389</v>
      </c>
    </row>
    <row r="240" spans="1:26">
      <c r="A240" s="1">
        <v>70103</v>
      </c>
      <c r="B240" s="1">
        <v>70101</v>
      </c>
      <c r="C240" s="1" t="s">
        <v>217</v>
      </c>
      <c r="D240" s="1">
        <v>7</v>
      </c>
      <c r="E240" s="1">
        <v>1</v>
      </c>
      <c r="F240" s="1">
        <v>3</v>
      </c>
      <c r="G240" s="1" t="str">
        <f t="shared" si="109"/>
        <v>res70101</v>
      </c>
      <c r="H240" s="1" t="str">
        <f t="shared" si="110"/>
        <v>res70101</v>
      </c>
      <c r="J240" s="1">
        <v>2</v>
      </c>
      <c r="K240" s="1">
        <v>2</v>
      </c>
      <c r="L240" s="1">
        <v>0</v>
      </c>
      <c r="M240" s="1">
        <v>0</v>
      </c>
      <c r="N240" s="1">
        <v>1</v>
      </c>
      <c r="O240" s="1">
        <v>0</v>
      </c>
      <c r="P240" s="2">
        <f t="shared" si="111"/>
        <v>18.225</v>
      </c>
      <c r="Q240" s="2">
        <v>0.29</v>
      </c>
      <c r="R240" s="1">
        <v>0.1</v>
      </c>
      <c r="S240" s="1">
        <v>200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3" t="s">
        <v>389</v>
      </c>
    </row>
    <row r="241" spans="1:26">
      <c r="A241" s="1">
        <v>70104</v>
      </c>
      <c r="B241" s="1">
        <v>70101</v>
      </c>
      <c r="C241" s="1" t="s">
        <v>217</v>
      </c>
      <c r="D241" s="1">
        <v>7</v>
      </c>
      <c r="E241" s="1">
        <v>1</v>
      </c>
      <c r="F241" s="1">
        <v>4</v>
      </c>
      <c r="G241" s="1" t="str">
        <f t="shared" si="109"/>
        <v>res70101</v>
      </c>
      <c r="H241" s="1" t="str">
        <f t="shared" si="110"/>
        <v>res70101</v>
      </c>
      <c r="J241" s="1">
        <v>2</v>
      </c>
      <c r="K241" s="1">
        <v>2</v>
      </c>
      <c r="L241" s="1">
        <v>0</v>
      </c>
      <c r="M241" s="1">
        <v>0</v>
      </c>
      <c r="N241" s="1">
        <v>1</v>
      </c>
      <c r="O241" s="1">
        <v>0</v>
      </c>
      <c r="P241" s="2">
        <f t="shared" si="111"/>
        <v>24.60375</v>
      </c>
      <c r="Q241" s="2">
        <v>0.29</v>
      </c>
      <c r="R241" s="1">
        <v>0.1</v>
      </c>
      <c r="S241" s="1">
        <v>200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3" t="s">
        <v>389</v>
      </c>
    </row>
    <row r="242" spans="1:26">
      <c r="A242" s="1">
        <v>70105</v>
      </c>
      <c r="B242" s="1">
        <v>70101</v>
      </c>
      <c r="C242" s="1" t="s">
        <v>217</v>
      </c>
      <c r="D242" s="1">
        <v>7</v>
      </c>
      <c r="E242" s="1">
        <v>1</v>
      </c>
      <c r="F242" s="1">
        <v>5</v>
      </c>
      <c r="G242" s="1" t="str">
        <f t="shared" si="109"/>
        <v>res70101</v>
      </c>
      <c r="H242" s="1" t="str">
        <f t="shared" si="110"/>
        <v>res70101</v>
      </c>
      <c r="J242" s="1">
        <v>2</v>
      </c>
      <c r="K242" s="1">
        <v>2</v>
      </c>
      <c r="L242" s="1">
        <v>0</v>
      </c>
      <c r="M242" s="1">
        <v>0</v>
      </c>
      <c r="N242" s="1">
        <v>1</v>
      </c>
      <c r="O242" s="1">
        <v>0</v>
      </c>
      <c r="P242" s="2">
        <f t="shared" si="111"/>
        <v>33.2150625</v>
      </c>
      <c r="Q242" s="2">
        <v>0.29</v>
      </c>
      <c r="R242" s="1">
        <v>0.1</v>
      </c>
      <c r="S242" s="1">
        <v>200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3" t="s">
        <v>389</v>
      </c>
    </row>
    <row r="243" spans="1:26">
      <c r="A243" s="1">
        <v>70106</v>
      </c>
      <c r="B243" s="1">
        <v>70101</v>
      </c>
      <c r="C243" s="1" t="s">
        <v>217</v>
      </c>
      <c r="D243" s="1">
        <v>7</v>
      </c>
      <c r="E243" s="1">
        <v>1</v>
      </c>
      <c r="F243" s="1">
        <v>6</v>
      </c>
      <c r="G243" s="1" t="str">
        <f t="shared" si="109"/>
        <v>res70101</v>
      </c>
      <c r="H243" s="1" t="str">
        <f t="shared" si="110"/>
        <v>res70101</v>
      </c>
      <c r="J243" s="1">
        <v>2</v>
      </c>
      <c r="K243" s="1">
        <v>2</v>
      </c>
      <c r="L243" s="1">
        <v>0</v>
      </c>
      <c r="M243" s="1">
        <v>0</v>
      </c>
      <c r="N243" s="1">
        <v>1</v>
      </c>
      <c r="O243" s="1">
        <v>0</v>
      </c>
      <c r="P243" s="2">
        <f t="shared" si="111"/>
        <v>44.840334375</v>
      </c>
      <c r="Q243" s="2">
        <v>0.29</v>
      </c>
      <c r="R243" s="1">
        <v>0.1</v>
      </c>
      <c r="S243" s="1">
        <v>200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3" t="s">
        <v>389</v>
      </c>
    </row>
    <row r="244" spans="1:26">
      <c r="A244" s="1">
        <v>70107</v>
      </c>
      <c r="B244" s="1">
        <v>70101</v>
      </c>
      <c r="C244" s="1" t="s">
        <v>217</v>
      </c>
      <c r="D244" s="1">
        <v>7</v>
      </c>
      <c r="E244" s="1">
        <v>1</v>
      </c>
      <c r="F244" s="1">
        <v>7</v>
      </c>
      <c r="G244" s="1" t="str">
        <f t="shared" si="109"/>
        <v>res70101</v>
      </c>
      <c r="H244" s="1" t="str">
        <f t="shared" si="110"/>
        <v>res70101</v>
      </c>
      <c r="J244" s="1">
        <v>2</v>
      </c>
      <c r="K244" s="1">
        <v>2</v>
      </c>
      <c r="L244" s="1">
        <v>0</v>
      </c>
      <c r="M244" s="1">
        <v>0</v>
      </c>
      <c r="N244" s="1">
        <v>1</v>
      </c>
      <c r="O244" s="1">
        <v>0</v>
      </c>
      <c r="P244" s="2">
        <f t="shared" si="111"/>
        <v>60.53445140625</v>
      </c>
      <c r="Q244" s="2">
        <v>0.29</v>
      </c>
      <c r="R244" s="1">
        <v>0.1</v>
      </c>
      <c r="S244" s="1">
        <v>200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3" t="s">
        <v>389</v>
      </c>
    </row>
    <row r="245" spans="1:26">
      <c r="A245" s="1">
        <v>70108</v>
      </c>
      <c r="B245" s="1">
        <v>70101</v>
      </c>
      <c r="C245" s="1" t="s">
        <v>217</v>
      </c>
      <c r="D245" s="1">
        <v>7</v>
      </c>
      <c r="E245" s="1">
        <v>1</v>
      </c>
      <c r="F245" s="1">
        <v>8</v>
      </c>
      <c r="G245" s="1" t="str">
        <f t="shared" si="109"/>
        <v>res70101</v>
      </c>
      <c r="H245" s="1" t="str">
        <f t="shared" si="110"/>
        <v>res70101</v>
      </c>
      <c r="J245" s="1">
        <v>2</v>
      </c>
      <c r="K245" s="1">
        <v>2</v>
      </c>
      <c r="L245" s="1">
        <v>0</v>
      </c>
      <c r="M245" s="1">
        <v>0</v>
      </c>
      <c r="N245" s="1">
        <v>1</v>
      </c>
      <c r="O245" s="1">
        <v>0</v>
      </c>
      <c r="P245" s="2">
        <f t="shared" si="111"/>
        <v>81.7215093984375</v>
      </c>
      <c r="Q245" s="2">
        <v>0.29</v>
      </c>
      <c r="R245" s="1">
        <v>0.1</v>
      </c>
      <c r="S245" s="1">
        <v>200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3" t="s">
        <v>389</v>
      </c>
    </row>
    <row r="246" spans="1:26">
      <c r="A246" s="1">
        <v>70109</v>
      </c>
      <c r="B246" s="1">
        <v>70101</v>
      </c>
      <c r="C246" s="1" t="s">
        <v>217</v>
      </c>
      <c r="D246" s="1">
        <v>7</v>
      </c>
      <c r="E246" s="1">
        <v>1</v>
      </c>
      <c r="F246" s="1">
        <v>9</v>
      </c>
      <c r="G246" s="1" t="str">
        <f t="shared" si="109"/>
        <v>res70101</v>
      </c>
      <c r="H246" s="1" t="str">
        <f t="shared" si="110"/>
        <v>res70101</v>
      </c>
      <c r="J246" s="1">
        <v>2</v>
      </c>
      <c r="K246" s="1">
        <v>2</v>
      </c>
      <c r="L246" s="1">
        <v>0</v>
      </c>
      <c r="M246" s="1">
        <v>0</v>
      </c>
      <c r="N246" s="1">
        <v>1</v>
      </c>
      <c r="O246" s="1">
        <v>0</v>
      </c>
      <c r="P246" s="2">
        <f t="shared" si="111"/>
        <v>110.324037687891</v>
      </c>
      <c r="Q246" s="2">
        <v>0.29</v>
      </c>
      <c r="R246" s="1">
        <v>0.1</v>
      </c>
      <c r="S246" s="1">
        <v>200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3" t="s">
        <v>389</v>
      </c>
    </row>
    <row r="247" spans="1:26">
      <c r="A247" s="1">
        <v>70110</v>
      </c>
      <c r="B247" s="1">
        <v>70101</v>
      </c>
      <c r="C247" s="1" t="s">
        <v>217</v>
      </c>
      <c r="D247" s="1">
        <v>7</v>
      </c>
      <c r="E247" s="1">
        <v>1</v>
      </c>
      <c r="F247" s="1">
        <v>10</v>
      </c>
      <c r="G247" s="1" t="str">
        <f t="shared" si="109"/>
        <v>res70101</v>
      </c>
      <c r="H247" s="1" t="str">
        <f t="shared" si="110"/>
        <v>res70101</v>
      </c>
      <c r="J247" s="1">
        <v>2</v>
      </c>
      <c r="K247" s="1">
        <v>2</v>
      </c>
      <c r="L247" s="1">
        <v>0</v>
      </c>
      <c r="M247" s="1">
        <v>0</v>
      </c>
      <c r="N247" s="1">
        <v>1</v>
      </c>
      <c r="O247" s="1">
        <v>0</v>
      </c>
      <c r="P247" s="2">
        <f t="shared" si="111"/>
        <v>148.937450878652</v>
      </c>
      <c r="Q247" s="2">
        <v>0.29</v>
      </c>
      <c r="R247" s="1">
        <v>0.1</v>
      </c>
      <c r="S247" s="1">
        <v>200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3" t="s">
        <v>389</v>
      </c>
    </row>
    <row r="248" spans="1:26">
      <c r="A248" s="1">
        <v>70111</v>
      </c>
      <c r="B248" s="1">
        <v>70101</v>
      </c>
      <c r="C248" s="1" t="s">
        <v>217</v>
      </c>
      <c r="D248" s="1">
        <v>7</v>
      </c>
      <c r="E248" s="1">
        <v>1</v>
      </c>
      <c r="F248" s="1">
        <v>11</v>
      </c>
      <c r="G248" s="1" t="str">
        <f t="shared" si="109"/>
        <v>res70101</v>
      </c>
      <c r="H248" s="1" t="str">
        <f t="shared" si="110"/>
        <v>res70101</v>
      </c>
      <c r="J248" s="1">
        <v>2</v>
      </c>
      <c r="K248" s="1">
        <v>2</v>
      </c>
      <c r="L248" s="1">
        <v>0</v>
      </c>
      <c r="M248" s="1">
        <v>0</v>
      </c>
      <c r="N248" s="1">
        <v>1</v>
      </c>
      <c r="O248" s="1">
        <v>0</v>
      </c>
      <c r="P248" s="2">
        <f t="shared" si="111"/>
        <v>201.065558686181</v>
      </c>
      <c r="Q248" s="2">
        <v>0.29</v>
      </c>
      <c r="R248" s="1">
        <v>0.1</v>
      </c>
      <c r="S248" s="1">
        <v>200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3" t="s">
        <v>389</v>
      </c>
    </row>
    <row r="249" spans="1:26">
      <c r="A249" s="1">
        <v>70112</v>
      </c>
      <c r="B249" s="1">
        <v>70101</v>
      </c>
      <c r="C249" s="1" t="s">
        <v>217</v>
      </c>
      <c r="D249" s="1">
        <v>7</v>
      </c>
      <c r="E249" s="1">
        <v>1</v>
      </c>
      <c r="F249" s="1">
        <v>12</v>
      </c>
      <c r="G249" s="1" t="str">
        <f t="shared" si="109"/>
        <v>res70101</v>
      </c>
      <c r="H249" s="1" t="str">
        <f t="shared" si="110"/>
        <v>res70101</v>
      </c>
      <c r="J249" s="1">
        <v>2</v>
      </c>
      <c r="K249" s="1">
        <v>2</v>
      </c>
      <c r="L249" s="1">
        <v>0</v>
      </c>
      <c r="M249" s="1">
        <v>0</v>
      </c>
      <c r="N249" s="1">
        <v>1</v>
      </c>
      <c r="O249" s="1">
        <v>0</v>
      </c>
      <c r="P249" s="2">
        <f t="shared" si="111"/>
        <v>271.438504226344</v>
      </c>
      <c r="Q249" s="2">
        <v>0.29</v>
      </c>
      <c r="R249" s="1">
        <v>0.1</v>
      </c>
      <c r="S249" s="1">
        <v>200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3" t="s">
        <v>389</v>
      </c>
    </row>
    <row r="250" spans="1:26">
      <c r="A250" s="1">
        <v>70113</v>
      </c>
      <c r="B250" s="1">
        <v>70101</v>
      </c>
      <c r="C250" s="1" t="s">
        <v>217</v>
      </c>
      <c r="D250" s="1">
        <v>7</v>
      </c>
      <c r="E250" s="1">
        <v>1</v>
      </c>
      <c r="F250" s="1">
        <v>13</v>
      </c>
      <c r="G250" s="1" t="str">
        <f t="shared" si="109"/>
        <v>res70101</v>
      </c>
      <c r="H250" s="1" t="str">
        <f t="shared" si="110"/>
        <v>res70101</v>
      </c>
      <c r="J250" s="1">
        <v>2</v>
      </c>
      <c r="K250" s="1">
        <v>2</v>
      </c>
      <c r="L250" s="1">
        <v>0</v>
      </c>
      <c r="M250" s="1">
        <v>0</v>
      </c>
      <c r="N250" s="1">
        <v>1</v>
      </c>
      <c r="O250" s="1">
        <v>0</v>
      </c>
      <c r="P250" s="2">
        <f t="shared" si="111"/>
        <v>366.441980705565</v>
      </c>
      <c r="Q250" s="2">
        <v>0.29</v>
      </c>
      <c r="R250" s="1">
        <v>0.1</v>
      </c>
      <c r="S250" s="1">
        <v>200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3" t="s">
        <v>389</v>
      </c>
    </row>
    <row r="251" spans="1:26">
      <c r="A251" s="1">
        <v>70114</v>
      </c>
      <c r="B251" s="1">
        <v>70101</v>
      </c>
      <c r="C251" s="1" t="s">
        <v>217</v>
      </c>
      <c r="D251" s="1">
        <v>7</v>
      </c>
      <c r="E251" s="1">
        <v>1</v>
      </c>
      <c r="F251" s="1">
        <v>14</v>
      </c>
      <c r="G251" s="1" t="str">
        <f t="shared" si="109"/>
        <v>res70101</v>
      </c>
      <c r="H251" s="1" t="str">
        <f t="shared" si="110"/>
        <v>res70101</v>
      </c>
      <c r="J251" s="1">
        <v>2</v>
      </c>
      <c r="K251" s="1">
        <v>2</v>
      </c>
      <c r="L251" s="1">
        <v>0</v>
      </c>
      <c r="M251" s="1">
        <v>0</v>
      </c>
      <c r="N251" s="1">
        <v>1</v>
      </c>
      <c r="O251" s="1">
        <v>0</v>
      </c>
      <c r="P251" s="2">
        <f t="shared" si="111"/>
        <v>494.696673952512</v>
      </c>
      <c r="Q251" s="2">
        <v>0.29</v>
      </c>
      <c r="R251" s="1">
        <v>0.1</v>
      </c>
      <c r="S251" s="1">
        <v>200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3" t="s">
        <v>389</v>
      </c>
    </row>
    <row r="252" spans="1:26">
      <c r="A252" s="1">
        <v>70115</v>
      </c>
      <c r="B252" s="1">
        <v>70101</v>
      </c>
      <c r="C252" s="1" t="s">
        <v>217</v>
      </c>
      <c r="D252" s="1">
        <v>7</v>
      </c>
      <c r="E252" s="1">
        <v>1</v>
      </c>
      <c r="F252" s="1">
        <v>15</v>
      </c>
      <c r="G252" s="1" t="str">
        <f t="shared" si="109"/>
        <v>res70101</v>
      </c>
      <c r="H252" s="1" t="str">
        <f t="shared" si="110"/>
        <v>res70101</v>
      </c>
      <c r="J252" s="1">
        <v>2</v>
      </c>
      <c r="K252" s="1">
        <v>2</v>
      </c>
      <c r="L252" s="1">
        <v>0</v>
      </c>
      <c r="M252" s="1">
        <v>0</v>
      </c>
      <c r="N252" s="1">
        <v>1</v>
      </c>
      <c r="O252" s="1">
        <v>0</v>
      </c>
      <c r="P252" s="2">
        <f t="shared" si="111"/>
        <v>667.840509835892</v>
      </c>
      <c r="Q252" s="2">
        <v>0.29</v>
      </c>
      <c r="R252" s="1">
        <v>0.1</v>
      </c>
      <c r="S252" s="1">
        <v>200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3" t="s">
        <v>389</v>
      </c>
    </row>
    <row r="253" spans="1:26">
      <c r="A253" s="1">
        <v>70116</v>
      </c>
      <c r="B253" s="1">
        <v>70101</v>
      </c>
      <c r="C253" s="1" t="s">
        <v>217</v>
      </c>
      <c r="D253" s="1">
        <v>7</v>
      </c>
      <c r="E253" s="1">
        <v>1</v>
      </c>
      <c r="F253" s="1">
        <v>16</v>
      </c>
      <c r="G253" s="1" t="str">
        <f t="shared" si="109"/>
        <v>res70101</v>
      </c>
      <c r="H253" s="1" t="str">
        <f t="shared" si="110"/>
        <v>res70101</v>
      </c>
      <c r="J253" s="1">
        <v>2</v>
      </c>
      <c r="K253" s="1">
        <v>2</v>
      </c>
      <c r="L253" s="1">
        <v>0</v>
      </c>
      <c r="M253" s="1">
        <v>0</v>
      </c>
      <c r="N253" s="1">
        <v>1</v>
      </c>
      <c r="O253" s="1">
        <v>0</v>
      </c>
      <c r="P253" s="2">
        <f t="shared" si="111"/>
        <v>901.584688278454</v>
      </c>
      <c r="Q253" s="2">
        <v>0.29</v>
      </c>
      <c r="R253" s="1">
        <v>0.1</v>
      </c>
      <c r="S253" s="1">
        <v>200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3" t="s">
        <v>389</v>
      </c>
    </row>
    <row r="254" spans="1:26">
      <c r="A254" s="1">
        <v>70117</v>
      </c>
      <c r="B254" s="1">
        <v>70101</v>
      </c>
      <c r="C254" s="1" t="s">
        <v>217</v>
      </c>
      <c r="D254" s="1">
        <v>7</v>
      </c>
      <c r="E254" s="1">
        <v>1</v>
      </c>
      <c r="F254" s="1">
        <v>17</v>
      </c>
      <c r="G254" s="1" t="str">
        <f t="shared" si="109"/>
        <v>res70101</v>
      </c>
      <c r="H254" s="1" t="str">
        <f t="shared" si="110"/>
        <v>res70101</v>
      </c>
      <c r="J254" s="1">
        <v>2</v>
      </c>
      <c r="K254" s="1">
        <v>2</v>
      </c>
      <c r="L254" s="1">
        <v>0</v>
      </c>
      <c r="M254" s="1">
        <v>0</v>
      </c>
      <c r="N254" s="1">
        <v>1</v>
      </c>
      <c r="O254" s="1">
        <v>0</v>
      </c>
      <c r="P254" s="2">
        <f t="shared" si="111"/>
        <v>1217.13932917591</v>
      </c>
      <c r="Q254" s="2">
        <v>0.29</v>
      </c>
      <c r="R254" s="1">
        <v>0.1</v>
      </c>
      <c r="S254" s="1">
        <v>200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3" t="s">
        <v>389</v>
      </c>
    </row>
    <row r="255" spans="1:26">
      <c r="A255" s="1">
        <v>70118</v>
      </c>
      <c r="B255" s="1">
        <v>70101</v>
      </c>
      <c r="C255" s="1" t="s">
        <v>217</v>
      </c>
      <c r="D255" s="1">
        <v>7</v>
      </c>
      <c r="E255" s="1">
        <v>1</v>
      </c>
      <c r="F255" s="1">
        <v>18</v>
      </c>
      <c r="G255" s="1" t="str">
        <f t="shared" si="109"/>
        <v>res70101</v>
      </c>
      <c r="H255" s="1" t="str">
        <f t="shared" si="110"/>
        <v>res70101</v>
      </c>
      <c r="J255" s="1">
        <v>2</v>
      </c>
      <c r="K255" s="1">
        <v>2</v>
      </c>
      <c r="L255" s="1">
        <v>0</v>
      </c>
      <c r="M255" s="1">
        <v>0</v>
      </c>
      <c r="N255" s="1">
        <v>1</v>
      </c>
      <c r="O255" s="1">
        <v>0</v>
      </c>
      <c r="P255" s="2">
        <f t="shared" si="111"/>
        <v>1643.13809438748</v>
      </c>
      <c r="Q255" s="2">
        <v>0.29</v>
      </c>
      <c r="R255" s="1">
        <v>0.1</v>
      </c>
      <c r="S255" s="1">
        <v>200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3" t="s">
        <v>389</v>
      </c>
    </row>
    <row r="256" spans="1:26">
      <c r="A256" s="1">
        <v>70119</v>
      </c>
      <c r="B256" s="1">
        <v>70101</v>
      </c>
      <c r="C256" s="1" t="s">
        <v>217</v>
      </c>
      <c r="D256" s="1">
        <v>7</v>
      </c>
      <c r="E256" s="1">
        <v>1</v>
      </c>
      <c r="F256" s="1">
        <v>19</v>
      </c>
      <c r="G256" s="1" t="str">
        <f t="shared" si="109"/>
        <v>res70101</v>
      </c>
      <c r="H256" s="1" t="str">
        <f t="shared" si="110"/>
        <v>res70101</v>
      </c>
      <c r="J256" s="1">
        <v>2</v>
      </c>
      <c r="K256" s="1">
        <v>2</v>
      </c>
      <c r="L256" s="1">
        <v>0</v>
      </c>
      <c r="M256" s="1">
        <v>0</v>
      </c>
      <c r="N256" s="1">
        <v>1</v>
      </c>
      <c r="O256" s="1">
        <v>0</v>
      </c>
      <c r="P256" s="2">
        <f t="shared" si="111"/>
        <v>2218.2364274231</v>
      </c>
      <c r="Q256" s="2">
        <v>0.29</v>
      </c>
      <c r="R256" s="1">
        <v>0.1</v>
      </c>
      <c r="S256" s="1">
        <v>200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3" t="s">
        <v>389</v>
      </c>
    </row>
    <row r="257" spans="1:26">
      <c r="A257" s="1">
        <v>70120</v>
      </c>
      <c r="B257" s="1">
        <v>70101</v>
      </c>
      <c r="C257" s="1" t="s">
        <v>217</v>
      </c>
      <c r="D257" s="1">
        <v>7</v>
      </c>
      <c r="E257" s="1">
        <v>1</v>
      </c>
      <c r="F257" s="1">
        <v>20</v>
      </c>
      <c r="G257" s="1" t="str">
        <f t="shared" si="109"/>
        <v>res70101</v>
      </c>
      <c r="H257" s="1" t="str">
        <f t="shared" si="110"/>
        <v>res70101</v>
      </c>
      <c r="J257" s="1">
        <v>2</v>
      </c>
      <c r="K257" s="1">
        <v>2</v>
      </c>
      <c r="L257" s="1">
        <v>0</v>
      </c>
      <c r="M257" s="1">
        <v>0</v>
      </c>
      <c r="N257" s="1">
        <v>1</v>
      </c>
      <c r="O257" s="1">
        <v>0</v>
      </c>
      <c r="P257" s="2">
        <f t="shared" si="111"/>
        <v>2994.61917702119</v>
      </c>
      <c r="Q257" s="2">
        <v>0.29</v>
      </c>
      <c r="R257" s="1">
        <v>0.1</v>
      </c>
      <c r="S257" s="1">
        <v>200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3" t="s">
        <v>389</v>
      </c>
    </row>
    <row r="258" spans="1:26">
      <c r="A258" s="1">
        <v>70201</v>
      </c>
      <c r="B258" s="1">
        <v>70201</v>
      </c>
      <c r="C258" s="1" t="s">
        <v>219</v>
      </c>
      <c r="D258" s="1">
        <v>7</v>
      </c>
      <c r="E258" s="1">
        <v>2</v>
      </c>
      <c r="F258" s="1">
        <v>1</v>
      </c>
      <c r="G258" s="1" t="str">
        <f t="shared" si="109"/>
        <v>res70201</v>
      </c>
      <c r="H258" s="1" t="str">
        <f t="shared" si="110"/>
        <v>res70201</v>
      </c>
      <c r="J258" s="1">
        <v>1</v>
      </c>
      <c r="K258" s="1">
        <v>1</v>
      </c>
      <c r="L258" s="1">
        <v>1</v>
      </c>
      <c r="M258" s="1">
        <v>0</v>
      </c>
      <c r="N258" s="1">
        <v>0</v>
      </c>
      <c r="O258" s="1">
        <v>0</v>
      </c>
      <c r="P258" s="2">
        <v>10</v>
      </c>
      <c r="Q258" s="2">
        <v>0.29</v>
      </c>
      <c r="R258" s="1">
        <v>0.1</v>
      </c>
      <c r="S258" s="1">
        <v>200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 t="s">
        <v>390</v>
      </c>
      <c r="Z258" s="3" t="s">
        <v>391</v>
      </c>
    </row>
    <row r="259" spans="1:26">
      <c r="A259" s="1">
        <v>70202</v>
      </c>
      <c r="B259" s="1">
        <v>70201</v>
      </c>
      <c r="C259" s="1" t="s">
        <v>219</v>
      </c>
      <c r="D259" s="1">
        <v>7</v>
      </c>
      <c r="E259" s="1">
        <v>2</v>
      </c>
      <c r="F259" s="1">
        <v>2</v>
      </c>
      <c r="G259" s="1" t="str">
        <f t="shared" si="109"/>
        <v>res70201</v>
      </c>
      <c r="H259" s="1" t="str">
        <f t="shared" si="110"/>
        <v>res70201</v>
      </c>
      <c r="J259" s="1">
        <v>1</v>
      </c>
      <c r="K259" s="1">
        <v>1</v>
      </c>
      <c r="L259" s="1">
        <v>1</v>
      </c>
      <c r="M259" s="1">
        <v>0</v>
      </c>
      <c r="N259" s="1">
        <v>0</v>
      </c>
      <c r="O259" s="1">
        <v>0</v>
      </c>
      <c r="P259" s="2">
        <f>P258*1.35</f>
        <v>13.5</v>
      </c>
      <c r="Q259" s="2">
        <v>0.29</v>
      </c>
      <c r="R259" s="1">
        <v>0.1</v>
      </c>
      <c r="S259" s="1">
        <v>200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 t="s">
        <v>392</v>
      </c>
      <c r="Z259" s="3" t="s">
        <v>391</v>
      </c>
    </row>
    <row r="260" spans="1:26">
      <c r="A260" s="1">
        <v>70203</v>
      </c>
      <c r="B260" s="1">
        <v>70201</v>
      </c>
      <c r="C260" s="1" t="s">
        <v>219</v>
      </c>
      <c r="D260" s="1">
        <v>7</v>
      </c>
      <c r="E260" s="1">
        <v>2</v>
      </c>
      <c r="F260" s="1">
        <v>3</v>
      </c>
      <c r="G260" s="1" t="str">
        <f t="shared" si="109"/>
        <v>res70201</v>
      </c>
      <c r="H260" s="1" t="str">
        <f t="shared" si="110"/>
        <v>res70201</v>
      </c>
      <c r="J260" s="1">
        <v>1</v>
      </c>
      <c r="K260" s="1">
        <v>1</v>
      </c>
      <c r="L260" s="1">
        <v>1</v>
      </c>
      <c r="M260" s="1">
        <v>0</v>
      </c>
      <c r="N260" s="1">
        <v>0</v>
      </c>
      <c r="O260" s="1">
        <v>0</v>
      </c>
      <c r="P260" s="2">
        <f>P259*1.35</f>
        <v>18.225</v>
      </c>
      <c r="Q260" s="2">
        <v>0.29</v>
      </c>
      <c r="R260" s="1">
        <v>0.1</v>
      </c>
      <c r="S260" s="1">
        <v>200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 t="s">
        <v>393</v>
      </c>
      <c r="Z260" s="3" t="s">
        <v>391</v>
      </c>
    </row>
    <row r="261" spans="1:26">
      <c r="A261" s="1">
        <v>70301</v>
      </c>
      <c r="B261" s="1">
        <v>70301</v>
      </c>
      <c r="C261" s="1" t="s">
        <v>221</v>
      </c>
      <c r="D261" s="1">
        <v>7</v>
      </c>
      <c r="E261" s="1">
        <v>2</v>
      </c>
      <c r="F261" s="1">
        <v>1</v>
      </c>
      <c r="G261" s="1" t="str">
        <f t="shared" si="109"/>
        <v>res70301</v>
      </c>
      <c r="H261" s="1" t="str">
        <f t="shared" si="110"/>
        <v>res70301</v>
      </c>
      <c r="J261" s="1">
        <v>4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2">
        <v>0</v>
      </c>
      <c r="Q261" s="2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 t="s">
        <v>394</v>
      </c>
      <c r="Z261" s="3" t="s">
        <v>395</v>
      </c>
    </row>
    <row r="262" spans="1:26">
      <c r="A262" s="1">
        <v>70302</v>
      </c>
      <c r="B262" s="1">
        <v>70301</v>
      </c>
      <c r="C262" s="1" t="s">
        <v>221</v>
      </c>
      <c r="D262" s="1">
        <v>7</v>
      </c>
      <c r="E262" s="1">
        <v>2</v>
      </c>
      <c r="F262" s="1">
        <v>2</v>
      </c>
      <c r="G262" s="1" t="str">
        <f t="shared" si="109"/>
        <v>res70301</v>
      </c>
      <c r="H262" s="1" t="str">
        <f t="shared" si="110"/>
        <v>res70301</v>
      </c>
      <c r="J262" s="1">
        <v>4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2">
        <v>0</v>
      </c>
      <c r="Q262" s="2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 t="s">
        <v>396</v>
      </c>
      <c r="Z262" s="3" t="s">
        <v>395</v>
      </c>
    </row>
    <row r="263" spans="1:26">
      <c r="A263" s="1">
        <v>70303</v>
      </c>
      <c r="B263" s="1">
        <v>70301</v>
      </c>
      <c r="C263" s="1" t="s">
        <v>221</v>
      </c>
      <c r="D263" s="1">
        <v>7</v>
      </c>
      <c r="E263" s="1">
        <v>2</v>
      </c>
      <c r="F263" s="1">
        <v>3</v>
      </c>
      <c r="G263" s="1" t="str">
        <f t="shared" si="109"/>
        <v>res70301</v>
      </c>
      <c r="H263" s="1" t="str">
        <f t="shared" si="110"/>
        <v>res70301</v>
      </c>
      <c r="J263" s="1">
        <v>4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2">
        <v>0</v>
      </c>
      <c r="Q263" s="2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 t="s">
        <v>397</v>
      </c>
      <c r="Z263" s="3" t="s">
        <v>395</v>
      </c>
    </row>
    <row r="264" spans="1:26">
      <c r="A264" s="1">
        <v>70401</v>
      </c>
      <c r="B264" s="1">
        <v>70401</v>
      </c>
      <c r="C264" s="1" t="s">
        <v>223</v>
      </c>
      <c r="D264" s="1">
        <v>7</v>
      </c>
      <c r="E264" s="1">
        <v>2</v>
      </c>
      <c r="F264" s="1">
        <v>1</v>
      </c>
      <c r="G264" s="1" t="str">
        <f t="shared" si="109"/>
        <v>res70401</v>
      </c>
      <c r="H264" s="1" t="str">
        <f t="shared" si="110"/>
        <v>res70401</v>
      </c>
      <c r="J264" s="1">
        <v>1</v>
      </c>
      <c r="K264" s="1">
        <v>1</v>
      </c>
      <c r="L264" s="1">
        <v>1</v>
      </c>
      <c r="M264" s="1">
        <v>0</v>
      </c>
      <c r="N264" s="1">
        <v>0</v>
      </c>
      <c r="O264" s="1">
        <v>2</v>
      </c>
      <c r="P264" s="2">
        <v>0</v>
      </c>
      <c r="Q264" s="2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 t="s">
        <v>398</v>
      </c>
      <c r="Z264" s="3" t="s">
        <v>399</v>
      </c>
    </row>
    <row r="265" spans="1:26">
      <c r="A265" s="1">
        <v>70501</v>
      </c>
      <c r="B265" s="1">
        <v>70501</v>
      </c>
      <c r="C265" s="1" t="s">
        <v>225</v>
      </c>
      <c r="D265" s="1">
        <v>7</v>
      </c>
      <c r="E265" s="1">
        <v>4</v>
      </c>
      <c r="F265" s="1">
        <v>1</v>
      </c>
      <c r="G265" s="1" t="str">
        <f t="shared" si="109"/>
        <v>res70501</v>
      </c>
      <c r="H265" s="1" t="str">
        <f t="shared" si="110"/>
        <v>res70501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3" t="s">
        <v>400</v>
      </c>
    </row>
    <row r="266" spans="1:26">
      <c r="A266" s="1">
        <v>70502</v>
      </c>
      <c r="B266" s="1">
        <v>70501</v>
      </c>
      <c r="C266" s="1" t="s">
        <v>225</v>
      </c>
      <c r="D266" s="1">
        <v>7</v>
      </c>
      <c r="E266" s="1">
        <v>4</v>
      </c>
      <c r="F266" s="1">
        <v>2</v>
      </c>
      <c r="G266" s="1" t="str">
        <f t="shared" si="109"/>
        <v>res70501</v>
      </c>
      <c r="H266" s="1" t="str">
        <f t="shared" si="110"/>
        <v>res70501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3" t="s">
        <v>400</v>
      </c>
    </row>
    <row r="267" spans="1:26">
      <c r="A267" s="1">
        <v>70503</v>
      </c>
      <c r="B267" s="1">
        <v>70501</v>
      </c>
      <c r="C267" s="1" t="s">
        <v>225</v>
      </c>
      <c r="D267" s="1">
        <v>7</v>
      </c>
      <c r="E267" s="1">
        <v>4</v>
      </c>
      <c r="F267" s="1">
        <v>3</v>
      </c>
      <c r="G267" s="1" t="str">
        <f t="shared" si="109"/>
        <v>res70501</v>
      </c>
      <c r="H267" s="1" t="str">
        <f t="shared" si="110"/>
        <v>res70501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19021</v>
      </c>
      <c r="V267" s="1">
        <v>0</v>
      </c>
      <c r="W267" s="1">
        <v>0</v>
      </c>
      <c r="X267" s="1">
        <v>0</v>
      </c>
      <c r="Y267" s="1">
        <v>0</v>
      </c>
      <c r="Z267" s="3" t="s">
        <v>400</v>
      </c>
    </row>
    <row r="268" spans="1:26">
      <c r="A268" s="1">
        <v>70601</v>
      </c>
      <c r="B268" s="1">
        <v>70601</v>
      </c>
      <c r="C268" s="1" t="s">
        <v>227</v>
      </c>
      <c r="D268" s="1">
        <v>7</v>
      </c>
      <c r="E268" s="1">
        <v>6</v>
      </c>
      <c r="F268" s="1">
        <v>1</v>
      </c>
      <c r="G268" s="1" t="str">
        <f t="shared" si="109"/>
        <v>res70601</v>
      </c>
      <c r="H268" s="1" t="str">
        <f t="shared" si="110"/>
        <v>res70601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36001</v>
      </c>
      <c r="V268" s="1">
        <v>0</v>
      </c>
      <c r="W268" s="1">
        <v>0</v>
      </c>
      <c r="X268" s="1">
        <v>0</v>
      </c>
      <c r="Y268" s="1">
        <v>0</v>
      </c>
      <c r="Z268" s="3" t="s">
        <v>401</v>
      </c>
    </row>
    <row r="269" spans="1:26">
      <c r="A269" s="1">
        <v>70701</v>
      </c>
      <c r="B269" s="1">
        <v>70701</v>
      </c>
      <c r="C269" s="1" t="s">
        <v>229</v>
      </c>
      <c r="D269" s="1">
        <v>7</v>
      </c>
      <c r="E269" s="1">
        <v>6</v>
      </c>
      <c r="F269" s="1">
        <v>1</v>
      </c>
      <c r="G269" s="1" t="str">
        <f t="shared" si="109"/>
        <v>res70701</v>
      </c>
      <c r="H269" s="1" t="str">
        <f t="shared" si="110"/>
        <v>res70701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37001</v>
      </c>
      <c r="V269" s="1">
        <v>0</v>
      </c>
      <c r="W269" s="1">
        <v>0</v>
      </c>
      <c r="X269" s="1">
        <v>0</v>
      </c>
      <c r="Y269" s="1">
        <v>0</v>
      </c>
      <c r="Z269" s="3" t="s">
        <v>402</v>
      </c>
    </row>
    <row r="270" spans="1:26">
      <c r="A270" s="1">
        <v>70801</v>
      </c>
      <c r="B270" s="1">
        <v>70801</v>
      </c>
      <c r="C270" s="1" t="s">
        <v>231</v>
      </c>
      <c r="D270" s="1">
        <v>7</v>
      </c>
      <c r="E270" s="1">
        <v>3</v>
      </c>
      <c r="F270" s="1">
        <v>1</v>
      </c>
      <c r="G270" s="1" t="str">
        <f t="shared" si="109"/>
        <v>res70801</v>
      </c>
      <c r="H270" s="1" t="str">
        <f t="shared" si="110"/>
        <v>res70801</v>
      </c>
      <c r="J270" s="1">
        <v>1</v>
      </c>
      <c r="K270" s="1">
        <v>1</v>
      </c>
      <c r="L270" s="1">
        <v>1</v>
      </c>
      <c r="M270" s="1">
        <v>0</v>
      </c>
      <c r="N270" s="1">
        <v>0</v>
      </c>
      <c r="O270" s="1">
        <v>2</v>
      </c>
      <c r="P270" s="2">
        <v>10</v>
      </c>
      <c r="Q270" s="2">
        <v>0.29</v>
      </c>
      <c r="R270" s="1">
        <v>0.1</v>
      </c>
      <c r="S270" s="1">
        <v>200</v>
      </c>
      <c r="T270" s="1">
        <v>0</v>
      </c>
      <c r="U270" s="1">
        <v>19031</v>
      </c>
      <c r="V270" s="1">
        <v>0</v>
      </c>
      <c r="W270" s="1">
        <v>0</v>
      </c>
      <c r="X270" s="1">
        <v>0</v>
      </c>
      <c r="Y270" s="1" t="s">
        <v>403</v>
      </c>
      <c r="Z270" s="3" t="s">
        <v>404</v>
      </c>
    </row>
    <row r="271" spans="1:26">
      <c r="A271" s="1">
        <v>70802</v>
      </c>
      <c r="B271" s="1">
        <v>70801</v>
      </c>
      <c r="C271" s="1" t="s">
        <v>231</v>
      </c>
      <c r="D271" s="1">
        <v>7</v>
      </c>
      <c r="E271" s="1">
        <v>3</v>
      </c>
      <c r="F271" s="1">
        <v>2</v>
      </c>
      <c r="G271" s="1" t="str">
        <f t="shared" si="109"/>
        <v>res70801</v>
      </c>
      <c r="H271" s="1" t="str">
        <f t="shared" si="110"/>
        <v>res70801</v>
      </c>
      <c r="J271" s="1">
        <v>1</v>
      </c>
      <c r="K271" s="1">
        <v>1</v>
      </c>
      <c r="L271" s="1">
        <v>1</v>
      </c>
      <c r="M271" s="1">
        <v>0</v>
      </c>
      <c r="N271" s="1">
        <v>0</v>
      </c>
      <c r="O271" s="1">
        <v>2</v>
      </c>
      <c r="P271" s="2">
        <f t="shared" ref="P271:P293" si="112">P270*1.35</f>
        <v>13.5</v>
      </c>
      <c r="Q271" s="2">
        <v>0.29</v>
      </c>
      <c r="R271" s="1">
        <v>0.1</v>
      </c>
      <c r="S271" s="1">
        <v>200</v>
      </c>
      <c r="T271" s="1">
        <v>0</v>
      </c>
      <c r="U271" s="1">
        <v>19031</v>
      </c>
      <c r="V271" s="1">
        <v>0</v>
      </c>
      <c r="W271" s="1">
        <v>0</v>
      </c>
      <c r="X271" s="1">
        <v>0</v>
      </c>
      <c r="Y271" s="1" t="s">
        <v>403</v>
      </c>
      <c r="Z271" s="3" t="s">
        <v>404</v>
      </c>
    </row>
    <row r="272" spans="1:26">
      <c r="A272" s="1">
        <v>70803</v>
      </c>
      <c r="B272" s="1">
        <v>70801</v>
      </c>
      <c r="C272" s="1" t="s">
        <v>231</v>
      </c>
      <c r="D272" s="1">
        <v>7</v>
      </c>
      <c r="E272" s="1">
        <v>3</v>
      </c>
      <c r="F272" s="1">
        <v>3</v>
      </c>
      <c r="G272" s="1" t="str">
        <f t="shared" si="109"/>
        <v>res70801</v>
      </c>
      <c r="H272" s="1" t="str">
        <f t="shared" si="110"/>
        <v>res70801</v>
      </c>
      <c r="J272" s="1">
        <v>1</v>
      </c>
      <c r="K272" s="1">
        <v>1</v>
      </c>
      <c r="L272" s="1">
        <v>1</v>
      </c>
      <c r="M272" s="1">
        <v>0</v>
      </c>
      <c r="N272" s="1">
        <v>0</v>
      </c>
      <c r="O272" s="1">
        <v>2</v>
      </c>
      <c r="P272" s="2">
        <f t="shared" si="112"/>
        <v>18.225</v>
      </c>
      <c r="Q272" s="2">
        <v>0.29</v>
      </c>
      <c r="R272" s="1">
        <v>0.1</v>
      </c>
      <c r="S272" s="1">
        <v>200</v>
      </c>
      <c r="T272" s="1">
        <v>0</v>
      </c>
      <c r="U272" s="1">
        <v>19031</v>
      </c>
      <c r="V272" s="1">
        <v>0</v>
      </c>
      <c r="W272" s="1">
        <v>0</v>
      </c>
      <c r="X272" s="1">
        <v>0</v>
      </c>
      <c r="Y272" s="1" t="s">
        <v>403</v>
      </c>
      <c r="Z272" s="3" t="s">
        <v>404</v>
      </c>
    </row>
    <row r="273" spans="1:26">
      <c r="A273" s="1">
        <v>70901</v>
      </c>
      <c r="B273" s="1">
        <v>70901</v>
      </c>
      <c r="C273" s="1" t="s">
        <v>233</v>
      </c>
      <c r="D273" s="1">
        <v>7</v>
      </c>
      <c r="E273" s="1">
        <v>5</v>
      </c>
      <c r="F273" s="1">
        <v>1</v>
      </c>
      <c r="G273" s="1" t="str">
        <f t="shared" ref="G273:G309" si="113">"res"&amp;B273</f>
        <v>res70901</v>
      </c>
      <c r="H273" s="1" t="str">
        <f t="shared" si="110"/>
        <v>res70901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25001</v>
      </c>
      <c r="V273" s="1">
        <v>0</v>
      </c>
      <c r="W273" s="1">
        <v>0</v>
      </c>
      <c r="X273" s="1">
        <v>0</v>
      </c>
      <c r="Y273" s="1">
        <v>0</v>
      </c>
      <c r="Z273" s="3" t="s">
        <v>405</v>
      </c>
    </row>
    <row r="274" spans="1:26">
      <c r="A274" s="1">
        <v>80101</v>
      </c>
      <c r="B274" s="1">
        <v>80101</v>
      </c>
      <c r="C274" s="1" t="s">
        <v>235</v>
      </c>
      <c r="D274" s="1">
        <v>8</v>
      </c>
      <c r="E274" s="1">
        <v>1</v>
      </c>
      <c r="F274" s="1">
        <v>1</v>
      </c>
      <c r="G274" s="1" t="str">
        <f t="shared" si="113"/>
        <v>res80101</v>
      </c>
      <c r="H274" s="1" t="str">
        <f t="shared" si="110"/>
        <v>res80101</v>
      </c>
      <c r="J274" s="1">
        <v>1</v>
      </c>
      <c r="K274" s="1">
        <v>2</v>
      </c>
      <c r="L274" s="1">
        <v>0</v>
      </c>
      <c r="M274" s="1">
        <v>0</v>
      </c>
      <c r="N274" s="1">
        <v>2</v>
      </c>
      <c r="O274" s="1">
        <v>1</v>
      </c>
      <c r="P274" s="2">
        <v>10</v>
      </c>
      <c r="Q274" s="2">
        <v>0.29</v>
      </c>
      <c r="R274" s="1">
        <v>0.1</v>
      </c>
      <c r="S274" s="1">
        <v>200</v>
      </c>
      <c r="T274" s="1">
        <v>0</v>
      </c>
      <c r="U274" s="1">
        <v>19041</v>
      </c>
      <c r="V274" s="1">
        <v>0</v>
      </c>
      <c r="W274" s="1">
        <v>0</v>
      </c>
      <c r="X274" s="1">
        <v>0</v>
      </c>
      <c r="Y274" s="1" t="s">
        <v>406</v>
      </c>
      <c r="Z274" s="3" t="s">
        <v>407</v>
      </c>
    </row>
    <row r="275" spans="1:26">
      <c r="A275" s="1">
        <v>80102</v>
      </c>
      <c r="B275" s="1">
        <v>80101</v>
      </c>
      <c r="C275" s="1" t="s">
        <v>235</v>
      </c>
      <c r="D275" s="1">
        <v>8</v>
      </c>
      <c r="E275" s="1">
        <v>1</v>
      </c>
      <c r="F275" s="1">
        <v>2</v>
      </c>
      <c r="G275" s="1" t="str">
        <f t="shared" si="113"/>
        <v>res80101</v>
      </c>
      <c r="H275" s="1" t="str">
        <f t="shared" si="110"/>
        <v>res80101</v>
      </c>
      <c r="J275" s="1">
        <v>1</v>
      </c>
      <c r="K275" s="1">
        <v>2</v>
      </c>
      <c r="L275" s="1">
        <v>0</v>
      </c>
      <c r="M275" s="1">
        <v>0</v>
      </c>
      <c r="N275" s="1">
        <v>2</v>
      </c>
      <c r="O275" s="1">
        <v>1</v>
      </c>
      <c r="P275" s="2">
        <f t="shared" si="112"/>
        <v>13.5</v>
      </c>
      <c r="Q275" s="2">
        <v>0.29</v>
      </c>
      <c r="R275" s="1">
        <v>0.1</v>
      </c>
      <c r="S275" s="1">
        <v>200</v>
      </c>
      <c r="T275" s="1">
        <v>0</v>
      </c>
      <c r="U275" s="1">
        <v>19041</v>
      </c>
      <c r="V275" s="1">
        <v>0</v>
      </c>
      <c r="W275" s="1">
        <v>0</v>
      </c>
      <c r="X275" s="1">
        <v>0</v>
      </c>
      <c r="Y275" s="1" t="s">
        <v>406</v>
      </c>
      <c r="Z275" s="3" t="s">
        <v>407</v>
      </c>
    </row>
    <row r="276" spans="1:26">
      <c r="A276" s="1">
        <v>80103</v>
      </c>
      <c r="B276" s="1">
        <v>80101</v>
      </c>
      <c r="C276" s="1" t="s">
        <v>235</v>
      </c>
      <c r="D276" s="1">
        <v>8</v>
      </c>
      <c r="E276" s="1">
        <v>1</v>
      </c>
      <c r="F276" s="1">
        <v>3</v>
      </c>
      <c r="G276" s="1" t="str">
        <f t="shared" si="113"/>
        <v>res80101</v>
      </c>
      <c r="H276" s="1" t="str">
        <f t="shared" si="110"/>
        <v>res80101</v>
      </c>
      <c r="J276" s="1">
        <v>1</v>
      </c>
      <c r="K276" s="1">
        <v>2</v>
      </c>
      <c r="L276" s="1">
        <v>0</v>
      </c>
      <c r="M276" s="1">
        <v>0</v>
      </c>
      <c r="N276" s="1">
        <v>2</v>
      </c>
      <c r="O276" s="1">
        <v>1</v>
      </c>
      <c r="P276" s="2">
        <f t="shared" si="112"/>
        <v>18.225</v>
      </c>
      <c r="Q276" s="2">
        <v>0.29</v>
      </c>
      <c r="R276" s="1">
        <v>0.1</v>
      </c>
      <c r="S276" s="1">
        <v>200</v>
      </c>
      <c r="T276" s="1">
        <v>0</v>
      </c>
      <c r="U276" s="1">
        <v>19041</v>
      </c>
      <c r="V276" s="1">
        <v>0</v>
      </c>
      <c r="W276" s="1">
        <v>0</v>
      </c>
      <c r="X276" s="1">
        <v>0</v>
      </c>
      <c r="Y276" s="1" t="s">
        <v>406</v>
      </c>
      <c r="Z276" s="3" t="s">
        <v>407</v>
      </c>
    </row>
    <row r="277" spans="1:26">
      <c r="A277" s="1">
        <v>80104</v>
      </c>
      <c r="B277" s="1">
        <v>80101</v>
      </c>
      <c r="C277" s="1" t="s">
        <v>235</v>
      </c>
      <c r="D277" s="1">
        <v>8</v>
      </c>
      <c r="E277" s="1">
        <v>1</v>
      </c>
      <c r="F277" s="1">
        <v>4</v>
      </c>
      <c r="G277" s="1" t="str">
        <f t="shared" si="113"/>
        <v>res80101</v>
      </c>
      <c r="H277" s="1" t="str">
        <f t="shared" si="110"/>
        <v>res80101</v>
      </c>
      <c r="J277" s="1">
        <v>1</v>
      </c>
      <c r="K277" s="1">
        <v>2</v>
      </c>
      <c r="L277" s="1">
        <v>0</v>
      </c>
      <c r="M277" s="1">
        <v>0</v>
      </c>
      <c r="N277" s="1">
        <v>2</v>
      </c>
      <c r="O277" s="1">
        <v>1</v>
      </c>
      <c r="P277" s="2">
        <f t="shared" si="112"/>
        <v>24.60375</v>
      </c>
      <c r="Q277" s="2">
        <v>0.29</v>
      </c>
      <c r="R277" s="1">
        <v>0.1</v>
      </c>
      <c r="S277" s="1">
        <v>200</v>
      </c>
      <c r="T277" s="1">
        <v>0</v>
      </c>
      <c r="U277" s="1">
        <v>19041</v>
      </c>
      <c r="V277" s="1">
        <v>0</v>
      </c>
      <c r="W277" s="1">
        <v>0</v>
      </c>
      <c r="X277" s="1">
        <v>0</v>
      </c>
      <c r="Y277" s="1" t="s">
        <v>406</v>
      </c>
      <c r="Z277" s="3" t="s">
        <v>407</v>
      </c>
    </row>
    <row r="278" spans="1:26">
      <c r="A278" s="1">
        <v>80105</v>
      </c>
      <c r="B278" s="1">
        <v>80101</v>
      </c>
      <c r="C278" s="1" t="s">
        <v>235</v>
      </c>
      <c r="D278" s="1">
        <v>8</v>
      </c>
      <c r="E278" s="1">
        <v>1</v>
      </c>
      <c r="F278" s="1">
        <v>5</v>
      </c>
      <c r="G278" s="1" t="str">
        <f t="shared" si="113"/>
        <v>res80101</v>
      </c>
      <c r="H278" s="1" t="str">
        <f t="shared" si="110"/>
        <v>res80101</v>
      </c>
      <c r="J278" s="1">
        <v>1</v>
      </c>
      <c r="K278" s="1">
        <v>2</v>
      </c>
      <c r="L278" s="1">
        <v>0</v>
      </c>
      <c r="M278" s="1">
        <v>0</v>
      </c>
      <c r="N278" s="1">
        <v>2</v>
      </c>
      <c r="O278" s="1">
        <v>1</v>
      </c>
      <c r="P278" s="2">
        <f t="shared" si="112"/>
        <v>33.2150625</v>
      </c>
      <c r="Q278" s="2">
        <v>0.29</v>
      </c>
      <c r="R278" s="1">
        <v>0.1</v>
      </c>
      <c r="S278" s="1">
        <v>200</v>
      </c>
      <c r="T278" s="1">
        <v>0</v>
      </c>
      <c r="U278" s="1">
        <v>19041</v>
      </c>
      <c r="V278" s="1">
        <v>0</v>
      </c>
      <c r="W278" s="1">
        <v>0</v>
      </c>
      <c r="X278" s="1">
        <v>0</v>
      </c>
      <c r="Y278" s="1" t="s">
        <v>406</v>
      </c>
      <c r="Z278" s="3" t="s">
        <v>407</v>
      </c>
    </row>
    <row r="279" spans="1:26">
      <c r="A279" s="1">
        <v>80106</v>
      </c>
      <c r="B279" s="1">
        <v>80101</v>
      </c>
      <c r="C279" s="1" t="s">
        <v>235</v>
      </c>
      <c r="D279" s="1">
        <v>8</v>
      </c>
      <c r="E279" s="1">
        <v>1</v>
      </c>
      <c r="F279" s="1">
        <v>6</v>
      </c>
      <c r="G279" s="1" t="str">
        <f t="shared" si="113"/>
        <v>res80101</v>
      </c>
      <c r="H279" s="1" t="str">
        <f t="shared" si="110"/>
        <v>res80101</v>
      </c>
      <c r="J279" s="1">
        <v>1</v>
      </c>
      <c r="K279" s="1">
        <v>2</v>
      </c>
      <c r="L279" s="1">
        <v>0</v>
      </c>
      <c r="M279" s="1">
        <v>0</v>
      </c>
      <c r="N279" s="1">
        <v>2</v>
      </c>
      <c r="O279" s="1">
        <v>1</v>
      </c>
      <c r="P279" s="2">
        <f t="shared" si="112"/>
        <v>44.840334375</v>
      </c>
      <c r="Q279" s="2">
        <v>0.29</v>
      </c>
      <c r="R279" s="1">
        <v>0.1</v>
      </c>
      <c r="S279" s="1">
        <v>200</v>
      </c>
      <c r="T279" s="1">
        <v>0</v>
      </c>
      <c r="U279" s="1">
        <v>19041</v>
      </c>
      <c r="V279" s="1">
        <v>0</v>
      </c>
      <c r="W279" s="1">
        <v>0</v>
      </c>
      <c r="X279" s="1">
        <v>0</v>
      </c>
      <c r="Y279" s="1" t="s">
        <v>406</v>
      </c>
      <c r="Z279" s="3" t="s">
        <v>407</v>
      </c>
    </row>
    <row r="280" spans="1:26">
      <c r="A280" s="1">
        <v>80107</v>
      </c>
      <c r="B280" s="1">
        <v>80101</v>
      </c>
      <c r="C280" s="1" t="s">
        <v>235</v>
      </c>
      <c r="D280" s="1">
        <v>8</v>
      </c>
      <c r="E280" s="1">
        <v>1</v>
      </c>
      <c r="F280" s="1">
        <v>7</v>
      </c>
      <c r="G280" s="1" t="str">
        <f t="shared" si="113"/>
        <v>res80101</v>
      </c>
      <c r="H280" s="1" t="str">
        <f t="shared" ref="H280:H309" si="114">"res"&amp;B280</f>
        <v>res80101</v>
      </c>
      <c r="J280" s="1">
        <v>1</v>
      </c>
      <c r="K280" s="1">
        <v>2</v>
      </c>
      <c r="L280" s="1">
        <v>0</v>
      </c>
      <c r="M280" s="1">
        <v>0</v>
      </c>
      <c r="N280" s="1">
        <v>2</v>
      </c>
      <c r="O280" s="1">
        <v>1</v>
      </c>
      <c r="P280" s="2">
        <f t="shared" si="112"/>
        <v>60.53445140625</v>
      </c>
      <c r="Q280" s="2">
        <v>0.29</v>
      </c>
      <c r="R280" s="1">
        <v>0.1</v>
      </c>
      <c r="S280" s="1">
        <v>200</v>
      </c>
      <c r="T280" s="1">
        <v>0</v>
      </c>
      <c r="U280" s="1">
        <v>19041</v>
      </c>
      <c r="V280" s="1">
        <v>0</v>
      </c>
      <c r="W280" s="1">
        <v>0</v>
      </c>
      <c r="X280" s="1">
        <v>0</v>
      </c>
      <c r="Y280" s="1" t="s">
        <v>406</v>
      </c>
      <c r="Z280" s="3" t="s">
        <v>407</v>
      </c>
    </row>
    <row r="281" spans="1:26">
      <c r="A281" s="1">
        <v>80108</v>
      </c>
      <c r="B281" s="1">
        <v>80101</v>
      </c>
      <c r="C281" s="1" t="s">
        <v>235</v>
      </c>
      <c r="D281" s="1">
        <v>8</v>
      </c>
      <c r="E281" s="1">
        <v>1</v>
      </c>
      <c r="F281" s="1">
        <v>8</v>
      </c>
      <c r="G281" s="1" t="str">
        <f t="shared" si="113"/>
        <v>res80101</v>
      </c>
      <c r="H281" s="1" t="str">
        <f t="shared" si="114"/>
        <v>res80101</v>
      </c>
      <c r="J281" s="1">
        <v>1</v>
      </c>
      <c r="K281" s="1">
        <v>2</v>
      </c>
      <c r="L281" s="1">
        <v>0</v>
      </c>
      <c r="M281" s="1">
        <v>0</v>
      </c>
      <c r="N281" s="1">
        <v>2</v>
      </c>
      <c r="O281" s="1">
        <v>1</v>
      </c>
      <c r="P281" s="2">
        <f t="shared" si="112"/>
        <v>81.7215093984375</v>
      </c>
      <c r="Q281" s="2">
        <v>0.29</v>
      </c>
      <c r="R281" s="1">
        <v>0.1</v>
      </c>
      <c r="S281" s="1">
        <v>200</v>
      </c>
      <c r="T281" s="1">
        <v>0</v>
      </c>
      <c r="U281" s="1">
        <v>19041</v>
      </c>
      <c r="V281" s="1">
        <v>0</v>
      </c>
      <c r="W281" s="1">
        <v>0</v>
      </c>
      <c r="X281" s="1">
        <v>0</v>
      </c>
      <c r="Y281" s="1" t="s">
        <v>406</v>
      </c>
      <c r="Z281" s="3" t="s">
        <v>407</v>
      </c>
    </row>
    <row r="282" spans="1:26">
      <c r="A282" s="1">
        <v>80109</v>
      </c>
      <c r="B282" s="1">
        <v>80101</v>
      </c>
      <c r="C282" s="1" t="s">
        <v>235</v>
      </c>
      <c r="D282" s="1">
        <v>8</v>
      </c>
      <c r="E282" s="1">
        <v>1</v>
      </c>
      <c r="F282" s="1">
        <v>9</v>
      </c>
      <c r="G282" s="1" t="str">
        <f t="shared" si="113"/>
        <v>res80101</v>
      </c>
      <c r="H282" s="1" t="str">
        <f t="shared" si="114"/>
        <v>res80101</v>
      </c>
      <c r="J282" s="1">
        <v>1</v>
      </c>
      <c r="K282" s="1">
        <v>2</v>
      </c>
      <c r="L282" s="1">
        <v>0</v>
      </c>
      <c r="M282" s="1">
        <v>0</v>
      </c>
      <c r="N282" s="1">
        <v>2</v>
      </c>
      <c r="O282" s="1">
        <v>1</v>
      </c>
      <c r="P282" s="2">
        <f t="shared" si="112"/>
        <v>110.324037687891</v>
      </c>
      <c r="Q282" s="2">
        <v>0.29</v>
      </c>
      <c r="R282" s="1">
        <v>0.1</v>
      </c>
      <c r="S282" s="1">
        <v>200</v>
      </c>
      <c r="T282" s="1">
        <v>0</v>
      </c>
      <c r="U282" s="1">
        <v>19041</v>
      </c>
      <c r="V282" s="1">
        <v>0</v>
      </c>
      <c r="W282" s="1">
        <v>0</v>
      </c>
      <c r="X282" s="1">
        <v>0</v>
      </c>
      <c r="Y282" s="1" t="s">
        <v>406</v>
      </c>
      <c r="Z282" s="3" t="s">
        <v>407</v>
      </c>
    </row>
    <row r="283" spans="1:26">
      <c r="A283" s="1">
        <v>80110</v>
      </c>
      <c r="B283" s="1">
        <v>80101</v>
      </c>
      <c r="C283" s="1" t="s">
        <v>235</v>
      </c>
      <c r="D283" s="1">
        <v>8</v>
      </c>
      <c r="E283" s="1">
        <v>1</v>
      </c>
      <c r="F283" s="1">
        <v>10</v>
      </c>
      <c r="G283" s="1" t="str">
        <f t="shared" si="113"/>
        <v>res80101</v>
      </c>
      <c r="H283" s="1" t="str">
        <f t="shared" si="114"/>
        <v>res80101</v>
      </c>
      <c r="J283" s="1">
        <v>1</v>
      </c>
      <c r="K283" s="1">
        <v>2</v>
      </c>
      <c r="L283" s="1">
        <v>0</v>
      </c>
      <c r="M283" s="1">
        <v>0</v>
      </c>
      <c r="N283" s="1">
        <v>2</v>
      </c>
      <c r="O283" s="1">
        <v>1</v>
      </c>
      <c r="P283" s="2">
        <f t="shared" si="112"/>
        <v>148.937450878652</v>
      </c>
      <c r="Q283" s="2">
        <v>0.29</v>
      </c>
      <c r="R283" s="1">
        <v>0.1</v>
      </c>
      <c r="S283" s="1">
        <v>200</v>
      </c>
      <c r="T283" s="1">
        <v>0</v>
      </c>
      <c r="U283" s="1">
        <v>19041</v>
      </c>
      <c r="V283" s="1">
        <v>0</v>
      </c>
      <c r="W283" s="1">
        <v>0</v>
      </c>
      <c r="X283" s="1">
        <v>0</v>
      </c>
      <c r="Y283" s="1" t="s">
        <v>406</v>
      </c>
      <c r="Z283" s="3" t="s">
        <v>407</v>
      </c>
    </row>
    <row r="284" spans="1:26">
      <c r="A284" s="1">
        <v>80111</v>
      </c>
      <c r="B284" s="1">
        <v>80101</v>
      </c>
      <c r="C284" s="1" t="s">
        <v>235</v>
      </c>
      <c r="D284" s="1">
        <v>8</v>
      </c>
      <c r="E284" s="1">
        <v>1</v>
      </c>
      <c r="F284" s="1">
        <v>11</v>
      </c>
      <c r="G284" s="1" t="str">
        <f t="shared" si="113"/>
        <v>res80101</v>
      </c>
      <c r="H284" s="1" t="str">
        <f t="shared" si="114"/>
        <v>res80101</v>
      </c>
      <c r="J284" s="1">
        <v>1</v>
      </c>
      <c r="K284" s="1">
        <v>2</v>
      </c>
      <c r="L284" s="1">
        <v>0</v>
      </c>
      <c r="M284" s="1">
        <v>0</v>
      </c>
      <c r="N284" s="1">
        <v>2</v>
      </c>
      <c r="O284" s="1">
        <v>1</v>
      </c>
      <c r="P284" s="2">
        <f t="shared" si="112"/>
        <v>201.065558686181</v>
      </c>
      <c r="Q284" s="2">
        <v>0.29</v>
      </c>
      <c r="R284" s="1">
        <v>0.1</v>
      </c>
      <c r="S284" s="1">
        <v>200</v>
      </c>
      <c r="T284" s="1">
        <v>0</v>
      </c>
      <c r="U284" s="1">
        <v>19041</v>
      </c>
      <c r="V284" s="1">
        <v>0</v>
      </c>
      <c r="W284" s="1">
        <v>0</v>
      </c>
      <c r="X284" s="1">
        <v>0</v>
      </c>
      <c r="Y284" s="1" t="s">
        <v>406</v>
      </c>
      <c r="Z284" s="3" t="s">
        <v>407</v>
      </c>
    </row>
    <row r="285" spans="1:26">
      <c r="A285" s="1">
        <v>80112</v>
      </c>
      <c r="B285" s="1">
        <v>80101</v>
      </c>
      <c r="C285" s="1" t="s">
        <v>235</v>
      </c>
      <c r="D285" s="1">
        <v>8</v>
      </c>
      <c r="E285" s="1">
        <v>1</v>
      </c>
      <c r="F285" s="1">
        <v>12</v>
      </c>
      <c r="G285" s="1" t="str">
        <f t="shared" si="113"/>
        <v>res80101</v>
      </c>
      <c r="H285" s="1" t="str">
        <f t="shared" si="114"/>
        <v>res80101</v>
      </c>
      <c r="J285" s="1">
        <v>1</v>
      </c>
      <c r="K285" s="1">
        <v>2</v>
      </c>
      <c r="L285" s="1">
        <v>0</v>
      </c>
      <c r="M285" s="1">
        <v>0</v>
      </c>
      <c r="N285" s="1">
        <v>2</v>
      </c>
      <c r="O285" s="1">
        <v>1</v>
      </c>
      <c r="P285" s="2">
        <f t="shared" si="112"/>
        <v>271.438504226344</v>
      </c>
      <c r="Q285" s="2">
        <v>0.29</v>
      </c>
      <c r="R285" s="1">
        <v>0.1</v>
      </c>
      <c r="S285" s="1">
        <v>200</v>
      </c>
      <c r="T285" s="1">
        <v>0</v>
      </c>
      <c r="U285" s="1">
        <v>19041</v>
      </c>
      <c r="V285" s="1">
        <v>0</v>
      </c>
      <c r="W285" s="1">
        <v>0</v>
      </c>
      <c r="X285" s="1">
        <v>0</v>
      </c>
      <c r="Y285" s="1" t="s">
        <v>406</v>
      </c>
      <c r="Z285" s="3" t="s">
        <v>407</v>
      </c>
    </row>
    <row r="286" spans="1:26">
      <c r="A286" s="1">
        <v>80113</v>
      </c>
      <c r="B286" s="1">
        <v>80101</v>
      </c>
      <c r="C286" s="1" t="s">
        <v>235</v>
      </c>
      <c r="D286" s="1">
        <v>8</v>
      </c>
      <c r="E286" s="1">
        <v>1</v>
      </c>
      <c r="F286" s="1">
        <v>13</v>
      </c>
      <c r="G286" s="1" t="str">
        <f t="shared" si="113"/>
        <v>res80101</v>
      </c>
      <c r="H286" s="1" t="str">
        <f t="shared" si="114"/>
        <v>res80101</v>
      </c>
      <c r="J286" s="1">
        <v>1</v>
      </c>
      <c r="K286" s="1">
        <v>2</v>
      </c>
      <c r="L286" s="1">
        <v>0</v>
      </c>
      <c r="M286" s="1">
        <v>0</v>
      </c>
      <c r="N286" s="1">
        <v>2</v>
      </c>
      <c r="O286" s="1">
        <v>1</v>
      </c>
      <c r="P286" s="2">
        <f t="shared" si="112"/>
        <v>366.441980705565</v>
      </c>
      <c r="Q286" s="2">
        <v>0.29</v>
      </c>
      <c r="R286" s="1">
        <v>0.1</v>
      </c>
      <c r="S286" s="1">
        <v>200</v>
      </c>
      <c r="T286" s="1">
        <v>0</v>
      </c>
      <c r="U286" s="1">
        <v>19041</v>
      </c>
      <c r="V286" s="1">
        <v>0</v>
      </c>
      <c r="W286" s="1">
        <v>0</v>
      </c>
      <c r="X286" s="1">
        <v>0</v>
      </c>
      <c r="Y286" s="1" t="s">
        <v>406</v>
      </c>
      <c r="Z286" s="3" t="s">
        <v>407</v>
      </c>
    </row>
    <row r="287" spans="1:26">
      <c r="A287" s="1">
        <v>80114</v>
      </c>
      <c r="B287" s="1">
        <v>80101</v>
      </c>
      <c r="C287" s="1" t="s">
        <v>235</v>
      </c>
      <c r="D287" s="1">
        <v>8</v>
      </c>
      <c r="E287" s="1">
        <v>1</v>
      </c>
      <c r="F287" s="1">
        <v>14</v>
      </c>
      <c r="G287" s="1" t="str">
        <f t="shared" si="113"/>
        <v>res80101</v>
      </c>
      <c r="H287" s="1" t="str">
        <f t="shared" si="114"/>
        <v>res80101</v>
      </c>
      <c r="J287" s="1">
        <v>1</v>
      </c>
      <c r="K287" s="1">
        <v>2</v>
      </c>
      <c r="L287" s="1">
        <v>0</v>
      </c>
      <c r="M287" s="1">
        <v>0</v>
      </c>
      <c r="N287" s="1">
        <v>2</v>
      </c>
      <c r="O287" s="1">
        <v>1</v>
      </c>
      <c r="P287" s="2">
        <f t="shared" si="112"/>
        <v>494.696673952512</v>
      </c>
      <c r="Q287" s="2">
        <v>0.29</v>
      </c>
      <c r="R287" s="1">
        <v>0.1</v>
      </c>
      <c r="S287" s="1">
        <v>200</v>
      </c>
      <c r="T287" s="1">
        <v>0</v>
      </c>
      <c r="U287" s="1">
        <v>19041</v>
      </c>
      <c r="V287" s="1">
        <v>0</v>
      </c>
      <c r="W287" s="1">
        <v>0</v>
      </c>
      <c r="X287" s="1">
        <v>0</v>
      </c>
      <c r="Y287" s="1" t="s">
        <v>406</v>
      </c>
      <c r="Z287" s="3" t="s">
        <v>407</v>
      </c>
    </row>
    <row r="288" spans="1:26">
      <c r="A288" s="1">
        <v>80115</v>
      </c>
      <c r="B288" s="1">
        <v>80101</v>
      </c>
      <c r="C288" s="1" t="s">
        <v>235</v>
      </c>
      <c r="D288" s="1">
        <v>8</v>
      </c>
      <c r="E288" s="1">
        <v>1</v>
      </c>
      <c r="F288" s="1">
        <v>15</v>
      </c>
      <c r="G288" s="1" t="str">
        <f t="shared" si="113"/>
        <v>res80101</v>
      </c>
      <c r="H288" s="1" t="str">
        <f t="shared" si="114"/>
        <v>res80101</v>
      </c>
      <c r="J288" s="1">
        <v>1</v>
      </c>
      <c r="K288" s="1">
        <v>2</v>
      </c>
      <c r="L288" s="1">
        <v>0</v>
      </c>
      <c r="M288" s="1">
        <v>0</v>
      </c>
      <c r="N288" s="1">
        <v>2</v>
      </c>
      <c r="O288" s="1">
        <v>1</v>
      </c>
      <c r="P288" s="2">
        <f t="shared" si="112"/>
        <v>667.840509835892</v>
      </c>
      <c r="Q288" s="2">
        <v>0.29</v>
      </c>
      <c r="R288" s="1">
        <v>0.1</v>
      </c>
      <c r="S288" s="1">
        <v>200</v>
      </c>
      <c r="T288" s="1">
        <v>0</v>
      </c>
      <c r="U288" s="1">
        <v>19041</v>
      </c>
      <c r="V288" s="1">
        <v>0</v>
      </c>
      <c r="W288" s="1">
        <v>0</v>
      </c>
      <c r="X288" s="1">
        <v>0</v>
      </c>
      <c r="Y288" s="1" t="s">
        <v>406</v>
      </c>
      <c r="Z288" s="3" t="s">
        <v>407</v>
      </c>
    </row>
    <row r="289" spans="1:26">
      <c r="A289" s="1">
        <v>80116</v>
      </c>
      <c r="B289" s="1">
        <v>80101</v>
      </c>
      <c r="C289" s="1" t="s">
        <v>235</v>
      </c>
      <c r="D289" s="1">
        <v>8</v>
      </c>
      <c r="E289" s="1">
        <v>1</v>
      </c>
      <c r="F289" s="1">
        <v>16</v>
      </c>
      <c r="G289" s="1" t="str">
        <f t="shared" si="113"/>
        <v>res80101</v>
      </c>
      <c r="H289" s="1" t="str">
        <f t="shared" si="114"/>
        <v>res80101</v>
      </c>
      <c r="J289" s="1">
        <v>1</v>
      </c>
      <c r="K289" s="1">
        <v>2</v>
      </c>
      <c r="L289" s="1">
        <v>0</v>
      </c>
      <c r="M289" s="1">
        <v>0</v>
      </c>
      <c r="N289" s="1">
        <v>2</v>
      </c>
      <c r="O289" s="1">
        <v>1</v>
      </c>
      <c r="P289" s="2">
        <f t="shared" si="112"/>
        <v>901.584688278454</v>
      </c>
      <c r="Q289" s="2">
        <v>0.29</v>
      </c>
      <c r="R289" s="1">
        <v>0.1</v>
      </c>
      <c r="S289" s="1">
        <v>200</v>
      </c>
      <c r="T289" s="1">
        <v>0</v>
      </c>
      <c r="U289" s="1">
        <v>19041</v>
      </c>
      <c r="V289" s="1">
        <v>0</v>
      </c>
      <c r="W289" s="1">
        <v>0</v>
      </c>
      <c r="X289" s="1">
        <v>0</v>
      </c>
      <c r="Y289" s="1" t="s">
        <v>406</v>
      </c>
      <c r="Z289" s="3" t="s">
        <v>407</v>
      </c>
    </row>
    <row r="290" spans="1:26">
      <c r="A290" s="1">
        <v>80117</v>
      </c>
      <c r="B290" s="1">
        <v>80101</v>
      </c>
      <c r="C290" s="1" t="s">
        <v>235</v>
      </c>
      <c r="D290" s="1">
        <v>8</v>
      </c>
      <c r="E290" s="1">
        <v>1</v>
      </c>
      <c r="F290" s="1">
        <v>17</v>
      </c>
      <c r="G290" s="1" t="str">
        <f t="shared" si="113"/>
        <v>res80101</v>
      </c>
      <c r="H290" s="1" t="str">
        <f t="shared" si="114"/>
        <v>res80101</v>
      </c>
      <c r="J290" s="1">
        <v>1</v>
      </c>
      <c r="K290" s="1">
        <v>2</v>
      </c>
      <c r="L290" s="1">
        <v>0</v>
      </c>
      <c r="M290" s="1">
        <v>0</v>
      </c>
      <c r="N290" s="1">
        <v>2</v>
      </c>
      <c r="O290" s="1">
        <v>1</v>
      </c>
      <c r="P290" s="2">
        <f t="shared" si="112"/>
        <v>1217.13932917591</v>
      </c>
      <c r="Q290" s="2">
        <v>0.29</v>
      </c>
      <c r="R290" s="1">
        <v>0.1</v>
      </c>
      <c r="S290" s="1">
        <v>200</v>
      </c>
      <c r="T290" s="1">
        <v>0</v>
      </c>
      <c r="U290" s="1">
        <v>19041</v>
      </c>
      <c r="V290" s="1">
        <v>0</v>
      </c>
      <c r="W290" s="1">
        <v>0</v>
      </c>
      <c r="X290" s="1">
        <v>0</v>
      </c>
      <c r="Y290" s="1" t="s">
        <v>406</v>
      </c>
      <c r="Z290" s="3" t="s">
        <v>407</v>
      </c>
    </row>
    <row r="291" spans="1:26">
      <c r="A291" s="1">
        <v>80118</v>
      </c>
      <c r="B291" s="1">
        <v>80101</v>
      </c>
      <c r="C291" s="1" t="s">
        <v>235</v>
      </c>
      <c r="D291" s="1">
        <v>8</v>
      </c>
      <c r="E291" s="1">
        <v>1</v>
      </c>
      <c r="F291" s="1">
        <v>18</v>
      </c>
      <c r="G291" s="1" t="str">
        <f t="shared" si="113"/>
        <v>res80101</v>
      </c>
      <c r="H291" s="1" t="str">
        <f t="shared" si="114"/>
        <v>res80101</v>
      </c>
      <c r="J291" s="1">
        <v>1</v>
      </c>
      <c r="K291" s="1">
        <v>2</v>
      </c>
      <c r="L291" s="1">
        <v>0</v>
      </c>
      <c r="M291" s="1">
        <v>0</v>
      </c>
      <c r="N291" s="1">
        <v>2</v>
      </c>
      <c r="O291" s="1">
        <v>1</v>
      </c>
      <c r="P291" s="2">
        <f t="shared" si="112"/>
        <v>1643.13809438748</v>
      </c>
      <c r="Q291" s="2">
        <v>0.29</v>
      </c>
      <c r="R291" s="1">
        <v>0.1</v>
      </c>
      <c r="S291" s="1">
        <v>200</v>
      </c>
      <c r="T291" s="1">
        <v>0</v>
      </c>
      <c r="U291" s="1">
        <v>19041</v>
      </c>
      <c r="V291" s="1">
        <v>0</v>
      </c>
      <c r="W291" s="1">
        <v>0</v>
      </c>
      <c r="X291" s="1">
        <v>0</v>
      </c>
      <c r="Y291" s="1" t="s">
        <v>406</v>
      </c>
      <c r="Z291" s="3" t="s">
        <v>407</v>
      </c>
    </row>
    <row r="292" spans="1:26">
      <c r="A292" s="1">
        <v>80119</v>
      </c>
      <c r="B292" s="1">
        <v>80101</v>
      </c>
      <c r="C292" s="1" t="s">
        <v>235</v>
      </c>
      <c r="D292" s="1">
        <v>8</v>
      </c>
      <c r="E292" s="1">
        <v>1</v>
      </c>
      <c r="F292" s="1">
        <v>19</v>
      </c>
      <c r="G292" s="1" t="str">
        <f t="shared" si="113"/>
        <v>res80101</v>
      </c>
      <c r="H292" s="1" t="str">
        <f t="shared" si="114"/>
        <v>res80101</v>
      </c>
      <c r="J292" s="1">
        <v>1</v>
      </c>
      <c r="K292" s="1">
        <v>2</v>
      </c>
      <c r="L292" s="1">
        <v>0</v>
      </c>
      <c r="M292" s="1">
        <v>0</v>
      </c>
      <c r="N292" s="1">
        <v>2</v>
      </c>
      <c r="O292" s="1">
        <v>1</v>
      </c>
      <c r="P292" s="2">
        <f t="shared" si="112"/>
        <v>2218.2364274231</v>
      </c>
      <c r="Q292" s="2">
        <v>0.29</v>
      </c>
      <c r="R292" s="1">
        <v>0.1</v>
      </c>
      <c r="S292" s="1">
        <v>200</v>
      </c>
      <c r="T292" s="1">
        <v>0</v>
      </c>
      <c r="U292" s="1">
        <v>19041</v>
      </c>
      <c r="V292" s="1">
        <v>0</v>
      </c>
      <c r="W292" s="1">
        <v>0</v>
      </c>
      <c r="X292" s="1">
        <v>0</v>
      </c>
      <c r="Y292" s="1" t="s">
        <v>406</v>
      </c>
      <c r="Z292" s="3" t="s">
        <v>407</v>
      </c>
    </row>
    <row r="293" spans="1:26">
      <c r="A293" s="1">
        <v>80120</v>
      </c>
      <c r="B293" s="1">
        <v>80101</v>
      </c>
      <c r="C293" s="1" t="s">
        <v>235</v>
      </c>
      <c r="D293" s="1">
        <v>8</v>
      </c>
      <c r="E293" s="1">
        <v>1</v>
      </c>
      <c r="F293" s="1">
        <v>20</v>
      </c>
      <c r="G293" s="1" t="str">
        <f t="shared" si="113"/>
        <v>res80101</v>
      </c>
      <c r="H293" s="1" t="str">
        <f t="shared" si="114"/>
        <v>res80101</v>
      </c>
      <c r="J293" s="1">
        <v>1</v>
      </c>
      <c r="K293" s="1">
        <v>2</v>
      </c>
      <c r="L293" s="1">
        <v>0</v>
      </c>
      <c r="M293" s="1">
        <v>0</v>
      </c>
      <c r="N293" s="1">
        <v>2</v>
      </c>
      <c r="O293" s="1">
        <v>1</v>
      </c>
      <c r="P293" s="2">
        <f t="shared" si="112"/>
        <v>2994.61917702119</v>
      </c>
      <c r="Q293" s="2">
        <v>0.29</v>
      </c>
      <c r="R293" s="1">
        <v>0.1</v>
      </c>
      <c r="S293" s="1">
        <v>200</v>
      </c>
      <c r="T293" s="1">
        <v>0</v>
      </c>
      <c r="U293" s="1">
        <v>19041</v>
      </c>
      <c r="V293" s="1">
        <v>0</v>
      </c>
      <c r="W293" s="1">
        <v>0</v>
      </c>
      <c r="X293" s="1">
        <v>0</v>
      </c>
      <c r="Y293" s="1" t="s">
        <v>406</v>
      </c>
      <c r="Z293" s="3" t="s">
        <v>407</v>
      </c>
    </row>
    <row r="294" spans="1:26">
      <c r="A294" s="1">
        <v>80201</v>
      </c>
      <c r="B294" s="1">
        <v>80201</v>
      </c>
      <c r="C294" s="1" t="s">
        <v>237</v>
      </c>
      <c r="D294" s="1">
        <v>8</v>
      </c>
      <c r="E294" s="1">
        <v>2</v>
      </c>
      <c r="F294" s="1">
        <v>1</v>
      </c>
      <c r="G294" s="1" t="str">
        <f t="shared" si="113"/>
        <v>res80201</v>
      </c>
      <c r="H294" s="1" t="str">
        <f t="shared" si="114"/>
        <v>res80201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19051</v>
      </c>
      <c r="V294" s="1">
        <v>0</v>
      </c>
      <c r="W294" s="1">
        <v>0</v>
      </c>
      <c r="X294" s="1">
        <v>0</v>
      </c>
      <c r="Y294" s="1" t="s">
        <v>408</v>
      </c>
      <c r="Z294" s="3" t="s">
        <v>409</v>
      </c>
    </row>
    <row r="295" spans="1:26">
      <c r="A295" s="1">
        <v>80202</v>
      </c>
      <c r="B295" s="1">
        <v>80201</v>
      </c>
      <c r="C295" s="1" t="s">
        <v>237</v>
      </c>
      <c r="D295" s="1">
        <v>8</v>
      </c>
      <c r="E295" s="1">
        <v>2</v>
      </c>
      <c r="F295" s="1">
        <v>2</v>
      </c>
      <c r="G295" s="1" t="str">
        <f t="shared" si="113"/>
        <v>res80201</v>
      </c>
      <c r="H295" s="1" t="str">
        <f t="shared" si="114"/>
        <v>res80201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19051</v>
      </c>
      <c r="V295" s="1">
        <v>0</v>
      </c>
      <c r="W295" s="1">
        <v>0</v>
      </c>
      <c r="X295" s="1">
        <v>0</v>
      </c>
      <c r="Y295" s="1" t="s">
        <v>410</v>
      </c>
      <c r="Z295" s="3" t="s">
        <v>409</v>
      </c>
    </row>
    <row r="296" spans="1:26">
      <c r="A296" s="1">
        <v>80203</v>
      </c>
      <c r="B296" s="1">
        <v>80201</v>
      </c>
      <c r="C296" s="1" t="s">
        <v>237</v>
      </c>
      <c r="D296" s="1">
        <v>8</v>
      </c>
      <c r="E296" s="1">
        <v>2</v>
      </c>
      <c r="F296" s="1">
        <v>3</v>
      </c>
      <c r="G296" s="1" t="str">
        <f t="shared" si="113"/>
        <v>res80201</v>
      </c>
      <c r="H296" s="1" t="str">
        <f t="shared" si="114"/>
        <v>res80201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19051</v>
      </c>
      <c r="V296" s="1">
        <v>0</v>
      </c>
      <c r="W296" s="1">
        <v>0</v>
      </c>
      <c r="X296" s="1">
        <v>0</v>
      </c>
      <c r="Y296" s="1" t="s">
        <v>411</v>
      </c>
      <c r="Z296" s="3" t="s">
        <v>409</v>
      </c>
    </row>
    <row r="297" spans="1:26">
      <c r="A297" s="1">
        <v>80301</v>
      </c>
      <c r="B297" s="1">
        <v>80301</v>
      </c>
      <c r="C297" s="1" t="s">
        <v>239</v>
      </c>
      <c r="D297" s="1">
        <v>8</v>
      </c>
      <c r="E297" s="1">
        <v>2</v>
      </c>
      <c r="F297" s="1">
        <v>1</v>
      </c>
      <c r="G297" s="1" t="str">
        <f t="shared" si="113"/>
        <v>res80301</v>
      </c>
      <c r="H297" s="1" t="str">
        <f t="shared" si="114"/>
        <v>res80301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 t="s">
        <v>412</v>
      </c>
      <c r="Z297" s="3" t="s">
        <v>413</v>
      </c>
    </row>
    <row r="298" spans="1:26">
      <c r="A298" s="1">
        <v>80302</v>
      </c>
      <c r="B298" s="1">
        <v>80301</v>
      </c>
      <c r="C298" s="1" t="s">
        <v>239</v>
      </c>
      <c r="D298" s="1">
        <v>8</v>
      </c>
      <c r="E298" s="1">
        <v>2</v>
      </c>
      <c r="F298" s="1">
        <v>2</v>
      </c>
      <c r="G298" s="1" t="str">
        <f t="shared" si="113"/>
        <v>res80301</v>
      </c>
      <c r="H298" s="1" t="str">
        <f t="shared" si="114"/>
        <v>res80301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 t="s">
        <v>414</v>
      </c>
      <c r="Z298" s="3" t="s">
        <v>413</v>
      </c>
    </row>
    <row r="299" spans="1:26">
      <c r="A299" s="1">
        <v>80303</v>
      </c>
      <c r="B299" s="1">
        <v>80301</v>
      </c>
      <c r="C299" s="1" t="s">
        <v>239</v>
      </c>
      <c r="D299" s="1">
        <v>8</v>
      </c>
      <c r="E299" s="1">
        <v>2</v>
      </c>
      <c r="F299" s="1">
        <v>3</v>
      </c>
      <c r="G299" s="1" t="str">
        <f t="shared" si="113"/>
        <v>res80301</v>
      </c>
      <c r="H299" s="1" t="str">
        <f t="shared" si="114"/>
        <v>res80301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 t="s">
        <v>415</v>
      </c>
      <c r="Z299" s="3" t="s">
        <v>413</v>
      </c>
    </row>
    <row r="300" spans="1:26">
      <c r="A300" s="1">
        <v>80401</v>
      </c>
      <c r="B300" s="1">
        <v>80401</v>
      </c>
      <c r="C300" s="1" t="s">
        <v>241</v>
      </c>
      <c r="D300" s="1">
        <v>8</v>
      </c>
      <c r="E300" s="1">
        <v>6</v>
      </c>
      <c r="F300" s="1">
        <v>1</v>
      </c>
      <c r="G300" s="1" t="str">
        <f t="shared" si="113"/>
        <v>res80401</v>
      </c>
      <c r="H300" s="1" t="str">
        <f t="shared" si="114"/>
        <v>res80401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38001</v>
      </c>
      <c r="V300" s="1">
        <v>0</v>
      </c>
      <c r="W300" s="1">
        <v>0</v>
      </c>
      <c r="X300" s="1">
        <v>0</v>
      </c>
      <c r="Y300" s="1">
        <v>0</v>
      </c>
      <c r="Z300" s="3" t="s">
        <v>416</v>
      </c>
    </row>
    <row r="301" spans="1:26">
      <c r="A301" s="1">
        <v>80501</v>
      </c>
      <c r="B301" s="1">
        <v>80501</v>
      </c>
      <c r="C301" s="1" t="s">
        <v>243</v>
      </c>
      <c r="D301" s="1">
        <v>8</v>
      </c>
      <c r="E301" s="1">
        <v>4</v>
      </c>
      <c r="F301" s="1">
        <v>1</v>
      </c>
      <c r="G301" s="1" t="str">
        <f t="shared" si="113"/>
        <v>res80501</v>
      </c>
      <c r="H301" s="1" t="str">
        <f t="shared" si="114"/>
        <v>res80501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39001</v>
      </c>
      <c r="V301" s="1">
        <v>0</v>
      </c>
      <c r="W301" s="1">
        <v>0</v>
      </c>
      <c r="X301" s="1">
        <v>1</v>
      </c>
      <c r="Y301" s="1">
        <v>0</v>
      </c>
      <c r="Z301" s="3" t="s">
        <v>417</v>
      </c>
    </row>
    <row r="302" spans="1:26">
      <c r="A302" s="1">
        <v>80502</v>
      </c>
      <c r="B302" s="1">
        <v>80501</v>
      </c>
      <c r="C302" s="1" t="s">
        <v>243</v>
      </c>
      <c r="D302" s="1">
        <v>8</v>
      </c>
      <c r="E302" s="1">
        <v>4</v>
      </c>
      <c r="F302" s="1">
        <v>1</v>
      </c>
      <c r="G302" s="1" t="str">
        <f t="shared" si="113"/>
        <v>res80501</v>
      </c>
      <c r="H302" s="1" t="str">
        <f t="shared" si="114"/>
        <v>res80501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39001</v>
      </c>
      <c r="V302" s="1">
        <v>0</v>
      </c>
      <c r="W302" s="1">
        <v>0</v>
      </c>
      <c r="X302" s="1">
        <v>2</v>
      </c>
      <c r="Y302" s="1">
        <v>0</v>
      </c>
      <c r="Z302" s="3" t="s">
        <v>417</v>
      </c>
    </row>
    <row r="303" spans="1:26">
      <c r="A303" s="1">
        <v>80503</v>
      </c>
      <c r="B303" s="1">
        <v>80501</v>
      </c>
      <c r="C303" s="1" t="s">
        <v>243</v>
      </c>
      <c r="D303" s="1">
        <v>8</v>
      </c>
      <c r="E303" s="1">
        <v>4</v>
      </c>
      <c r="F303" s="1">
        <v>1</v>
      </c>
      <c r="G303" s="1" t="str">
        <f t="shared" si="113"/>
        <v>res80501</v>
      </c>
      <c r="H303" s="1" t="str">
        <f t="shared" si="114"/>
        <v>res80501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39001</v>
      </c>
      <c r="V303" s="1">
        <v>0</v>
      </c>
      <c r="W303" s="1">
        <v>0</v>
      </c>
      <c r="X303" s="1">
        <v>3</v>
      </c>
      <c r="Y303" s="1">
        <v>0</v>
      </c>
      <c r="Z303" s="3" t="s">
        <v>417</v>
      </c>
    </row>
    <row r="304" spans="1:26">
      <c r="A304" s="1">
        <v>80601</v>
      </c>
      <c r="B304" s="1">
        <v>80601</v>
      </c>
      <c r="C304" s="1" t="s">
        <v>245</v>
      </c>
      <c r="D304" s="1">
        <v>8</v>
      </c>
      <c r="E304" s="1">
        <v>5</v>
      </c>
      <c r="F304" s="1">
        <v>1</v>
      </c>
      <c r="G304" s="1" t="str">
        <f t="shared" si="113"/>
        <v>res80601</v>
      </c>
      <c r="H304" s="1" t="str">
        <f t="shared" si="114"/>
        <v>res80601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26001</v>
      </c>
      <c r="V304" s="1">
        <v>0</v>
      </c>
      <c r="W304" s="1">
        <v>0</v>
      </c>
      <c r="X304" s="1">
        <v>0</v>
      </c>
      <c r="Y304" s="1">
        <v>0</v>
      </c>
      <c r="Z304" s="3" t="s">
        <v>418</v>
      </c>
    </row>
    <row r="305" spans="1:26">
      <c r="A305" s="1">
        <v>80701</v>
      </c>
      <c r="B305" s="1">
        <v>80701</v>
      </c>
      <c r="C305" s="1" t="s">
        <v>247</v>
      </c>
      <c r="D305" s="1">
        <v>8</v>
      </c>
      <c r="E305" s="1">
        <v>5</v>
      </c>
      <c r="F305" s="1">
        <v>1</v>
      </c>
      <c r="G305" s="1" t="str">
        <f t="shared" si="113"/>
        <v>res80701</v>
      </c>
      <c r="H305" s="1" t="str">
        <f t="shared" si="114"/>
        <v>res80701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27001</v>
      </c>
      <c r="V305" s="1">
        <v>0</v>
      </c>
      <c r="W305" s="1">
        <v>0</v>
      </c>
      <c r="X305" s="1">
        <v>0</v>
      </c>
      <c r="Y305" s="1">
        <v>0</v>
      </c>
      <c r="Z305" s="3" t="s">
        <v>419</v>
      </c>
    </row>
    <row r="306" spans="1:26">
      <c r="A306" s="1">
        <v>80801</v>
      </c>
      <c r="B306" s="1">
        <v>80801</v>
      </c>
      <c r="C306" s="1" t="s">
        <v>249</v>
      </c>
      <c r="D306" s="1">
        <v>8</v>
      </c>
      <c r="E306" s="1">
        <v>5</v>
      </c>
      <c r="F306" s="1">
        <v>1</v>
      </c>
      <c r="G306" s="1" t="str">
        <f t="shared" si="113"/>
        <v>res80801</v>
      </c>
      <c r="H306" s="1" t="str">
        <f t="shared" si="114"/>
        <v>res80801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28001</v>
      </c>
      <c r="V306" s="1">
        <v>0</v>
      </c>
      <c r="W306" s="1">
        <v>0</v>
      </c>
      <c r="X306" s="1">
        <v>0</v>
      </c>
      <c r="Y306" s="1">
        <v>0</v>
      </c>
      <c r="Z306" s="3" t="s">
        <v>420</v>
      </c>
    </row>
    <row r="307" spans="1:26">
      <c r="A307" s="1">
        <v>80901</v>
      </c>
      <c r="B307" s="1">
        <v>80901</v>
      </c>
      <c r="C307" s="1" t="s">
        <v>251</v>
      </c>
      <c r="D307" s="1">
        <v>8</v>
      </c>
      <c r="E307" s="1">
        <v>3</v>
      </c>
      <c r="F307" s="1">
        <v>1</v>
      </c>
      <c r="G307" s="1" t="str">
        <f t="shared" si="113"/>
        <v>res80901</v>
      </c>
      <c r="H307" s="1" t="str">
        <f t="shared" si="114"/>
        <v>res80901</v>
      </c>
      <c r="J307" s="1">
        <v>2</v>
      </c>
      <c r="K307" s="1">
        <v>2</v>
      </c>
      <c r="L307" s="1">
        <v>0</v>
      </c>
      <c r="M307" s="1">
        <v>0</v>
      </c>
      <c r="N307" s="1">
        <v>2</v>
      </c>
      <c r="O307" s="1">
        <v>1</v>
      </c>
      <c r="P307" s="2">
        <v>10</v>
      </c>
      <c r="Q307" s="2">
        <v>0.29</v>
      </c>
      <c r="R307" s="1">
        <v>0.1</v>
      </c>
      <c r="S307" s="1">
        <v>200</v>
      </c>
      <c r="T307" s="1">
        <v>0</v>
      </c>
      <c r="U307" s="1">
        <v>19061</v>
      </c>
      <c r="V307" s="1">
        <v>0</v>
      </c>
      <c r="W307" s="1">
        <v>0</v>
      </c>
      <c r="X307" s="1">
        <v>0</v>
      </c>
      <c r="Y307" s="1">
        <v>0</v>
      </c>
      <c r="Z307" s="3" t="s">
        <v>421</v>
      </c>
    </row>
    <row r="308" spans="1:26">
      <c r="A308" s="1">
        <v>80902</v>
      </c>
      <c r="B308" s="1">
        <v>80901</v>
      </c>
      <c r="C308" s="1" t="s">
        <v>251</v>
      </c>
      <c r="D308" s="1">
        <v>8</v>
      </c>
      <c r="E308" s="1">
        <v>3</v>
      </c>
      <c r="F308" s="1">
        <v>2</v>
      </c>
      <c r="G308" s="1" t="str">
        <f t="shared" si="113"/>
        <v>res80901</v>
      </c>
      <c r="H308" s="1" t="str">
        <f t="shared" si="114"/>
        <v>res80901</v>
      </c>
      <c r="J308" s="1">
        <v>2</v>
      </c>
      <c r="K308" s="1">
        <v>2</v>
      </c>
      <c r="L308" s="1">
        <v>0</v>
      </c>
      <c r="M308" s="1">
        <v>0</v>
      </c>
      <c r="N308" s="1">
        <v>2</v>
      </c>
      <c r="O308" s="1">
        <v>1</v>
      </c>
      <c r="P308" s="2">
        <f>P307*1.35</f>
        <v>13.5</v>
      </c>
      <c r="Q308" s="2">
        <v>0.29</v>
      </c>
      <c r="R308" s="1">
        <v>0.1</v>
      </c>
      <c r="S308" s="1">
        <v>200</v>
      </c>
      <c r="T308" s="1">
        <v>0</v>
      </c>
      <c r="U308" s="1">
        <v>19061</v>
      </c>
      <c r="V308" s="1">
        <v>0</v>
      </c>
      <c r="W308" s="1">
        <v>0</v>
      </c>
      <c r="X308" s="1">
        <v>0</v>
      </c>
      <c r="Y308" s="1">
        <v>0</v>
      </c>
      <c r="Z308" s="3" t="s">
        <v>421</v>
      </c>
    </row>
    <row r="309" spans="1:26">
      <c r="A309" s="1">
        <v>80903</v>
      </c>
      <c r="B309" s="1">
        <v>80901</v>
      </c>
      <c r="C309" s="1" t="s">
        <v>251</v>
      </c>
      <c r="D309" s="1">
        <v>8</v>
      </c>
      <c r="E309" s="1">
        <v>3</v>
      </c>
      <c r="F309" s="1">
        <v>3</v>
      </c>
      <c r="G309" s="1" t="str">
        <f t="shared" si="113"/>
        <v>res80901</v>
      </c>
      <c r="H309" s="1" t="str">
        <f t="shared" si="114"/>
        <v>res80901</v>
      </c>
      <c r="J309" s="1">
        <v>2</v>
      </c>
      <c r="K309" s="1">
        <v>2</v>
      </c>
      <c r="L309" s="1">
        <v>0</v>
      </c>
      <c r="M309" s="1">
        <v>0</v>
      </c>
      <c r="N309" s="1">
        <v>2</v>
      </c>
      <c r="O309" s="1">
        <v>1</v>
      </c>
      <c r="P309" s="2">
        <f>P308*1.35</f>
        <v>18.225</v>
      </c>
      <c r="Q309" s="2">
        <v>0.29</v>
      </c>
      <c r="R309" s="1">
        <v>0.1</v>
      </c>
      <c r="S309" s="1">
        <v>200</v>
      </c>
      <c r="T309" s="1">
        <v>0</v>
      </c>
      <c r="U309" s="1">
        <v>19061</v>
      </c>
      <c r="V309" s="1">
        <v>0</v>
      </c>
      <c r="W309" s="1">
        <v>0</v>
      </c>
      <c r="X309" s="1">
        <v>0</v>
      </c>
      <c r="Y309" s="1">
        <v>0</v>
      </c>
      <c r="Z309" s="3" t="s">
        <v>421</v>
      </c>
    </row>
  </sheetData>
  <autoFilter xmlns:etc="http://www.wps.cn/officeDocument/2017/etCustomData" ref="A3:Z309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workbookViewId="0">
      <selection activeCell="J9" sqref="J9"/>
    </sheetView>
  </sheetViews>
  <sheetFormatPr defaultColWidth="9" defaultRowHeight="16.5"/>
  <cols>
    <col min="1" max="14" width="9" style="1"/>
    <col min="15" max="16" width="12.625" style="1"/>
    <col min="17" max="17" width="11.5" style="1"/>
    <col min="18" max="16384" width="9" style="1"/>
  </cols>
  <sheetData>
    <row r="1" spans="1:10">
      <c r="A1" s="1" t="s">
        <v>22</v>
      </c>
      <c r="F1" s="1" t="s">
        <v>36</v>
      </c>
    </row>
    <row r="2" spans="1:10">
      <c r="A2" s="1" t="s">
        <v>273</v>
      </c>
      <c r="B2" s="1">
        <v>10</v>
      </c>
      <c r="C2" s="1">
        <v>13.5</v>
      </c>
      <c r="D2" s="1">
        <f>C2/B2</f>
        <v>1.35</v>
      </c>
      <c r="F2" s="1" t="s">
        <v>273</v>
      </c>
      <c r="G2" s="1" t="s">
        <v>422</v>
      </c>
      <c r="H2" s="1" t="s">
        <v>423</v>
      </c>
    </row>
    <row r="3" spans="1:10">
      <c r="A3" s="1">
        <v>1</v>
      </c>
      <c r="B3" s="2">
        <v>10</v>
      </c>
      <c r="F3" s="1">
        <v>1</v>
      </c>
      <c r="G3" s="1">
        <v>22</v>
      </c>
      <c r="H3" s="1">
        <v>0.5</v>
      </c>
    </row>
    <row r="4" spans="1:10">
      <c r="A4" s="1">
        <v>2</v>
      </c>
      <c r="B4" s="2">
        <f t="shared" ref="B4:B11" si="0">B3*$D$2</f>
        <v>13.5</v>
      </c>
      <c r="F4" s="1">
        <v>2</v>
      </c>
      <c r="G4" s="1">
        <v>30.8</v>
      </c>
      <c r="H4" s="1">
        <v>0.63</v>
      </c>
      <c r="I4" s="1">
        <f>G4/G3</f>
        <v>1.4</v>
      </c>
      <c r="J4" s="1">
        <f>H4/H3</f>
        <v>1.26</v>
      </c>
    </row>
    <row r="5" spans="1:10">
      <c r="A5" s="1">
        <v>3</v>
      </c>
      <c r="B5" s="2">
        <f t="shared" si="0"/>
        <v>18.225</v>
      </c>
      <c r="F5" s="1">
        <v>3</v>
      </c>
      <c r="G5" s="1">
        <f>G4*I4</f>
        <v>43.12</v>
      </c>
      <c r="H5" s="2">
        <f>H4*J4</f>
        <v>0.7938</v>
      </c>
    </row>
    <row r="6" spans="1:10">
      <c r="A6" s="1">
        <v>4</v>
      </c>
      <c r="B6" s="2">
        <f t="shared" si="0"/>
        <v>24.60375</v>
      </c>
    </row>
    <row r="7" spans="1:10">
      <c r="A7" s="1">
        <v>5</v>
      </c>
      <c r="B7" s="2">
        <f t="shared" si="0"/>
        <v>33.2150625</v>
      </c>
    </row>
    <row r="8" spans="1:10">
      <c r="A8" s="1">
        <v>6</v>
      </c>
      <c r="B8" s="2">
        <f t="shared" si="0"/>
        <v>44.840334375</v>
      </c>
    </row>
    <row r="9" spans="1:10">
      <c r="A9" s="1">
        <v>7</v>
      </c>
      <c r="B9" s="2">
        <f t="shared" si="0"/>
        <v>60.53445140625</v>
      </c>
    </row>
    <row r="10" spans="1:10">
      <c r="A10" s="1">
        <v>8</v>
      </c>
      <c r="B10" s="2">
        <f t="shared" si="0"/>
        <v>81.7215093984375</v>
      </c>
    </row>
    <row r="11" spans="1:10">
      <c r="A11" s="1">
        <v>9</v>
      </c>
      <c r="B11" s="2">
        <f t="shared" si="0"/>
        <v>110.324037687891</v>
      </c>
    </row>
    <row r="27" spans="13:17">
      <c r="M27" s="1">
        <v>2</v>
      </c>
      <c r="N27" s="1">
        <v>0.67</v>
      </c>
    </row>
    <row r="28" spans="13:17">
      <c r="M28" s="1">
        <v>3.9</v>
      </c>
      <c r="N28" s="1">
        <v>0.75</v>
      </c>
      <c r="P28" s="2">
        <f>M28/M27</f>
        <v>1.95</v>
      </c>
      <c r="Q28" s="2">
        <f>N28/N27</f>
        <v>1.11940298507463</v>
      </c>
    </row>
    <row r="29" spans="13:17">
      <c r="M29" s="2">
        <f>M28*$P$28</f>
        <v>7.605</v>
      </c>
    </row>
    <row r="30" spans="13:17">
      <c r="M30" s="2">
        <f>M29*$P$28</f>
        <v>14.82975</v>
      </c>
    </row>
    <row r="33" spans="1:6">
      <c r="A33" s="3" t="s">
        <v>424</v>
      </c>
      <c r="F33" s="1">
        <v>10</v>
      </c>
    </row>
    <row r="52" spans="13:16">
      <c r="M52" s="1">
        <v>1</v>
      </c>
      <c r="N52" s="1">
        <v>0.31</v>
      </c>
    </row>
    <row r="53" spans="13:16">
      <c r="M53" s="1">
        <v>1.2</v>
      </c>
      <c r="N53" s="1">
        <v>0.38</v>
      </c>
      <c r="O53" s="1">
        <f>M53/M52</f>
        <v>1.2</v>
      </c>
      <c r="P53" s="2">
        <f>N53/N52</f>
        <v>1.2258064516129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CardShow</vt:lpstr>
      <vt:lpstr>策划表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看过=会，玩过=绝活，赢过=绝中绝</cp:lastModifiedBy>
  <dcterms:created xsi:type="dcterms:W3CDTF">2023-05-12T11:15:00Z</dcterms:created>
  <dcterms:modified xsi:type="dcterms:W3CDTF">2026-03-12T10:29:33Z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DBBC61A04B4947F885B5A405C755BF2A_12</vt:lpwstr>
  </property>
  <property fmtid="{D5CDD505-2E9C-101B-9397-08002B2CF9AE}" pid="4" name="CalculationRule">
    <vt:i4>0</vt:i4>
  </property>
</Properties>
</file>