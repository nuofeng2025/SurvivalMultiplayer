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75"/>
  </bookViews>
  <sheets>
    <sheet name="Creature" sheetId="1" r:id="rId1"/>
    <sheet name="Sheet2" sheetId="2" r:id="rId2"/>
    <sheet name="备份" sheetId="3" r:id="rId3"/>
    <sheet name="平衡计算" sheetId="4" r:id="rId4"/>
    <sheet name="Sheet1" sheetId="5" r:id="rId5"/>
    <sheet name="英雄数据" sheetId="8" r:id="rId6"/>
    <sheet name="士兵数据" sheetId="7" r:id="rId7"/>
    <sheet name="Sheet3" sheetId="9" r:id="rId8"/>
  </sheets>
  <definedNames>
    <definedName name="_xlnm._FilterDatabase" localSheetId="0" hidden="1">Creature!$A$3:$BD$86</definedName>
    <definedName name="_xlnm._FilterDatabase" localSheetId="2" hidden="1">备份!$A$3:$BC$73</definedName>
    <definedName name="_xlnm._FilterDatabase" localSheetId="6" hidden="1">士兵数据!$A$1:$Z$116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  <author>Administrator</author>
    <author>Admin</author>
    <author>作者</author>
  </authors>
  <commentList>
    <comment ref="A1" authorId="0">
      <text>
        <r>
          <rPr>
            <b/>
            <sz val="9"/>
            <rFont val="宋体"/>
            <charset val="134"/>
          </rPr>
          <t>英雄</t>
        </r>
        <r>
          <rPr>
            <sz val="9"/>
            <rFont val="宋体"/>
            <charset val="134"/>
          </rPr>
          <t xml:space="preserve">
万：品质
千：类型
百以下：ID
</t>
        </r>
        <r>
          <rPr>
            <b/>
            <sz val="9"/>
            <rFont val="宋体"/>
            <charset val="134"/>
          </rPr>
          <t xml:space="preserve">
士兵
十万类型
万：品阶
千以下：ID</t>
        </r>
      </text>
    </comment>
    <comment ref="C1" authorId="1">
      <text>
        <r>
          <rPr>
            <sz val="10"/>
            <rFont val="宋体"/>
            <charset val="134"/>
          </rPr>
          <t>1物理
2法术</t>
        </r>
      </text>
    </comment>
    <comment ref="D1" authorId="0">
      <text>
        <r>
          <rPr>
            <sz val="9"/>
            <rFont val="宋体"/>
            <charset val="134"/>
          </rPr>
          <t>1.英雄
2.士兵</t>
        </r>
      </text>
    </comment>
    <comment ref="E1" authorId="0">
      <text>
        <r>
          <rPr>
            <sz val="9"/>
            <rFont val="宋体"/>
            <charset val="134"/>
          </rPr>
          <t>1:500,2:200
1代表食物，2代表金矿</t>
        </r>
      </text>
    </comment>
    <comment ref="F1" authorId="0">
      <text>
        <r>
          <rPr>
            <sz val="9"/>
            <rFont val="宋体"/>
            <charset val="134"/>
          </rPr>
          <t>1步兵  2骑兵 3弓兵  4飞兵  5魔法 6神圣  7魔物  8野兽
克制：
步兵＞野兽＞骑兵＞步兵
弓兵＞飞兵＞魔法＞弓兵
神圣＞魔物
魔物属性越高</t>
        </r>
      </text>
    </comment>
    <comment ref="G1" authorId="0">
      <text>
        <r>
          <rPr>
            <sz val="9"/>
            <rFont val="宋体"/>
            <charset val="134"/>
          </rPr>
          <t>英雄默认为0</t>
        </r>
      </text>
    </comment>
    <comment ref="H1" authorId="2">
      <text>
        <r>
          <rPr>
            <sz val="9"/>
            <rFont val="宋体"/>
            <charset val="134"/>
          </rPr>
          <t>1 N
2 R
3 SR
4 SSR</t>
        </r>
      </text>
    </comment>
    <comment ref="J1" authorId="3">
      <text>
        <r>
          <rPr>
            <sz val="9"/>
            <rFont val="宋体"/>
            <charset val="134"/>
          </rPr>
          <t>作者:
3D模型的路径,文件命名与编号id对应</t>
        </r>
      </text>
    </comment>
    <comment ref="K1" authorId="3">
      <text>
        <r>
          <rPr>
            <sz val="9"/>
            <rFont val="宋体"/>
            <charset val="134"/>
          </rPr>
          <t>作者:
3D模型的路径,文件命名与编号id对应</t>
        </r>
      </text>
    </comment>
    <comment ref="O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实际显示和计算时，除以100
</t>
        </r>
      </text>
    </comment>
    <comment ref="Y1" authorId="1">
      <text>
        <r>
          <rPr>
            <sz val="9"/>
            <rFont val="宋体"/>
            <charset val="134"/>
          </rPr>
          <t>最小攻击距离为100（像素）</t>
        </r>
      </text>
    </comment>
    <comment ref="AD1" authorId="0">
      <text>
        <r>
          <rPr>
            <sz val="9"/>
            <rFont val="宋体"/>
            <charset val="134"/>
          </rPr>
          <t>最大为6星
R：初始1星天赋，填6组
SR：初始2星天赋，填5组
SSR：初始3星天赋，填4组
如：SR
2星|3星|4星|5星|6星</t>
        </r>
      </text>
    </comment>
    <comment ref="AF1" authorId="0">
      <text>
        <r>
          <rPr>
            <sz val="9"/>
            <rFont val="宋体"/>
            <charset val="134"/>
          </rPr>
          <t>重复获得英雄和合成英雄需要的碎片一样
道具ID:数量</t>
        </r>
      </text>
    </comment>
    <comment ref="AM1" authorId="1">
      <text>
        <r>
          <rPr>
            <sz val="10"/>
            <rFont val="宋体"/>
            <charset val="134"/>
          </rPr>
          <t>0无
1战士英雄
2法师英雄
3领袖英雄
11人族部队：攻守兼备
12森林部队：倾向魔抗
13兽族部队：魔法弱，武力强
14冰雪部队：魔法远程
15地狱部队：特性
16亡灵部队：不怕控制魔法，无法使用治疗
17龙族部队：
21城墙
22箭塔</t>
        </r>
      </text>
    </comment>
    <comment ref="AN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
1，飞兵
2，地面兵
</t>
        </r>
      </text>
    </comment>
    <comment ref="AQ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抽卡概率权重值
所有该类的数值相加</t>
        </r>
      </text>
    </comment>
    <comment ref="AR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统御值每个英雄固定
队伍有统御值上限，若编组英雄总统御值超过了部队统御值，则无法完成编组</t>
        </r>
      </text>
    </comment>
    <comment ref="AF2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NINGMEI:
道具ID:数量
</t>
        </r>
      </text>
    </comment>
    <comment ref="AH2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NINGMEI:
道具ID:数量
</t>
        </r>
      </text>
    </comment>
    <comment ref="L3" authorId="0">
      <text>
        <r>
          <rPr>
            <sz val="9"/>
            <rFont val="宋体"/>
            <charset val="134"/>
          </rPr>
          <t>进入英雄列表播放，有多个时随机播放</t>
        </r>
      </text>
    </comment>
    <comment ref="Z3" authorId="0">
      <text>
        <r>
          <rPr>
            <sz val="9"/>
            <rFont val="宋体"/>
            <charset val="134"/>
          </rPr>
          <t>英雄检测自动攻击的范围</t>
        </r>
      </text>
    </comment>
    <comment ref="AC3" authorId="0">
      <text>
        <r>
          <rPr>
            <sz val="9"/>
            <rFont val="宋体"/>
            <charset val="134"/>
          </rPr>
          <t>1.全体
2.地面
3.空中</t>
        </r>
      </text>
    </comment>
  </commentList>
</comments>
</file>

<file path=xl/comments2.xml><?xml version="1.0" encoding="utf-8"?>
<comments xmlns="http://schemas.openxmlformats.org/spreadsheetml/2006/main">
  <authors>
    <author>NINGMEI</author>
    <author>Administrator</author>
    <author>Admin</author>
    <author>作者</author>
  </authors>
  <commentList>
    <comment ref="A1" authorId="0">
      <text>
        <r>
          <rPr>
            <b/>
            <sz val="9"/>
            <rFont val="宋体"/>
            <charset val="134"/>
          </rPr>
          <t>英雄</t>
        </r>
        <r>
          <rPr>
            <sz val="9"/>
            <rFont val="宋体"/>
            <charset val="134"/>
          </rPr>
          <t xml:space="preserve">
万：品质
千：类型
百以下：ID
</t>
        </r>
        <r>
          <rPr>
            <b/>
            <sz val="9"/>
            <rFont val="宋体"/>
            <charset val="134"/>
          </rPr>
          <t xml:space="preserve">
士兵
十万类型
万：品阶
千以下：ID</t>
        </r>
      </text>
    </comment>
    <comment ref="C1" authorId="1">
      <text>
        <r>
          <rPr>
            <sz val="10"/>
            <rFont val="宋体"/>
            <charset val="134"/>
          </rPr>
          <t>1物理
2法术</t>
        </r>
      </text>
    </comment>
    <comment ref="D1" authorId="0">
      <text>
        <r>
          <rPr>
            <sz val="9"/>
            <rFont val="宋体"/>
            <charset val="134"/>
          </rPr>
          <t>1.英雄
2.士兵</t>
        </r>
      </text>
    </comment>
    <comment ref="E1" authorId="0">
      <text>
        <r>
          <rPr>
            <sz val="9"/>
            <rFont val="宋体"/>
            <charset val="134"/>
          </rPr>
          <t>1:500,2:200
1代表食物，2代表金矿</t>
        </r>
      </text>
    </comment>
    <comment ref="F1" authorId="0">
      <text>
        <r>
          <rPr>
            <sz val="9"/>
            <rFont val="宋体"/>
            <charset val="134"/>
          </rPr>
          <t>1步兵  2骑兵 3弓兵  4飞兵  5魔法 6神圣  7魔物  8野兽
克制：
步兵＞野兽＞骑兵＞步兵
弓兵＞飞兵＞魔法＞弓兵
神圣＞魔物
魔物属性越高</t>
        </r>
      </text>
    </comment>
    <comment ref="G1" authorId="0">
      <text>
        <r>
          <rPr>
            <sz val="9"/>
            <rFont val="宋体"/>
            <charset val="134"/>
          </rPr>
          <t>英雄默认为0</t>
        </r>
      </text>
    </comment>
    <comment ref="H1" authorId="2">
      <text>
        <r>
          <rPr>
            <sz val="9"/>
            <rFont val="宋体"/>
            <charset val="134"/>
          </rPr>
          <t>1 N
2 R
3 SR
4 SSR</t>
        </r>
      </text>
    </comment>
    <comment ref="J1" authorId="3">
      <text>
        <r>
          <rPr>
            <sz val="9"/>
            <rFont val="宋体"/>
            <charset val="134"/>
          </rPr>
          <t>作者:
3D模型的路径,文件命名与编号id对应</t>
        </r>
      </text>
    </comment>
    <comment ref="K1" authorId="3">
      <text>
        <r>
          <rPr>
            <sz val="9"/>
            <rFont val="宋体"/>
            <charset val="134"/>
          </rPr>
          <t>作者:
3D模型的路径,文件命名与编号id对应</t>
        </r>
      </text>
    </comment>
    <comment ref="O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实际显示和计算时，除以100
</t>
        </r>
      </text>
    </comment>
    <comment ref="Y1" authorId="1">
      <text>
        <r>
          <rPr>
            <sz val="9"/>
            <rFont val="宋体"/>
            <charset val="134"/>
          </rPr>
          <t>最小攻击距离为100（像素）</t>
        </r>
      </text>
    </comment>
    <comment ref="AD1" authorId="0">
      <text>
        <r>
          <rPr>
            <sz val="9"/>
            <rFont val="宋体"/>
            <charset val="134"/>
          </rPr>
          <t>最大为6星
R：初始1星天赋，填6组
SR：初始2星天赋，填5组
SSR：初始3星天赋，填4组
如：SR
2星|3星|4星|5星|6星</t>
        </r>
      </text>
    </comment>
    <comment ref="AF1" authorId="0">
      <text>
        <r>
          <rPr>
            <sz val="9"/>
            <rFont val="宋体"/>
            <charset val="134"/>
          </rPr>
          <t>重复获得英雄和合成英雄需要的碎片一样
道具ID:数量</t>
        </r>
      </text>
    </comment>
    <comment ref="AL1" authorId="1">
      <text>
        <r>
          <rPr>
            <sz val="10"/>
            <rFont val="宋体"/>
            <charset val="134"/>
          </rPr>
          <t>0无
1战士英雄
2法师英雄
3领袖英雄
11人族部队：攻守兼备
12森林部队：倾向魔抗
13兽族部队：魔法弱，武力强
14冰雪部队：魔法远程
15地狱部队：特性
16亡灵部队：不怕控制魔法，无法使用治疗
17龙族部队：
21城墙
22箭塔</t>
        </r>
      </text>
    </comment>
    <comment ref="AM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
1，飞兵
2，地面兵
</t>
        </r>
      </text>
    </comment>
    <comment ref="AP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抽卡概率权重值
所有该类的数值相加</t>
        </r>
      </text>
    </comment>
    <comment ref="AQ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统御值每个英雄固定
队伍有统御值上限，若编组英雄总统御值超过了部队统御值，则无法完成编组</t>
        </r>
      </text>
    </comment>
    <comment ref="AF2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NINGMEI:
道具ID:数量
</t>
        </r>
      </text>
    </comment>
    <comment ref="AH2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NINGMEI:
道具ID:数量
</t>
        </r>
      </text>
    </comment>
    <comment ref="L3" authorId="0">
      <text>
        <r>
          <rPr>
            <sz val="9"/>
            <rFont val="宋体"/>
            <charset val="134"/>
          </rPr>
          <t>进入英雄列表播放，有多个时随机播放</t>
        </r>
      </text>
    </comment>
    <comment ref="Z3" authorId="0">
      <text>
        <r>
          <rPr>
            <sz val="9"/>
            <rFont val="宋体"/>
            <charset val="134"/>
          </rPr>
          <t>英雄检测自动攻击的范围</t>
        </r>
      </text>
    </comment>
    <comment ref="AC3" authorId="0">
      <text>
        <r>
          <rPr>
            <sz val="9"/>
            <rFont val="宋体"/>
            <charset val="134"/>
          </rPr>
          <t>1.全体
2.地面
3.空中</t>
        </r>
      </text>
    </comment>
  </commentList>
</comments>
</file>

<file path=xl/comments3.xml><?xml version="1.0" encoding="utf-8"?>
<comments xmlns="http://schemas.openxmlformats.org/spreadsheetml/2006/main">
  <authors>
    <author>NINGMEI</author>
    <author>Administrator</author>
    <author>Admin</author>
  </authors>
  <commentList>
    <comment ref="A1" authorId="0">
      <text>
        <r>
          <rPr>
            <b/>
            <sz val="9"/>
            <rFont val="宋体"/>
            <charset val="134"/>
          </rPr>
          <t>英雄</t>
        </r>
        <r>
          <rPr>
            <sz val="9"/>
            <rFont val="宋体"/>
            <charset val="134"/>
          </rPr>
          <t xml:space="preserve">
万：品质
千：类型
百以下：ID
</t>
        </r>
        <r>
          <rPr>
            <b/>
            <sz val="9"/>
            <rFont val="宋体"/>
            <charset val="134"/>
          </rPr>
          <t xml:space="preserve">
士兵
十万类型
万：品阶
千以下：ID</t>
        </r>
      </text>
    </comment>
    <comment ref="C1" authorId="1">
      <text>
        <r>
          <rPr>
            <sz val="10"/>
            <rFont val="宋体"/>
            <charset val="134"/>
          </rPr>
          <t>1物理
2法术</t>
        </r>
      </text>
    </comment>
    <comment ref="D1" authorId="0">
      <text>
        <r>
          <rPr>
            <sz val="9"/>
            <rFont val="宋体"/>
            <charset val="134"/>
          </rPr>
          <t>1步兵  2骑兵 3弓兵  4飞兵  5魔法 6神圣  7魔物  8野兽
克制：
步兵＞野兽＞骑兵＞步兵
弓兵＞飞兵＞魔法＞弓兵
神圣＞魔物
魔物属性越高</t>
        </r>
      </text>
    </comment>
    <comment ref="E1" authorId="2">
      <text>
        <r>
          <rPr>
            <sz val="9"/>
            <rFont val="宋体"/>
            <charset val="134"/>
          </rPr>
          <t>1 N
2 R
3 SR
4 SSR</t>
        </r>
      </text>
    </comment>
    <comment ref="L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实际显示和计算时，除以100
</t>
        </r>
      </text>
    </comment>
  </commentList>
</comments>
</file>

<file path=xl/comments4.xml><?xml version="1.0" encoding="utf-8"?>
<comments xmlns="http://schemas.openxmlformats.org/spreadsheetml/2006/main">
  <authors>
    <author>NINGMEI</author>
  </authors>
  <commentList>
    <comment ref="X1" authorId="0">
      <text>
        <r>
          <rPr>
            <sz val="9"/>
            <rFont val="宋体"/>
            <charset val="134"/>
          </rPr>
          <t>英雄检测自动攻击的范围</t>
        </r>
      </text>
    </comment>
  </commentList>
</comments>
</file>

<file path=xl/sharedStrings.xml><?xml version="1.0" encoding="utf-8"?>
<sst xmlns="http://schemas.openxmlformats.org/spreadsheetml/2006/main" count="2573" uniqueCount="830">
  <si>
    <t>ID</t>
  </si>
  <si>
    <t>Name</t>
  </si>
  <si>
    <t>Camp</t>
  </si>
  <si>
    <t>Type</t>
  </si>
  <si>
    <t>Cost</t>
  </si>
  <si>
    <t>Career</t>
  </si>
  <si>
    <t>SoldierLv</t>
  </si>
  <si>
    <t>Quality</t>
  </si>
  <si>
    <t>Star</t>
  </si>
  <si>
    <t>Icon</t>
  </si>
  <si>
    <t>Icon1</t>
  </si>
  <si>
    <t>Audio</t>
  </si>
  <si>
    <t>HP</t>
  </si>
  <si>
    <t>UpHP</t>
  </si>
  <si>
    <t>Atk</t>
  </si>
  <si>
    <t>UpAtk</t>
  </si>
  <si>
    <t>Def</t>
  </si>
  <si>
    <t>UpDef</t>
  </si>
  <si>
    <t>Ap</t>
  </si>
  <si>
    <t>UpAp</t>
  </si>
  <si>
    <t>Mdef</t>
  </si>
  <si>
    <t>UpMdef</t>
  </si>
  <si>
    <t>Dex</t>
  </si>
  <si>
    <t>UpDex</t>
  </si>
  <si>
    <t>Range</t>
  </si>
  <si>
    <t>Warn</t>
  </si>
  <si>
    <t>Move</t>
  </si>
  <si>
    <t>AtkCd</t>
  </si>
  <si>
    <t>AtkGoal</t>
  </si>
  <si>
    <t>Talent</t>
  </si>
  <si>
    <t>InitCareer</t>
  </si>
  <si>
    <t>Synthesis</t>
  </si>
  <si>
    <t>Show</t>
  </si>
  <si>
    <t>SoldierShow</t>
  </si>
  <si>
    <t>SplashTalk</t>
  </si>
  <si>
    <t>Amplify1</t>
  </si>
  <si>
    <t>Amplify2</t>
  </si>
  <si>
    <t>Add</t>
  </si>
  <si>
    <t>FlyOrLand</t>
  </si>
  <si>
    <t>LockLv</t>
  </si>
  <si>
    <t>Shop</t>
  </si>
  <si>
    <t>Persent</t>
  </si>
  <si>
    <t>Leader</t>
  </si>
  <si>
    <t>UpLeader</t>
  </si>
  <si>
    <t>Skill</t>
  </si>
  <si>
    <t>Mp</t>
  </si>
  <si>
    <t>UpMp</t>
  </si>
  <si>
    <t>int</t>
  </si>
  <si>
    <t>string</t>
  </si>
  <si>
    <t>float</t>
  </si>
  <si>
    <t>id</t>
  </si>
  <si>
    <t>名字</t>
  </si>
  <si>
    <t>种族</t>
  </si>
  <si>
    <t>类型1</t>
  </si>
  <si>
    <t>花费</t>
  </si>
  <si>
    <t>初始职业</t>
  </si>
  <si>
    <t>士兵等级</t>
  </si>
  <si>
    <t>品质（D-SSS）</t>
  </si>
  <si>
    <t>初始星级</t>
  </si>
  <si>
    <t>模型</t>
  </si>
  <si>
    <t>图标</t>
  </si>
  <si>
    <t>配音资源</t>
  </si>
  <si>
    <t>生命值</t>
  </si>
  <si>
    <t>生命值成长</t>
  </si>
  <si>
    <t>攻击</t>
  </si>
  <si>
    <t>攻击每级成长值</t>
  </si>
  <si>
    <t>防御</t>
  </si>
  <si>
    <t>防御每级成长值</t>
  </si>
  <si>
    <t>魔力</t>
  </si>
  <si>
    <t>魔力每级成长值</t>
  </si>
  <si>
    <t>魔防</t>
  </si>
  <si>
    <t>魔防值每级成长值</t>
  </si>
  <si>
    <t>技巧</t>
  </si>
  <si>
    <t>技巧加成</t>
  </si>
  <si>
    <t>攻击距离</t>
  </si>
  <si>
    <t>警戒范围</t>
  </si>
  <si>
    <t>移速</t>
  </si>
  <si>
    <t>攻击间隔/8</t>
  </si>
  <si>
    <t>攻击目标</t>
  </si>
  <si>
    <t>携带天赋</t>
  </si>
  <si>
    <t>重复获得和合成</t>
  </si>
  <si>
    <t>分解道具碎片展示</t>
  </si>
  <si>
    <t>兵种展示</t>
  </si>
  <si>
    <t>boss闪屏的话</t>
  </si>
  <si>
    <t>查看界面放大</t>
  </si>
  <si>
    <t>地图模型放大</t>
  </si>
  <si>
    <t>战斗战力</t>
  </si>
  <si>
    <t>类型0地面1飞兵</t>
  </si>
  <si>
    <t>解锁章节</t>
  </si>
  <si>
    <t>购买价格</t>
  </si>
  <si>
    <t>抽卡概率权重值</t>
  </si>
  <si>
    <t>英雄领导力</t>
  </si>
  <si>
    <t>领导力成长</t>
  </si>
  <si>
    <t>技能</t>
  </si>
  <si>
    <t>魔法值</t>
  </si>
  <si>
    <t>魔法值每级成长值</t>
  </si>
  <si>
    <t>玛伦</t>
  </si>
  <si>
    <t>1:300</t>
  </si>
  <si>
    <t>1</t>
  </si>
  <si>
    <t>Mahlon.1</t>
  </si>
  <si>
    <t>110011|110012|110013|110014|110010|110016|110017</t>
  </si>
  <si>
    <t>101001:5</t>
  </si>
  <si>
    <t>111002:121001:131001:141001:151001:161002</t>
  </si>
  <si>
    <t>2500</t>
  </si>
  <si>
    <t>514+1|0+0|516+0|-1+0|701+0|-1+0|174+0|-1+0|801+0</t>
  </si>
  <si>
    <t>克莱斯</t>
  </si>
  <si>
    <t>2</t>
  </si>
  <si>
    <t>Kress.1</t>
  </si>
  <si>
    <t>110021|110015|110023|110024|110025|110026|110027</t>
  </si>
  <si>
    <t>102001:5</t>
  </si>
  <si>
    <t>811001:821001:731001:241001:251001:161001</t>
  </si>
  <si>
    <t>3000</t>
  </si>
  <si>
    <t>560+1|0+0|903+0|-1+0|704+0|-1+0|179+0|-1+0|804+0</t>
  </si>
  <si>
    <t>艾丝琳</t>
  </si>
  <si>
    <t>3</t>
  </si>
  <si>
    <t>Eileen.1</t>
  </si>
  <si>
    <t>110031|110032|110033|110034|110035|110036|110037</t>
  </si>
  <si>
    <t>103001:5</t>
  </si>
  <si>
    <t>111002:321001:331001:341001:351001:361001</t>
  </si>
  <si>
    <t>510+1|0+0|503+0|-1+0|703+0|-1+0|174+0|-1+0|803+0</t>
  </si>
  <si>
    <t>克莱亚</t>
  </si>
  <si>
    <t>4</t>
  </si>
  <si>
    <t>Lela.1</t>
  </si>
  <si>
    <t>110041|110042|110043|110044|110045|110046|110047</t>
  </si>
  <si>
    <t>104001:5</t>
  </si>
  <si>
    <t>411001:121001:431001:441001:451001:461001</t>
  </si>
  <si>
    <t>505+1|0+0|511+0|-1+0|702+0|-1+0|175+0|-1+0|802+0</t>
  </si>
  <si>
    <t>法拉</t>
  </si>
  <si>
    <t>5</t>
  </si>
  <si>
    <t>Farad.1</t>
  </si>
  <si>
    <t>110051|110052|110053|110054|110055|110056|110057</t>
  </si>
  <si>
    <t>105001:5</t>
  </si>
  <si>
    <t>111001:521001:531001:541001:351001:561001</t>
  </si>
  <si>
    <t>529+1|0+0|530+0|-1+0|705+0|-1+0|179+0|-1+0|805+0</t>
  </si>
  <si>
    <t>米娜</t>
  </si>
  <si>
    <t>6</t>
  </si>
  <si>
    <t>Mina.1</t>
  </si>
  <si>
    <t>110061|110062|110063|110064|110065|110066|110067</t>
  </si>
  <si>
    <t>106001:5</t>
  </si>
  <si>
    <t>111001:621001:631001:641001:651001:661001</t>
  </si>
  <si>
    <t>523+1|0+0|572+0|-1+0|706+0|-1+0|176+0|-1+0|806+0</t>
  </si>
  <si>
    <t>迈森</t>
  </si>
  <si>
    <t>1:400</t>
  </si>
  <si>
    <t>Meissen.1</t>
  </si>
  <si>
    <t>120011|120012|120013|120014|120015|120016|120017</t>
  </si>
  <si>
    <t>201001:20</t>
  </si>
  <si>
    <t>111002:121001:131001:341002:151001:161002</t>
  </si>
  <si>
    <t>509+1|0+0|901+0|-1+0|709+0|-1+0|177+0|-1+0|809+0</t>
  </si>
  <si>
    <t>格莱</t>
  </si>
  <si>
    <t>Glay.1</t>
  </si>
  <si>
    <t>120021|120022|120023|120024|120025|120026|120027</t>
  </si>
  <si>
    <t>202001:20</t>
  </si>
  <si>
    <t>111002:221001:231001:341002:151001:261001</t>
  </si>
  <si>
    <t>507+1|0+0|549+0|-1+0|710+0|-1+0|174+0|-1+0|810+0</t>
  </si>
  <si>
    <t>蒂亚</t>
  </si>
  <si>
    <t>Tia.1</t>
  </si>
  <si>
    <t>120031|120032|120033|120034|120035|120036|120037</t>
  </si>
  <si>
    <t>111002:321001:331001:341002:351001:361001</t>
  </si>
  <si>
    <t>569+1|0+0|162+0|-1+0|711+0|-1+0|175+0|-1+0|811+0</t>
  </si>
  <si>
    <t>卡秋雅</t>
  </si>
  <si>
    <t>Kachuya.1</t>
  </si>
  <si>
    <t>120041|120042|120043|120044|120045|120046|120047</t>
  </si>
  <si>
    <t>204001:20</t>
  </si>
  <si>
    <t>411001:221001:431001:441001:451001:461002</t>
  </si>
  <si>
    <t>570+1|0+0|517+0|-1+0|712+0|-1+0|179+0|-1+0|812+0</t>
  </si>
  <si>
    <t>索尼娅</t>
  </si>
  <si>
    <t>Sonia.1</t>
  </si>
  <si>
    <t>120051|120052|120053|120054|120055|120056|120057</t>
  </si>
  <si>
    <t>205001:20</t>
  </si>
  <si>
    <t>111002:521001:531002:541001:151001:561001</t>
  </si>
  <si>
    <t>567+1|0+0|568+0|-1+0|713+0|-1+0|178+0|-1+0|813+0</t>
  </si>
  <si>
    <t>莱恩</t>
  </si>
  <si>
    <t>Ryan.1</t>
  </si>
  <si>
    <t>120061|120062|120063|120064|120065|120066|120067</t>
  </si>
  <si>
    <t>206001:20</t>
  </si>
  <si>
    <t>111002:621001:631001:641002:651001:661001</t>
  </si>
  <si>
    <t>565+1|0+0|566+0|-1+0|714+0|-1+0|178+0|-1+0|814+0</t>
  </si>
  <si>
    <t>姆多</t>
  </si>
  <si>
    <t>8</t>
  </si>
  <si>
    <t>Mudo.1</t>
  </si>
  <si>
    <t>120071|120072|120073|120074|120075|120076|120077</t>
  </si>
  <si>
    <t>208001:20</t>
  </si>
  <si>
    <t>711001:721001:831001:741002:751001:161001</t>
  </si>
  <si>
    <t>亚瑟</t>
  </si>
  <si>
    <t>1:500</t>
  </si>
  <si>
    <t>Arthur.1</t>
  </si>
  <si>
    <t>1300011|1300012|1300013|1300014|1300015|1300016|1300017</t>
  </si>
  <si>
    <t>301001:60</t>
  </si>
  <si>
    <t>111002:221001:231001:141002:351001:261001:161002</t>
  </si>
  <si>
    <t>506+1|0+0|564+0|-1+0|710+0|-1+0|176+0|-1+0|810+0</t>
  </si>
  <si>
    <t>罗宾</t>
  </si>
  <si>
    <t>Robin.1</t>
  </si>
  <si>
    <t>1300031|1300032|1300033|1300034|1300035|1300036|1300037</t>
  </si>
  <si>
    <t>302001:60</t>
  </si>
  <si>
    <t>111002:321001:331001:341002:751002:361001:361002</t>
  </si>
  <si>
    <t>562+1|0+0|563+0|-1+0|716+0|-1+0|175+0|-1+0|816+0</t>
  </si>
  <si>
    <t>贝尔</t>
  </si>
  <si>
    <t>Bel.1</t>
  </si>
  <si>
    <t>1300051|1300052|1300053|1300054|1300055|1300056|1300057</t>
  </si>
  <si>
    <t>304001:60</t>
  </si>
  <si>
    <t>411001:221001:431001:741003:451001:761002:861001</t>
  </si>
  <si>
    <t>908+1|0+0|573+0|-1+0|707+0|-1+0|177+0|-1+0|818+0</t>
  </si>
  <si>
    <t>卢修斯</t>
  </si>
  <si>
    <t>Lucius.1</t>
  </si>
  <si>
    <t>1300061|1300062|1300063|1300064|1300065|1300066|1300067</t>
  </si>
  <si>
    <t>305001:60</t>
  </si>
  <si>
    <t>711001:721002:731002:741001:651002:761001:861002</t>
  </si>
  <si>
    <t>512+1|0+0|574+0|-1+0|702+0|-1+0|175+0|-1+0|819+0</t>
  </si>
  <si>
    <t>莉斯</t>
  </si>
  <si>
    <t>Liz.1</t>
  </si>
  <si>
    <t>1300071|1300072|1300073|1300074|1300075|1300076|1300077</t>
  </si>
  <si>
    <t>306001:60</t>
  </si>
  <si>
    <t>111002:621001:631001:641002:651001:661001:561001</t>
  </si>
  <si>
    <t>501+1|0+0|107+0|-1+0|706+0|-1+0|176+0|-1+0|817+0</t>
  </si>
  <si>
    <t>步兵</t>
  </si>
  <si>
    <t>1:70</t>
  </si>
  <si>
    <t>bubing01_Lv1</t>
  </si>
  <si>
    <t>70011|71011</t>
  </si>
  <si>
    <t>看我手中的长矛可会放过你。</t>
  </si>
  <si>
    <t>553+1|105+1</t>
  </si>
  <si>
    <t>枪兵</t>
  </si>
  <si>
    <t>1:80</t>
  </si>
  <si>
    <t>bubing02_Lv2</t>
  </si>
  <si>
    <t>70021|71021|90321</t>
  </si>
  <si>
    <t>553+1|172+1</t>
  </si>
  <si>
    <t>重装步兵</t>
  </si>
  <si>
    <t>1:120</t>
  </si>
  <si>
    <t>bubing01_Lv2</t>
  </si>
  <si>
    <t>70031|71031</t>
  </si>
  <si>
    <t>箭雨射击快。</t>
  </si>
  <si>
    <t>重装枪兵</t>
  </si>
  <si>
    <t>1:130,2:80</t>
  </si>
  <si>
    <t>bubing02_Lv1</t>
  </si>
  <si>
    <t>70041|71041|90321</t>
  </si>
  <si>
    <t>皇室近卫</t>
  </si>
  <si>
    <t>1:160,2:120</t>
  </si>
  <si>
    <t>bubing01_Lv3</t>
  </si>
  <si>
    <t>70051|71051|72051</t>
  </si>
  <si>
    <t>我的火球可不是吃素的。</t>
  </si>
  <si>
    <t>禁卫</t>
  </si>
  <si>
    <t>1:150,2:110</t>
  </si>
  <si>
    <t>bubing04_Lv3</t>
  </si>
  <si>
    <t>70061|71061|72061</t>
  </si>
  <si>
    <t>哇哇哇哇！</t>
  </si>
  <si>
    <t>将军</t>
  </si>
  <si>
    <t>1:180,2:150</t>
  </si>
  <si>
    <t>bubing02_Lv3</t>
  </si>
  <si>
    <t>70071|71071|72071</t>
  </si>
  <si>
    <t>尝尝我手中的剑。</t>
  </si>
  <si>
    <t>比蒙巨兽</t>
  </si>
  <si>
    <t>1:250,2:230</t>
  </si>
  <si>
    <t>bubing03_Lv3</t>
  </si>
  <si>
    <t>70081|71081|72081</t>
  </si>
  <si>
    <t>炮火覆盖，真理只在我的大炮射程内。</t>
  </si>
  <si>
    <t>天使</t>
  </si>
  <si>
    <t>1:400,2:380</t>
  </si>
  <si>
    <t>bubing05_Lv3</t>
  </si>
  <si>
    <t>骑兵</t>
  </si>
  <si>
    <t>1:180</t>
  </si>
  <si>
    <t>qibing01_Lv1</t>
  </si>
  <si>
    <t>70091|71091</t>
  </si>
  <si>
    <t>随我冲锋，粉碎敌军的攻击。</t>
  </si>
  <si>
    <t>精锐骑士</t>
  </si>
  <si>
    <t>1:200,2:150</t>
  </si>
  <si>
    <t>qibing01_Lv2</t>
  </si>
  <si>
    <t>70101|71101</t>
  </si>
  <si>
    <t>让你尝尝我法术的味道。</t>
  </si>
  <si>
    <t>野蛮骑士</t>
  </si>
  <si>
    <t>1:220,2:180</t>
  </si>
  <si>
    <t>qibing02_Lv3</t>
  </si>
  <si>
    <t>70111|71111|72111</t>
  </si>
  <si>
    <t>斗牛士</t>
  </si>
  <si>
    <t>1:250,2:220</t>
  </si>
  <si>
    <t>qibing03_Lv3</t>
  </si>
  <si>
    <t>70121|71121|72121</t>
  </si>
  <si>
    <t>矮人狼骑</t>
  </si>
  <si>
    <t>qibing04_Lv3</t>
  </si>
  <si>
    <t>70131|71131|72131</t>
  </si>
  <si>
    <t>皇家骑士</t>
  </si>
  <si>
    <t>1:300,2:280</t>
  </si>
  <si>
    <t>qibing01_Lv3</t>
  </si>
  <si>
    <t>弓箭手</t>
  </si>
  <si>
    <t>gongbing01_Lv1</t>
  </si>
  <si>
    <t>70141|71141|90311</t>
  </si>
  <si>
    <t>精锐射手</t>
  </si>
  <si>
    <t>1:150,2:100</t>
  </si>
  <si>
    <t>gongbing01_Lv2</t>
  </si>
  <si>
    <t>70151|71151|90311</t>
  </si>
  <si>
    <t>弩车</t>
  </si>
  <si>
    <t>1:180,2:130</t>
  </si>
  <si>
    <t>gongbing04_Lv3</t>
  </si>
  <si>
    <t>70161|71161|72161</t>
  </si>
  <si>
    <t>皇家射手</t>
  </si>
  <si>
    <t>1:180,2:140</t>
  </si>
  <si>
    <t>gongbing01_Lv3</t>
  </si>
  <si>
    <t>70171|71171|72171</t>
  </si>
  <si>
    <t>炮车</t>
  </si>
  <si>
    <t>1:210,2:170</t>
  </si>
  <si>
    <t>gongbing05_Lv3</t>
  </si>
  <si>
    <t>70181|71181|72181</t>
  </si>
  <si>
    <t>恐龙猎手</t>
  </si>
  <si>
    <t>1:210,2:180</t>
  </si>
  <si>
    <t>gongbing02_Lv3</t>
  </si>
  <si>
    <t>投石车</t>
  </si>
  <si>
    <t>gongbing06_Lv3</t>
  </si>
  <si>
    <t>影</t>
  </si>
  <si>
    <t>gongbing03_Lv3</t>
  </si>
  <si>
    <t>独眼巨人</t>
  </si>
  <si>
    <t>gongbing07_Lv3</t>
  </si>
  <si>
    <t>蝙蝠</t>
  </si>
  <si>
    <t>1:150</t>
  </si>
  <si>
    <t>feibing01_Lv1</t>
  </si>
  <si>
    <t>70191|71191</t>
  </si>
  <si>
    <t>翼龙骑士</t>
  </si>
  <si>
    <t>feibing01_Lv2</t>
  </si>
  <si>
    <t>70201|71201</t>
  </si>
  <si>
    <t>讯翼龙骑士</t>
  </si>
  <si>
    <t>feibing01_Lv3</t>
  </si>
  <si>
    <t>70211|71211</t>
  </si>
  <si>
    <t>狮鹫骑士</t>
  </si>
  <si>
    <t>1:240,2:210</t>
  </si>
  <si>
    <t>feibing02_Lv3</t>
  </si>
  <si>
    <t>70221|71221|72221</t>
  </si>
  <si>
    <t>圣狮鹫骑士</t>
  </si>
  <si>
    <t>1:270,2:250</t>
  </si>
  <si>
    <t>feibing03_Lv3</t>
  </si>
  <si>
    <t>70231|71231|72231</t>
  </si>
  <si>
    <t>凤凰</t>
  </si>
  <si>
    <t>1:320,2:300</t>
  </si>
  <si>
    <t>feibing04_Lv3</t>
  </si>
  <si>
    <t>魔导士</t>
  </si>
  <si>
    <t>1:140</t>
  </si>
  <si>
    <t>fashi01_Lv1</t>
  </si>
  <si>
    <t>70241|71241</t>
  </si>
  <si>
    <t>魔导师</t>
  </si>
  <si>
    <t>1:170,2:120</t>
  </si>
  <si>
    <t>fashi01_Lv2</t>
  </si>
  <si>
    <t>70251|71251</t>
  </si>
  <si>
    <t>修士</t>
  </si>
  <si>
    <t>1:175,2:125</t>
  </si>
  <si>
    <t>fashi03_Lv3</t>
  </si>
  <si>
    <t>70261|71261|72261</t>
  </si>
  <si>
    <t>大魔法师</t>
  </si>
  <si>
    <t>1:200,2:160</t>
  </si>
  <si>
    <t>fashi01_Lv3</t>
  </si>
  <si>
    <t>70271|71271|72271</t>
  </si>
  <si>
    <t>烈焰之灵</t>
  </si>
  <si>
    <t>1:230,2:200</t>
  </si>
  <si>
    <t>fashi02_Lv3</t>
  </si>
  <si>
    <t>70281|71281|72281</t>
  </si>
  <si>
    <t>泰坦</t>
  </si>
  <si>
    <t>1:360,2:340</t>
  </si>
  <si>
    <t>fashi05_Lv3</t>
  </si>
  <si>
    <t>神官</t>
  </si>
  <si>
    <t>mushi01_Lv1</t>
  </si>
  <si>
    <t>祭祀</t>
  </si>
  <si>
    <t>mushi01_Lv2</t>
  </si>
  <si>
    <t>70291|71291</t>
  </si>
  <si>
    <t>大祭司</t>
  </si>
  <si>
    <t>mushi01_Lv3</t>
  </si>
  <si>
    <t>70301|71301</t>
  </si>
  <si>
    <t>颂祷者</t>
  </si>
  <si>
    <t>mushi02_Lv3</t>
  </si>
  <si>
    <t>70311|71311|72311</t>
  </si>
  <si>
    <t>大神官</t>
  </si>
  <si>
    <t>mushi03_Lv3</t>
  </si>
  <si>
    <t>70321|71321|72321</t>
  </si>
  <si>
    <t>巫咒师</t>
  </si>
  <si>
    <t>mushi02_Lv2</t>
  </si>
  <si>
    <t>70331|71331|72331</t>
  </si>
  <si>
    <t>圣光祭司</t>
  </si>
  <si>
    <t>1:240,2:220</t>
  </si>
  <si>
    <t>mushi04_Lv3</t>
  </si>
  <si>
    <t>骷髅兵</t>
  </si>
  <si>
    <t>1:100</t>
  </si>
  <si>
    <t>moshou01_Lv1</t>
  </si>
  <si>
    <t>70341|71341|90331</t>
  </si>
  <si>
    <t>骷髅勇士</t>
  </si>
  <si>
    <t>1:130</t>
  </si>
  <si>
    <t>moshou01_Lv2</t>
  </si>
  <si>
    <t>丧尸</t>
  </si>
  <si>
    <t>1:150,2:0</t>
  </si>
  <si>
    <t>moshou02_Lv2</t>
  </si>
  <si>
    <t>70351|71351</t>
  </si>
  <si>
    <t>半人马骑士</t>
  </si>
  <si>
    <t>1:160,2:110</t>
  </si>
  <si>
    <t>moshou01_Lv3</t>
  </si>
  <si>
    <t>70361|71361|72361</t>
  </si>
  <si>
    <t>石巨人</t>
  </si>
  <si>
    <t>moshou05_Lv3</t>
  </si>
  <si>
    <t>70371|71371|72371</t>
  </si>
  <si>
    <t>死灵法师</t>
  </si>
  <si>
    <t>1:190,2:150</t>
  </si>
  <si>
    <t>moshou03_Lv3</t>
  </si>
  <si>
    <t>70381|71381|72381</t>
  </si>
  <si>
    <t>灵巨人</t>
  </si>
  <si>
    <t>moshou04_Lv3</t>
  </si>
  <si>
    <t>吸血鬼</t>
  </si>
  <si>
    <t>moshou01_Lv4</t>
  </si>
  <si>
    <t>暗黑剑士</t>
  </si>
  <si>
    <t>moshou02_Lv3</t>
  </si>
  <si>
    <t>死灵领主</t>
  </si>
  <si>
    <t>moshou06_Lv3</t>
  </si>
  <si>
    <t>大恶魔</t>
  </si>
  <si>
    <t>1:390,2:370</t>
  </si>
  <si>
    <t>moshou07_Lv3</t>
  </si>
  <si>
    <t>骨龙</t>
  </si>
  <si>
    <t>moshou08_Lv3</t>
  </si>
  <si>
    <t>狼战士</t>
  </si>
  <si>
    <t>1:170</t>
  </si>
  <si>
    <t>yeshou01_lv1</t>
  </si>
  <si>
    <t>战狼</t>
  </si>
  <si>
    <t>1:200</t>
  </si>
  <si>
    <t>yeshou01_lv2</t>
  </si>
  <si>
    <t>70391|71391</t>
  </si>
  <si>
    <t>狼人统领</t>
  </si>
  <si>
    <t>1:230,2:180</t>
  </si>
  <si>
    <t>yeshou01_lv3</t>
  </si>
  <si>
    <t>70401|71401</t>
  </si>
  <si>
    <t>饿狼猎手</t>
  </si>
  <si>
    <t>1:260,2:220</t>
  </si>
  <si>
    <t>yeshou02_lv3</t>
  </si>
  <si>
    <t>70411|71411|72411</t>
  </si>
  <si>
    <t>雪原巨人</t>
  </si>
  <si>
    <t>1:270,2:240</t>
  </si>
  <si>
    <t>yeshou03_lv3</t>
  </si>
  <si>
    <t>70421|71421|72421</t>
  </si>
  <si>
    <t>黑龙</t>
  </si>
  <si>
    <t>yeshou04_lv3</t>
  </si>
  <si>
    <t>70431|71431|72431</t>
  </si>
  <si>
    <t>翡翠龙</t>
  </si>
  <si>
    <t>1:380,2:360</t>
  </si>
  <si>
    <t>yeshou05_lv3</t>
  </si>
  <si>
    <t>骷髅射手-召唤</t>
  </si>
  <si>
    <t>7</t>
  </si>
  <si>
    <t>monster013</t>
  </si>
  <si>
    <t>大熊-召唤</t>
  </si>
  <si>
    <t>daxiong_1</t>
  </si>
  <si>
    <t>小熊-召唤</t>
  </si>
  <si>
    <t>xiaoxiong_1</t>
  </si>
  <si>
    <t>人族</t>
  </si>
  <si>
    <t>森林</t>
  </si>
  <si>
    <t>兽族</t>
  </si>
  <si>
    <t>长矛战士</t>
  </si>
  <si>
    <t>金色长矛</t>
  </si>
  <si>
    <t>冠军长矛</t>
  </si>
  <si>
    <t>Footman_Blue</t>
  </si>
  <si>
    <t>森林狼</t>
  </si>
  <si>
    <t>精英狼</t>
  </si>
  <si>
    <t>远古狼</t>
  </si>
  <si>
    <t>Forest Wolf</t>
  </si>
  <si>
    <t>兽族斧兵</t>
  </si>
  <si>
    <t>精英斧兵</t>
  </si>
  <si>
    <t>狂战斧兵</t>
  </si>
  <si>
    <t>Berserker_Red</t>
  </si>
  <si>
    <t>金色射手</t>
  </si>
  <si>
    <t>冠军射手</t>
  </si>
  <si>
    <t>Archer_Blue</t>
  </si>
  <si>
    <t>胖刺蘑菇</t>
  </si>
  <si>
    <t>剧毒蘑菇</t>
  </si>
  <si>
    <t>蘑菇王</t>
  </si>
  <si>
    <t>Evil Mushroom</t>
  </si>
  <si>
    <t>兽族火枪</t>
  </si>
  <si>
    <t>精英火枪</t>
  </si>
  <si>
    <t>毁灭火枪</t>
  </si>
  <si>
    <t>HeadHunter_Red</t>
  </si>
  <si>
    <t>人族女王</t>
  </si>
  <si>
    <t>火球法师</t>
  </si>
  <si>
    <t>红袍法师</t>
  </si>
  <si>
    <t>炎法师</t>
  </si>
  <si>
    <t>Mage_Blue</t>
  </si>
  <si>
    <t>花精灵</t>
  </si>
  <si>
    <t>高级精灵</t>
  </si>
  <si>
    <t>仙女精灵</t>
  </si>
  <si>
    <t>Nymph Fairy</t>
  </si>
  <si>
    <t>兽族雷法</t>
  </si>
  <si>
    <t>火红雷法</t>
  </si>
  <si>
    <t>先知雷法</t>
  </si>
  <si>
    <t>Warlock_Red</t>
  </si>
  <si>
    <t>兽人英雄</t>
  </si>
  <si>
    <t>狮鹫</t>
  </si>
  <si>
    <t>精英狮鹫</t>
  </si>
  <si>
    <t>王国狮鹫</t>
  </si>
  <si>
    <t>Griffin_Blue</t>
  </si>
  <si>
    <t>石头人</t>
  </si>
  <si>
    <t>铁壁石头</t>
  </si>
  <si>
    <t>守护者</t>
  </si>
  <si>
    <t>Forest Golem</t>
  </si>
  <si>
    <t>兽族猎手</t>
  </si>
  <si>
    <t>兽族屠夫</t>
  </si>
  <si>
    <t>兽族魔将</t>
  </si>
  <si>
    <t>Grunt_Red</t>
  </si>
  <si>
    <t>幻境女王</t>
  </si>
  <si>
    <t>重战士</t>
  </si>
  <si>
    <t>钢铁重战</t>
  </si>
  <si>
    <t>王国重战</t>
  </si>
  <si>
    <t>Knight_Blue</t>
  </si>
  <si>
    <t>森林巨人</t>
  </si>
  <si>
    <t>森林主</t>
  </si>
  <si>
    <t>大地之神</t>
  </si>
  <si>
    <t>Treant Guard</t>
  </si>
  <si>
    <t>猪骑兵</t>
  </si>
  <si>
    <t>猛猪骑兵</t>
  </si>
  <si>
    <t>兽族战骑</t>
  </si>
  <si>
    <t>HogRider_Red</t>
  </si>
  <si>
    <t>冰雪女王</t>
  </si>
  <si>
    <t>人族坦克</t>
  </si>
  <si>
    <t>精英坦克</t>
  </si>
  <si>
    <t>皇家坦克</t>
  </si>
  <si>
    <t>SiegeEngine_Blue</t>
  </si>
  <si>
    <t>五头龙</t>
  </si>
  <si>
    <t>五头巨龙</t>
  </si>
  <si>
    <t>终极巨龙</t>
  </si>
  <si>
    <t>FiveHeadDragon</t>
  </si>
  <si>
    <t>绿龙</t>
  </si>
  <si>
    <t>金龙</t>
  </si>
  <si>
    <t>雷龙</t>
  </si>
  <si>
    <t>Drake_Red</t>
  </si>
  <si>
    <t>英灵</t>
  </si>
  <si>
    <t>重骑士</t>
  </si>
  <si>
    <t>精英骑士</t>
  </si>
  <si>
    <t>冠军骑士</t>
  </si>
  <si>
    <t>Horseman_Blue</t>
  </si>
  <si>
    <t>phoenix</t>
  </si>
  <si>
    <t>独眼</t>
  </si>
  <si>
    <t>独眼王</t>
  </si>
  <si>
    <t>Cyclops</t>
  </si>
  <si>
    <t>审判天使</t>
  </si>
  <si>
    <t>贤法师</t>
  </si>
  <si>
    <t>黑袍法师</t>
  </si>
  <si>
    <t>白袍法师</t>
  </si>
  <si>
    <t>Archmage</t>
  </si>
  <si>
    <t>暗黑龙</t>
  </si>
  <si>
    <t>灭世龙</t>
  </si>
  <si>
    <t>TigerDragoBlack</t>
  </si>
  <si>
    <t>巨兽</t>
  </si>
  <si>
    <t>千年巨兽</t>
  </si>
  <si>
    <t>万年巨兽</t>
  </si>
  <si>
    <t>YuanGuJuRen</t>
  </si>
  <si>
    <t>死亡之主</t>
  </si>
  <si>
    <t>大天使</t>
  </si>
  <si>
    <t>圣天使</t>
  </si>
  <si>
    <t>KaiEr</t>
  </si>
  <si>
    <t>圣龙</t>
  </si>
  <si>
    <t>highDragon</t>
  </si>
  <si>
    <t>远古巨龙</t>
  </si>
  <si>
    <t>kingDragon</t>
  </si>
  <si>
    <t>骷髅法师</t>
  </si>
  <si>
    <t>诱惑魔女</t>
  </si>
  <si>
    <t>古之龙</t>
  </si>
  <si>
    <t>末日火</t>
  </si>
  <si>
    <t>冰雪</t>
  </si>
  <si>
    <t>地狱</t>
  </si>
  <si>
    <t>亡灵</t>
  </si>
  <si>
    <t>吸血伯爵</t>
  </si>
  <si>
    <t>雪巫师</t>
  </si>
  <si>
    <t>冰巫师</t>
  </si>
  <si>
    <t>极寒巫师</t>
  </si>
  <si>
    <t>Goblin Mage</t>
  </si>
  <si>
    <t>恶魔之子</t>
  </si>
  <si>
    <t>恶魔之火</t>
  </si>
  <si>
    <t>恶魔之雷</t>
  </si>
  <si>
    <t>Cute Devil</t>
  </si>
  <si>
    <t>稻草人</t>
  </si>
  <si>
    <t>精英稻草</t>
  </si>
  <si>
    <t>无畏稻草</t>
  </si>
  <si>
    <t>Scarecrow Purple</t>
  </si>
  <si>
    <t>秩序古法</t>
  </si>
  <si>
    <t>霜灵</t>
  </si>
  <si>
    <t>冰灵</t>
  </si>
  <si>
    <t>护冰灵</t>
  </si>
  <si>
    <t>Treant</t>
  </si>
  <si>
    <t>远古恶魔2</t>
  </si>
  <si>
    <t>demon_grunt</t>
  </si>
  <si>
    <t>鬼树</t>
  </si>
  <si>
    <t>魂灵树</t>
  </si>
  <si>
    <t>暗灵树</t>
  </si>
  <si>
    <t>Dark Treant</t>
  </si>
  <si>
    <t>地狱魔王</t>
  </si>
  <si>
    <t>三尾狼</t>
  </si>
  <si>
    <t>三尾座狼</t>
  </si>
  <si>
    <t>冻魔狼</t>
  </si>
  <si>
    <t>Snow Wolf</t>
  </si>
  <si>
    <t>远古恶魔3</t>
  </si>
  <si>
    <t>demon_bomb</t>
  </si>
  <si>
    <t>王蛇</t>
  </si>
  <si>
    <t>幽冥蛇</t>
  </si>
  <si>
    <t>绝蛇</t>
  </si>
  <si>
    <t>King Cobra</t>
  </si>
  <si>
    <t>雪女</t>
  </si>
  <si>
    <t>雪语</t>
  </si>
  <si>
    <t>雪女神</t>
  </si>
  <si>
    <t>Elemental Sorceress</t>
  </si>
  <si>
    <t>光线巫师</t>
  </si>
  <si>
    <t>魔术巫师</t>
  </si>
  <si>
    <t>炎巫</t>
  </si>
  <si>
    <t>One Eyed</t>
  </si>
  <si>
    <t>鬼长矛</t>
  </si>
  <si>
    <t>幽魂长矛</t>
  </si>
  <si>
    <t>虚空长矛</t>
  </si>
  <si>
    <t>Wraith Spearman</t>
  </si>
  <si>
    <t>蛮熊</t>
  </si>
  <si>
    <t>蛮熊将军</t>
  </si>
  <si>
    <t>冰域霸主</t>
  </si>
  <si>
    <t>Big Bear</t>
  </si>
  <si>
    <t>夜魔</t>
  </si>
  <si>
    <t>魅魔</t>
  </si>
  <si>
    <t>梦境魔女</t>
  </si>
  <si>
    <t>Succubus</t>
  </si>
  <si>
    <t>鬼重战</t>
  </si>
  <si>
    <t>幽魂重战</t>
  </si>
  <si>
    <t>虚空重战</t>
  </si>
  <si>
    <t>Wraith Swordsman</t>
  </si>
  <si>
    <t>蛇女</t>
  </si>
  <si>
    <t>蛇女战士</t>
  </si>
  <si>
    <t>剑蛇姬</t>
  </si>
  <si>
    <t>SnakeMonster</t>
  </si>
  <si>
    <t>牛头人</t>
  </si>
  <si>
    <t>牛魔将</t>
  </si>
  <si>
    <t>牛魔王</t>
  </si>
  <si>
    <t>niutouren</t>
  </si>
  <si>
    <t>巫妖</t>
  </si>
  <si>
    <t>巫妖王</t>
  </si>
  <si>
    <t>不死者之王</t>
  </si>
  <si>
    <t>Lich</t>
  </si>
  <si>
    <t>寒冰人</t>
  </si>
  <si>
    <t>寒冰巨人</t>
  </si>
  <si>
    <t>寒冰泰坦</t>
  </si>
  <si>
    <t>Snow Titan</t>
  </si>
  <si>
    <t>地狱兽</t>
  </si>
  <si>
    <t>地狱巨兽</t>
  </si>
  <si>
    <t>深渊巨兽</t>
  </si>
  <si>
    <t>Hell Creeper</t>
  </si>
  <si>
    <t>黑骑士</t>
  </si>
  <si>
    <t>亡灵骑士</t>
  </si>
  <si>
    <t>毁灭骑士</t>
  </si>
  <si>
    <t>undeadKnight</t>
  </si>
  <si>
    <t>泰坦巨人</t>
  </si>
  <si>
    <t>泰坦神</t>
  </si>
  <si>
    <t>Titan</t>
  </si>
  <si>
    <t>恶魔</t>
  </si>
  <si>
    <t>末日魔王</t>
  </si>
  <si>
    <t>Fire Demon</t>
  </si>
  <si>
    <t>boneDragon</t>
  </si>
  <si>
    <t>魔法龙</t>
  </si>
  <si>
    <t>magicDragon</t>
  </si>
  <si>
    <t>熔岩龙</t>
  </si>
  <si>
    <t>lavaDragon</t>
  </si>
  <si>
    <t>蜘蛛女王</t>
  </si>
  <si>
    <t>恐怖蜘蛛</t>
  </si>
  <si>
    <t>绝望蜘蛛</t>
  </si>
  <si>
    <t>Spider Venom</t>
  </si>
  <si>
    <t>Mahlon_01,Mahlon_02,Mahlon_03</t>
  </si>
  <si>
    <t>Kress_01,Kress_02,Kress_03</t>
  </si>
  <si>
    <t>Eileen_01,Eileen_02,Eileen_03</t>
  </si>
  <si>
    <t>Lela_01,Lela_02,Lela_03</t>
  </si>
  <si>
    <t>Farad_01,Farad_02,Farad_03</t>
  </si>
  <si>
    <t>Mina_01,Mina_02,Mina_03</t>
  </si>
  <si>
    <t>Meissen_01,Meissen_02,Meissen_03</t>
  </si>
  <si>
    <t>120011|120012|120013|120014|120010|120016|120017</t>
  </si>
  <si>
    <t>Glay_01,Glay_02,Glay_03</t>
  </si>
  <si>
    <t>Tia_01,Tia_02,Tia_03</t>
  </si>
  <si>
    <t>Kachuya_01,Kachuya_02,Kachuya_03</t>
  </si>
  <si>
    <t>Sonia_01,Sonia_02,Sonia_03</t>
  </si>
  <si>
    <t>Ryan_01,Ryan_02,Ryan_03</t>
  </si>
  <si>
    <t>Mudo_01,Mudo_02,Mudo_03</t>
  </si>
  <si>
    <t>Arthur_01,Arthur_02,Arthur_03</t>
  </si>
  <si>
    <t>蕾贝卡</t>
  </si>
  <si>
    <t>Rebecca.1</t>
  </si>
  <si>
    <t>Rebecca_01,Rebecca_02,Rebecca_03</t>
  </si>
  <si>
    <t>1300021|1300022|1300023|1300024|1300025|1300026|1300027</t>
  </si>
  <si>
    <t>301002:60</t>
  </si>
  <si>
    <t>111002:221001:231001:341002:151001:261001:161002</t>
  </si>
  <si>
    <t>Robin_01,Robin_02,Robin_03</t>
  </si>
  <si>
    <t>兰斯</t>
  </si>
  <si>
    <t>Lance.1</t>
  </si>
  <si>
    <t>Lance_01,Lance_02,Lance_03</t>
  </si>
  <si>
    <t>1300041|1300042|1300043|1300044|1300045|1300046|1300047</t>
  </si>
  <si>
    <t>303001:60</t>
  </si>
  <si>
    <t>111002:221001:231001:141002:351001:261001:361001</t>
  </si>
  <si>
    <t>212+1|0+0|101+0|-1+0|708+0|-1+0|176+0|-1+0|820+0</t>
  </si>
  <si>
    <t>Bel_01,Bel_02,Bel_03</t>
  </si>
  <si>
    <t>Lucius_01,Lucius_02,Lucius_03</t>
  </si>
  <si>
    <t>Liz_01,Liz_02,Liz_03</t>
  </si>
  <si>
    <t>奥迪斯</t>
  </si>
  <si>
    <t>Otis.1</t>
  </si>
  <si>
    <t>Otis_01,Otis_02,Otis_03</t>
  </si>
  <si>
    <t>1300081|1300082|1300083|1300084|1300085|1300086|1300087</t>
  </si>
  <si>
    <t>307001:60</t>
  </si>
  <si>
    <t>811001:721002:731002:741002:351002:761001:361003</t>
  </si>
  <si>
    <t>卢比</t>
  </si>
  <si>
    <t>Ruby.1</t>
  </si>
  <si>
    <t>Ruby_01,Ruby_02,Ruby_03</t>
  </si>
  <si>
    <t>1300091|1300092|1300093|1300094|1300095|1300096|1300097</t>
  </si>
  <si>
    <t>307002:60</t>
  </si>
  <si>
    <t>711001:821001:831001:741002:851001:161001:761001</t>
  </si>
  <si>
    <t>莫妮卡</t>
  </si>
  <si>
    <t>Monica.1</t>
  </si>
  <si>
    <t>Monica_01,Monica_02,Monica_03</t>
  </si>
  <si>
    <t>1300101|1300102|1300103|1300104|1300105|1300106|1300107</t>
  </si>
  <si>
    <t>308001:60</t>
  </si>
  <si>
    <t>811001:821001:831001:841001:551001:761001:361003</t>
  </si>
  <si>
    <t>迪蒙</t>
  </si>
  <si>
    <t>Dimon.1</t>
  </si>
  <si>
    <t>dimon_01,dimon_02,dimon_03</t>
  </si>
  <si>
    <t>1300111|1300112|1300113|1300114|1300115|1300116|1300117</t>
  </si>
  <si>
    <t>308002:60</t>
  </si>
  <si>
    <t>711001:821001:831001:741002:251002:161001:761001</t>
  </si>
  <si>
    <t>70021|71021</t>
  </si>
  <si>
    <t>1:110</t>
  </si>
  <si>
    <t>70041|71041</t>
  </si>
  <si>
    <t>1:140,2:120</t>
  </si>
  <si>
    <t>刀锋战士</t>
  </si>
  <si>
    <t>格斗专家</t>
  </si>
  <si>
    <t>1:210,2:190</t>
  </si>
  <si>
    <t>黑暗骑士</t>
  </si>
  <si>
    <t>守护骑士</t>
  </si>
  <si>
    <t>木精灵</t>
  </si>
  <si>
    <t>70141|71141</t>
  </si>
  <si>
    <t>精灵射手</t>
  </si>
  <si>
    <t>70151|71151</t>
  </si>
  <si>
    <t>幻影射手</t>
  </si>
  <si>
    <t>1:160,2:140</t>
  </si>
  <si>
    <t>巡游射手</t>
  </si>
  <si>
    <t>飞鹰骑士</t>
  </si>
  <si>
    <t>飞马骑士</t>
  </si>
  <si>
    <t>1:180,2:160</t>
  </si>
  <si>
    <t>圣天马骑士</t>
  </si>
  <si>
    <t>飞龙骑士</t>
  </si>
  <si>
    <t>格里芬骑士</t>
  </si>
  <si>
    <t>法师学徒</t>
  </si>
  <si>
    <t>魔女</t>
  </si>
  <si>
    <t>1:200,2:180</t>
  </si>
  <si>
    <t>符文师</t>
  </si>
  <si>
    <t>僧侣</t>
  </si>
  <si>
    <t>占卜师</t>
  </si>
  <si>
    <t>守护星灵</t>
  </si>
  <si>
    <t>70341|71341</t>
  </si>
  <si>
    <t>1:160</t>
  </si>
  <si>
    <t>伯爵</t>
  </si>
  <si>
    <t>狼王</t>
  </si>
  <si>
    <t>1:230</t>
  </si>
  <si>
    <t>王蜥猎手</t>
  </si>
  <si>
    <t>1:230,2:210</t>
  </si>
  <si>
    <t>人口消耗</t>
  </si>
  <si>
    <t>兵种技能</t>
  </si>
  <si>
    <t>英雄属性</t>
  </si>
  <si>
    <t>英雄技能</t>
  </si>
  <si>
    <t>攻击+100</t>
  </si>
  <si>
    <t>重骑士+</t>
  </si>
  <si>
    <t>神圣强化加强</t>
  </si>
  <si>
    <t>514+1|-1+0|516+0|-1+0|-1+0</t>
  </si>
  <si>
    <t>绿龙+</t>
  </si>
  <si>
    <t>生命+5000</t>
  </si>
  <si>
    <t>505+1|-1+0|511+0|-1+0|-1+0</t>
  </si>
  <si>
    <t>末日火法</t>
  </si>
  <si>
    <t>圣法师+</t>
  </si>
  <si>
    <t>法强+100</t>
  </si>
  <si>
    <t>510+1|-1+0|503+0|-1+0|-1+0</t>
  </si>
  <si>
    <t>蝙蝠伯爵</t>
  </si>
  <si>
    <t>骨龙+</t>
  </si>
  <si>
    <t>骨龙进阶+1</t>
  </si>
  <si>
    <t>560+1|-1+0|903+0|-1+0|-1+0</t>
  </si>
  <si>
    <t>黑暗法师</t>
  </si>
  <si>
    <t>黑骑士+</t>
  </si>
  <si>
    <t>黑序曲+1</t>
  </si>
  <si>
    <t>529+1|-1+0|530+0|-1+0|-1+0</t>
  </si>
  <si>
    <t>精灵剑士</t>
  </si>
  <si>
    <t>黑龙+</t>
  </si>
  <si>
    <t>523+1|-1+0|572+0|-1+0|-1+0</t>
  </si>
  <si>
    <t>蛇女+</t>
  </si>
  <si>
    <t>冰域持续时间+60</t>
  </si>
  <si>
    <t>527+1|-1+0|571+0|-1+0|-1+0</t>
  </si>
  <si>
    <t>先古法师</t>
  </si>
  <si>
    <t>凤凰+</t>
  </si>
  <si>
    <t>神罚触发麻痹效果</t>
  </si>
  <si>
    <t>520+1|-1+0|504+0|-1+0|-1+0</t>
  </si>
  <si>
    <t>雪女+</t>
  </si>
  <si>
    <t>幻想效果提升到150%</t>
  </si>
  <si>
    <t>509+1|-1+0|901+0|-1+0|-1+0</t>
  </si>
  <si>
    <t>战争使者</t>
  </si>
  <si>
    <t>天使+</t>
  </si>
  <si>
    <t>祈祷提升100%</t>
  </si>
  <si>
    <t>507+1|-1+0|549+0|-1+0|-1+0</t>
  </si>
  <si>
    <t>时空龙</t>
  </si>
  <si>
    <t>回退层数+1,每层攻击力+20</t>
  </si>
  <si>
    <t>569+1|-1+0|162+0|-1+0|-1+0</t>
  </si>
  <si>
    <t>空灵亡者</t>
  </si>
  <si>
    <t>巫妖+</t>
  </si>
  <si>
    <t>召唤鬼王神</t>
  </si>
  <si>
    <t>570+1|-1+0|517+0|-1+0|-1+0</t>
  </si>
  <si>
    <t>传说恶魔</t>
  </si>
  <si>
    <t>大恶魔+</t>
  </si>
  <si>
    <t>第一下攻击5倍伤害</t>
  </si>
  <si>
    <t>567+1|-1+0|568+0|-1+0|-1+0</t>
  </si>
  <si>
    <t>魅力女王</t>
  </si>
  <si>
    <t>夜魔+</t>
  </si>
  <si>
    <t>浮游之心获得英雄攻击技能</t>
  </si>
  <si>
    <t>565+1|-1+0|566+0|-1+0|-1+0</t>
  </si>
  <si>
    <t>大地之灵</t>
  </si>
  <si>
    <t>森林巨人+</t>
  </si>
  <si>
    <t>治疗之环提升百分比恢复</t>
  </si>
  <si>
    <t>506+1|-1+0|564+0|-1+0|-1+0</t>
  </si>
  <si>
    <t>探险家</t>
  </si>
  <si>
    <t>巨兽+</t>
  </si>
  <si>
    <t>魔法冷却减少30%</t>
  </si>
  <si>
    <t>562+1|-1+0|563+0|-1+0|-1+0</t>
  </si>
  <si>
    <t>111001:111002:121001:121002:131001:131002:131003:131004</t>
  </si>
  <si>
    <t>211001:221001:231001:231002:231003</t>
  </si>
  <si>
    <t>311001:321001:331001:331002:331003</t>
  </si>
  <si>
    <t>411001:421001:431001:431002:431003</t>
  </si>
  <si>
    <t>511001:521001:531001:531002:531003</t>
  </si>
  <si>
    <t>611001:621001:631001:631002:631003</t>
  </si>
  <si>
    <t>811001:821001:831001:831002:831003</t>
  </si>
  <si>
    <t>711001:721001:731001:731002:731003</t>
  </si>
  <si>
    <t>增长值</t>
  </si>
  <si>
    <t>原名</t>
  </si>
  <si>
    <t>士兵职业</t>
  </si>
  <si>
    <t>其他成长系数</t>
  </si>
  <si>
    <t>生命成长系数</t>
  </si>
  <si>
    <t>加成后生命</t>
  </si>
  <si>
    <t>加成后攻击</t>
  </si>
  <si>
    <t>加成后防御</t>
  </si>
  <si>
    <t>加成后魔力</t>
  </si>
  <si>
    <t>加成后魔防</t>
  </si>
  <si>
    <t>元帅</t>
  </si>
  <si>
    <t>400</t>
  </si>
  <si>
    <t>1:90</t>
  </si>
  <si>
    <t>1:110,2:60</t>
  </si>
  <si>
    <t>1:140,2:100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</si>
</sst>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8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name val="宋体"/>
      <charset val="134"/>
      <scheme val="minor"/>
    </font>
    <font>
      <sz val="10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76" fontId="4" fillId="8" borderId="0" xfId="0" applyNumberFormat="1" applyFont="1" applyFill="1" applyBorder="1" applyAlignment="1">
      <alignment horizontal="center" vertical="center"/>
    </xf>
    <xf numFmtId="0" fontId="4" fillId="11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10" borderId="1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49" fontId="4" fillId="1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86"/>
  <sheetViews>
    <sheetView tabSelected="1" workbookViewId="0">
      <pane xSplit="2" ySplit="3" topLeftCell="N69" activePane="bottomRight" state="frozen"/>
      <selection/>
      <selection pane="topRight"/>
      <selection pane="bottomLeft"/>
      <selection pane="bottomRight" activeCell="B1" sqref="B$1:B$1048576"/>
    </sheetView>
  </sheetViews>
  <sheetFormatPr defaultColWidth="9" defaultRowHeight="16.5"/>
  <cols>
    <col min="1" max="1" width="10.375" style="17"/>
    <col min="2" max="2" width="13.75" style="17" customWidth="1"/>
    <col min="3" max="3" width="7.375" style="17" customWidth="1"/>
    <col min="4" max="4" width="8.375" style="17" customWidth="1"/>
    <col min="5" max="5" width="18.125" style="17" customWidth="1"/>
    <col min="6" max="6" width="9.125" style="17" customWidth="1"/>
    <col min="7" max="7" width="9.5" style="17" customWidth="1"/>
    <col min="8" max="9" width="9" style="17" customWidth="1"/>
    <col min="10" max="10" width="17.375" style="17" customWidth="1"/>
    <col min="11" max="11" width="14.125" style="17" customWidth="1"/>
    <col min="12" max="12" width="27.625" style="17" customWidth="1"/>
    <col min="13" max="13" width="7.625" style="17" customWidth="1"/>
    <col min="14" max="14" width="11.5" style="17" customWidth="1"/>
    <col min="15" max="21" width="7.625" style="17" customWidth="1"/>
    <col min="22" max="24" width="8" style="17" customWidth="1"/>
    <col min="25" max="26" width="9" style="30" customWidth="1"/>
    <col min="27" max="27" width="9" style="17" customWidth="1"/>
    <col min="28" max="29" width="10.625" style="17" customWidth="1"/>
    <col min="30" max="30" width="26.375" style="17" customWidth="1"/>
    <col min="31" max="31" width="16.5" style="17" customWidth="1"/>
    <col min="32" max="32" width="14.625" style="17" customWidth="1"/>
    <col min="33" max="33" width="17" style="17" customWidth="1"/>
    <col min="34" max="34" width="20.625" style="17" customWidth="1"/>
    <col min="35" max="38" width="28.625" style="17" customWidth="1"/>
    <col min="39" max="39" width="9" style="31" customWidth="1"/>
    <col min="40" max="40" width="19.125" style="31" customWidth="1"/>
    <col min="41" max="41" width="14.5" style="31" customWidth="1"/>
    <col min="42" max="42" width="18.125" style="31" customWidth="1"/>
    <col min="43" max="45" width="9" style="31" customWidth="1"/>
    <col min="46" max="46" width="59.875" style="31" customWidth="1"/>
    <col min="47" max="48" width="9" style="31" customWidth="1"/>
    <col min="49" max="16384" width="9" style="51"/>
  </cols>
  <sheetData>
    <row r="1" spans="1:4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6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9" t="s">
        <v>24</v>
      </c>
      <c r="Z1" s="9" t="s">
        <v>25</v>
      </c>
      <c r="AA1" s="38" t="s">
        <v>26</v>
      </c>
      <c r="AB1" s="38" t="s">
        <v>27</v>
      </c>
      <c r="AC1" s="38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52" t="s">
        <v>35</v>
      </c>
      <c r="AK1" s="52" t="s">
        <v>36</v>
      </c>
      <c r="AL1" s="52" t="s">
        <v>37</v>
      </c>
      <c r="AM1" s="44" t="s">
        <v>2</v>
      </c>
      <c r="AN1" s="44" t="s">
        <v>38</v>
      </c>
      <c r="AO1" s="44" t="s">
        <v>39</v>
      </c>
      <c r="AP1" s="44" t="s">
        <v>40</v>
      </c>
      <c r="AQ1" s="44" t="s">
        <v>41</v>
      </c>
      <c r="AR1" s="44" t="s">
        <v>42</v>
      </c>
      <c r="AS1" s="44" t="s">
        <v>43</v>
      </c>
      <c r="AT1" s="46" t="s">
        <v>44</v>
      </c>
      <c r="AU1" s="44" t="s">
        <v>45</v>
      </c>
      <c r="AV1" s="44" t="s">
        <v>46</v>
      </c>
    </row>
    <row r="2" ht="39" customHeight="1" spans="1:48">
      <c r="A2" s="11" t="s">
        <v>47</v>
      </c>
      <c r="B2" s="11" t="s">
        <v>48</v>
      </c>
      <c r="C2" s="11" t="s">
        <v>47</v>
      </c>
      <c r="D2" s="11" t="s">
        <v>47</v>
      </c>
      <c r="E2" s="11" t="s">
        <v>48</v>
      </c>
      <c r="F2" s="11" t="s">
        <v>47</v>
      </c>
      <c r="G2" s="11" t="s">
        <v>47</v>
      </c>
      <c r="H2" s="11" t="s">
        <v>47</v>
      </c>
      <c r="I2" s="11" t="s">
        <v>47</v>
      </c>
      <c r="J2" s="11" t="s">
        <v>48</v>
      </c>
      <c r="K2" s="11" t="s">
        <v>48</v>
      </c>
      <c r="L2" s="11" t="s">
        <v>48</v>
      </c>
      <c r="M2" s="11" t="s">
        <v>47</v>
      </c>
      <c r="N2" s="11" t="s">
        <v>49</v>
      </c>
      <c r="O2" s="11" t="s">
        <v>47</v>
      </c>
      <c r="P2" s="11" t="s">
        <v>49</v>
      </c>
      <c r="Q2" s="11" t="s">
        <v>47</v>
      </c>
      <c r="R2" s="11" t="s">
        <v>49</v>
      </c>
      <c r="S2" s="11" t="s">
        <v>47</v>
      </c>
      <c r="T2" s="11" t="s">
        <v>49</v>
      </c>
      <c r="U2" s="11" t="s">
        <v>47</v>
      </c>
      <c r="V2" s="11" t="s">
        <v>49</v>
      </c>
      <c r="W2" s="11" t="s">
        <v>47</v>
      </c>
      <c r="X2" s="11" t="s">
        <v>49</v>
      </c>
      <c r="Y2" s="39" t="s">
        <v>47</v>
      </c>
      <c r="Z2" s="39" t="s">
        <v>47</v>
      </c>
      <c r="AA2" s="11" t="s">
        <v>47</v>
      </c>
      <c r="AB2" s="11" t="s">
        <v>47</v>
      </c>
      <c r="AC2" s="11" t="s">
        <v>47</v>
      </c>
      <c r="AD2" s="11" t="s">
        <v>48</v>
      </c>
      <c r="AE2" s="11" t="s">
        <v>48</v>
      </c>
      <c r="AF2" s="11" t="s">
        <v>48</v>
      </c>
      <c r="AG2" s="11" t="s">
        <v>47</v>
      </c>
      <c r="AH2" s="11" t="s">
        <v>48</v>
      </c>
      <c r="AI2" s="11" t="s">
        <v>48</v>
      </c>
      <c r="AJ2" s="43" t="s">
        <v>49</v>
      </c>
      <c r="AK2" s="43" t="s">
        <v>49</v>
      </c>
      <c r="AL2" s="11" t="s">
        <v>47</v>
      </c>
      <c r="AM2" s="45" t="s">
        <v>47</v>
      </c>
      <c r="AN2" s="45" t="s">
        <v>47</v>
      </c>
      <c r="AO2" s="45" t="s">
        <v>47</v>
      </c>
      <c r="AP2" s="45" t="s">
        <v>47</v>
      </c>
      <c r="AQ2" s="45" t="s">
        <v>47</v>
      </c>
      <c r="AR2" s="45" t="s">
        <v>47</v>
      </c>
      <c r="AS2" s="45" t="s">
        <v>49</v>
      </c>
      <c r="AT2" s="45" t="s">
        <v>48</v>
      </c>
      <c r="AU2" s="45" t="s">
        <v>47</v>
      </c>
      <c r="AV2" s="45" t="s">
        <v>49</v>
      </c>
    </row>
    <row r="3" s="23" customFormat="1" ht="42" customHeight="1" spans="1:48">
      <c r="A3" s="12" t="s">
        <v>50</v>
      </c>
      <c r="B3" s="12" t="s">
        <v>51</v>
      </c>
      <c r="C3" s="13" t="s">
        <v>52</v>
      </c>
      <c r="D3" s="13" t="s">
        <v>53</v>
      </c>
      <c r="E3" s="13" t="s">
        <v>54</v>
      </c>
      <c r="F3" s="13" t="s">
        <v>55</v>
      </c>
      <c r="G3" s="13" t="s">
        <v>56</v>
      </c>
      <c r="H3" s="13" t="s">
        <v>57</v>
      </c>
      <c r="I3" s="13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40" t="s">
        <v>74</v>
      </c>
      <c r="Z3" s="40" t="s">
        <v>75</v>
      </c>
      <c r="AA3" s="12" t="s">
        <v>76</v>
      </c>
      <c r="AB3" s="12" t="s">
        <v>77</v>
      </c>
      <c r="AC3" s="12" t="s">
        <v>78</v>
      </c>
      <c r="AD3" s="12" t="s">
        <v>79</v>
      </c>
      <c r="AE3" s="12" t="s">
        <v>55</v>
      </c>
      <c r="AF3" s="12" t="s">
        <v>80</v>
      </c>
      <c r="AG3" s="12" t="s">
        <v>81</v>
      </c>
      <c r="AH3" s="12" t="s">
        <v>82</v>
      </c>
      <c r="AI3" s="12" t="s">
        <v>83</v>
      </c>
      <c r="AJ3" s="52" t="s">
        <v>84</v>
      </c>
      <c r="AK3" s="52" t="s">
        <v>85</v>
      </c>
      <c r="AL3" s="52" t="s">
        <v>86</v>
      </c>
      <c r="AM3" s="46" t="s">
        <v>52</v>
      </c>
      <c r="AN3" s="46" t="s">
        <v>87</v>
      </c>
      <c r="AO3" s="46" t="s">
        <v>88</v>
      </c>
      <c r="AP3" s="46" t="s">
        <v>89</v>
      </c>
      <c r="AQ3" s="46" t="s">
        <v>90</v>
      </c>
      <c r="AR3" s="46" t="s">
        <v>91</v>
      </c>
      <c r="AS3" s="46" t="s">
        <v>92</v>
      </c>
      <c r="AT3" s="46" t="s">
        <v>93</v>
      </c>
      <c r="AU3" s="46" t="s">
        <v>94</v>
      </c>
      <c r="AV3" s="46" t="s">
        <v>95</v>
      </c>
    </row>
    <row r="4" s="50" customFormat="1" spans="1:48">
      <c r="A4" s="14">
        <v>11001</v>
      </c>
      <c r="B4" s="14" t="s">
        <v>96</v>
      </c>
      <c r="C4" s="14">
        <v>1</v>
      </c>
      <c r="D4" s="14">
        <v>1</v>
      </c>
      <c r="E4" s="33" t="s">
        <v>97</v>
      </c>
      <c r="F4" s="14" t="s">
        <v>98</v>
      </c>
      <c r="G4" s="14">
        <v>0</v>
      </c>
      <c r="H4" s="14" t="s">
        <v>98</v>
      </c>
      <c r="I4" s="14" t="s">
        <v>98</v>
      </c>
      <c r="J4" s="14" t="s">
        <v>99</v>
      </c>
      <c r="K4" s="14" t="s">
        <v>99</v>
      </c>
      <c r="L4" s="14">
        <v>0</v>
      </c>
      <c r="M4" s="14">
        <v>600</v>
      </c>
      <c r="N4" s="14">
        <v>10</v>
      </c>
      <c r="O4" s="14">
        <f>英雄数据!N4</f>
        <v>74</v>
      </c>
      <c r="P4" s="14">
        <f>英雄数据!O4</f>
        <v>2.09</v>
      </c>
      <c r="Q4" s="14">
        <f>英雄数据!R4</f>
        <v>34</v>
      </c>
      <c r="R4" s="14">
        <f>英雄数据!S4</f>
        <v>1.43</v>
      </c>
      <c r="S4" s="14">
        <f>英雄数据!V4</f>
        <v>45</v>
      </c>
      <c r="T4" s="14">
        <f>英雄数据!W4</f>
        <v>1.21</v>
      </c>
      <c r="U4" s="14">
        <f>英雄数据!Z4</f>
        <v>28</v>
      </c>
      <c r="V4" s="14">
        <f>英雄数据!AA4</f>
        <v>1.32</v>
      </c>
      <c r="W4" s="14">
        <v>14</v>
      </c>
      <c r="X4" s="14">
        <v>1</v>
      </c>
      <c r="Y4" s="14">
        <v>250</v>
      </c>
      <c r="Z4" s="41">
        <f>MIN(Y4+400,1300)</f>
        <v>650</v>
      </c>
      <c r="AA4" s="14">
        <v>400</v>
      </c>
      <c r="AB4" s="14">
        <v>8</v>
      </c>
      <c r="AC4" s="14">
        <f t="shared" ref="AC4:AC21" si="0">_xlfn.IFS(OR(F4="1",F4="2",F4="7",F4="8"),2,OR(F4="3",F4="4",F4="5",F4="6"),1)</f>
        <v>2</v>
      </c>
      <c r="AD4" s="14" t="s">
        <v>100</v>
      </c>
      <c r="AE4" s="14">
        <v>110002</v>
      </c>
      <c r="AF4" s="14" t="s">
        <v>101</v>
      </c>
      <c r="AG4" s="14">
        <v>101001</v>
      </c>
      <c r="AH4" s="14" t="s">
        <v>102</v>
      </c>
      <c r="AI4" s="14">
        <v>0</v>
      </c>
      <c r="AJ4" s="14">
        <v>1</v>
      </c>
      <c r="AK4" s="14">
        <v>1.7</v>
      </c>
      <c r="AL4" s="14">
        <v>0</v>
      </c>
      <c r="AM4" s="47">
        <v>3</v>
      </c>
      <c r="AN4" s="47">
        <v>0</v>
      </c>
      <c r="AO4" s="47">
        <v>0</v>
      </c>
      <c r="AP4" s="48" t="s">
        <v>103</v>
      </c>
      <c r="AQ4" s="47">
        <v>8</v>
      </c>
      <c r="AR4" s="47">
        <v>60</v>
      </c>
      <c r="AS4" s="47">
        <v>12</v>
      </c>
      <c r="AT4" s="47" t="s">
        <v>104</v>
      </c>
      <c r="AU4" s="47">
        <v>0</v>
      </c>
      <c r="AV4" s="47">
        <v>0</v>
      </c>
    </row>
    <row r="5" s="50" customFormat="1" spans="1:48">
      <c r="A5" s="14">
        <v>12001</v>
      </c>
      <c r="B5" s="14" t="s">
        <v>105</v>
      </c>
      <c r="C5" s="14">
        <v>1</v>
      </c>
      <c r="D5" s="14">
        <v>1</v>
      </c>
      <c r="E5" s="33" t="s">
        <v>97</v>
      </c>
      <c r="F5" s="14" t="s">
        <v>106</v>
      </c>
      <c r="G5" s="14">
        <v>0</v>
      </c>
      <c r="H5" s="14" t="s">
        <v>98</v>
      </c>
      <c r="I5" s="14" t="s">
        <v>98</v>
      </c>
      <c r="J5" s="14" t="s">
        <v>107</v>
      </c>
      <c r="K5" s="14" t="s">
        <v>107</v>
      </c>
      <c r="L5" s="14">
        <v>0</v>
      </c>
      <c r="M5" s="14">
        <v>590</v>
      </c>
      <c r="N5" s="14">
        <v>14</v>
      </c>
      <c r="O5" s="14">
        <f>英雄数据!N5</f>
        <v>78</v>
      </c>
      <c r="P5" s="14">
        <f>英雄数据!O5</f>
        <v>2.2</v>
      </c>
      <c r="Q5" s="14">
        <f>英雄数据!R5</f>
        <v>30</v>
      </c>
      <c r="R5" s="14">
        <f>英雄数据!S5</f>
        <v>1.32</v>
      </c>
      <c r="S5" s="14">
        <f>英雄数据!V5</f>
        <v>41</v>
      </c>
      <c r="T5" s="14">
        <f>英雄数据!W5</f>
        <v>1.21</v>
      </c>
      <c r="U5" s="14">
        <f>英雄数据!Z5</f>
        <v>27</v>
      </c>
      <c r="V5" s="14">
        <f>英雄数据!AA5</f>
        <v>1.32</v>
      </c>
      <c r="W5" s="14">
        <v>16</v>
      </c>
      <c r="X5" s="14">
        <v>1</v>
      </c>
      <c r="Y5" s="14">
        <v>250</v>
      </c>
      <c r="Z5" s="41">
        <f>MIN(Y5+400,1300)</f>
        <v>650</v>
      </c>
      <c r="AA5" s="14">
        <v>550</v>
      </c>
      <c r="AB5" s="14">
        <v>8</v>
      </c>
      <c r="AC5" s="14">
        <f t="shared" si="0"/>
        <v>2</v>
      </c>
      <c r="AD5" s="14" t="s">
        <v>108</v>
      </c>
      <c r="AE5" s="14">
        <v>110003</v>
      </c>
      <c r="AF5" s="14" t="s">
        <v>109</v>
      </c>
      <c r="AG5" s="14">
        <v>102001</v>
      </c>
      <c r="AH5" s="14" t="s">
        <v>110</v>
      </c>
      <c r="AI5" s="14">
        <v>0</v>
      </c>
      <c r="AJ5" s="14">
        <v>1</v>
      </c>
      <c r="AK5" s="14">
        <v>1.7</v>
      </c>
      <c r="AL5" s="14">
        <v>0</v>
      </c>
      <c r="AM5" s="47">
        <v>1</v>
      </c>
      <c r="AN5" s="47">
        <v>1</v>
      </c>
      <c r="AO5" s="47">
        <v>0</v>
      </c>
      <c r="AP5" s="48" t="s">
        <v>111</v>
      </c>
      <c r="AQ5" s="47">
        <v>3</v>
      </c>
      <c r="AR5" s="47">
        <v>45</v>
      </c>
      <c r="AS5" s="47">
        <v>8</v>
      </c>
      <c r="AT5" s="47" t="s">
        <v>112</v>
      </c>
      <c r="AU5" s="47">
        <v>0</v>
      </c>
      <c r="AV5" s="47">
        <v>0</v>
      </c>
    </row>
    <row r="6" s="50" customFormat="1" spans="1:48">
      <c r="A6" s="14">
        <v>13001</v>
      </c>
      <c r="B6" s="14" t="s">
        <v>113</v>
      </c>
      <c r="C6" s="14">
        <v>1</v>
      </c>
      <c r="D6" s="14">
        <v>1</v>
      </c>
      <c r="E6" s="33" t="s">
        <v>97</v>
      </c>
      <c r="F6" s="14" t="s">
        <v>114</v>
      </c>
      <c r="G6" s="14">
        <v>0</v>
      </c>
      <c r="H6" s="14" t="s">
        <v>98</v>
      </c>
      <c r="I6" s="14" t="s">
        <v>98</v>
      </c>
      <c r="J6" s="14" t="s">
        <v>115</v>
      </c>
      <c r="K6" s="14" t="s">
        <v>115</v>
      </c>
      <c r="L6" s="14">
        <v>0</v>
      </c>
      <c r="M6" s="14">
        <v>500</v>
      </c>
      <c r="N6" s="14">
        <v>12</v>
      </c>
      <c r="O6" s="14">
        <f>英雄数据!N6</f>
        <v>68</v>
      </c>
      <c r="P6" s="14">
        <f>英雄数据!O6</f>
        <v>1.87</v>
      </c>
      <c r="Q6" s="14">
        <f>英雄数据!R6</f>
        <v>23</v>
      </c>
      <c r="R6" s="14">
        <f>英雄数据!S6</f>
        <v>1.1</v>
      </c>
      <c r="S6" s="14">
        <f>英雄数据!V6</f>
        <v>37</v>
      </c>
      <c r="T6" s="14">
        <f>英雄数据!W6</f>
        <v>1.32</v>
      </c>
      <c r="U6" s="14">
        <f>英雄数据!Z6</f>
        <v>25</v>
      </c>
      <c r="V6" s="14">
        <f>英雄数据!AA6</f>
        <v>1.43</v>
      </c>
      <c r="W6" s="14">
        <v>15</v>
      </c>
      <c r="X6" s="14">
        <v>1</v>
      </c>
      <c r="Y6" s="14">
        <v>1200</v>
      </c>
      <c r="Z6" s="41">
        <f>MIN(Y6+400,1300)</f>
        <v>1300</v>
      </c>
      <c r="AA6" s="14">
        <v>400</v>
      </c>
      <c r="AB6" s="14">
        <v>10</v>
      </c>
      <c r="AC6" s="14">
        <f t="shared" si="0"/>
        <v>1</v>
      </c>
      <c r="AD6" s="14" t="s">
        <v>116</v>
      </c>
      <c r="AE6" s="14">
        <v>110004</v>
      </c>
      <c r="AF6" s="14" t="s">
        <v>117</v>
      </c>
      <c r="AG6" s="14">
        <v>103001</v>
      </c>
      <c r="AH6" s="14" t="s">
        <v>118</v>
      </c>
      <c r="AI6" s="14">
        <v>0</v>
      </c>
      <c r="AJ6" s="14">
        <v>1</v>
      </c>
      <c r="AK6" s="14">
        <v>1.7</v>
      </c>
      <c r="AL6" s="14">
        <v>0</v>
      </c>
      <c r="AM6" s="47">
        <v>2</v>
      </c>
      <c r="AN6" s="47">
        <v>0</v>
      </c>
      <c r="AO6" s="47">
        <v>2</v>
      </c>
      <c r="AP6" s="48" t="s">
        <v>103</v>
      </c>
      <c r="AQ6" s="47">
        <v>14</v>
      </c>
      <c r="AR6" s="47">
        <v>30</v>
      </c>
      <c r="AS6" s="47">
        <v>9</v>
      </c>
      <c r="AT6" s="47" t="s">
        <v>119</v>
      </c>
      <c r="AU6" s="47">
        <v>0</v>
      </c>
      <c r="AV6" s="47">
        <v>0</v>
      </c>
    </row>
    <row r="7" s="50" customFormat="1" spans="1:48">
      <c r="A7" s="14">
        <v>14001</v>
      </c>
      <c r="B7" s="14" t="s">
        <v>120</v>
      </c>
      <c r="C7" s="14">
        <v>1</v>
      </c>
      <c r="D7" s="14">
        <v>1</v>
      </c>
      <c r="E7" s="33" t="s">
        <v>97</v>
      </c>
      <c r="F7" s="14" t="s">
        <v>121</v>
      </c>
      <c r="G7" s="14">
        <v>0</v>
      </c>
      <c r="H7" s="14" t="s">
        <v>98</v>
      </c>
      <c r="I7" s="14" t="s">
        <v>98</v>
      </c>
      <c r="J7" s="14" t="s">
        <v>122</v>
      </c>
      <c r="K7" s="14" t="s">
        <v>122</v>
      </c>
      <c r="L7" s="14">
        <v>0</v>
      </c>
      <c r="M7" s="14">
        <v>570</v>
      </c>
      <c r="N7" s="14">
        <v>13.5</v>
      </c>
      <c r="O7" s="14">
        <f>英雄数据!N7</f>
        <v>72</v>
      </c>
      <c r="P7" s="14">
        <f>英雄数据!O7</f>
        <v>2.2</v>
      </c>
      <c r="Q7" s="14">
        <f>英雄数据!R7</f>
        <v>28</v>
      </c>
      <c r="R7" s="14">
        <f>英雄数据!S7</f>
        <v>1.32</v>
      </c>
      <c r="S7" s="14">
        <f>英雄数据!V7</f>
        <v>47</v>
      </c>
      <c r="T7" s="14">
        <f>英雄数据!W7</f>
        <v>1.32</v>
      </c>
      <c r="U7" s="14">
        <f>英雄数据!Z7</f>
        <v>30</v>
      </c>
      <c r="V7" s="14">
        <f>英雄数据!AA7</f>
        <v>1.54</v>
      </c>
      <c r="W7" s="14">
        <v>18</v>
      </c>
      <c r="X7" s="14">
        <v>1</v>
      </c>
      <c r="Y7" s="14">
        <v>250</v>
      </c>
      <c r="Z7" s="41">
        <f t="shared" ref="Z7:Z21" si="1">MIN(Y7+400,1300)</f>
        <v>650</v>
      </c>
      <c r="AA7" s="14">
        <v>550</v>
      </c>
      <c r="AB7" s="14">
        <v>8</v>
      </c>
      <c r="AC7" s="14">
        <f t="shared" si="0"/>
        <v>1</v>
      </c>
      <c r="AD7" s="14" t="s">
        <v>123</v>
      </c>
      <c r="AE7" s="14">
        <v>110005</v>
      </c>
      <c r="AF7" s="14" t="s">
        <v>124</v>
      </c>
      <c r="AG7" s="14">
        <v>104001</v>
      </c>
      <c r="AH7" s="14" t="s">
        <v>125</v>
      </c>
      <c r="AI7" s="14">
        <v>0</v>
      </c>
      <c r="AJ7" s="14">
        <v>1</v>
      </c>
      <c r="AK7" s="14">
        <v>1.7</v>
      </c>
      <c r="AL7" s="14">
        <v>0</v>
      </c>
      <c r="AM7" s="47">
        <v>3</v>
      </c>
      <c r="AN7" s="47">
        <v>0</v>
      </c>
      <c r="AO7" s="47">
        <v>2</v>
      </c>
      <c r="AP7" s="48" t="s">
        <v>103</v>
      </c>
      <c r="AQ7" s="47">
        <v>4</v>
      </c>
      <c r="AR7" s="47">
        <v>60</v>
      </c>
      <c r="AS7" s="47">
        <v>10</v>
      </c>
      <c r="AT7" s="47" t="s">
        <v>126</v>
      </c>
      <c r="AU7" s="47">
        <v>0</v>
      </c>
      <c r="AV7" s="47">
        <v>0</v>
      </c>
    </row>
    <row r="8" s="50" customFormat="1" spans="1:48">
      <c r="A8" s="14">
        <v>15001</v>
      </c>
      <c r="B8" s="14" t="s">
        <v>127</v>
      </c>
      <c r="C8" s="14">
        <v>2</v>
      </c>
      <c r="D8" s="14">
        <v>1</v>
      </c>
      <c r="E8" s="33" t="s">
        <v>97</v>
      </c>
      <c r="F8" s="14" t="s">
        <v>128</v>
      </c>
      <c r="G8" s="14">
        <v>0</v>
      </c>
      <c r="H8" s="14" t="s">
        <v>98</v>
      </c>
      <c r="I8" s="14" t="s">
        <v>98</v>
      </c>
      <c r="J8" s="14" t="s">
        <v>129</v>
      </c>
      <c r="K8" s="14" t="s">
        <v>129</v>
      </c>
      <c r="L8" s="14">
        <v>0</v>
      </c>
      <c r="M8" s="14">
        <v>500</v>
      </c>
      <c r="N8" s="14">
        <v>11</v>
      </c>
      <c r="O8" s="14">
        <f>英雄数据!N8</f>
        <v>49</v>
      </c>
      <c r="P8" s="14">
        <f>英雄数据!O8</f>
        <v>2.2</v>
      </c>
      <c r="Q8" s="14">
        <f>英雄数据!R8</f>
        <v>16</v>
      </c>
      <c r="R8" s="14">
        <f>英雄数据!S8</f>
        <v>1.1</v>
      </c>
      <c r="S8" s="14">
        <f>英雄数据!V8</f>
        <v>69</v>
      </c>
      <c r="T8" s="14">
        <f>英雄数据!W8</f>
        <v>2.2</v>
      </c>
      <c r="U8" s="14">
        <f>英雄数据!Z8</f>
        <v>33</v>
      </c>
      <c r="V8" s="14">
        <f>英雄数据!AA8</f>
        <v>1.76</v>
      </c>
      <c r="W8" s="14">
        <v>12</v>
      </c>
      <c r="X8" s="14">
        <v>1</v>
      </c>
      <c r="Y8" s="14">
        <v>1200</v>
      </c>
      <c r="Z8" s="41">
        <f t="shared" si="1"/>
        <v>1300</v>
      </c>
      <c r="AA8" s="14">
        <v>400</v>
      </c>
      <c r="AB8" s="14">
        <v>10</v>
      </c>
      <c r="AC8" s="14">
        <f t="shared" si="0"/>
        <v>1</v>
      </c>
      <c r="AD8" s="14" t="s">
        <v>130</v>
      </c>
      <c r="AE8" s="14">
        <v>110006</v>
      </c>
      <c r="AF8" s="14" t="s">
        <v>131</v>
      </c>
      <c r="AG8" s="14">
        <v>105001</v>
      </c>
      <c r="AH8" s="14" t="s">
        <v>132</v>
      </c>
      <c r="AI8" s="14">
        <v>0</v>
      </c>
      <c r="AJ8" s="14">
        <v>1</v>
      </c>
      <c r="AK8" s="14">
        <v>1.7</v>
      </c>
      <c r="AL8" s="14">
        <v>0</v>
      </c>
      <c r="AM8" s="47">
        <v>2</v>
      </c>
      <c r="AN8" s="47">
        <v>1</v>
      </c>
      <c r="AO8" s="47">
        <v>2</v>
      </c>
      <c r="AP8" s="48" t="s">
        <v>111</v>
      </c>
      <c r="AQ8" s="47">
        <v>3</v>
      </c>
      <c r="AR8" s="47">
        <v>40</v>
      </c>
      <c r="AS8" s="47">
        <v>11</v>
      </c>
      <c r="AT8" s="47" t="s">
        <v>133</v>
      </c>
      <c r="AU8" s="47">
        <v>0</v>
      </c>
      <c r="AV8" s="47">
        <v>0</v>
      </c>
    </row>
    <row r="9" s="50" customFormat="1" spans="1:48">
      <c r="A9" s="14">
        <v>16001</v>
      </c>
      <c r="B9" s="14" t="s">
        <v>134</v>
      </c>
      <c r="C9" s="14">
        <v>2</v>
      </c>
      <c r="D9" s="14">
        <v>1</v>
      </c>
      <c r="E9" s="33" t="s">
        <v>97</v>
      </c>
      <c r="F9" s="14" t="s">
        <v>135</v>
      </c>
      <c r="G9" s="14">
        <v>0</v>
      </c>
      <c r="H9" s="14" t="s">
        <v>98</v>
      </c>
      <c r="I9" s="14" t="s">
        <v>98</v>
      </c>
      <c r="J9" s="14" t="s">
        <v>136</v>
      </c>
      <c r="K9" s="14" t="s">
        <v>136</v>
      </c>
      <c r="L9" s="14">
        <v>0</v>
      </c>
      <c r="M9" s="14">
        <v>530</v>
      </c>
      <c r="N9" s="14">
        <v>12</v>
      </c>
      <c r="O9" s="14">
        <f>英雄数据!N9</f>
        <v>55</v>
      </c>
      <c r="P9" s="14">
        <f>英雄数据!O9</f>
        <v>2.09</v>
      </c>
      <c r="Q9" s="14">
        <f>英雄数据!R9</f>
        <v>23</v>
      </c>
      <c r="R9" s="14">
        <f>英雄数据!S9</f>
        <v>1.21</v>
      </c>
      <c r="S9" s="14">
        <f>英雄数据!V9</f>
        <v>60</v>
      </c>
      <c r="T9" s="14">
        <f>英雄数据!W9</f>
        <v>2.09</v>
      </c>
      <c r="U9" s="14">
        <f>英雄数据!Z9</f>
        <v>44</v>
      </c>
      <c r="V9" s="14">
        <f>英雄数据!AA9</f>
        <v>1.98</v>
      </c>
      <c r="W9" s="14">
        <v>10</v>
      </c>
      <c r="X9" s="14">
        <v>1</v>
      </c>
      <c r="Y9" s="14">
        <v>1200</v>
      </c>
      <c r="Z9" s="41">
        <f t="shared" si="1"/>
        <v>1300</v>
      </c>
      <c r="AA9" s="14">
        <v>400</v>
      </c>
      <c r="AB9" s="14">
        <v>10</v>
      </c>
      <c r="AC9" s="14">
        <f t="shared" si="0"/>
        <v>1</v>
      </c>
      <c r="AD9" s="14" t="s">
        <v>137</v>
      </c>
      <c r="AE9" s="14">
        <v>110007</v>
      </c>
      <c r="AF9" s="14" t="s">
        <v>138</v>
      </c>
      <c r="AG9" s="14">
        <v>106001</v>
      </c>
      <c r="AH9" s="14" t="s">
        <v>139</v>
      </c>
      <c r="AI9" s="14">
        <v>0</v>
      </c>
      <c r="AJ9" s="14">
        <v>1</v>
      </c>
      <c r="AK9" s="14">
        <v>1.7</v>
      </c>
      <c r="AL9" s="14">
        <v>0</v>
      </c>
      <c r="AM9" s="47">
        <v>1</v>
      </c>
      <c r="AN9" s="47">
        <v>0</v>
      </c>
      <c r="AO9" s="47">
        <v>2</v>
      </c>
      <c r="AP9" s="48" t="s">
        <v>111</v>
      </c>
      <c r="AQ9" s="47">
        <v>8</v>
      </c>
      <c r="AR9" s="47">
        <v>45</v>
      </c>
      <c r="AS9" s="47">
        <v>12</v>
      </c>
      <c r="AT9" s="47" t="s">
        <v>140</v>
      </c>
      <c r="AU9" s="47">
        <v>0</v>
      </c>
      <c r="AV9" s="47">
        <v>0</v>
      </c>
    </row>
    <row r="10" s="50" customFormat="1" spans="1:48">
      <c r="A10" s="14">
        <v>21001</v>
      </c>
      <c r="B10" s="14" t="s">
        <v>141</v>
      </c>
      <c r="C10" s="14">
        <v>1</v>
      </c>
      <c r="D10" s="14">
        <v>1</v>
      </c>
      <c r="E10" s="33" t="s">
        <v>142</v>
      </c>
      <c r="F10" s="14" t="s">
        <v>98</v>
      </c>
      <c r="G10" s="14">
        <v>0</v>
      </c>
      <c r="H10" s="14" t="s">
        <v>106</v>
      </c>
      <c r="I10" s="14" t="s">
        <v>106</v>
      </c>
      <c r="J10" s="14" t="s">
        <v>143</v>
      </c>
      <c r="K10" s="14" t="s">
        <v>143</v>
      </c>
      <c r="L10" s="14">
        <v>0</v>
      </c>
      <c r="M10" s="14">
        <v>645</v>
      </c>
      <c r="N10" s="14">
        <v>16.5</v>
      </c>
      <c r="O10" s="14">
        <f>英雄数据!N10</f>
        <v>93</v>
      </c>
      <c r="P10" s="14">
        <f>英雄数据!O10</f>
        <v>2.73</v>
      </c>
      <c r="Q10" s="14">
        <f>英雄数据!R10</f>
        <v>50</v>
      </c>
      <c r="R10" s="14">
        <f>英雄数据!S10</f>
        <v>1.82</v>
      </c>
      <c r="S10" s="14">
        <f>英雄数据!V10</f>
        <v>57</v>
      </c>
      <c r="T10" s="14">
        <f>英雄数据!W10</f>
        <v>1.56</v>
      </c>
      <c r="U10" s="14">
        <f>英雄数据!Z10</f>
        <v>37</v>
      </c>
      <c r="V10" s="14">
        <f>英雄数据!AA10</f>
        <v>1.69</v>
      </c>
      <c r="W10" s="14">
        <v>10</v>
      </c>
      <c r="X10" s="14">
        <v>1</v>
      </c>
      <c r="Y10" s="14">
        <v>250</v>
      </c>
      <c r="Z10" s="41">
        <f t="shared" si="1"/>
        <v>650</v>
      </c>
      <c r="AA10" s="14">
        <v>400</v>
      </c>
      <c r="AB10" s="14">
        <v>8</v>
      </c>
      <c r="AC10" s="14">
        <f t="shared" si="0"/>
        <v>2</v>
      </c>
      <c r="AD10" s="14" t="s">
        <v>144</v>
      </c>
      <c r="AE10" s="14">
        <v>120001</v>
      </c>
      <c r="AF10" s="14" t="s">
        <v>145</v>
      </c>
      <c r="AG10" s="14">
        <v>201001</v>
      </c>
      <c r="AH10" s="14" t="s">
        <v>146</v>
      </c>
      <c r="AI10" s="14">
        <v>0</v>
      </c>
      <c r="AJ10" s="14">
        <v>1</v>
      </c>
      <c r="AK10" s="14">
        <v>1.7</v>
      </c>
      <c r="AL10" s="14">
        <v>0</v>
      </c>
      <c r="AM10" s="47">
        <v>2</v>
      </c>
      <c r="AN10" s="47">
        <v>1</v>
      </c>
      <c r="AO10" s="47">
        <v>3</v>
      </c>
      <c r="AP10" s="47">
        <v>4000</v>
      </c>
      <c r="AQ10" s="47">
        <v>3</v>
      </c>
      <c r="AR10" s="47">
        <v>30</v>
      </c>
      <c r="AS10" s="47">
        <v>10</v>
      </c>
      <c r="AT10" s="47" t="s">
        <v>147</v>
      </c>
      <c r="AU10" s="47">
        <v>0</v>
      </c>
      <c r="AV10" s="47">
        <v>0</v>
      </c>
    </row>
    <row r="11" s="50" customFormat="1" spans="1:48">
      <c r="A11" s="14">
        <v>22001</v>
      </c>
      <c r="B11" s="14" t="s">
        <v>148</v>
      </c>
      <c r="C11" s="14">
        <v>1</v>
      </c>
      <c r="D11" s="14">
        <v>1</v>
      </c>
      <c r="E11" s="33" t="s">
        <v>142</v>
      </c>
      <c r="F11" s="14" t="s">
        <v>106</v>
      </c>
      <c r="G11" s="14">
        <v>0</v>
      </c>
      <c r="H11" s="14" t="s">
        <v>106</v>
      </c>
      <c r="I11" s="14" t="s">
        <v>106</v>
      </c>
      <c r="J11" s="14" t="s">
        <v>149</v>
      </c>
      <c r="K11" s="14" t="s">
        <v>149</v>
      </c>
      <c r="L11" s="14">
        <v>0</v>
      </c>
      <c r="M11" s="14">
        <v>634</v>
      </c>
      <c r="N11" s="14">
        <v>10.4</v>
      </c>
      <c r="O11" s="14">
        <f>英雄数据!N11</f>
        <v>97</v>
      </c>
      <c r="P11" s="14">
        <f>英雄数据!O11</f>
        <v>2.86</v>
      </c>
      <c r="Q11" s="14">
        <f>英雄数据!R11</f>
        <v>46</v>
      </c>
      <c r="R11" s="14">
        <f>英雄数据!S11</f>
        <v>1.69</v>
      </c>
      <c r="S11" s="14">
        <f>英雄数据!V11</f>
        <v>53</v>
      </c>
      <c r="T11" s="14">
        <f>英雄数据!W11</f>
        <v>1.56</v>
      </c>
      <c r="U11" s="14">
        <f>英雄数据!Z11</f>
        <v>36</v>
      </c>
      <c r="V11" s="14">
        <f>英雄数据!AA11</f>
        <v>1.69</v>
      </c>
      <c r="W11" s="14">
        <v>17</v>
      </c>
      <c r="X11" s="14">
        <v>1</v>
      </c>
      <c r="Y11" s="14">
        <v>250</v>
      </c>
      <c r="Z11" s="41">
        <f t="shared" si="1"/>
        <v>650</v>
      </c>
      <c r="AA11" s="14">
        <v>550</v>
      </c>
      <c r="AB11" s="14">
        <v>8</v>
      </c>
      <c r="AC11" s="14">
        <f t="shared" si="0"/>
        <v>2</v>
      </c>
      <c r="AD11" s="14" t="s">
        <v>150</v>
      </c>
      <c r="AE11" s="14">
        <v>120002</v>
      </c>
      <c r="AF11" s="14" t="s">
        <v>151</v>
      </c>
      <c r="AG11" s="14">
        <v>202001</v>
      </c>
      <c r="AH11" s="14" t="s">
        <v>152</v>
      </c>
      <c r="AI11" s="14">
        <v>0</v>
      </c>
      <c r="AJ11" s="14">
        <v>1</v>
      </c>
      <c r="AK11" s="14">
        <v>1.7</v>
      </c>
      <c r="AL11" s="14">
        <v>0</v>
      </c>
      <c r="AM11" s="47">
        <v>3</v>
      </c>
      <c r="AN11" s="47">
        <v>1</v>
      </c>
      <c r="AO11" s="47">
        <v>3</v>
      </c>
      <c r="AP11" s="47">
        <v>3500</v>
      </c>
      <c r="AQ11" s="47">
        <v>3</v>
      </c>
      <c r="AR11" s="47">
        <v>70</v>
      </c>
      <c r="AS11" s="47">
        <v>16</v>
      </c>
      <c r="AT11" s="47" t="s">
        <v>153</v>
      </c>
      <c r="AU11" s="47">
        <v>0</v>
      </c>
      <c r="AV11" s="47">
        <v>0</v>
      </c>
    </row>
    <row r="12" s="50" customFormat="1" spans="1:48">
      <c r="A12" s="14">
        <v>23001</v>
      </c>
      <c r="B12" s="14" t="s">
        <v>154</v>
      </c>
      <c r="C12" s="14">
        <v>1</v>
      </c>
      <c r="D12" s="14">
        <v>1</v>
      </c>
      <c r="E12" s="33" t="s">
        <v>142</v>
      </c>
      <c r="F12" s="14" t="s">
        <v>114</v>
      </c>
      <c r="G12" s="14">
        <v>0</v>
      </c>
      <c r="H12" s="14" t="s">
        <v>106</v>
      </c>
      <c r="I12" s="14" t="s">
        <v>106</v>
      </c>
      <c r="J12" s="14" t="s">
        <v>155</v>
      </c>
      <c r="K12" s="14" t="s">
        <v>155</v>
      </c>
      <c r="L12" s="14">
        <v>0</v>
      </c>
      <c r="M12" s="14">
        <v>535</v>
      </c>
      <c r="N12" s="14">
        <v>13.2</v>
      </c>
      <c r="O12" s="14">
        <f>英雄数据!N12</f>
        <v>88</v>
      </c>
      <c r="P12" s="14">
        <f>英雄数据!O12</f>
        <v>2.73</v>
      </c>
      <c r="Q12" s="14">
        <f>英雄数据!R12</f>
        <v>37</v>
      </c>
      <c r="R12" s="14">
        <f>英雄数据!S12</f>
        <v>1.43</v>
      </c>
      <c r="S12" s="14">
        <f>英雄数据!V12</f>
        <v>48</v>
      </c>
      <c r="T12" s="14">
        <f>英雄数据!W12</f>
        <v>1.69</v>
      </c>
      <c r="U12" s="14">
        <f>英雄数据!Z12</f>
        <v>32</v>
      </c>
      <c r="V12" s="14">
        <f>英雄数据!AA12</f>
        <v>1.82</v>
      </c>
      <c r="W12" s="14">
        <v>24</v>
      </c>
      <c r="X12" s="14">
        <v>1</v>
      </c>
      <c r="Y12" s="14">
        <v>1200</v>
      </c>
      <c r="Z12" s="41">
        <f t="shared" si="1"/>
        <v>1300</v>
      </c>
      <c r="AA12" s="14">
        <v>400</v>
      </c>
      <c r="AB12" s="14">
        <v>10</v>
      </c>
      <c r="AC12" s="14">
        <f t="shared" si="0"/>
        <v>1</v>
      </c>
      <c r="AD12" s="14" t="s">
        <v>156</v>
      </c>
      <c r="AE12" s="14">
        <v>120003</v>
      </c>
      <c r="AF12" s="14" t="s">
        <v>145</v>
      </c>
      <c r="AG12" s="14">
        <v>203001</v>
      </c>
      <c r="AH12" s="14" t="s">
        <v>157</v>
      </c>
      <c r="AI12" s="14">
        <v>0</v>
      </c>
      <c r="AJ12" s="14">
        <v>1</v>
      </c>
      <c r="AK12" s="14">
        <v>1.7</v>
      </c>
      <c r="AL12" s="14">
        <v>0</v>
      </c>
      <c r="AM12" s="47">
        <v>2</v>
      </c>
      <c r="AN12" s="47">
        <v>1</v>
      </c>
      <c r="AO12" s="47">
        <v>4</v>
      </c>
      <c r="AP12" s="47">
        <v>3500</v>
      </c>
      <c r="AQ12" s="47">
        <v>3</v>
      </c>
      <c r="AR12" s="47">
        <v>30</v>
      </c>
      <c r="AS12" s="47">
        <v>17</v>
      </c>
      <c r="AT12" s="47" t="s">
        <v>158</v>
      </c>
      <c r="AU12" s="47">
        <v>0</v>
      </c>
      <c r="AV12" s="47">
        <v>0</v>
      </c>
    </row>
    <row r="13" s="50" customFormat="1" spans="1:48">
      <c r="A13" s="14">
        <v>24001</v>
      </c>
      <c r="B13" s="14" t="s">
        <v>159</v>
      </c>
      <c r="C13" s="14">
        <v>1</v>
      </c>
      <c r="D13" s="14">
        <v>1</v>
      </c>
      <c r="E13" s="33" t="s">
        <v>142</v>
      </c>
      <c r="F13" s="14" t="s">
        <v>121</v>
      </c>
      <c r="G13" s="14">
        <v>0</v>
      </c>
      <c r="H13" s="14" t="s">
        <v>106</v>
      </c>
      <c r="I13" s="14" t="s">
        <v>106</v>
      </c>
      <c r="J13" s="14" t="s">
        <v>160</v>
      </c>
      <c r="K13" s="14" t="s">
        <v>160</v>
      </c>
      <c r="L13" s="14">
        <v>0</v>
      </c>
      <c r="M13" s="14">
        <v>612</v>
      </c>
      <c r="N13" s="14">
        <v>14.9</v>
      </c>
      <c r="O13" s="14">
        <f>英雄数据!N13</f>
        <v>93</v>
      </c>
      <c r="P13" s="14">
        <f>英雄数据!O13</f>
        <v>2.86</v>
      </c>
      <c r="Q13" s="14">
        <f>英雄数据!R13</f>
        <v>44</v>
      </c>
      <c r="R13" s="14">
        <f>英雄数据!S13</f>
        <v>1.69</v>
      </c>
      <c r="S13" s="14">
        <f>英雄数据!V13</f>
        <v>61</v>
      </c>
      <c r="T13" s="14">
        <f>英雄数据!W13</f>
        <v>1.69</v>
      </c>
      <c r="U13" s="14">
        <f>英雄数据!Z13</f>
        <v>41</v>
      </c>
      <c r="V13" s="14">
        <f>英雄数据!AA13</f>
        <v>1.95</v>
      </c>
      <c r="W13" s="14">
        <v>20</v>
      </c>
      <c r="X13" s="14">
        <v>1</v>
      </c>
      <c r="Y13" s="14">
        <v>250</v>
      </c>
      <c r="Z13" s="41">
        <f t="shared" si="1"/>
        <v>650</v>
      </c>
      <c r="AA13" s="14">
        <v>550</v>
      </c>
      <c r="AB13" s="14">
        <v>8</v>
      </c>
      <c r="AC13" s="14">
        <f t="shared" si="0"/>
        <v>1</v>
      </c>
      <c r="AD13" s="14" t="s">
        <v>161</v>
      </c>
      <c r="AE13" s="14">
        <v>120004</v>
      </c>
      <c r="AF13" s="14" t="s">
        <v>162</v>
      </c>
      <c r="AG13" s="14">
        <v>204001</v>
      </c>
      <c r="AH13" s="14" t="s">
        <v>163</v>
      </c>
      <c r="AI13" s="14">
        <v>0</v>
      </c>
      <c r="AJ13" s="14">
        <v>1</v>
      </c>
      <c r="AK13" s="14">
        <v>1.7</v>
      </c>
      <c r="AL13" s="14">
        <v>0</v>
      </c>
      <c r="AM13" s="47">
        <v>3</v>
      </c>
      <c r="AN13" s="47">
        <v>1</v>
      </c>
      <c r="AO13" s="47">
        <v>4</v>
      </c>
      <c r="AP13" s="47">
        <v>3500</v>
      </c>
      <c r="AQ13" s="47">
        <v>8</v>
      </c>
      <c r="AR13" s="47">
        <v>60</v>
      </c>
      <c r="AS13" s="47">
        <v>18</v>
      </c>
      <c r="AT13" s="47" t="s">
        <v>164</v>
      </c>
      <c r="AU13" s="47">
        <v>0</v>
      </c>
      <c r="AV13" s="47">
        <v>0</v>
      </c>
    </row>
    <row r="14" s="50" customFormat="1" spans="1:48">
      <c r="A14" s="14">
        <v>25001</v>
      </c>
      <c r="B14" s="14" t="s">
        <v>165</v>
      </c>
      <c r="C14" s="14">
        <v>2</v>
      </c>
      <c r="D14" s="14">
        <v>1</v>
      </c>
      <c r="E14" s="33" t="s">
        <v>142</v>
      </c>
      <c r="F14" s="14" t="s">
        <v>128</v>
      </c>
      <c r="G14" s="14">
        <v>0</v>
      </c>
      <c r="H14" s="14" t="s">
        <v>106</v>
      </c>
      <c r="I14" s="14" t="s">
        <v>106</v>
      </c>
      <c r="J14" s="14" t="s">
        <v>166</v>
      </c>
      <c r="K14" s="14" t="s">
        <v>166</v>
      </c>
      <c r="L14" s="14">
        <v>0</v>
      </c>
      <c r="M14" s="14">
        <v>535</v>
      </c>
      <c r="N14" s="14">
        <v>12.1</v>
      </c>
      <c r="O14" s="14">
        <f>英雄数据!N14</f>
        <v>74</v>
      </c>
      <c r="P14" s="14">
        <f>英雄数据!O14</f>
        <v>3.25</v>
      </c>
      <c r="Q14" s="14">
        <f>英雄数据!R14</f>
        <v>32</v>
      </c>
      <c r="R14" s="14">
        <f>英雄数据!S14</f>
        <v>1.43</v>
      </c>
      <c r="S14" s="14">
        <f>英雄数据!V14</f>
        <v>92</v>
      </c>
      <c r="T14" s="14">
        <f>英雄数据!W14</f>
        <v>3.25</v>
      </c>
      <c r="U14" s="14">
        <f>英雄数据!Z14</f>
        <v>42</v>
      </c>
      <c r="V14" s="14">
        <f>英雄数据!AA14</f>
        <v>2.34</v>
      </c>
      <c r="W14" s="14">
        <v>13</v>
      </c>
      <c r="X14" s="14">
        <v>1</v>
      </c>
      <c r="Y14" s="14">
        <v>1200</v>
      </c>
      <c r="Z14" s="41">
        <f t="shared" si="1"/>
        <v>1300</v>
      </c>
      <c r="AA14" s="14">
        <v>400</v>
      </c>
      <c r="AB14" s="14">
        <v>10</v>
      </c>
      <c r="AC14" s="14">
        <f t="shared" si="0"/>
        <v>1</v>
      </c>
      <c r="AD14" s="14" t="s">
        <v>167</v>
      </c>
      <c r="AE14" s="14">
        <v>120005</v>
      </c>
      <c r="AF14" s="14" t="s">
        <v>168</v>
      </c>
      <c r="AG14" s="14">
        <v>205001</v>
      </c>
      <c r="AH14" s="14" t="s">
        <v>169</v>
      </c>
      <c r="AI14" s="14">
        <v>0</v>
      </c>
      <c r="AJ14" s="14">
        <v>1</v>
      </c>
      <c r="AK14" s="14">
        <v>1.7</v>
      </c>
      <c r="AL14" s="14">
        <v>0</v>
      </c>
      <c r="AM14" s="47">
        <v>1</v>
      </c>
      <c r="AN14" s="47">
        <v>1</v>
      </c>
      <c r="AO14" s="47">
        <v>4</v>
      </c>
      <c r="AP14" s="47">
        <v>3500</v>
      </c>
      <c r="AQ14" s="47">
        <v>4</v>
      </c>
      <c r="AR14" s="47">
        <v>45</v>
      </c>
      <c r="AS14" s="47">
        <v>19</v>
      </c>
      <c r="AT14" s="47" t="s">
        <v>170</v>
      </c>
      <c r="AU14" s="47">
        <v>0</v>
      </c>
      <c r="AV14" s="47">
        <v>0</v>
      </c>
    </row>
    <row r="15" s="50" customFormat="1" spans="1:48">
      <c r="A15" s="14">
        <v>26001</v>
      </c>
      <c r="B15" s="14" t="s">
        <v>171</v>
      </c>
      <c r="C15" s="14">
        <v>2</v>
      </c>
      <c r="D15" s="14">
        <v>1</v>
      </c>
      <c r="E15" s="33" t="s">
        <v>142</v>
      </c>
      <c r="F15" s="14" t="s">
        <v>135</v>
      </c>
      <c r="G15" s="14">
        <v>0</v>
      </c>
      <c r="H15" s="14" t="s">
        <v>106</v>
      </c>
      <c r="I15" s="14" t="s">
        <v>106</v>
      </c>
      <c r="J15" s="14" t="s">
        <v>172</v>
      </c>
      <c r="K15" s="14" t="s">
        <v>172</v>
      </c>
      <c r="L15" s="14">
        <v>0</v>
      </c>
      <c r="M15" s="14">
        <v>568</v>
      </c>
      <c r="N15" s="14">
        <v>13.2</v>
      </c>
      <c r="O15" s="14">
        <f>英雄数据!N15</f>
        <v>71</v>
      </c>
      <c r="P15" s="14">
        <f>英雄数据!O15</f>
        <v>2.99</v>
      </c>
      <c r="Q15" s="14">
        <f>英雄数据!R15</f>
        <v>39</v>
      </c>
      <c r="R15" s="14">
        <f>英雄数据!S15</f>
        <v>1.56</v>
      </c>
      <c r="S15" s="14">
        <f>英雄数据!V15</f>
        <v>83</v>
      </c>
      <c r="T15" s="14">
        <f>英雄数据!W15</f>
        <v>2.99</v>
      </c>
      <c r="U15" s="14">
        <f>英雄数据!Z15</f>
        <v>58</v>
      </c>
      <c r="V15" s="14">
        <f>英雄数据!AA15</f>
        <v>2.6</v>
      </c>
      <c r="W15" s="14">
        <v>11</v>
      </c>
      <c r="X15" s="14">
        <v>1</v>
      </c>
      <c r="Y15" s="14">
        <v>1200</v>
      </c>
      <c r="Z15" s="41">
        <f t="shared" si="1"/>
        <v>1300</v>
      </c>
      <c r="AA15" s="14">
        <v>400</v>
      </c>
      <c r="AB15" s="14">
        <v>10</v>
      </c>
      <c r="AC15" s="14">
        <f t="shared" si="0"/>
        <v>1</v>
      </c>
      <c r="AD15" s="14" t="s">
        <v>173</v>
      </c>
      <c r="AE15" s="14">
        <v>120006</v>
      </c>
      <c r="AF15" s="14" t="s">
        <v>174</v>
      </c>
      <c r="AG15" s="14">
        <v>206001</v>
      </c>
      <c r="AH15" s="14" t="s">
        <v>175</v>
      </c>
      <c r="AI15" s="14">
        <v>0</v>
      </c>
      <c r="AJ15" s="14">
        <v>1</v>
      </c>
      <c r="AK15" s="14">
        <v>1.7</v>
      </c>
      <c r="AL15" s="14">
        <v>0</v>
      </c>
      <c r="AM15" s="47">
        <v>1</v>
      </c>
      <c r="AN15" s="47">
        <v>1</v>
      </c>
      <c r="AO15" s="47">
        <v>4</v>
      </c>
      <c r="AP15" s="47">
        <v>3500</v>
      </c>
      <c r="AQ15" s="47">
        <v>14</v>
      </c>
      <c r="AR15" s="47">
        <v>45</v>
      </c>
      <c r="AS15" s="47">
        <v>20</v>
      </c>
      <c r="AT15" s="47" t="s">
        <v>176</v>
      </c>
      <c r="AU15" s="47">
        <v>0</v>
      </c>
      <c r="AV15" s="47">
        <v>0</v>
      </c>
    </row>
    <row r="16" s="50" customFormat="1" spans="1:48">
      <c r="A16" s="14">
        <v>28001</v>
      </c>
      <c r="B16" s="14" t="s">
        <v>177</v>
      </c>
      <c r="C16" s="14">
        <v>1</v>
      </c>
      <c r="D16" s="14">
        <v>1</v>
      </c>
      <c r="E16" s="33" t="s">
        <v>142</v>
      </c>
      <c r="F16" s="14" t="s">
        <v>178</v>
      </c>
      <c r="G16" s="14">
        <v>0</v>
      </c>
      <c r="H16" s="14" t="s">
        <v>106</v>
      </c>
      <c r="I16" s="14" t="s">
        <v>106</v>
      </c>
      <c r="J16" s="14" t="s">
        <v>179</v>
      </c>
      <c r="K16" s="14" t="s">
        <v>179</v>
      </c>
      <c r="L16" s="14">
        <v>0</v>
      </c>
      <c r="M16" s="14">
        <v>623</v>
      </c>
      <c r="N16" s="14">
        <v>19.8</v>
      </c>
      <c r="O16" s="14">
        <f>英雄数据!N16</f>
        <v>98</v>
      </c>
      <c r="P16" s="14">
        <f>英雄数据!O16</f>
        <v>2.73</v>
      </c>
      <c r="Q16" s="14">
        <f>英雄数据!R16</f>
        <v>42</v>
      </c>
      <c r="R16" s="14">
        <f>英雄数据!S16</f>
        <v>1.69</v>
      </c>
      <c r="S16" s="14">
        <f>英雄数据!V16</f>
        <v>49</v>
      </c>
      <c r="T16" s="14">
        <f>英雄数据!W16</f>
        <v>1.43</v>
      </c>
      <c r="U16" s="14">
        <f>英雄数据!Z16</f>
        <v>23</v>
      </c>
      <c r="V16" s="14">
        <f>英雄数据!AA16</f>
        <v>1.43</v>
      </c>
      <c r="W16" s="14">
        <v>26</v>
      </c>
      <c r="X16" s="14">
        <v>1</v>
      </c>
      <c r="Y16" s="14">
        <v>250</v>
      </c>
      <c r="Z16" s="41">
        <f t="shared" si="1"/>
        <v>650</v>
      </c>
      <c r="AA16" s="14">
        <v>400</v>
      </c>
      <c r="AB16" s="14">
        <v>8</v>
      </c>
      <c r="AC16" s="14">
        <f t="shared" si="0"/>
        <v>2</v>
      </c>
      <c r="AD16" s="14" t="s">
        <v>180</v>
      </c>
      <c r="AE16" s="14">
        <v>120007</v>
      </c>
      <c r="AF16" s="14" t="s">
        <v>181</v>
      </c>
      <c r="AG16" s="14">
        <v>208001</v>
      </c>
      <c r="AH16" s="14" t="s">
        <v>182</v>
      </c>
      <c r="AI16" s="14">
        <v>0</v>
      </c>
      <c r="AJ16" s="14">
        <v>1</v>
      </c>
      <c r="AK16" s="14">
        <v>1.7</v>
      </c>
      <c r="AL16" s="14">
        <v>0</v>
      </c>
      <c r="AM16" s="47">
        <v>1</v>
      </c>
      <c r="AN16" s="47">
        <v>1</v>
      </c>
      <c r="AO16" s="47">
        <v>4</v>
      </c>
      <c r="AP16" s="47">
        <v>3500</v>
      </c>
      <c r="AQ16" s="47">
        <v>14</v>
      </c>
      <c r="AR16" s="47">
        <v>45</v>
      </c>
      <c r="AS16" s="47">
        <v>20</v>
      </c>
      <c r="AT16" s="47" t="s">
        <v>176</v>
      </c>
      <c r="AU16" s="47">
        <v>0</v>
      </c>
      <c r="AV16" s="47">
        <v>0</v>
      </c>
    </row>
    <row r="17" s="50" customFormat="1" spans="1:48">
      <c r="A17" s="14">
        <v>31001</v>
      </c>
      <c r="B17" s="14" t="s">
        <v>183</v>
      </c>
      <c r="C17" s="14">
        <v>1</v>
      </c>
      <c r="D17" s="14">
        <v>1</v>
      </c>
      <c r="E17" s="33" t="s">
        <v>184</v>
      </c>
      <c r="F17" s="14" t="s">
        <v>98</v>
      </c>
      <c r="G17" s="14">
        <v>0</v>
      </c>
      <c r="H17" s="14" t="s">
        <v>114</v>
      </c>
      <c r="I17" s="14" t="s">
        <v>114</v>
      </c>
      <c r="J17" s="14" t="s">
        <v>185</v>
      </c>
      <c r="K17" s="14" t="s">
        <v>185</v>
      </c>
      <c r="L17" s="14">
        <v>0</v>
      </c>
      <c r="M17" s="14">
        <v>690</v>
      </c>
      <c r="N17" s="14">
        <v>19.8</v>
      </c>
      <c r="O17" s="14">
        <f>英雄数据!N17</f>
        <v>120</v>
      </c>
      <c r="P17" s="14">
        <f>英雄数据!O17</f>
        <v>3.75</v>
      </c>
      <c r="Q17" s="14">
        <f>英雄数据!R17</f>
        <v>69</v>
      </c>
      <c r="R17" s="14">
        <f>英雄数据!S17</f>
        <v>2.55</v>
      </c>
      <c r="S17" s="14">
        <f>英雄数据!V17</f>
        <v>70</v>
      </c>
      <c r="T17" s="14">
        <f>英雄数据!W17</f>
        <v>2.1</v>
      </c>
      <c r="U17" s="14">
        <f>英雄数据!Z17</f>
        <v>48</v>
      </c>
      <c r="V17" s="14">
        <f>英雄数据!AA17</f>
        <v>2.4</v>
      </c>
      <c r="W17" s="14">
        <v>17</v>
      </c>
      <c r="X17" s="14">
        <v>1</v>
      </c>
      <c r="Y17" s="14">
        <v>250</v>
      </c>
      <c r="Z17" s="41">
        <f t="shared" si="1"/>
        <v>650</v>
      </c>
      <c r="AA17" s="14">
        <v>400</v>
      </c>
      <c r="AB17" s="14">
        <v>8</v>
      </c>
      <c r="AC17" s="14">
        <f t="shared" si="0"/>
        <v>2</v>
      </c>
      <c r="AD17" s="14" t="s">
        <v>186</v>
      </c>
      <c r="AE17" s="14">
        <v>130001</v>
      </c>
      <c r="AF17" s="14" t="s">
        <v>187</v>
      </c>
      <c r="AG17" s="14">
        <v>301001</v>
      </c>
      <c r="AH17" s="14" t="s">
        <v>188</v>
      </c>
      <c r="AI17" s="14">
        <v>0</v>
      </c>
      <c r="AJ17" s="14">
        <v>1</v>
      </c>
      <c r="AK17" s="14">
        <v>1.7</v>
      </c>
      <c r="AL17" s="14">
        <v>0</v>
      </c>
      <c r="AM17" s="47">
        <v>1</v>
      </c>
      <c r="AN17" s="47">
        <v>0</v>
      </c>
      <c r="AO17" s="47">
        <v>5</v>
      </c>
      <c r="AP17" s="47">
        <v>3500</v>
      </c>
      <c r="AQ17" s="47">
        <v>3</v>
      </c>
      <c r="AR17" s="47">
        <v>45</v>
      </c>
      <c r="AS17" s="47">
        <v>21</v>
      </c>
      <c r="AT17" s="47" t="s">
        <v>189</v>
      </c>
      <c r="AU17" s="47">
        <v>0</v>
      </c>
      <c r="AV17" s="47">
        <v>0</v>
      </c>
    </row>
    <row r="18" s="50" customFormat="1" spans="1:48">
      <c r="A18" s="14">
        <v>32001</v>
      </c>
      <c r="B18" s="14" t="s">
        <v>190</v>
      </c>
      <c r="C18" s="14">
        <v>1</v>
      </c>
      <c r="D18" s="14">
        <v>1</v>
      </c>
      <c r="E18" s="33" t="s">
        <v>184</v>
      </c>
      <c r="F18" s="14" t="s">
        <v>114</v>
      </c>
      <c r="G18" s="14">
        <v>0</v>
      </c>
      <c r="H18" s="14" t="s">
        <v>114</v>
      </c>
      <c r="I18" s="14" t="s">
        <v>114</v>
      </c>
      <c r="J18" s="14" t="s">
        <v>191</v>
      </c>
      <c r="K18" s="14" t="s">
        <v>191</v>
      </c>
      <c r="L18" s="14">
        <v>0</v>
      </c>
      <c r="M18" s="14">
        <v>606</v>
      </c>
      <c r="N18" s="14">
        <v>10.8</v>
      </c>
      <c r="O18" s="14">
        <f>英雄数据!N18</f>
        <v>96</v>
      </c>
      <c r="P18" s="14">
        <f>英雄数据!O18</f>
        <v>3.75</v>
      </c>
      <c r="Q18" s="14">
        <f>英雄数据!R18</f>
        <v>42</v>
      </c>
      <c r="R18" s="14">
        <f>英雄数据!S18</f>
        <v>1.95</v>
      </c>
      <c r="S18" s="14">
        <f>英雄数据!V18</f>
        <v>61</v>
      </c>
      <c r="T18" s="14">
        <f>英雄数据!W18</f>
        <v>2.4</v>
      </c>
      <c r="U18" s="14">
        <f>英雄数据!Z18</f>
        <v>46</v>
      </c>
      <c r="V18" s="14">
        <f>英雄数据!AA18</f>
        <v>2.55</v>
      </c>
      <c r="W18" s="14">
        <v>26</v>
      </c>
      <c r="X18" s="14">
        <v>1</v>
      </c>
      <c r="Y18" s="14">
        <v>1200</v>
      </c>
      <c r="Z18" s="41">
        <f t="shared" si="1"/>
        <v>1300</v>
      </c>
      <c r="AA18" s="14">
        <v>400</v>
      </c>
      <c r="AB18" s="14">
        <v>10</v>
      </c>
      <c r="AC18" s="14">
        <f t="shared" si="0"/>
        <v>1</v>
      </c>
      <c r="AD18" s="14" t="s">
        <v>192</v>
      </c>
      <c r="AE18" s="14">
        <v>130003</v>
      </c>
      <c r="AF18" s="14" t="s">
        <v>193</v>
      </c>
      <c r="AG18" s="14">
        <v>302001</v>
      </c>
      <c r="AH18" s="14" t="s">
        <v>194</v>
      </c>
      <c r="AI18" s="14">
        <v>0</v>
      </c>
      <c r="AJ18" s="14">
        <v>1</v>
      </c>
      <c r="AK18" s="14">
        <v>1.7</v>
      </c>
      <c r="AL18" s="14">
        <v>0</v>
      </c>
      <c r="AM18" s="47">
        <v>3</v>
      </c>
      <c r="AN18" s="47">
        <v>0</v>
      </c>
      <c r="AO18" s="47">
        <v>5</v>
      </c>
      <c r="AP18" s="47">
        <v>3500</v>
      </c>
      <c r="AQ18" s="47">
        <v>3</v>
      </c>
      <c r="AR18" s="47">
        <v>60</v>
      </c>
      <c r="AS18" s="47">
        <v>15</v>
      </c>
      <c r="AT18" s="47" t="s">
        <v>195</v>
      </c>
      <c r="AU18" s="47">
        <v>0</v>
      </c>
      <c r="AV18" s="47">
        <v>0</v>
      </c>
    </row>
    <row r="19" s="50" customFormat="1" spans="1:48">
      <c r="A19" s="14">
        <v>34001</v>
      </c>
      <c r="B19" s="14" t="s">
        <v>196</v>
      </c>
      <c r="C19" s="14">
        <v>1</v>
      </c>
      <c r="D19" s="14">
        <v>1</v>
      </c>
      <c r="E19" s="33" t="s">
        <v>184</v>
      </c>
      <c r="F19" s="14" t="s">
        <v>121</v>
      </c>
      <c r="G19" s="14">
        <v>0</v>
      </c>
      <c r="H19" s="14" t="s">
        <v>114</v>
      </c>
      <c r="I19" s="14" t="s">
        <v>114</v>
      </c>
      <c r="J19" s="14" t="s">
        <v>197</v>
      </c>
      <c r="K19" s="14" t="s">
        <v>197</v>
      </c>
      <c r="L19" s="14">
        <v>0</v>
      </c>
      <c r="M19" s="14">
        <v>654</v>
      </c>
      <c r="N19" s="14">
        <v>17.9</v>
      </c>
      <c r="O19" s="14">
        <f>英雄数据!N19</f>
        <v>117</v>
      </c>
      <c r="P19" s="14">
        <f>英雄数据!O19</f>
        <v>3.9</v>
      </c>
      <c r="Q19" s="14">
        <f>英雄数据!R19</f>
        <v>60</v>
      </c>
      <c r="R19" s="14">
        <f>英雄数据!S19</f>
        <v>2.4</v>
      </c>
      <c r="S19" s="14">
        <f>英雄数据!V19</f>
        <v>75</v>
      </c>
      <c r="T19" s="14">
        <f>英雄数据!W19</f>
        <v>2.4</v>
      </c>
      <c r="U19" s="14">
        <f>英雄数据!Z19</f>
        <v>52</v>
      </c>
      <c r="V19" s="14">
        <f>英雄数据!AA19</f>
        <v>2.7</v>
      </c>
      <c r="W19" s="14">
        <v>21</v>
      </c>
      <c r="X19" s="14">
        <v>1</v>
      </c>
      <c r="Y19" s="14">
        <v>250</v>
      </c>
      <c r="Z19" s="41">
        <f t="shared" si="1"/>
        <v>650</v>
      </c>
      <c r="AA19" s="14">
        <v>550</v>
      </c>
      <c r="AB19" s="14">
        <v>8</v>
      </c>
      <c r="AC19" s="14">
        <f t="shared" si="0"/>
        <v>1</v>
      </c>
      <c r="AD19" s="14" t="s">
        <v>198</v>
      </c>
      <c r="AE19" s="14">
        <v>130005</v>
      </c>
      <c r="AF19" s="14" t="s">
        <v>199</v>
      </c>
      <c r="AG19" s="14">
        <v>304001</v>
      </c>
      <c r="AH19" s="14" t="s">
        <v>200</v>
      </c>
      <c r="AI19" s="14">
        <v>0</v>
      </c>
      <c r="AJ19" s="14">
        <v>1</v>
      </c>
      <c r="AK19" s="14">
        <v>1.7</v>
      </c>
      <c r="AL19" s="14">
        <v>0</v>
      </c>
      <c r="AM19" s="47">
        <v>2</v>
      </c>
      <c r="AN19" s="47">
        <v>0</v>
      </c>
      <c r="AO19" s="47">
        <v>5</v>
      </c>
      <c r="AP19" s="47">
        <v>3500</v>
      </c>
      <c r="AQ19" s="47">
        <v>14</v>
      </c>
      <c r="AR19" s="47">
        <v>30</v>
      </c>
      <c r="AS19" s="47">
        <v>24</v>
      </c>
      <c r="AT19" s="47" t="s">
        <v>201</v>
      </c>
      <c r="AU19" s="47">
        <v>0</v>
      </c>
      <c r="AV19" s="47">
        <v>0</v>
      </c>
    </row>
    <row r="20" s="50" customFormat="1" spans="1:48">
      <c r="A20" s="14">
        <v>35001</v>
      </c>
      <c r="B20" s="14" t="s">
        <v>202</v>
      </c>
      <c r="C20" s="14">
        <v>2</v>
      </c>
      <c r="D20" s="14">
        <v>1</v>
      </c>
      <c r="E20" s="33" t="s">
        <v>184</v>
      </c>
      <c r="F20" s="14" t="s">
        <v>128</v>
      </c>
      <c r="G20" s="14">
        <v>0</v>
      </c>
      <c r="H20" s="14" t="s">
        <v>114</v>
      </c>
      <c r="I20" s="14" t="s">
        <v>114</v>
      </c>
      <c r="J20" s="14" t="s">
        <v>203</v>
      </c>
      <c r="K20" s="14" t="s">
        <v>203</v>
      </c>
      <c r="L20" s="14">
        <v>0</v>
      </c>
      <c r="M20" s="14">
        <v>570</v>
      </c>
      <c r="N20" s="14">
        <v>14.5</v>
      </c>
      <c r="O20" s="14">
        <f>英雄数据!N20</f>
        <v>76</v>
      </c>
      <c r="P20" s="14">
        <f>英雄数据!O20</f>
        <v>4.2</v>
      </c>
      <c r="Q20" s="14">
        <f>英雄数据!R20</f>
        <v>49</v>
      </c>
      <c r="R20" s="14">
        <f>英雄数据!S20</f>
        <v>1.95</v>
      </c>
      <c r="S20" s="14">
        <f>英雄数据!V20</f>
        <v>115</v>
      </c>
      <c r="T20" s="14">
        <f>英雄数据!W20</f>
        <v>4.2</v>
      </c>
      <c r="U20" s="14">
        <f>英雄数据!Z20</f>
        <v>55</v>
      </c>
      <c r="V20" s="14">
        <f>英雄数据!AA20</f>
        <v>3.3</v>
      </c>
      <c r="W20" s="14">
        <v>14</v>
      </c>
      <c r="X20" s="14">
        <v>1</v>
      </c>
      <c r="Y20" s="14">
        <v>1200</v>
      </c>
      <c r="Z20" s="41">
        <f t="shared" si="1"/>
        <v>1300</v>
      </c>
      <c r="AA20" s="14">
        <v>400</v>
      </c>
      <c r="AB20" s="14">
        <v>10</v>
      </c>
      <c r="AC20" s="14">
        <f t="shared" si="0"/>
        <v>1</v>
      </c>
      <c r="AD20" s="14" t="s">
        <v>204</v>
      </c>
      <c r="AE20" s="14">
        <v>130006</v>
      </c>
      <c r="AF20" s="14" t="s">
        <v>205</v>
      </c>
      <c r="AG20" s="14">
        <v>305001</v>
      </c>
      <c r="AH20" s="14" t="s">
        <v>206</v>
      </c>
      <c r="AI20" s="14">
        <v>0</v>
      </c>
      <c r="AJ20" s="14">
        <v>1</v>
      </c>
      <c r="AK20" s="14">
        <v>1.7</v>
      </c>
      <c r="AL20" s="14">
        <v>0</v>
      </c>
      <c r="AM20" s="47">
        <v>3</v>
      </c>
      <c r="AN20" s="47">
        <v>1</v>
      </c>
      <c r="AO20" s="47">
        <v>6</v>
      </c>
      <c r="AP20" s="47">
        <v>3500</v>
      </c>
      <c r="AQ20" s="47">
        <v>3</v>
      </c>
      <c r="AR20" s="47">
        <v>30</v>
      </c>
      <c r="AS20" s="47">
        <v>25</v>
      </c>
      <c r="AT20" s="47" t="s">
        <v>207</v>
      </c>
      <c r="AU20" s="47">
        <v>0</v>
      </c>
      <c r="AV20" s="47">
        <v>0</v>
      </c>
    </row>
    <row r="21" s="50" customFormat="1" spans="1:48">
      <c r="A21" s="14">
        <v>36001</v>
      </c>
      <c r="B21" s="14" t="s">
        <v>208</v>
      </c>
      <c r="C21" s="14">
        <v>2</v>
      </c>
      <c r="D21" s="14">
        <v>1</v>
      </c>
      <c r="E21" s="33" t="s">
        <v>184</v>
      </c>
      <c r="F21" s="14" t="s">
        <v>135</v>
      </c>
      <c r="G21" s="14">
        <v>0</v>
      </c>
      <c r="H21" s="14" t="s">
        <v>114</v>
      </c>
      <c r="I21" s="14" t="s">
        <v>114</v>
      </c>
      <c r="J21" s="14" t="s">
        <v>209</v>
      </c>
      <c r="K21" s="14" t="s">
        <v>209</v>
      </c>
      <c r="L21" s="14">
        <v>0</v>
      </c>
      <c r="M21" s="14">
        <v>630</v>
      </c>
      <c r="N21" s="14">
        <v>10.8</v>
      </c>
      <c r="O21" s="14">
        <f>英雄数据!N21</f>
        <v>81</v>
      </c>
      <c r="P21" s="14">
        <f>英雄数据!O21</f>
        <v>3.9</v>
      </c>
      <c r="Q21" s="14">
        <f>英雄数据!R21</f>
        <v>42</v>
      </c>
      <c r="R21" s="14">
        <f>英雄数据!S21</f>
        <v>2.1</v>
      </c>
      <c r="S21" s="14">
        <f>英雄数据!V21</f>
        <v>108</v>
      </c>
      <c r="T21" s="14">
        <f>英雄数据!W21</f>
        <v>3.9</v>
      </c>
      <c r="U21" s="14">
        <f>英雄数据!Z21</f>
        <v>72</v>
      </c>
      <c r="V21" s="14">
        <f>英雄数据!AA21</f>
        <v>3.6</v>
      </c>
      <c r="W21" s="14">
        <v>12</v>
      </c>
      <c r="X21" s="14">
        <v>1</v>
      </c>
      <c r="Y21" s="14">
        <v>1200</v>
      </c>
      <c r="Z21" s="41">
        <f t="shared" si="1"/>
        <v>1300</v>
      </c>
      <c r="AA21" s="14">
        <v>400</v>
      </c>
      <c r="AB21" s="14">
        <v>10</v>
      </c>
      <c r="AC21" s="14">
        <f t="shared" si="0"/>
        <v>1</v>
      </c>
      <c r="AD21" s="14" t="s">
        <v>210</v>
      </c>
      <c r="AE21" s="14">
        <v>130007</v>
      </c>
      <c r="AF21" s="14" t="s">
        <v>211</v>
      </c>
      <c r="AG21" s="14">
        <v>306001</v>
      </c>
      <c r="AH21" s="14" t="s">
        <v>212</v>
      </c>
      <c r="AI21" s="14">
        <v>0</v>
      </c>
      <c r="AJ21" s="14">
        <v>1</v>
      </c>
      <c r="AK21" s="14">
        <v>1.7</v>
      </c>
      <c r="AL21" s="14">
        <v>0</v>
      </c>
      <c r="AM21" s="47">
        <v>1</v>
      </c>
      <c r="AN21" s="47">
        <v>0</v>
      </c>
      <c r="AO21" s="47">
        <v>6</v>
      </c>
      <c r="AP21" s="47">
        <v>4000</v>
      </c>
      <c r="AQ21" s="47">
        <v>3</v>
      </c>
      <c r="AR21" s="47">
        <v>30</v>
      </c>
      <c r="AS21" s="47">
        <v>26</v>
      </c>
      <c r="AT21" s="47" t="s">
        <v>213</v>
      </c>
      <c r="AU21" s="47">
        <v>0</v>
      </c>
      <c r="AV21" s="47">
        <v>0</v>
      </c>
    </row>
    <row r="22" ht="15" customHeight="1" spans="1:56">
      <c r="A22" s="5">
        <v>111001</v>
      </c>
      <c r="B22" s="14" t="s">
        <v>214</v>
      </c>
      <c r="C22" s="14">
        <v>11</v>
      </c>
      <c r="D22" s="14">
        <v>2</v>
      </c>
      <c r="E22" s="33" t="s">
        <v>215</v>
      </c>
      <c r="F22" s="14">
        <v>1</v>
      </c>
      <c r="G22" s="14">
        <v>1</v>
      </c>
      <c r="H22" s="14">
        <v>0</v>
      </c>
      <c r="I22" s="14">
        <v>0</v>
      </c>
      <c r="J22" s="14" t="s">
        <v>216</v>
      </c>
      <c r="K22" s="14" t="s">
        <v>216</v>
      </c>
      <c r="L22" s="14">
        <v>0</v>
      </c>
      <c r="M22" s="14">
        <f>士兵数据!L2</f>
        <v>296</v>
      </c>
      <c r="N22" s="14">
        <v>0</v>
      </c>
      <c r="O22" s="14">
        <f>士兵数据!N2</f>
        <v>81</v>
      </c>
      <c r="P22" s="14">
        <v>0</v>
      </c>
      <c r="Q22" s="14">
        <f>士兵数据!P2</f>
        <v>37</v>
      </c>
      <c r="R22" s="14">
        <v>0</v>
      </c>
      <c r="S22" s="14">
        <f>士兵数据!Q2</f>
        <v>50</v>
      </c>
      <c r="T22" s="14">
        <v>0</v>
      </c>
      <c r="U22" s="14">
        <f>士兵数据!T2</f>
        <v>31</v>
      </c>
      <c r="V22" s="14">
        <v>0</v>
      </c>
      <c r="W22" s="14">
        <v>10</v>
      </c>
      <c r="X22" s="14">
        <v>0</v>
      </c>
      <c r="Y22" s="14">
        <v>200</v>
      </c>
      <c r="Z22" s="41">
        <v>1300</v>
      </c>
      <c r="AA22" s="14">
        <v>400</v>
      </c>
      <c r="AB22" s="14">
        <v>8</v>
      </c>
      <c r="AC22" s="14">
        <v>2</v>
      </c>
      <c r="AD22" s="14" t="s">
        <v>217</v>
      </c>
      <c r="AE22" s="14">
        <v>0</v>
      </c>
      <c r="AF22" s="14">
        <v>0</v>
      </c>
      <c r="AG22" s="14">
        <v>0</v>
      </c>
      <c r="AH22" s="14">
        <v>0</v>
      </c>
      <c r="AI22" s="14" t="s">
        <v>218</v>
      </c>
      <c r="AJ22" s="14">
        <v>1.5</v>
      </c>
      <c r="AK22" s="14">
        <v>1.7</v>
      </c>
      <c r="AL22" s="14">
        <v>100</v>
      </c>
      <c r="AM22" s="47">
        <v>11</v>
      </c>
      <c r="AN22" s="47">
        <v>0</v>
      </c>
      <c r="AO22" s="47">
        <v>2</v>
      </c>
      <c r="AP22" s="47">
        <v>0</v>
      </c>
      <c r="AQ22" s="47">
        <v>0</v>
      </c>
      <c r="AR22" s="47">
        <v>20</v>
      </c>
      <c r="AS22" s="47">
        <v>0</v>
      </c>
      <c r="AT22" s="47" t="s">
        <v>219</v>
      </c>
      <c r="AU22" s="47">
        <v>0</v>
      </c>
      <c r="AV22" s="47">
        <v>0</v>
      </c>
      <c r="AW22" s="14"/>
      <c r="AX22" s="14"/>
      <c r="AY22" s="14"/>
      <c r="AZ22" s="14"/>
      <c r="BA22" s="14"/>
      <c r="BB22" s="14"/>
      <c r="BC22" s="14"/>
      <c r="BD22" s="14"/>
    </row>
    <row r="23" s="24" customFormat="1" spans="1:56">
      <c r="A23" s="5">
        <v>111002</v>
      </c>
      <c r="B23" s="14" t="s">
        <v>220</v>
      </c>
      <c r="C23" s="14">
        <v>11</v>
      </c>
      <c r="D23" s="14">
        <v>2</v>
      </c>
      <c r="E23" s="33" t="s">
        <v>221</v>
      </c>
      <c r="F23" s="14">
        <v>1</v>
      </c>
      <c r="G23" s="14">
        <v>1</v>
      </c>
      <c r="H23" s="14">
        <v>0</v>
      </c>
      <c r="I23" s="14">
        <v>0</v>
      </c>
      <c r="J23" s="14" t="s">
        <v>222</v>
      </c>
      <c r="K23" s="14" t="s">
        <v>222</v>
      </c>
      <c r="L23" s="14">
        <v>0</v>
      </c>
      <c r="M23" s="14">
        <f>士兵数据!L3</f>
        <v>348</v>
      </c>
      <c r="N23" s="14">
        <v>0</v>
      </c>
      <c r="O23" s="14">
        <f>士兵数据!N3</f>
        <v>77</v>
      </c>
      <c r="P23" s="14">
        <v>0</v>
      </c>
      <c r="Q23" s="14">
        <f>士兵数据!P3</f>
        <v>63</v>
      </c>
      <c r="R23" s="14">
        <v>0</v>
      </c>
      <c r="S23" s="14">
        <f>士兵数据!Q3</f>
        <v>50</v>
      </c>
      <c r="T23" s="14">
        <v>0</v>
      </c>
      <c r="U23" s="14">
        <f>士兵数据!T3</f>
        <v>54</v>
      </c>
      <c r="V23" s="14">
        <v>0</v>
      </c>
      <c r="W23" s="14">
        <v>10</v>
      </c>
      <c r="X23" s="14">
        <v>0</v>
      </c>
      <c r="Y23" s="14">
        <v>200</v>
      </c>
      <c r="Z23" s="41">
        <v>1300</v>
      </c>
      <c r="AA23" s="14">
        <v>400</v>
      </c>
      <c r="AB23" s="14">
        <v>8</v>
      </c>
      <c r="AC23" s="14">
        <v>2</v>
      </c>
      <c r="AD23" s="14" t="s">
        <v>223</v>
      </c>
      <c r="AE23" s="14">
        <v>0</v>
      </c>
      <c r="AF23" s="14">
        <v>0</v>
      </c>
      <c r="AG23" s="14">
        <v>0</v>
      </c>
      <c r="AH23" s="14">
        <v>0</v>
      </c>
      <c r="AI23" s="14" t="s">
        <v>218</v>
      </c>
      <c r="AJ23" s="14">
        <v>1.5</v>
      </c>
      <c r="AK23" s="14">
        <v>1.7</v>
      </c>
      <c r="AL23" s="14">
        <v>100</v>
      </c>
      <c r="AM23" s="14">
        <v>11</v>
      </c>
      <c r="AN23" s="14">
        <v>0</v>
      </c>
      <c r="AO23" s="14">
        <v>4</v>
      </c>
      <c r="AP23" s="14">
        <v>0</v>
      </c>
      <c r="AQ23" s="14">
        <v>0</v>
      </c>
      <c r="AR23" s="14">
        <v>90</v>
      </c>
      <c r="AS23" s="14">
        <v>0</v>
      </c>
      <c r="AT23" s="14" t="s">
        <v>224</v>
      </c>
      <c r="AU23" s="14">
        <v>0</v>
      </c>
      <c r="AV23" s="14">
        <v>0</v>
      </c>
      <c r="AW23" s="14"/>
      <c r="AX23" s="14"/>
      <c r="AY23" s="14"/>
      <c r="AZ23" s="14"/>
      <c r="BA23" s="14"/>
      <c r="BB23" s="14"/>
      <c r="BC23" s="14"/>
      <c r="BD23" s="14"/>
    </row>
    <row r="24" s="24" customFormat="1" spans="1:56">
      <c r="A24" s="5">
        <v>121001</v>
      </c>
      <c r="B24" s="14" t="s">
        <v>225</v>
      </c>
      <c r="C24" s="14">
        <v>11</v>
      </c>
      <c r="D24" s="14">
        <v>2</v>
      </c>
      <c r="E24" s="33" t="s">
        <v>226</v>
      </c>
      <c r="F24" s="14">
        <v>1</v>
      </c>
      <c r="G24" s="14">
        <v>2</v>
      </c>
      <c r="H24" s="14">
        <v>0</v>
      </c>
      <c r="I24" s="14">
        <v>0</v>
      </c>
      <c r="J24" s="14" t="s">
        <v>227</v>
      </c>
      <c r="K24" s="14" t="s">
        <v>227</v>
      </c>
      <c r="L24" s="14">
        <v>0</v>
      </c>
      <c r="M24" s="14">
        <f>士兵数据!L4</f>
        <v>676</v>
      </c>
      <c r="N24" s="14">
        <v>0</v>
      </c>
      <c r="O24" s="14">
        <f>士兵数据!N4</f>
        <v>101</v>
      </c>
      <c r="P24" s="14">
        <v>0</v>
      </c>
      <c r="Q24" s="14">
        <f>士兵数据!P4</f>
        <v>73</v>
      </c>
      <c r="R24" s="14">
        <v>0</v>
      </c>
      <c r="S24" s="14">
        <f>士兵数据!Q4</f>
        <v>60</v>
      </c>
      <c r="T24" s="14">
        <v>0</v>
      </c>
      <c r="U24" s="14">
        <f>士兵数据!T4</f>
        <v>63</v>
      </c>
      <c r="V24" s="14">
        <v>0</v>
      </c>
      <c r="W24" s="14">
        <v>11</v>
      </c>
      <c r="X24" s="14">
        <v>0</v>
      </c>
      <c r="Y24" s="14">
        <v>200</v>
      </c>
      <c r="Z24" s="41">
        <v>1300</v>
      </c>
      <c r="AA24" s="14">
        <v>400</v>
      </c>
      <c r="AB24" s="14">
        <v>8</v>
      </c>
      <c r="AC24" s="14">
        <v>2</v>
      </c>
      <c r="AD24" s="14" t="s">
        <v>228</v>
      </c>
      <c r="AE24" s="14">
        <v>0</v>
      </c>
      <c r="AF24" s="14">
        <v>0</v>
      </c>
      <c r="AG24" s="14">
        <v>0</v>
      </c>
      <c r="AH24" s="14">
        <v>0</v>
      </c>
      <c r="AI24" s="14" t="s">
        <v>229</v>
      </c>
      <c r="AJ24" s="14">
        <v>1.5</v>
      </c>
      <c r="AK24" s="14">
        <v>1.7</v>
      </c>
      <c r="AL24" s="14">
        <v>100</v>
      </c>
      <c r="AM24" s="14">
        <v>11</v>
      </c>
      <c r="AN24" s="14">
        <v>0</v>
      </c>
      <c r="AO24" s="14">
        <v>4</v>
      </c>
      <c r="AP24" s="14">
        <v>0</v>
      </c>
      <c r="AQ24" s="14">
        <v>0</v>
      </c>
      <c r="AR24" s="14">
        <v>90</v>
      </c>
      <c r="AS24" s="14">
        <v>0</v>
      </c>
      <c r="AT24" s="14" t="s">
        <v>224</v>
      </c>
      <c r="AU24" s="14">
        <v>0</v>
      </c>
      <c r="AV24" s="14">
        <v>0</v>
      </c>
      <c r="AW24" s="14"/>
      <c r="AX24" s="14"/>
      <c r="AY24" s="14"/>
      <c r="AZ24" s="14"/>
      <c r="BA24" s="14"/>
      <c r="BB24" s="14"/>
      <c r="BC24" s="14"/>
      <c r="BD24" s="14"/>
    </row>
    <row r="25" s="24" customFormat="1" spans="1:56">
      <c r="A25" s="5">
        <v>131001</v>
      </c>
      <c r="B25" s="14" t="s">
        <v>230</v>
      </c>
      <c r="C25" s="14">
        <v>11</v>
      </c>
      <c r="D25" s="14">
        <v>2</v>
      </c>
      <c r="E25" s="33" t="s">
        <v>231</v>
      </c>
      <c r="F25" s="14">
        <v>1</v>
      </c>
      <c r="G25" s="14">
        <v>3</v>
      </c>
      <c r="H25" s="14">
        <v>0</v>
      </c>
      <c r="I25" s="14">
        <v>0</v>
      </c>
      <c r="J25" s="14" t="s">
        <v>232</v>
      </c>
      <c r="K25" s="14" t="s">
        <v>232</v>
      </c>
      <c r="L25" s="14">
        <v>0</v>
      </c>
      <c r="M25" s="14">
        <f>士兵数据!L5</f>
        <v>827</v>
      </c>
      <c r="N25" s="14">
        <v>0</v>
      </c>
      <c r="O25" s="14">
        <f>士兵数据!N5</f>
        <v>126</v>
      </c>
      <c r="P25" s="14">
        <v>0</v>
      </c>
      <c r="Q25" s="14">
        <f>士兵数据!P5</f>
        <v>91</v>
      </c>
      <c r="R25" s="14">
        <v>0</v>
      </c>
      <c r="S25" s="14">
        <f>士兵数据!Q5</f>
        <v>65</v>
      </c>
      <c r="T25" s="14">
        <v>0</v>
      </c>
      <c r="U25" s="14">
        <f>士兵数据!T5</f>
        <v>79</v>
      </c>
      <c r="V25" s="14">
        <v>0</v>
      </c>
      <c r="W25" s="14">
        <v>11</v>
      </c>
      <c r="X25" s="14">
        <v>0</v>
      </c>
      <c r="Y25" s="14">
        <v>200</v>
      </c>
      <c r="Z25" s="41">
        <v>1300</v>
      </c>
      <c r="AA25" s="14">
        <v>400</v>
      </c>
      <c r="AB25" s="14">
        <v>8</v>
      </c>
      <c r="AC25" s="14">
        <v>2</v>
      </c>
      <c r="AD25" s="14" t="s">
        <v>233</v>
      </c>
      <c r="AE25" s="14">
        <v>0</v>
      </c>
      <c r="AF25" s="14">
        <v>0</v>
      </c>
      <c r="AG25" s="14">
        <v>0</v>
      </c>
      <c r="AH25" s="14">
        <v>0</v>
      </c>
      <c r="AI25" s="14" t="s">
        <v>218</v>
      </c>
      <c r="AJ25" s="14">
        <v>1.5</v>
      </c>
      <c r="AK25" s="14">
        <v>2</v>
      </c>
      <c r="AL25" s="14">
        <v>100</v>
      </c>
      <c r="AM25" s="14">
        <v>11</v>
      </c>
      <c r="AN25" s="14">
        <v>0</v>
      </c>
      <c r="AO25" s="14">
        <v>4</v>
      </c>
      <c r="AP25" s="14">
        <v>0</v>
      </c>
      <c r="AQ25" s="14">
        <v>0</v>
      </c>
      <c r="AR25" s="14">
        <v>90</v>
      </c>
      <c r="AS25" s="14">
        <v>0</v>
      </c>
      <c r="AT25" s="14" t="s">
        <v>224</v>
      </c>
      <c r="AU25" s="14">
        <v>0</v>
      </c>
      <c r="AV25" s="14">
        <v>0</v>
      </c>
      <c r="AW25" s="14"/>
      <c r="AX25" s="14"/>
      <c r="AY25" s="14"/>
      <c r="AZ25" s="14"/>
      <c r="BA25" s="14"/>
      <c r="BB25" s="14"/>
      <c r="BC25" s="14"/>
      <c r="BD25" s="14"/>
    </row>
    <row r="26" s="24" customFormat="1" spans="1:56">
      <c r="A26" s="5">
        <v>141001</v>
      </c>
      <c r="B26" s="14" t="s">
        <v>234</v>
      </c>
      <c r="C26" s="14">
        <v>11</v>
      </c>
      <c r="D26" s="14">
        <v>2</v>
      </c>
      <c r="E26" s="33" t="s">
        <v>235</v>
      </c>
      <c r="F26" s="14">
        <v>1</v>
      </c>
      <c r="G26" s="14">
        <v>4</v>
      </c>
      <c r="H26" s="14">
        <v>0</v>
      </c>
      <c r="I26" s="14">
        <v>0</v>
      </c>
      <c r="J26" s="14" t="s">
        <v>236</v>
      </c>
      <c r="K26" s="14" t="s">
        <v>236</v>
      </c>
      <c r="L26" s="14">
        <v>0</v>
      </c>
      <c r="M26" s="14">
        <f>士兵数据!L6</f>
        <v>1170</v>
      </c>
      <c r="N26" s="14">
        <v>0</v>
      </c>
      <c r="O26" s="14">
        <f>士兵数据!N6</f>
        <v>176</v>
      </c>
      <c r="P26" s="14">
        <v>0</v>
      </c>
      <c r="Q26" s="14">
        <f>士兵数据!P6</f>
        <v>111</v>
      </c>
      <c r="R26" s="14">
        <v>0</v>
      </c>
      <c r="S26" s="14">
        <f>士兵数据!Q6</f>
        <v>70</v>
      </c>
      <c r="T26" s="14">
        <v>0</v>
      </c>
      <c r="U26" s="14">
        <f>士兵数据!T6</f>
        <v>98</v>
      </c>
      <c r="V26" s="14">
        <v>0</v>
      </c>
      <c r="W26" s="14">
        <v>11</v>
      </c>
      <c r="X26" s="14">
        <v>0</v>
      </c>
      <c r="Y26" s="14">
        <v>200</v>
      </c>
      <c r="Z26" s="41">
        <v>1300</v>
      </c>
      <c r="AA26" s="14">
        <v>400</v>
      </c>
      <c r="AB26" s="14">
        <v>8</v>
      </c>
      <c r="AC26" s="14">
        <v>2</v>
      </c>
      <c r="AD26" s="14" t="s">
        <v>237</v>
      </c>
      <c r="AE26" s="14">
        <v>0</v>
      </c>
      <c r="AF26" s="14">
        <v>0</v>
      </c>
      <c r="AG26" s="14">
        <v>0</v>
      </c>
      <c r="AH26" s="14">
        <v>0</v>
      </c>
      <c r="AI26" s="14" t="s">
        <v>238</v>
      </c>
      <c r="AJ26" s="14">
        <v>1.5</v>
      </c>
      <c r="AK26" s="14">
        <v>2</v>
      </c>
      <c r="AL26" s="14">
        <v>100</v>
      </c>
      <c r="AM26" s="14">
        <v>11</v>
      </c>
      <c r="AN26" s="14">
        <v>0</v>
      </c>
      <c r="AO26" s="14">
        <v>4</v>
      </c>
      <c r="AP26" s="14">
        <v>0</v>
      </c>
      <c r="AQ26" s="14">
        <v>0</v>
      </c>
      <c r="AR26" s="14">
        <v>90</v>
      </c>
      <c r="AS26" s="14">
        <v>0</v>
      </c>
      <c r="AT26" s="14" t="s">
        <v>224</v>
      </c>
      <c r="AU26" s="14">
        <v>0</v>
      </c>
      <c r="AV26" s="14">
        <v>0</v>
      </c>
      <c r="AW26" s="14"/>
      <c r="AX26" s="14"/>
      <c r="AY26" s="14"/>
      <c r="AZ26" s="14"/>
      <c r="BA26" s="14"/>
      <c r="BB26" s="14"/>
      <c r="BC26" s="14"/>
      <c r="BD26" s="14"/>
    </row>
    <row r="27" s="24" customFormat="1" spans="1:56">
      <c r="A27" s="5">
        <v>141002</v>
      </c>
      <c r="B27" s="14" t="s">
        <v>239</v>
      </c>
      <c r="C27" s="14">
        <v>11</v>
      </c>
      <c r="D27" s="14">
        <v>2</v>
      </c>
      <c r="E27" s="33" t="s">
        <v>240</v>
      </c>
      <c r="F27" s="14">
        <v>1</v>
      </c>
      <c r="G27" s="14">
        <v>4</v>
      </c>
      <c r="H27" s="14">
        <v>0</v>
      </c>
      <c r="I27" s="14">
        <v>0</v>
      </c>
      <c r="J27" s="14" t="s">
        <v>241</v>
      </c>
      <c r="K27" s="14" t="s">
        <v>241</v>
      </c>
      <c r="L27" s="14">
        <v>0</v>
      </c>
      <c r="M27" s="14">
        <f>士兵数据!L7</f>
        <v>1155</v>
      </c>
      <c r="N27" s="14">
        <v>0</v>
      </c>
      <c r="O27" s="14">
        <f>士兵数据!N7</f>
        <v>166</v>
      </c>
      <c r="P27" s="14">
        <v>0</v>
      </c>
      <c r="Q27" s="14">
        <f>士兵数据!P7</f>
        <v>118</v>
      </c>
      <c r="R27" s="14">
        <v>0</v>
      </c>
      <c r="S27" s="14">
        <f>士兵数据!Q7</f>
        <v>72</v>
      </c>
      <c r="T27" s="14">
        <v>0</v>
      </c>
      <c r="U27" s="14">
        <f>士兵数据!T7</f>
        <v>103</v>
      </c>
      <c r="V27" s="14">
        <v>0</v>
      </c>
      <c r="W27" s="14">
        <v>11</v>
      </c>
      <c r="X27" s="14">
        <v>0</v>
      </c>
      <c r="Y27" s="14">
        <v>200</v>
      </c>
      <c r="Z27" s="41">
        <v>1300</v>
      </c>
      <c r="AA27" s="14">
        <v>400</v>
      </c>
      <c r="AB27" s="14">
        <v>8</v>
      </c>
      <c r="AC27" s="14">
        <v>2</v>
      </c>
      <c r="AD27" s="14" t="s">
        <v>242</v>
      </c>
      <c r="AE27" s="14">
        <v>0</v>
      </c>
      <c r="AF27" s="14">
        <v>0</v>
      </c>
      <c r="AG27" s="14">
        <v>0</v>
      </c>
      <c r="AH27" s="14">
        <v>0</v>
      </c>
      <c r="AI27" s="14" t="s">
        <v>243</v>
      </c>
      <c r="AJ27" s="14">
        <v>1.5</v>
      </c>
      <c r="AK27" s="14">
        <v>2</v>
      </c>
      <c r="AL27" s="14">
        <v>100</v>
      </c>
      <c r="AM27" s="14">
        <v>11</v>
      </c>
      <c r="AN27" s="14">
        <v>0</v>
      </c>
      <c r="AO27" s="14">
        <v>4</v>
      </c>
      <c r="AP27" s="14">
        <v>0</v>
      </c>
      <c r="AQ27" s="14">
        <v>0</v>
      </c>
      <c r="AR27" s="14">
        <v>90</v>
      </c>
      <c r="AS27" s="14">
        <v>0</v>
      </c>
      <c r="AT27" s="14" t="s">
        <v>224</v>
      </c>
      <c r="AU27" s="14">
        <v>0</v>
      </c>
      <c r="AV27" s="14">
        <v>0</v>
      </c>
      <c r="AW27" s="14"/>
      <c r="AX27" s="14"/>
      <c r="AY27" s="14"/>
      <c r="AZ27" s="14"/>
      <c r="BA27" s="14"/>
      <c r="BB27" s="14"/>
      <c r="BC27" s="14"/>
      <c r="BD27" s="14"/>
    </row>
    <row r="28" s="24" customFormat="1" spans="1:56">
      <c r="A28" s="5">
        <v>151001</v>
      </c>
      <c r="B28" s="14" t="s">
        <v>244</v>
      </c>
      <c r="C28" s="14">
        <v>11</v>
      </c>
      <c r="D28" s="14">
        <v>2</v>
      </c>
      <c r="E28" s="33" t="s">
        <v>245</v>
      </c>
      <c r="F28" s="14">
        <v>1</v>
      </c>
      <c r="G28" s="14">
        <v>5</v>
      </c>
      <c r="H28" s="14">
        <v>0</v>
      </c>
      <c r="I28" s="14">
        <v>0</v>
      </c>
      <c r="J28" s="14" t="s">
        <v>246</v>
      </c>
      <c r="K28" s="14" t="s">
        <v>246</v>
      </c>
      <c r="L28" s="14">
        <v>0</v>
      </c>
      <c r="M28" s="14">
        <f>士兵数据!L8</f>
        <v>1423</v>
      </c>
      <c r="N28" s="14">
        <v>0</v>
      </c>
      <c r="O28" s="14">
        <f>士兵数据!N8</f>
        <v>247</v>
      </c>
      <c r="P28" s="14">
        <v>0</v>
      </c>
      <c r="Q28" s="14">
        <f>士兵数据!P8</f>
        <v>131</v>
      </c>
      <c r="R28" s="14">
        <v>0</v>
      </c>
      <c r="S28" s="14">
        <f>士兵数据!Q8</f>
        <v>75</v>
      </c>
      <c r="T28" s="14">
        <v>0</v>
      </c>
      <c r="U28" s="14">
        <f>士兵数据!T8</f>
        <v>142</v>
      </c>
      <c r="V28" s="14">
        <v>0</v>
      </c>
      <c r="W28" s="14">
        <v>11</v>
      </c>
      <c r="X28" s="14">
        <v>0</v>
      </c>
      <c r="Y28" s="14">
        <v>200</v>
      </c>
      <c r="Z28" s="41">
        <v>1300</v>
      </c>
      <c r="AA28" s="14">
        <v>400</v>
      </c>
      <c r="AB28" s="14">
        <v>8</v>
      </c>
      <c r="AC28" s="14">
        <v>2</v>
      </c>
      <c r="AD28" s="14" t="s">
        <v>247</v>
      </c>
      <c r="AE28" s="14">
        <v>0</v>
      </c>
      <c r="AF28" s="14">
        <v>0</v>
      </c>
      <c r="AG28" s="14">
        <v>0</v>
      </c>
      <c r="AH28" s="14">
        <v>0</v>
      </c>
      <c r="AI28" s="14" t="s">
        <v>248</v>
      </c>
      <c r="AJ28" s="14">
        <v>1.5</v>
      </c>
      <c r="AK28" s="14">
        <v>2.5</v>
      </c>
      <c r="AL28" s="14">
        <v>100</v>
      </c>
      <c r="AM28" s="14">
        <v>11</v>
      </c>
      <c r="AN28" s="14">
        <v>0</v>
      </c>
      <c r="AO28" s="14">
        <v>4</v>
      </c>
      <c r="AP28" s="14">
        <v>0</v>
      </c>
      <c r="AQ28" s="14">
        <v>0</v>
      </c>
      <c r="AR28" s="14">
        <v>90</v>
      </c>
      <c r="AS28" s="14">
        <v>0</v>
      </c>
      <c r="AT28" s="14" t="s">
        <v>224</v>
      </c>
      <c r="AU28" s="14">
        <v>0</v>
      </c>
      <c r="AV28" s="14">
        <v>0</v>
      </c>
      <c r="AW28" s="14"/>
      <c r="AX28" s="14"/>
      <c r="AY28" s="14"/>
      <c r="AZ28" s="14"/>
      <c r="BA28" s="14"/>
      <c r="BB28" s="14"/>
      <c r="BC28" s="14"/>
      <c r="BD28" s="14"/>
    </row>
    <row r="29" s="24" customFormat="1" spans="1:56">
      <c r="A29" s="5">
        <v>161001</v>
      </c>
      <c r="B29" s="14" t="s">
        <v>249</v>
      </c>
      <c r="C29" s="14">
        <v>11</v>
      </c>
      <c r="D29" s="14">
        <v>2</v>
      </c>
      <c r="E29" s="33" t="s">
        <v>250</v>
      </c>
      <c r="F29" s="14">
        <v>1</v>
      </c>
      <c r="G29" s="14">
        <v>6</v>
      </c>
      <c r="H29" s="14">
        <v>0</v>
      </c>
      <c r="I29" s="14">
        <v>0</v>
      </c>
      <c r="J29" s="14" t="s">
        <v>251</v>
      </c>
      <c r="K29" s="14" t="s">
        <v>251</v>
      </c>
      <c r="L29" s="14">
        <v>0</v>
      </c>
      <c r="M29" s="14">
        <f>士兵数据!L9</f>
        <v>1946</v>
      </c>
      <c r="N29" s="14">
        <v>0</v>
      </c>
      <c r="O29" s="14">
        <f>士兵数据!N9</f>
        <v>296</v>
      </c>
      <c r="P29" s="14">
        <v>0</v>
      </c>
      <c r="Q29" s="14">
        <f>士兵数据!P9</f>
        <v>151</v>
      </c>
      <c r="R29" s="14">
        <v>0</v>
      </c>
      <c r="S29" s="14">
        <f>士兵数据!Q9</f>
        <v>80</v>
      </c>
      <c r="T29" s="14">
        <v>0</v>
      </c>
      <c r="U29" s="14">
        <f>士兵数据!T9</f>
        <v>133</v>
      </c>
      <c r="V29" s="14">
        <v>0</v>
      </c>
      <c r="W29" s="14">
        <v>12</v>
      </c>
      <c r="X29" s="14">
        <v>0</v>
      </c>
      <c r="Y29" s="14">
        <v>200</v>
      </c>
      <c r="Z29" s="41">
        <v>1300</v>
      </c>
      <c r="AA29" s="14">
        <v>400</v>
      </c>
      <c r="AB29" s="14">
        <v>8</v>
      </c>
      <c r="AC29" s="14">
        <v>2</v>
      </c>
      <c r="AD29" s="14" t="s">
        <v>252</v>
      </c>
      <c r="AE29" s="14">
        <v>0</v>
      </c>
      <c r="AF29" s="14">
        <v>0</v>
      </c>
      <c r="AG29" s="14">
        <v>0</v>
      </c>
      <c r="AH29" s="14">
        <v>0</v>
      </c>
      <c r="AI29" s="14" t="s">
        <v>253</v>
      </c>
      <c r="AJ29" s="14">
        <v>1.5</v>
      </c>
      <c r="AK29" s="14">
        <v>3</v>
      </c>
      <c r="AL29" s="14">
        <v>100</v>
      </c>
      <c r="AM29" s="14">
        <v>11</v>
      </c>
      <c r="AN29" s="14">
        <v>0</v>
      </c>
      <c r="AO29" s="14">
        <v>4</v>
      </c>
      <c r="AP29" s="14">
        <v>0</v>
      </c>
      <c r="AQ29" s="14">
        <v>0</v>
      </c>
      <c r="AR29" s="14">
        <v>90</v>
      </c>
      <c r="AS29" s="14">
        <v>0</v>
      </c>
      <c r="AT29" s="14" t="s">
        <v>224</v>
      </c>
      <c r="AU29" s="14">
        <v>0</v>
      </c>
      <c r="AV29" s="14">
        <v>0</v>
      </c>
      <c r="AW29" s="14"/>
      <c r="AX29" s="14"/>
      <c r="AY29" s="14"/>
      <c r="AZ29" s="14"/>
      <c r="BA29" s="14"/>
      <c r="BB29" s="14"/>
      <c r="BC29" s="14"/>
      <c r="BD29" s="14"/>
    </row>
    <row r="30" s="24" customFormat="1" spans="1:56">
      <c r="A30" s="5">
        <v>161002</v>
      </c>
      <c r="B30" s="14" t="s">
        <v>254</v>
      </c>
      <c r="C30" s="14">
        <v>11</v>
      </c>
      <c r="D30" s="14">
        <v>2</v>
      </c>
      <c r="E30" s="33" t="s">
        <v>255</v>
      </c>
      <c r="F30" s="14">
        <v>1</v>
      </c>
      <c r="G30" s="14">
        <v>6</v>
      </c>
      <c r="H30" s="14">
        <v>0</v>
      </c>
      <c r="I30" s="14">
        <v>0</v>
      </c>
      <c r="J30" s="14" t="s">
        <v>256</v>
      </c>
      <c r="K30" s="14" t="s">
        <v>256</v>
      </c>
      <c r="L30" s="14">
        <v>0</v>
      </c>
      <c r="M30" s="14">
        <f>士兵数据!L10</f>
        <v>3100</v>
      </c>
      <c r="N30" s="14">
        <v>0</v>
      </c>
      <c r="O30" s="14">
        <f>士兵数据!N10</f>
        <v>333</v>
      </c>
      <c r="P30" s="14">
        <v>0</v>
      </c>
      <c r="Q30" s="14">
        <f>士兵数据!P10</f>
        <v>160</v>
      </c>
      <c r="R30" s="14">
        <v>0</v>
      </c>
      <c r="S30" s="14">
        <f>士兵数据!Q10</f>
        <v>80</v>
      </c>
      <c r="T30" s="14">
        <v>0</v>
      </c>
      <c r="U30" s="14">
        <f>士兵数据!T10</f>
        <v>175</v>
      </c>
      <c r="V30" s="14">
        <v>0</v>
      </c>
      <c r="W30" s="14">
        <v>11</v>
      </c>
      <c r="X30" s="14">
        <v>0</v>
      </c>
      <c r="Y30" s="14">
        <v>200</v>
      </c>
      <c r="Z30" s="41">
        <v>1300</v>
      </c>
      <c r="AA30" s="14">
        <v>400</v>
      </c>
      <c r="AB30" s="14">
        <v>8</v>
      </c>
      <c r="AC30" s="14">
        <v>2</v>
      </c>
      <c r="AD30" s="14" t="s">
        <v>252</v>
      </c>
      <c r="AE30" s="14">
        <v>0</v>
      </c>
      <c r="AF30" s="14">
        <v>0</v>
      </c>
      <c r="AG30" s="14">
        <v>0</v>
      </c>
      <c r="AH30" s="14">
        <v>0</v>
      </c>
      <c r="AI30" s="14" t="s">
        <v>253</v>
      </c>
      <c r="AJ30" s="14">
        <v>1.5</v>
      </c>
      <c r="AK30" s="14">
        <v>3</v>
      </c>
      <c r="AL30" s="14">
        <v>100</v>
      </c>
      <c r="AM30" s="14">
        <v>11</v>
      </c>
      <c r="AN30" s="14">
        <v>0</v>
      </c>
      <c r="AO30" s="14">
        <v>4</v>
      </c>
      <c r="AP30" s="14">
        <v>0</v>
      </c>
      <c r="AQ30" s="14">
        <v>0</v>
      </c>
      <c r="AR30" s="14">
        <v>90</v>
      </c>
      <c r="AS30" s="14">
        <v>0</v>
      </c>
      <c r="AT30" s="14" t="s">
        <v>224</v>
      </c>
      <c r="AU30" s="14">
        <v>0</v>
      </c>
      <c r="AV30" s="14">
        <v>0</v>
      </c>
      <c r="AW30" s="14"/>
      <c r="AX30" s="14"/>
      <c r="AY30" s="14"/>
      <c r="AZ30" s="14"/>
      <c r="BA30" s="14"/>
      <c r="BB30" s="14"/>
      <c r="BC30" s="14"/>
      <c r="BD30" s="14"/>
    </row>
    <row r="31" s="24" customFormat="1" spans="1:48">
      <c r="A31" s="5">
        <v>221001</v>
      </c>
      <c r="B31" s="15" t="s">
        <v>257</v>
      </c>
      <c r="C31" s="15">
        <v>11</v>
      </c>
      <c r="D31" s="15">
        <v>2</v>
      </c>
      <c r="E31" s="33" t="s">
        <v>258</v>
      </c>
      <c r="F31" s="15">
        <v>2</v>
      </c>
      <c r="G31" s="15">
        <v>2</v>
      </c>
      <c r="H31" s="15">
        <v>0</v>
      </c>
      <c r="I31" s="15">
        <v>0</v>
      </c>
      <c r="J31" s="15" t="s">
        <v>259</v>
      </c>
      <c r="K31" s="15" t="s">
        <v>259</v>
      </c>
      <c r="L31" s="14">
        <v>0</v>
      </c>
      <c r="M31" s="14">
        <f>士兵数据!L11</f>
        <v>619</v>
      </c>
      <c r="N31" s="14">
        <v>0</v>
      </c>
      <c r="O31" s="14">
        <f>士兵数据!N11</f>
        <v>103</v>
      </c>
      <c r="P31" s="14">
        <v>0</v>
      </c>
      <c r="Q31" s="14">
        <f>士兵数据!P11</f>
        <v>49</v>
      </c>
      <c r="R31" s="14">
        <v>0</v>
      </c>
      <c r="S31" s="14">
        <f>士兵数据!Q11</f>
        <v>62</v>
      </c>
      <c r="T31" s="14">
        <v>0</v>
      </c>
      <c r="U31" s="14">
        <f>士兵数据!T11</f>
        <v>42</v>
      </c>
      <c r="V31" s="14">
        <v>0</v>
      </c>
      <c r="W31" s="14">
        <v>11</v>
      </c>
      <c r="X31" s="14">
        <v>0</v>
      </c>
      <c r="Y31" s="14">
        <v>200</v>
      </c>
      <c r="Z31" s="41">
        <v>1300</v>
      </c>
      <c r="AA31" s="14">
        <v>500</v>
      </c>
      <c r="AB31" s="14">
        <v>8</v>
      </c>
      <c r="AC31" s="14">
        <v>2</v>
      </c>
      <c r="AD31" s="14" t="s">
        <v>260</v>
      </c>
      <c r="AE31" s="14">
        <v>0</v>
      </c>
      <c r="AF31" s="14">
        <v>0</v>
      </c>
      <c r="AG31" s="14">
        <v>0</v>
      </c>
      <c r="AH31" s="14">
        <v>0</v>
      </c>
      <c r="AI31" s="14" t="s">
        <v>261</v>
      </c>
      <c r="AJ31" s="14">
        <v>1.5</v>
      </c>
      <c r="AK31" s="14">
        <v>1.7</v>
      </c>
      <c r="AL31" s="14">
        <v>100</v>
      </c>
      <c r="AM31" s="24">
        <v>11</v>
      </c>
      <c r="AN31" s="24">
        <v>0</v>
      </c>
      <c r="AO31" s="24">
        <v>4</v>
      </c>
      <c r="AP31" s="24">
        <v>0</v>
      </c>
      <c r="AQ31" s="24">
        <v>0</v>
      </c>
      <c r="AR31" s="24">
        <v>90</v>
      </c>
      <c r="AS31" s="24">
        <v>0</v>
      </c>
      <c r="AT31" s="24" t="s">
        <v>224</v>
      </c>
      <c r="AU31" s="24">
        <v>0</v>
      </c>
      <c r="AV31" s="24">
        <v>0</v>
      </c>
    </row>
    <row r="32" s="24" customFormat="1" spans="1:48">
      <c r="A32" s="5">
        <v>231001</v>
      </c>
      <c r="B32" s="15" t="s">
        <v>262</v>
      </c>
      <c r="C32" s="15">
        <v>11</v>
      </c>
      <c r="D32" s="15">
        <v>2</v>
      </c>
      <c r="E32" s="33" t="s">
        <v>263</v>
      </c>
      <c r="F32" s="15">
        <v>2</v>
      </c>
      <c r="G32" s="15">
        <v>3</v>
      </c>
      <c r="H32" s="15">
        <v>0</v>
      </c>
      <c r="I32" s="15">
        <v>0</v>
      </c>
      <c r="J32" s="15" t="s">
        <v>264</v>
      </c>
      <c r="K32" s="15" t="s">
        <v>264</v>
      </c>
      <c r="L32" s="14">
        <v>0</v>
      </c>
      <c r="M32" s="14">
        <f>士兵数据!L12</f>
        <v>967</v>
      </c>
      <c r="N32" s="14">
        <v>0</v>
      </c>
      <c r="O32" s="14">
        <f>士兵数据!N12</f>
        <v>132</v>
      </c>
      <c r="P32" s="14">
        <v>0</v>
      </c>
      <c r="Q32" s="14">
        <f>士兵数据!P12</f>
        <v>68</v>
      </c>
      <c r="R32" s="14">
        <v>0</v>
      </c>
      <c r="S32" s="14">
        <f>士兵数据!Q12</f>
        <v>67</v>
      </c>
      <c r="T32" s="14">
        <v>0</v>
      </c>
      <c r="U32" s="14">
        <f>士兵数据!T12</f>
        <v>60</v>
      </c>
      <c r="V32" s="14">
        <v>0</v>
      </c>
      <c r="W32" s="14">
        <v>12</v>
      </c>
      <c r="X32" s="14">
        <v>0</v>
      </c>
      <c r="Y32" s="14">
        <v>200</v>
      </c>
      <c r="Z32" s="41">
        <v>1300</v>
      </c>
      <c r="AA32" s="14">
        <v>500</v>
      </c>
      <c r="AB32" s="14">
        <v>8</v>
      </c>
      <c r="AC32" s="14">
        <v>2</v>
      </c>
      <c r="AD32" s="14" t="s">
        <v>265</v>
      </c>
      <c r="AE32" s="14">
        <v>0</v>
      </c>
      <c r="AF32" s="14">
        <v>0</v>
      </c>
      <c r="AG32" s="14">
        <v>0</v>
      </c>
      <c r="AH32" s="14">
        <v>0</v>
      </c>
      <c r="AI32" s="14" t="s">
        <v>266</v>
      </c>
      <c r="AJ32" s="14">
        <v>1.5</v>
      </c>
      <c r="AK32" s="14">
        <v>2</v>
      </c>
      <c r="AL32" s="14">
        <v>100</v>
      </c>
      <c r="AM32" s="24">
        <v>11</v>
      </c>
      <c r="AN32" s="24">
        <v>0</v>
      </c>
      <c r="AO32" s="24">
        <v>4</v>
      </c>
      <c r="AP32" s="24">
        <v>0</v>
      </c>
      <c r="AQ32" s="24">
        <v>0</v>
      </c>
      <c r="AR32" s="24">
        <v>90</v>
      </c>
      <c r="AS32" s="24">
        <v>0</v>
      </c>
      <c r="AT32" s="24" t="s">
        <v>224</v>
      </c>
      <c r="AU32" s="24">
        <v>0</v>
      </c>
      <c r="AV32" s="24">
        <v>0</v>
      </c>
    </row>
    <row r="33" s="24" customFormat="1" spans="1:48">
      <c r="A33" s="5">
        <v>241001</v>
      </c>
      <c r="B33" s="15" t="s">
        <v>267</v>
      </c>
      <c r="C33" s="15">
        <v>11</v>
      </c>
      <c r="D33" s="15">
        <v>2</v>
      </c>
      <c r="E33" s="33" t="s">
        <v>268</v>
      </c>
      <c r="F33" s="15">
        <v>2</v>
      </c>
      <c r="G33" s="15">
        <v>4</v>
      </c>
      <c r="H33" s="15">
        <v>0</v>
      </c>
      <c r="I33" s="15">
        <v>0</v>
      </c>
      <c r="J33" s="15" t="s">
        <v>269</v>
      </c>
      <c r="K33" s="15" t="s">
        <v>269</v>
      </c>
      <c r="L33" s="14">
        <v>0</v>
      </c>
      <c r="M33" s="14">
        <f>士兵数据!L13</f>
        <v>1391</v>
      </c>
      <c r="N33" s="14">
        <v>0</v>
      </c>
      <c r="O33" s="14">
        <f>士兵数据!N13</f>
        <v>188</v>
      </c>
      <c r="P33" s="14">
        <v>0</v>
      </c>
      <c r="Q33" s="14">
        <f>士兵数据!P13</f>
        <v>89</v>
      </c>
      <c r="R33" s="14">
        <v>0</v>
      </c>
      <c r="S33" s="14">
        <f>士兵数据!Q13</f>
        <v>72</v>
      </c>
      <c r="T33" s="14">
        <v>0</v>
      </c>
      <c r="U33" s="14">
        <f>士兵数据!T13</f>
        <v>77</v>
      </c>
      <c r="V33" s="14">
        <v>0</v>
      </c>
      <c r="W33" s="14">
        <v>12</v>
      </c>
      <c r="X33" s="14">
        <v>0</v>
      </c>
      <c r="Y33" s="14">
        <v>200</v>
      </c>
      <c r="Z33" s="41">
        <v>1300</v>
      </c>
      <c r="AA33" s="14">
        <v>500</v>
      </c>
      <c r="AB33" s="14">
        <v>8</v>
      </c>
      <c r="AC33" s="14">
        <v>2</v>
      </c>
      <c r="AD33" s="14" t="s">
        <v>270</v>
      </c>
      <c r="AE33" s="14">
        <v>0</v>
      </c>
      <c r="AF33" s="14">
        <v>0</v>
      </c>
      <c r="AG33" s="14">
        <v>0</v>
      </c>
      <c r="AH33" s="14">
        <v>0</v>
      </c>
      <c r="AI33" s="14" t="s">
        <v>266</v>
      </c>
      <c r="AJ33" s="14">
        <v>1.5</v>
      </c>
      <c r="AK33" s="14">
        <v>2</v>
      </c>
      <c r="AL33" s="14">
        <v>100</v>
      </c>
      <c r="AM33" s="24">
        <v>11</v>
      </c>
      <c r="AN33" s="24">
        <v>0</v>
      </c>
      <c r="AO33" s="24">
        <v>4</v>
      </c>
      <c r="AP33" s="24">
        <v>0</v>
      </c>
      <c r="AQ33" s="24">
        <v>0</v>
      </c>
      <c r="AR33" s="24">
        <v>90</v>
      </c>
      <c r="AS33" s="24">
        <v>0</v>
      </c>
      <c r="AT33" s="24" t="s">
        <v>224</v>
      </c>
      <c r="AU33" s="24">
        <v>0</v>
      </c>
      <c r="AV33" s="24">
        <v>0</v>
      </c>
    </row>
    <row r="34" s="24" customFormat="1" spans="1:48">
      <c r="A34" s="5">
        <v>251001</v>
      </c>
      <c r="B34" s="15" t="s">
        <v>271</v>
      </c>
      <c r="C34" s="15">
        <v>11</v>
      </c>
      <c r="D34" s="15">
        <v>2</v>
      </c>
      <c r="E34" s="33" t="s">
        <v>272</v>
      </c>
      <c r="F34" s="15">
        <v>2</v>
      </c>
      <c r="G34" s="15">
        <v>5</v>
      </c>
      <c r="H34" s="15">
        <v>0</v>
      </c>
      <c r="I34" s="15">
        <v>0</v>
      </c>
      <c r="J34" s="15" t="s">
        <v>273</v>
      </c>
      <c r="K34" s="15" t="s">
        <v>273</v>
      </c>
      <c r="L34" s="14">
        <v>0</v>
      </c>
      <c r="M34" s="14">
        <f>士兵数据!L14</f>
        <v>1732</v>
      </c>
      <c r="N34" s="14">
        <v>0</v>
      </c>
      <c r="O34" s="14">
        <f>士兵数据!N14</f>
        <v>229</v>
      </c>
      <c r="P34" s="14">
        <v>0</v>
      </c>
      <c r="Q34" s="14">
        <f>士兵数据!P14</f>
        <v>105</v>
      </c>
      <c r="R34" s="14">
        <v>0</v>
      </c>
      <c r="S34" s="14">
        <f>士兵数据!Q14</f>
        <v>68</v>
      </c>
      <c r="T34" s="14">
        <v>0</v>
      </c>
      <c r="U34" s="14">
        <f>士兵数据!T14</f>
        <v>91</v>
      </c>
      <c r="V34" s="14">
        <v>0</v>
      </c>
      <c r="W34" s="14">
        <v>12</v>
      </c>
      <c r="X34" s="14">
        <v>0</v>
      </c>
      <c r="Y34" s="14">
        <v>200</v>
      </c>
      <c r="Z34" s="41">
        <v>1300</v>
      </c>
      <c r="AA34" s="14">
        <v>500</v>
      </c>
      <c r="AB34" s="14">
        <v>8</v>
      </c>
      <c r="AC34" s="14">
        <v>2</v>
      </c>
      <c r="AD34" s="14" t="s">
        <v>274</v>
      </c>
      <c r="AE34" s="14">
        <v>0</v>
      </c>
      <c r="AF34" s="14">
        <v>0</v>
      </c>
      <c r="AG34" s="14">
        <v>0</v>
      </c>
      <c r="AH34" s="14">
        <v>0</v>
      </c>
      <c r="AI34" s="14" t="s">
        <v>266</v>
      </c>
      <c r="AJ34" s="14">
        <v>1.5</v>
      </c>
      <c r="AK34" s="14">
        <v>2.5</v>
      </c>
      <c r="AL34" s="14">
        <v>100</v>
      </c>
      <c r="AM34" s="24">
        <v>11</v>
      </c>
      <c r="AN34" s="24">
        <v>0</v>
      </c>
      <c r="AO34" s="24">
        <v>4</v>
      </c>
      <c r="AP34" s="24">
        <v>0</v>
      </c>
      <c r="AQ34" s="24">
        <v>0</v>
      </c>
      <c r="AR34" s="24">
        <v>90</v>
      </c>
      <c r="AS34" s="24">
        <v>0</v>
      </c>
      <c r="AT34" s="24" t="s">
        <v>224</v>
      </c>
      <c r="AU34" s="24">
        <v>0</v>
      </c>
      <c r="AV34" s="24">
        <v>0</v>
      </c>
    </row>
    <row r="35" s="24" customFormat="1" spans="1:48">
      <c r="A35" s="5">
        <v>251002</v>
      </c>
      <c r="B35" s="15" t="s">
        <v>275</v>
      </c>
      <c r="C35" s="15">
        <v>11</v>
      </c>
      <c r="D35" s="15">
        <v>2</v>
      </c>
      <c r="E35" s="33" t="s">
        <v>272</v>
      </c>
      <c r="F35" s="15">
        <v>2</v>
      </c>
      <c r="G35" s="15">
        <v>5</v>
      </c>
      <c r="H35" s="15">
        <v>0</v>
      </c>
      <c r="I35" s="15">
        <v>0</v>
      </c>
      <c r="J35" s="15" t="s">
        <v>276</v>
      </c>
      <c r="K35" s="15" t="s">
        <v>276</v>
      </c>
      <c r="L35" s="14">
        <v>0</v>
      </c>
      <c r="M35" s="14">
        <f>士兵数据!L15</f>
        <v>1691</v>
      </c>
      <c r="N35" s="14">
        <v>0</v>
      </c>
      <c r="O35" s="14">
        <f>士兵数据!N15</f>
        <v>240</v>
      </c>
      <c r="P35" s="14">
        <v>0</v>
      </c>
      <c r="Q35" s="14">
        <f>士兵数据!P15</f>
        <v>101</v>
      </c>
      <c r="R35" s="14">
        <v>0</v>
      </c>
      <c r="S35" s="14">
        <f>士兵数据!Q15</f>
        <v>70</v>
      </c>
      <c r="T35" s="14">
        <v>0</v>
      </c>
      <c r="U35" s="14">
        <f>士兵数据!T15</f>
        <v>88</v>
      </c>
      <c r="V35" s="14">
        <v>0</v>
      </c>
      <c r="W35" s="14">
        <v>12</v>
      </c>
      <c r="X35" s="14">
        <v>0</v>
      </c>
      <c r="Y35" s="14">
        <v>200</v>
      </c>
      <c r="Z35" s="41">
        <v>1300</v>
      </c>
      <c r="AA35" s="14">
        <v>500</v>
      </c>
      <c r="AB35" s="14">
        <v>8</v>
      </c>
      <c r="AC35" s="14">
        <v>2</v>
      </c>
      <c r="AD35" s="14" t="s">
        <v>277</v>
      </c>
      <c r="AE35" s="14">
        <v>0</v>
      </c>
      <c r="AF35" s="14">
        <v>0</v>
      </c>
      <c r="AG35" s="14">
        <v>0</v>
      </c>
      <c r="AH35" s="14">
        <v>0</v>
      </c>
      <c r="AI35" s="14" t="s">
        <v>266</v>
      </c>
      <c r="AJ35" s="14">
        <v>1.5</v>
      </c>
      <c r="AK35" s="14">
        <v>2.5</v>
      </c>
      <c r="AL35" s="14">
        <v>100</v>
      </c>
      <c r="AM35" s="24">
        <v>11</v>
      </c>
      <c r="AN35" s="24">
        <v>0</v>
      </c>
      <c r="AO35" s="24">
        <v>4</v>
      </c>
      <c r="AP35" s="24">
        <v>0</v>
      </c>
      <c r="AQ35" s="24">
        <v>0</v>
      </c>
      <c r="AR35" s="24">
        <v>90</v>
      </c>
      <c r="AS35" s="24">
        <v>0</v>
      </c>
      <c r="AT35" s="24" t="s">
        <v>224</v>
      </c>
      <c r="AU35" s="24">
        <v>0</v>
      </c>
      <c r="AV35" s="24">
        <v>0</v>
      </c>
    </row>
    <row r="36" s="24" customFormat="1" spans="1:48">
      <c r="A36" s="5">
        <v>261001</v>
      </c>
      <c r="B36" s="15" t="s">
        <v>278</v>
      </c>
      <c r="C36" s="15">
        <v>11</v>
      </c>
      <c r="D36" s="15">
        <v>2</v>
      </c>
      <c r="E36" s="33" t="s">
        <v>279</v>
      </c>
      <c r="F36" s="15">
        <v>2</v>
      </c>
      <c r="G36" s="15">
        <v>6</v>
      </c>
      <c r="H36" s="15">
        <v>0</v>
      </c>
      <c r="I36" s="15">
        <v>0</v>
      </c>
      <c r="J36" s="15" t="s">
        <v>280</v>
      </c>
      <c r="K36" s="15" t="s">
        <v>280</v>
      </c>
      <c r="L36" s="14">
        <v>0</v>
      </c>
      <c r="M36" s="14">
        <f>士兵数据!L16</f>
        <v>2187</v>
      </c>
      <c r="N36" s="14">
        <v>0</v>
      </c>
      <c r="O36" s="14">
        <f>士兵数据!N16</f>
        <v>286</v>
      </c>
      <c r="P36" s="14">
        <v>0</v>
      </c>
      <c r="Q36" s="14">
        <f>士兵数据!P16</f>
        <v>133</v>
      </c>
      <c r="R36" s="14">
        <v>0</v>
      </c>
      <c r="S36" s="14">
        <f>士兵数据!Q16</f>
        <v>75</v>
      </c>
      <c r="T36" s="14">
        <v>0</v>
      </c>
      <c r="U36" s="14">
        <f>士兵数据!T16</f>
        <v>115</v>
      </c>
      <c r="V36" s="14">
        <v>0</v>
      </c>
      <c r="W36" s="14">
        <v>11</v>
      </c>
      <c r="X36" s="14">
        <v>0</v>
      </c>
      <c r="Y36" s="14">
        <v>200</v>
      </c>
      <c r="Z36" s="41">
        <v>1300</v>
      </c>
      <c r="AA36" s="14">
        <v>500</v>
      </c>
      <c r="AB36" s="14">
        <v>8</v>
      </c>
      <c r="AC36" s="14">
        <v>2</v>
      </c>
      <c r="AD36" s="14" t="s">
        <v>277</v>
      </c>
      <c r="AE36" s="14">
        <v>0</v>
      </c>
      <c r="AF36" s="14">
        <v>0</v>
      </c>
      <c r="AG36" s="14">
        <v>0</v>
      </c>
      <c r="AH36" s="14">
        <v>0</v>
      </c>
      <c r="AI36" s="14" t="s">
        <v>266</v>
      </c>
      <c r="AJ36" s="14">
        <v>1.5</v>
      </c>
      <c r="AK36" s="14">
        <v>3</v>
      </c>
      <c r="AL36" s="14">
        <v>100</v>
      </c>
      <c r="AM36" s="24">
        <v>11</v>
      </c>
      <c r="AN36" s="24">
        <v>0</v>
      </c>
      <c r="AO36" s="24">
        <v>4</v>
      </c>
      <c r="AP36" s="24">
        <v>0</v>
      </c>
      <c r="AQ36" s="24">
        <v>0</v>
      </c>
      <c r="AR36" s="24">
        <v>90</v>
      </c>
      <c r="AS36" s="24">
        <v>0</v>
      </c>
      <c r="AT36" s="24" t="s">
        <v>224</v>
      </c>
      <c r="AU36" s="24">
        <v>0</v>
      </c>
      <c r="AV36" s="24">
        <v>0</v>
      </c>
    </row>
    <row r="37" s="24" customFormat="1" spans="1:48">
      <c r="A37" s="5">
        <v>321001</v>
      </c>
      <c r="B37" s="15" t="s">
        <v>281</v>
      </c>
      <c r="C37" s="15">
        <v>11</v>
      </c>
      <c r="D37" s="15">
        <v>2</v>
      </c>
      <c r="E37" s="33" t="s">
        <v>226</v>
      </c>
      <c r="F37" s="15">
        <v>3</v>
      </c>
      <c r="G37" s="15">
        <v>2</v>
      </c>
      <c r="H37" s="15">
        <v>0</v>
      </c>
      <c r="I37" s="15">
        <v>0</v>
      </c>
      <c r="J37" s="15" t="s">
        <v>282</v>
      </c>
      <c r="K37" s="15" t="s">
        <v>282</v>
      </c>
      <c r="L37" s="14">
        <v>0</v>
      </c>
      <c r="M37" s="14">
        <f>士兵数据!L17</f>
        <v>399</v>
      </c>
      <c r="N37" s="14">
        <v>0</v>
      </c>
      <c r="O37" s="14">
        <f>士兵数据!N17</f>
        <v>87</v>
      </c>
      <c r="P37" s="14">
        <v>0</v>
      </c>
      <c r="Q37" s="14">
        <f>士兵数据!P17</f>
        <v>35</v>
      </c>
      <c r="R37" s="14">
        <v>0</v>
      </c>
      <c r="S37" s="14">
        <f>士兵数据!Q17</f>
        <v>52</v>
      </c>
      <c r="T37" s="14">
        <v>0</v>
      </c>
      <c r="U37" s="14">
        <f>士兵数据!T17</f>
        <v>37</v>
      </c>
      <c r="V37" s="14">
        <v>0</v>
      </c>
      <c r="W37" s="14">
        <v>11</v>
      </c>
      <c r="X37" s="14">
        <v>0</v>
      </c>
      <c r="Y37" s="14">
        <v>1200</v>
      </c>
      <c r="Z37" s="41">
        <v>1300</v>
      </c>
      <c r="AA37" s="14">
        <v>400</v>
      </c>
      <c r="AB37" s="14">
        <v>10</v>
      </c>
      <c r="AC37" s="14">
        <v>1</v>
      </c>
      <c r="AD37" s="14" t="s">
        <v>283</v>
      </c>
      <c r="AE37" s="14">
        <v>0</v>
      </c>
      <c r="AF37" s="14">
        <v>0</v>
      </c>
      <c r="AG37" s="14">
        <v>0</v>
      </c>
      <c r="AH37" s="14">
        <v>0</v>
      </c>
      <c r="AI37" s="14" t="s">
        <v>266</v>
      </c>
      <c r="AJ37" s="14">
        <v>1.5</v>
      </c>
      <c r="AK37" s="14">
        <v>1.7</v>
      </c>
      <c r="AL37" s="14">
        <v>100</v>
      </c>
      <c r="AM37" s="24">
        <v>11</v>
      </c>
      <c r="AN37" s="24">
        <v>0</v>
      </c>
      <c r="AO37" s="24">
        <v>4</v>
      </c>
      <c r="AP37" s="24">
        <v>0</v>
      </c>
      <c r="AQ37" s="24">
        <v>0</v>
      </c>
      <c r="AR37" s="24">
        <v>90</v>
      </c>
      <c r="AS37" s="24">
        <v>0</v>
      </c>
      <c r="AT37" s="24" t="s">
        <v>224</v>
      </c>
      <c r="AU37" s="24">
        <v>0</v>
      </c>
      <c r="AV37" s="24">
        <v>0</v>
      </c>
    </row>
    <row r="38" s="24" customFormat="1" spans="1:48">
      <c r="A38" s="5">
        <v>331001</v>
      </c>
      <c r="B38" s="15" t="s">
        <v>284</v>
      </c>
      <c r="C38" s="15">
        <v>11</v>
      </c>
      <c r="D38" s="15">
        <v>2</v>
      </c>
      <c r="E38" s="33" t="s">
        <v>285</v>
      </c>
      <c r="F38" s="15">
        <v>3</v>
      </c>
      <c r="G38" s="15">
        <v>3</v>
      </c>
      <c r="H38" s="15">
        <v>0</v>
      </c>
      <c r="I38" s="15">
        <v>0</v>
      </c>
      <c r="J38" s="15" t="s">
        <v>286</v>
      </c>
      <c r="K38" s="15" t="s">
        <v>286</v>
      </c>
      <c r="L38" s="14">
        <v>0</v>
      </c>
      <c r="M38" s="14">
        <f>士兵数据!L18</f>
        <v>742</v>
      </c>
      <c r="N38" s="14">
        <v>0</v>
      </c>
      <c r="O38" s="14">
        <f>士兵数据!N18</f>
        <v>128</v>
      </c>
      <c r="P38" s="14">
        <v>0</v>
      </c>
      <c r="Q38" s="14">
        <f>士兵数据!P18</f>
        <v>45</v>
      </c>
      <c r="R38" s="14">
        <v>0</v>
      </c>
      <c r="S38" s="14">
        <f>士兵数据!Q18</f>
        <v>61</v>
      </c>
      <c r="T38" s="14">
        <v>0</v>
      </c>
      <c r="U38" s="14">
        <f>士兵数据!T18</f>
        <v>50</v>
      </c>
      <c r="V38" s="14">
        <v>0</v>
      </c>
      <c r="W38" s="14">
        <v>11</v>
      </c>
      <c r="X38" s="14">
        <v>0</v>
      </c>
      <c r="Y38" s="14">
        <v>1200</v>
      </c>
      <c r="Z38" s="41">
        <v>1300</v>
      </c>
      <c r="AA38" s="14">
        <v>400</v>
      </c>
      <c r="AB38" s="14">
        <v>10</v>
      </c>
      <c r="AC38" s="14">
        <v>1</v>
      </c>
      <c r="AD38" s="14" t="s">
        <v>287</v>
      </c>
      <c r="AE38" s="14">
        <v>0</v>
      </c>
      <c r="AF38" s="14">
        <v>0</v>
      </c>
      <c r="AG38" s="14">
        <v>0</v>
      </c>
      <c r="AH38" s="14">
        <v>0</v>
      </c>
      <c r="AI38" s="14" t="s">
        <v>266</v>
      </c>
      <c r="AJ38" s="14">
        <v>1.5</v>
      </c>
      <c r="AK38" s="14">
        <v>2</v>
      </c>
      <c r="AL38" s="14">
        <v>100</v>
      </c>
      <c r="AM38" s="24">
        <v>11</v>
      </c>
      <c r="AN38" s="24">
        <v>0</v>
      </c>
      <c r="AO38" s="24">
        <v>4</v>
      </c>
      <c r="AP38" s="24">
        <v>0</v>
      </c>
      <c r="AQ38" s="24">
        <v>0</v>
      </c>
      <c r="AR38" s="24">
        <v>90</v>
      </c>
      <c r="AS38" s="24">
        <v>0</v>
      </c>
      <c r="AT38" s="24" t="s">
        <v>224</v>
      </c>
      <c r="AU38" s="24">
        <v>0</v>
      </c>
      <c r="AV38" s="24">
        <v>0</v>
      </c>
    </row>
    <row r="39" s="24" customFormat="1" spans="1:48">
      <c r="A39" s="5">
        <v>341001</v>
      </c>
      <c r="B39" s="15" t="s">
        <v>288</v>
      </c>
      <c r="C39" s="15">
        <v>11</v>
      </c>
      <c r="D39" s="15">
        <v>2</v>
      </c>
      <c r="E39" s="33" t="s">
        <v>289</v>
      </c>
      <c r="F39" s="15">
        <v>3</v>
      </c>
      <c r="G39" s="15">
        <v>4</v>
      </c>
      <c r="H39" s="15">
        <v>0</v>
      </c>
      <c r="I39" s="15">
        <v>0</v>
      </c>
      <c r="J39" s="15" t="s">
        <v>290</v>
      </c>
      <c r="K39" s="15" t="s">
        <v>290</v>
      </c>
      <c r="L39" s="14">
        <v>0</v>
      </c>
      <c r="M39" s="14">
        <f>士兵数据!L19</f>
        <v>976</v>
      </c>
      <c r="N39" s="14">
        <v>0</v>
      </c>
      <c r="O39" s="14">
        <f>士兵数据!N19</f>
        <v>178</v>
      </c>
      <c r="P39" s="14">
        <v>0</v>
      </c>
      <c r="Q39" s="14">
        <f>士兵数据!P19</f>
        <v>75</v>
      </c>
      <c r="R39" s="14">
        <v>0</v>
      </c>
      <c r="S39" s="14">
        <f>士兵数据!Q19</f>
        <v>52</v>
      </c>
      <c r="T39" s="14">
        <v>0</v>
      </c>
      <c r="U39" s="14">
        <f>士兵数据!T19</f>
        <v>65</v>
      </c>
      <c r="V39" s="14">
        <v>0</v>
      </c>
      <c r="W39" s="14">
        <v>11</v>
      </c>
      <c r="X39" s="14">
        <v>0</v>
      </c>
      <c r="Y39" s="14">
        <v>1500</v>
      </c>
      <c r="Z39" s="41">
        <v>1300</v>
      </c>
      <c r="AA39" s="14">
        <v>400</v>
      </c>
      <c r="AB39" s="14">
        <v>10</v>
      </c>
      <c r="AC39" s="14">
        <v>1</v>
      </c>
      <c r="AD39" s="14" t="s">
        <v>291</v>
      </c>
      <c r="AE39" s="14">
        <v>0</v>
      </c>
      <c r="AF39" s="14">
        <v>0</v>
      </c>
      <c r="AG39" s="14">
        <v>0</v>
      </c>
      <c r="AH39" s="14">
        <v>0</v>
      </c>
      <c r="AI39" s="14" t="s">
        <v>266</v>
      </c>
      <c r="AJ39" s="14">
        <v>1.5</v>
      </c>
      <c r="AK39" s="14">
        <v>1.7</v>
      </c>
      <c r="AL39" s="14">
        <v>100</v>
      </c>
      <c r="AM39" s="24">
        <v>11</v>
      </c>
      <c r="AN39" s="24">
        <v>0</v>
      </c>
      <c r="AO39" s="24">
        <v>4</v>
      </c>
      <c r="AP39" s="24">
        <v>0</v>
      </c>
      <c r="AQ39" s="24">
        <v>0</v>
      </c>
      <c r="AR39" s="24">
        <v>90</v>
      </c>
      <c r="AS39" s="24">
        <v>0</v>
      </c>
      <c r="AT39" s="24" t="s">
        <v>224</v>
      </c>
      <c r="AU39" s="24">
        <v>0</v>
      </c>
      <c r="AV39" s="24">
        <v>0</v>
      </c>
    </row>
    <row r="40" s="24" customFormat="1" spans="1:48">
      <c r="A40" s="5">
        <v>341002</v>
      </c>
      <c r="B40" s="15" t="s">
        <v>292</v>
      </c>
      <c r="C40" s="15">
        <v>11</v>
      </c>
      <c r="D40" s="15">
        <v>2</v>
      </c>
      <c r="E40" s="33" t="s">
        <v>293</v>
      </c>
      <c r="F40" s="15">
        <v>3</v>
      </c>
      <c r="G40" s="15">
        <v>4</v>
      </c>
      <c r="H40" s="15">
        <v>0</v>
      </c>
      <c r="I40" s="15">
        <v>0</v>
      </c>
      <c r="J40" s="15" t="s">
        <v>294</v>
      </c>
      <c r="K40" s="15" t="s">
        <v>294</v>
      </c>
      <c r="L40" s="14">
        <v>0</v>
      </c>
      <c r="M40" s="14">
        <f>士兵数据!L20</f>
        <v>1143</v>
      </c>
      <c r="N40" s="14">
        <v>0</v>
      </c>
      <c r="O40" s="14">
        <f>士兵数据!N20</f>
        <v>186</v>
      </c>
      <c r="P40" s="14">
        <v>0</v>
      </c>
      <c r="Q40" s="14">
        <f>士兵数据!P20</f>
        <v>72</v>
      </c>
      <c r="R40" s="14">
        <v>0</v>
      </c>
      <c r="S40" s="14">
        <f>士兵数据!Q20</f>
        <v>64</v>
      </c>
      <c r="T40" s="14">
        <v>0</v>
      </c>
      <c r="U40" s="14">
        <f>士兵数据!T20</f>
        <v>79</v>
      </c>
      <c r="V40" s="14">
        <v>0</v>
      </c>
      <c r="W40" s="14">
        <v>11</v>
      </c>
      <c r="X40" s="14">
        <v>0</v>
      </c>
      <c r="Y40" s="14">
        <v>1200</v>
      </c>
      <c r="Z40" s="41">
        <v>1300</v>
      </c>
      <c r="AA40" s="14">
        <v>500</v>
      </c>
      <c r="AB40" s="14">
        <v>10</v>
      </c>
      <c r="AC40" s="14">
        <v>1</v>
      </c>
      <c r="AD40" s="14" t="s">
        <v>295</v>
      </c>
      <c r="AE40" s="14">
        <v>0</v>
      </c>
      <c r="AF40" s="14">
        <v>0</v>
      </c>
      <c r="AG40" s="14">
        <v>0</v>
      </c>
      <c r="AH40" s="14">
        <v>0</v>
      </c>
      <c r="AI40" s="14" t="s">
        <v>266</v>
      </c>
      <c r="AJ40" s="14">
        <v>1.5</v>
      </c>
      <c r="AK40" s="14">
        <v>2</v>
      </c>
      <c r="AL40" s="14">
        <v>100</v>
      </c>
      <c r="AM40" s="24">
        <v>11</v>
      </c>
      <c r="AN40" s="24">
        <v>0</v>
      </c>
      <c r="AO40" s="24">
        <v>4</v>
      </c>
      <c r="AP40" s="24">
        <v>0</v>
      </c>
      <c r="AQ40" s="24">
        <v>0</v>
      </c>
      <c r="AR40" s="24">
        <v>90</v>
      </c>
      <c r="AS40" s="24">
        <v>0</v>
      </c>
      <c r="AT40" s="24" t="s">
        <v>224</v>
      </c>
      <c r="AU40" s="24">
        <v>0</v>
      </c>
      <c r="AV40" s="24">
        <v>0</v>
      </c>
    </row>
    <row r="41" s="24" customFormat="1" spans="1:48">
      <c r="A41" s="5">
        <v>351001</v>
      </c>
      <c r="B41" s="15" t="s">
        <v>296</v>
      </c>
      <c r="C41" s="15">
        <v>11</v>
      </c>
      <c r="D41" s="15">
        <v>2</v>
      </c>
      <c r="E41" s="33" t="s">
        <v>297</v>
      </c>
      <c r="F41" s="15">
        <v>3</v>
      </c>
      <c r="G41" s="15">
        <v>5</v>
      </c>
      <c r="H41" s="15">
        <v>0</v>
      </c>
      <c r="I41" s="15">
        <v>0</v>
      </c>
      <c r="J41" s="15" t="s">
        <v>298</v>
      </c>
      <c r="K41" s="15" t="s">
        <v>298</v>
      </c>
      <c r="L41" s="14">
        <v>0</v>
      </c>
      <c r="M41" s="14">
        <f>士兵数据!L21</f>
        <v>1520</v>
      </c>
      <c r="N41" s="14">
        <v>0</v>
      </c>
      <c r="O41" s="14">
        <f>士兵数据!N21</f>
        <v>220</v>
      </c>
      <c r="P41" s="14">
        <v>0</v>
      </c>
      <c r="Q41" s="14">
        <f>士兵数据!P21</f>
        <v>95</v>
      </c>
      <c r="R41" s="14">
        <v>0</v>
      </c>
      <c r="S41" s="14">
        <f>士兵数据!Q21</f>
        <v>60</v>
      </c>
      <c r="T41" s="14">
        <v>0</v>
      </c>
      <c r="U41" s="14">
        <f>士兵数据!T21</f>
        <v>83</v>
      </c>
      <c r="V41" s="14">
        <v>0</v>
      </c>
      <c r="W41" s="14">
        <v>12</v>
      </c>
      <c r="X41" s="14">
        <v>0</v>
      </c>
      <c r="Y41" s="14">
        <v>800</v>
      </c>
      <c r="Z41" s="41">
        <v>1300</v>
      </c>
      <c r="AA41" s="14">
        <v>400</v>
      </c>
      <c r="AB41" s="14">
        <v>10</v>
      </c>
      <c r="AC41" s="14">
        <v>1</v>
      </c>
      <c r="AD41" s="14" t="s">
        <v>299</v>
      </c>
      <c r="AE41" s="14">
        <v>0</v>
      </c>
      <c r="AF41" s="14">
        <v>0</v>
      </c>
      <c r="AG41" s="14">
        <v>0</v>
      </c>
      <c r="AH41" s="14">
        <v>0</v>
      </c>
      <c r="AI41" s="14" t="s">
        <v>266</v>
      </c>
      <c r="AJ41" s="14">
        <v>1.5</v>
      </c>
      <c r="AK41" s="14">
        <v>2</v>
      </c>
      <c r="AL41" s="14">
        <v>100</v>
      </c>
      <c r="AM41" s="24">
        <v>11</v>
      </c>
      <c r="AN41" s="24">
        <v>0</v>
      </c>
      <c r="AO41" s="24">
        <v>4</v>
      </c>
      <c r="AP41" s="24">
        <v>0</v>
      </c>
      <c r="AQ41" s="24">
        <v>0</v>
      </c>
      <c r="AR41" s="24">
        <v>90</v>
      </c>
      <c r="AS41" s="24">
        <v>0</v>
      </c>
      <c r="AT41" s="24" t="s">
        <v>224</v>
      </c>
      <c r="AU41" s="24">
        <v>0</v>
      </c>
      <c r="AV41" s="24">
        <v>0</v>
      </c>
    </row>
    <row r="42" s="24" customFormat="1" spans="1:48">
      <c r="A42" s="5">
        <v>351002</v>
      </c>
      <c r="B42" s="15" t="s">
        <v>300</v>
      </c>
      <c r="C42" s="15">
        <v>11</v>
      </c>
      <c r="D42" s="15">
        <v>2</v>
      </c>
      <c r="E42" s="33" t="s">
        <v>301</v>
      </c>
      <c r="F42" s="15">
        <v>3</v>
      </c>
      <c r="G42" s="15">
        <v>5</v>
      </c>
      <c r="H42" s="15">
        <v>0</v>
      </c>
      <c r="I42" s="15">
        <v>0</v>
      </c>
      <c r="J42" s="15" t="s">
        <v>302</v>
      </c>
      <c r="K42" s="15" t="s">
        <v>302</v>
      </c>
      <c r="L42" s="14">
        <v>0</v>
      </c>
      <c r="M42" s="14">
        <f>士兵数据!L22</f>
        <v>1395</v>
      </c>
      <c r="N42" s="14">
        <v>0</v>
      </c>
      <c r="O42" s="14">
        <f>士兵数据!N22</f>
        <v>228</v>
      </c>
      <c r="P42" s="14">
        <v>0</v>
      </c>
      <c r="Q42" s="14">
        <f>士兵数据!P22</f>
        <v>85</v>
      </c>
      <c r="R42" s="14">
        <v>0</v>
      </c>
      <c r="S42" s="14">
        <f>士兵数据!Q22</f>
        <v>69</v>
      </c>
      <c r="T42" s="14">
        <v>0</v>
      </c>
      <c r="U42" s="14">
        <f>士兵数据!T22</f>
        <v>93</v>
      </c>
      <c r="V42" s="14">
        <v>0</v>
      </c>
      <c r="W42" s="14">
        <v>11</v>
      </c>
      <c r="X42" s="14">
        <v>0</v>
      </c>
      <c r="Y42" s="14">
        <v>1200</v>
      </c>
      <c r="Z42" s="41">
        <v>1300</v>
      </c>
      <c r="AA42" s="14">
        <v>400</v>
      </c>
      <c r="AB42" s="14">
        <v>10</v>
      </c>
      <c r="AC42" s="14">
        <v>1</v>
      </c>
      <c r="AD42" s="14" t="s">
        <v>299</v>
      </c>
      <c r="AE42" s="14">
        <v>0</v>
      </c>
      <c r="AF42" s="14">
        <v>0</v>
      </c>
      <c r="AG42" s="14">
        <v>0</v>
      </c>
      <c r="AH42" s="14">
        <v>0</v>
      </c>
      <c r="AI42" s="14" t="s">
        <v>266</v>
      </c>
      <c r="AJ42" s="14">
        <v>1.5</v>
      </c>
      <c r="AK42" s="14">
        <v>2.5</v>
      </c>
      <c r="AL42" s="14">
        <v>100</v>
      </c>
      <c r="AM42" s="24">
        <v>11</v>
      </c>
      <c r="AN42" s="24">
        <v>0</v>
      </c>
      <c r="AO42" s="24">
        <v>4</v>
      </c>
      <c r="AP42" s="24">
        <v>0</v>
      </c>
      <c r="AQ42" s="24">
        <v>0</v>
      </c>
      <c r="AR42" s="24">
        <v>90</v>
      </c>
      <c r="AS42" s="24">
        <v>0</v>
      </c>
      <c r="AT42" s="24" t="s">
        <v>224</v>
      </c>
      <c r="AU42" s="24">
        <v>0</v>
      </c>
      <c r="AV42" s="24">
        <v>0</v>
      </c>
    </row>
    <row r="43" s="24" customFormat="1" spans="1:48">
      <c r="A43" s="5">
        <v>361001</v>
      </c>
      <c r="B43" s="15" t="s">
        <v>303</v>
      </c>
      <c r="C43" s="15">
        <v>11</v>
      </c>
      <c r="D43" s="15">
        <v>2</v>
      </c>
      <c r="E43" s="33" t="s">
        <v>272</v>
      </c>
      <c r="F43" s="15">
        <v>3</v>
      </c>
      <c r="G43" s="15">
        <v>6</v>
      </c>
      <c r="H43" s="15">
        <v>0</v>
      </c>
      <c r="I43" s="15">
        <v>0</v>
      </c>
      <c r="J43" s="15" t="s">
        <v>304</v>
      </c>
      <c r="K43" s="15" t="s">
        <v>304</v>
      </c>
      <c r="L43" s="14">
        <v>0</v>
      </c>
      <c r="M43" s="14">
        <f>士兵数据!L23</f>
        <v>1794</v>
      </c>
      <c r="N43" s="14">
        <v>0</v>
      </c>
      <c r="O43" s="14">
        <f>士兵数据!N23</f>
        <v>261</v>
      </c>
      <c r="P43" s="14">
        <v>0</v>
      </c>
      <c r="Q43" s="14">
        <f>士兵数据!P23</f>
        <v>114</v>
      </c>
      <c r="R43" s="14">
        <v>0</v>
      </c>
      <c r="S43" s="14">
        <f>士兵数据!Q23</f>
        <v>62</v>
      </c>
      <c r="T43" s="14">
        <v>0</v>
      </c>
      <c r="U43" s="14">
        <f>士兵数据!T23</f>
        <v>99</v>
      </c>
      <c r="V43" s="14">
        <v>0</v>
      </c>
      <c r="W43" s="14">
        <v>11</v>
      </c>
      <c r="X43" s="14">
        <v>0</v>
      </c>
      <c r="Y43" s="14">
        <v>1600</v>
      </c>
      <c r="Z43" s="41">
        <v>1300</v>
      </c>
      <c r="AA43" s="14">
        <v>400</v>
      </c>
      <c r="AB43" s="14">
        <v>10</v>
      </c>
      <c r="AC43" s="14">
        <v>1</v>
      </c>
      <c r="AD43" s="14" t="s">
        <v>299</v>
      </c>
      <c r="AE43" s="14">
        <v>0</v>
      </c>
      <c r="AF43" s="14">
        <v>0</v>
      </c>
      <c r="AG43" s="14">
        <v>0</v>
      </c>
      <c r="AH43" s="14">
        <v>0</v>
      </c>
      <c r="AI43" s="14" t="s">
        <v>266</v>
      </c>
      <c r="AJ43" s="14">
        <v>1.5</v>
      </c>
      <c r="AK43" s="14">
        <v>2.5</v>
      </c>
      <c r="AL43" s="14">
        <v>100</v>
      </c>
      <c r="AM43" s="24">
        <v>11</v>
      </c>
      <c r="AN43" s="24">
        <v>0</v>
      </c>
      <c r="AO43" s="24">
        <v>4</v>
      </c>
      <c r="AP43" s="24">
        <v>0</v>
      </c>
      <c r="AQ43" s="24">
        <v>0</v>
      </c>
      <c r="AR43" s="24">
        <v>90</v>
      </c>
      <c r="AS43" s="24">
        <v>0</v>
      </c>
      <c r="AT43" s="24" t="s">
        <v>224</v>
      </c>
      <c r="AU43" s="24">
        <v>0</v>
      </c>
      <c r="AV43" s="24">
        <v>0</v>
      </c>
    </row>
    <row r="44" s="24" customFormat="1" spans="1:48">
      <c r="A44" s="5">
        <v>361002</v>
      </c>
      <c r="B44" s="15" t="s">
        <v>305</v>
      </c>
      <c r="C44" s="15">
        <v>11</v>
      </c>
      <c r="D44" s="15">
        <v>2</v>
      </c>
      <c r="E44" s="33" t="s">
        <v>250</v>
      </c>
      <c r="F44" s="15">
        <v>3</v>
      </c>
      <c r="G44" s="15">
        <v>6</v>
      </c>
      <c r="H44" s="15">
        <v>0</v>
      </c>
      <c r="I44" s="15">
        <v>0</v>
      </c>
      <c r="J44" s="15" t="s">
        <v>306</v>
      </c>
      <c r="K44" s="15" t="s">
        <v>306</v>
      </c>
      <c r="L44" s="14">
        <v>0</v>
      </c>
      <c r="M44" s="14">
        <f>士兵数据!L24</f>
        <v>1600</v>
      </c>
      <c r="N44" s="14">
        <v>0</v>
      </c>
      <c r="O44" s="14">
        <f>士兵数据!N24</f>
        <v>275</v>
      </c>
      <c r="P44" s="14">
        <v>0</v>
      </c>
      <c r="Q44" s="14">
        <f>士兵数据!P24</f>
        <v>101</v>
      </c>
      <c r="R44" s="14">
        <v>0</v>
      </c>
      <c r="S44" s="14">
        <f>士兵数据!Q24</f>
        <v>74</v>
      </c>
      <c r="T44" s="14">
        <v>0</v>
      </c>
      <c r="U44" s="14">
        <f>士兵数据!T24</f>
        <v>111</v>
      </c>
      <c r="V44" s="14">
        <v>0</v>
      </c>
      <c r="W44" s="14">
        <v>12</v>
      </c>
      <c r="X44" s="14">
        <v>0</v>
      </c>
      <c r="Y44" s="14">
        <v>1200</v>
      </c>
      <c r="Z44" s="41">
        <v>1300</v>
      </c>
      <c r="AA44" s="14">
        <v>400</v>
      </c>
      <c r="AB44" s="14">
        <v>10</v>
      </c>
      <c r="AC44" s="14">
        <v>1</v>
      </c>
      <c r="AD44" s="14" t="s">
        <v>299</v>
      </c>
      <c r="AE44" s="14">
        <v>0</v>
      </c>
      <c r="AF44" s="14">
        <v>0</v>
      </c>
      <c r="AG44" s="14">
        <v>0</v>
      </c>
      <c r="AH44" s="14">
        <v>0</v>
      </c>
      <c r="AI44" s="14" t="s">
        <v>266</v>
      </c>
      <c r="AJ44" s="14">
        <v>1.5</v>
      </c>
      <c r="AK44" s="14">
        <v>3</v>
      </c>
      <c r="AL44" s="14">
        <v>100</v>
      </c>
      <c r="AM44" s="24">
        <v>11</v>
      </c>
      <c r="AN44" s="24">
        <v>0</v>
      </c>
      <c r="AO44" s="24">
        <v>4</v>
      </c>
      <c r="AP44" s="24">
        <v>0</v>
      </c>
      <c r="AQ44" s="24">
        <v>0</v>
      </c>
      <c r="AR44" s="24">
        <v>90</v>
      </c>
      <c r="AS44" s="24">
        <v>0</v>
      </c>
      <c r="AT44" s="24" t="s">
        <v>224</v>
      </c>
      <c r="AU44" s="24">
        <v>0</v>
      </c>
      <c r="AV44" s="24">
        <v>0</v>
      </c>
    </row>
    <row r="45" s="24" customFormat="1" spans="1:48">
      <c r="A45" s="5">
        <v>361003</v>
      </c>
      <c r="B45" s="15" t="s">
        <v>307</v>
      </c>
      <c r="C45" s="15">
        <v>11</v>
      </c>
      <c r="D45" s="15">
        <v>2</v>
      </c>
      <c r="E45" s="33" t="s">
        <v>279</v>
      </c>
      <c r="F45" s="15">
        <v>3</v>
      </c>
      <c r="G45" s="15">
        <v>6</v>
      </c>
      <c r="H45" s="15">
        <v>0</v>
      </c>
      <c r="I45" s="15">
        <v>0</v>
      </c>
      <c r="J45" s="15" t="s">
        <v>308</v>
      </c>
      <c r="K45" s="15" t="s">
        <v>308</v>
      </c>
      <c r="L45" s="14">
        <v>0</v>
      </c>
      <c r="M45" s="14">
        <f>士兵数据!L25</f>
        <v>2153</v>
      </c>
      <c r="N45" s="14">
        <v>0</v>
      </c>
      <c r="O45" s="14">
        <f>士兵数据!N25</f>
        <v>296</v>
      </c>
      <c r="P45" s="14">
        <v>0</v>
      </c>
      <c r="Q45" s="14">
        <f>士兵数据!P25</f>
        <v>117</v>
      </c>
      <c r="R45" s="14">
        <v>0</v>
      </c>
      <c r="S45" s="14">
        <f>士兵数据!Q25</f>
        <v>66</v>
      </c>
      <c r="T45" s="14">
        <v>0</v>
      </c>
      <c r="U45" s="14">
        <f>士兵数据!T25</f>
        <v>102</v>
      </c>
      <c r="V45" s="14">
        <v>0</v>
      </c>
      <c r="W45" s="14">
        <v>12</v>
      </c>
      <c r="X45" s="14">
        <v>0</v>
      </c>
      <c r="Y45" s="14">
        <v>1200</v>
      </c>
      <c r="Z45" s="41">
        <v>1300</v>
      </c>
      <c r="AA45" s="14">
        <v>400</v>
      </c>
      <c r="AB45" s="14">
        <v>10</v>
      </c>
      <c r="AC45" s="14">
        <v>1</v>
      </c>
      <c r="AD45" s="14" t="s">
        <v>299</v>
      </c>
      <c r="AE45" s="14">
        <v>0</v>
      </c>
      <c r="AF45" s="14">
        <v>0</v>
      </c>
      <c r="AG45" s="14">
        <v>0</v>
      </c>
      <c r="AH45" s="14">
        <v>0</v>
      </c>
      <c r="AI45" s="14" t="s">
        <v>266</v>
      </c>
      <c r="AJ45" s="14">
        <v>1.5</v>
      </c>
      <c r="AK45" s="14">
        <v>3</v>
      </c>
      <c r="AL45" s="14">
        <v>100</v>
      </c>
      <c r="AM45" s="24">
        <v>11</v>
      </c>
      <c r="AN45" s="24">
        <v>0</v>
      </c>
      <c r="AO45" s="24">
        <v>4</v>
      </c>
      <c r="AP45" s="24">
        <v>0</v>
      </c>
      <c r="AQ45" s="24">
        <v>0</v>
      </c>
      <c r="AR45" s="24">
        <v>90</v>
      </c>
      <c r="AS45" s="24">
        <v>0</v>
      </c>
      <c r="AT45" s="24" t="s">
        <v>224</v>
      </c>
      <c r="AU45" s="24">
        <v>0</v>
      </c>
      <c r="AV45" s="24">
        <v>0</v>
      </c>
    </row>
    <row r="46" s="24" customFormat="1" spans="1:48">
      <c r="A46" s="5">
        <v>411001</v>
      </c>
      <c r="B46" s="15" t="s">
        <v>309</v>
      </c>
      <c r="C46" s="15">
        <v>11</v>
      </c>
      <c r="D46" s="15">
        <v>2</v>
      </c>
      <c r="E46" s="33" t="s">
        <v>310</v>
      </c>
      <c r="F46" s="15">
        <v>4</v>
      </c>
      <c r="G46" s="15">
        <v>1</v>
      </c>
      <c r="H46" s="15">
        <v>0</v>
      </c>
      <c r="I46" s="15">
        <v>0</v>
      </c>
      <c r="J46" s="15" t="s">
        <v>311</v>
      </c>
      <c r="K46" s="15" t="s">
        <v>311</v>
      </c>
      <c r="L46" s="14">
        <v>0</v>
      </c>
      <c r="M46" s="14">
        <f>士兵数据!L26</f>
        <v>481</v>
      </c>
      <c r="N46" s="14">
        <v>0</v>
      </c>
      <c r="O46" s="14">
        <f>士兵数据!N26</f>
        <v>90</v>
      </c>
      <c r="P46" s="14">
        <v>0</v>
      </c>
      <c r="Q46" s="14">
        <f>士兵数据!P26</f>
        <v>39</v>
      </c>
      <c r="R46" s="14">
        <v>0</v>
      </c>
      <c r="S46" s="14">
        <f>士兵数据!Q26</f>
        <v>50</v>
      </c>
      <c r="T46" s="14">
        <v>0</v>
      </c>
      <c r="U46" s="14">
        <f>士兵数据!T26</f>
        <v>34</v>
      </c>
      <c r="V46" s="14">
        <v>0</v>
      </c>
      <c r="W46" s="14">
        <v>11</v>
      </c>
      <c r="X46" s="14">
        <v>0</v>
      </c>
      <c r="Y46" s="14">
        <v>200</v>
      </c>
      <c r="Z46" s="41">
        <v>1300</v>
      </c>
      <c r="AA46" s="14">
        <v>500</v>
      </c>
      <c r="AB46" s="14">
        <v>8</v>
      </c>
      <c r="AC46" s="14">
        <v>1</v>
      </c>
      <c r="AD46" s="14" t="s">
        <v>312</v>
      </c>
      <c r="AE46" s="14">
        <v>0</v>
      </c>
      <c r="AF46" s="14">
        <v>0</v>
      </c>
      <c r="AG46" s="14">
        <v>0</v>
      </c>
      <c r="AH46" s="14">
        <v>0</v>
      </c>
      <c r="AI46" s="14" t="s">
        <v>266</v>
      </c>
      <c r="AJ46" s="14">
        <v>1.5</v>
      </c>
      <c r="AK46" s="14">
        <v>1.7</v>
      </c>
      <c r="AL46" s="14">
        <v>100</v>
      </c>
      <c r="AM46" s="24">
        <v>11</v>
      </c>
      <c r="AN46" s="24">
        <v>0</v>
      </c>
      <c r="AO46" s="24">
        <v>4</v>
      </c>
      <c r="AP46" s="24">
        <v>0</v>
      </c>
      <c r="AQ46" s="24">
        <v>0</v>
      </c>
      <c r="AR46" s="24">
        <v>90</v>
      </c>
      <c r="AS46" s="24">
        <v>0</v>
      </c>
      <c r="AT46" s="24" t="s">
        <v>224</v>
      </c>
      <c r="AU46" s="24">
        <v>0</v>
      </c>
      <c r="AV46" s="24">
        <v>0</v>
      </c>
    </row>
    <row r="47" s="24" customFormat="1" spans="1:48">
      <c r="A47" s="5">
        <v>431001</v>
      </c>
      <c r="B47" s="15" t="s">
        <v>313</v>
      </c>
      <c r="C47" s="15">
        <v>11</v>
      </c>
      <c r="D47" s="15">
        <v>2</v>
      </c>
      <c r="E47" s="33" t="s">
        <v>289</v>
      </c>
      <c r="F47" s="15">
        <v>4</v>
      </c>
      <c r="G47" s="15">
        <v>3</v>
      </c>
      <c r="H47" s="15">
        <v>0</v>
      </c>
      <c r="I47" s="15">
        <v>0</v>
      </c>
      <c r="J47" s="15" t="s">
        <v>314</v>
      </c>
      <c r="K47" s="15" t="s">
        <v>314</v>
      </c>
      <c r="L47" s="14">
        <v>0</v>
      </c>
      <c r="M47" s="14">
        <f>士兵数据!L27</f>
        <v>877</v>
      </c>
      <c r="N47" s="14">
        <v>0</v>
      </c>
      <c r="O47" s="14">
        <f>士兵数据!N27</f>
        <v>164</v>
      </c>
      <c r="P47" s="14">
        <v>0</v>
      </c>
      <c r="Q47" s="14">
        <f>士兵数据!P27</f>
        <v>66</v>
      </c>
      <c r="R47" s="14">
        <v>0</v>
      </c>
      <c r="S47" s="14">
        <f>士兵数据!Q27</f>
        <v>60</v>
      </c>
      <c r="T47" s="14">
        <v>0</v>
      </c>
      <c r="U47" s="14">
        <f>士兵数据!T27</f>
        <v>57</v>
      </c>
      <c r="V47" s="14">
        <v>0</v>
      </c>
      <c r="W47" s="14">
        <v>11</v>
      </c>
      <c r="X47" s="14">
        <v>0</v>
      </c>
      <c r="Y47" s="14">
        <v>200</v>
      </c>
      <c r="Z47" s="41">
        <v>1300</v>
      </c>
      <c r="AA47" s="14">
        <v>500</v>
      </c>
      <c r="AB47" s="14">
        <v>8</v>
      </c>
      <c r="AC47" s="14">
        <v>1</v>
      </c>
      <c r="AD47" s="14" t="s">
        <v>315</v>
      </c>
      <c r="AE47" s="14">
        <v>0</v>
      </c>
      <c r="AF47" s="14">
        <v>0</v>
      </c>
      <c r="AG47" s="14">
        <v>0</v>
      </c>
      <c r="AH47" s="14">
        <v>0</v>
      </c>
      <c r="AI47" s="14" t="s">
        <v>266</v>
      </c>
      <c r="AJ47" s="14">
        <v>1.5</v>
      </c>
      <c r="AK47" s="14">
        <v>2</v>
      </c>
      <c r="AL47" s="14">
        <v>100</v>
      </c>
      <c r="AM47" s="24">
        <v>11</v>
      </c>
      <c r="AN47" s="24">
        <v>0</v>
      </c>
      <c r="AO47" s="24">
        <v>4</v>
      </c>
      <c r="AP47" s="24">
        <v>0</v>
      </c>
      <c r="AQ47" s="24">
        <v>0</v>
      </c>
      <c r="AR47" s="24">
        <v>90</v>
      </c>
      <c r="AS47" s="24">
        <v>0</v>
      </c>
      <c r="AT47" s="24" t="s">
        <v>224</v>
      </c>
      <c r="AU47" s="24">
        <v>0</v>
      </c>
      <c r="AV47" s="24">
        <v>0</v>
      </c>
    </row>
    <row r="48" s="24" customFormat="1" spans="1:48">
      <c r="A48" s="5">
        <v>441001</v>
      </c>
      <c r="B48" s="15" t="s">
        <v>316</v>
      </c>
      <c r="C48" s="15">
        <v>11</v>
      </c>
      <c r="D48" s="15">
        <v>2</v>
      </c>
      <c r="E48" s="33" t="s">
        <v>297</v>
      </c>
      <c r="F48" s="15">
        <v>4</v>
      </c>
      <c r="G48" s="15">
        <v>4</v>
      </c>
      <c r="H48" s="15">
        <v>0</v>
      </c>
      <c r="I48" s="15">
        <v>0</v>
      </c>
      <c r="J48" s="15" t="s">
        <v>317</v>
      </c>
      <c r="K48" s="15" t="s">
        <v>317</v>
      </c>
      <c r="L48" s="14">
        <v>0</v>
      </c>
      <c r="M48" s="14">
        <f>士兵数据!L28</f>
        <v>1324</v>
      </c>
      <c r="N48" s="14">
        <v>0</v>
      </c>
      <c r="O48" s="14">
        <f>士兵数据!N28</f>
        <v>212</v>
      </c>
      <c r="P48" s="14">
        <v>0</v>
      </c>
      <c r="Q48" s="14">
        <f>士兵数据!P28</f>
        <v>86</v>
      </c>
      <c r="R48" s="14">
        <v>0</v>
      </c>
      <c r="S48" s="14">
        <f>士兵数据!Q28</f>
        <v>65</v>
      </c>
      <c r="T48" s="14">
        <v>0</v>
      </c>
      <c r="U48" s="14">
        <f>士兵数据!T28</f>
        <v>74</v>
      </c>
      <c r="V48" s="14">
        <v>0</v>
      </c>
      <c r="W48" s="14">
        <v>12</v>
      </c>
      <c r="X48" s="14">
        <v>0</v>
      </c>
      <c r="Y48" s="14">
        <v>200</v>
      </c>
      <c r="Z48" s="41">
        <v>1300</v>
      </c>
      <c r="AA48" s="14">
        <v>500</v>
      </c>
      <c r="AB48" s="14">
        <v>8</v>
      </c>
      <c r="AC48" s="14">
        <v>1</v>
      </c>
      <c r="AD48" s="14" t="s">
        <v>318</v>
      </c>
      <c r="AE48" s="14">
        <v>0</v>
      </c>
      <c r="AF48" s="14">
        <v>0</v>
      </c>
      <c r="AG48" s="14">
        <v>0</v>
      </c>
      <c r="AH48" s="14">
        <v>0</v>
      </c>
      <c r="AI48" s="14" t="s">
        <v>266</v>
      </c>
      <c r="AJ48" s="14">
        <v>1.5</v>
      </c>
      <c r="AK48" s="14">
        <v>2</v>
      </c>
      <c r="AL48" s="14">
        <v>100</v>
      </c>
      <c r="AM48" s="24">
        <v>11</v>
      </c>
      <c r="AN48" s="24">
        <v>0</v>
      </c>
      <c r="AO48" s="24">
        <v>4</v>
      </c>
      <c r="AP48" s="24">
        <v>0</v>
      </c>
      <c r="AQ48" s="24">
        <v>0</v>
      </c>
      <c r="AR48" s="24">
        <v>90</v>
      </c>
      <c r="AS48" s="24">
        <v>0</v>
      </c>
      <c r="AT48" s="24" t="s">
        <v>224</v>
      </c>
      <c r="AU48" s="24">
        <v>0</v>
      </c>
      <c r="AV48" s="24">
        <v>0</v>
      </c>
    </row>
    <row r="49" s="24" customFormat="1" spans="1:48">
      <c r="A49" s="5">
        <v>451001</v>
      </c>
      <c r="B49" s="15" t="s">
        <v>319</v>
      </c>
      <c r="C49" s="15">
        <v>11</v>
      </c>
      <c r="D49" s="15">
        <v>2</v>
      </c>
      <c r="E49" s="33" t="s">
        <v>320</v>
      </c>
      <c r="F49" s="15">
        <v>4</v>
      </c>
      <c r="G49" s="15">
        <v>5</v>
      </c>
      <c r="H49" s="15">
        <v>0</v>
      </c>
      <c r="I49" s="15">
        <v>0</v>
      </c>
      <c r="J49" s="15" t="s">
        <v>321</v>
      </c>
      <c r="K49" s="15" t="s">
        <v>321</v>
      </c>
      <c r="L49" s="14">
        <v>0</v>
      </c>
      <c r="M49" s="14">
        <f>士兵数据!L29</f>
        <v>1572</v>
      </c>
      <c r="N49" s="14">
        <v>0</v>
      </c>
      <c r="O49" s="14">
        <f>士兵数据!N29</f>
        <v>254</v>
      </c>
      <c r="P49" s="14">
        <v>0</v>
      </c>
      <c r="Q49" s="14">
        <f>士兵数据!P29</f>
        <v>104</v>
      </c>
      <c r="R49" s="14">
        <v>0</v>
      </c>
      <c r="S49" s="14">
        <f>士兵数据!Q29</f>
        <v>70</v>
      </c>
      <c r="T49" s="14">
        <v>0</v>
      </c>
      <c r="U49" s="14">
        <f>士兵数据!T29</f>
        <v>90</v>
      </c>
      <c r="V49" s="14">
        <v>0</v>
      </c>
      <c r="W49" s="14">
        <v>12</v>
      </c>
      <c r="X49" s="14">
        <v>0</v>
      </c>
      <c r="Y49" s="14">
        <v>1000</v>
      </c>
      <c r="Z49" s="41">
        <v>1300</v>
      </c>
      <c r="AA49" s="14">
        <v>500</v>
      </c>
      <c r="AB49" s="14">
        <v>8</v>
      </c>
      <c r="AC49" s="14">
        <v>1</v>
      </c>
      <c r="AD49" s="14" t="s">
        <v>322</v>
      </c>
      <c r="AE49" s="14">
        <v>0</v>
      </c>
      <c r="AF49" s="14">
        <v>0</v>
      </c>
      <c r="AG49" s="14">
        <v>0</v>
      </c>
      <c r="AH49" s="14">
        <v>0</v>
      </c>
      <c r="AI49" s="14" t="s">
        <v>266</v>
      </c>
      <c r="AJ49" s="14">
        <v>1.5</v>
      </c>
      <c r="AK49" s="14">
        <v>2.5</v>
      </c>
      <c r="AL49" s="14">
        <v>100</v>
      </c>
      <c r="AM49" s="24">
        <v>11</v>
      </c>
      <c r="AN49" s="24">
        <v>0</v>
      </c>
      <c r="AO49" s="24">
        <v>4</v>
      </c>
      <c r="AP49" s="24">
        <v>0</v>
      </c>
      <c r="AQ49" s="24">
        <v>0</v>
      </c>
      <c r="AR49" s="24">
        <v>90</v>
      </c>
      <c r="AS49" s="24">
        <v>0</v>
      </c>
      <c r="AT49" s="24" t="s">
        <v>224</v>
      </c>
      <c r="AU49" s="24">
        <v>0</v>
      </c>
      <c r="AV49" s="24">
        <v>0</v>
      </c>
    </row>
    <row r="50" s="24" customFormat="1" spans="1:48">
      <c r="A50" s="5">
        <v>461001</v>
      </c>
      <c r="B50" s="15" t="s">
        <v>323</v>
      </c>
      <c r="C50" s="15">
        <v>11</v>
      </c>
      <c r="D50" s="15">
        <v>2</v>
      </c>
      <c r="E50" s="33" t="s">
        <v>324</v>
      </c>
      <c r="F50" s="15">
        <v>4</v>
      </c>
      <c r="G50" s="15">
        <v>6</v>
      </c>
      <c r="H50" s="15">
        <v>0</v>
      </c>
      <c r="I50" s="15">
        <v>0</v>
      </c>
      <c r="J50" s="15" t="s">
        <v>325</v>
      </c>
      <c r="K50" s="15" t="s">
        <v>325</v>
      </c>
      <c r="L50" s="14">
        <v>0</v>
      </c>
      <c r="M50" s="14">
        <f>士兵数据!L30</f>
        <v>1921</v>
      </c>
      <c r="N50" s="14">
        <v>0</v>
      </c>
      <c r="O50" s="14">
        <f>士兵数据!N30</f>
        <v>282</v>
      </c>
      <c r="P50" s="14">
        <v>0</v>
      </c>
      <c r="Q50" s="14">
        <f>士兵数据!P30</f>
        <v>121</v>
      </c>
      <c r="R50" s="14">
        <v>0</v>
      </c>
      <c r="S50" s="14">
        <f>士兵数据!Q30</f>
        <v>75</v>
      </c>
      <c r="T50" s="14">
        <v>0</v>
      </c>
      <c r="U50" s="14">
        <f>士兵数据!T30</f>
        <v>106</v>
      </c>
      <c r="V50" s="14">
        <v>0</v>
      </c>
      <c r="W50" s="14">
        <v>12</v>
      </c>
      <c r="X50" s="14">
        <v>0</v>
      </c>
      <c r="Y50" s="14">
        <v>1100</v>
      </c>
      <c r="Z50" s="41">
        <v>1300</v>
      </c>
      <c r="AA50" s="14">
        <v>500</v>
      </c>
      <c r="AB50" s="14">
        <v>8</v>
      </c>
      <c r="AC50" s="14">
        <v>1</v>
      </c>
      <c r="AD50" s="14" t="s">
        <v>326</v>
      </c>
      <c r="AE50" s="14">
        <v>0</v>
      </c>
      <c r="AF50" s="14">
        <v>0</v>
      </c>
      <c r="AG50" s="14">
        <v>0</v>
      </c>
      <c r="AH50" s="14">
        <v>0</v>
      </c>
      <c r="AI50" s="14" t="s">
        <v>266</v>
      </c>
      <c r="AJ50" s="14">
        <v>1.5</v>
      </c>
      <c r="AK50" s="14">
        <v>3</v>
      </c>
      <c r="AL50" s="14">
        <v>100</v>
      </c>
      <c r="AM50" s="24">
        <v>11</v>
      </c>
      <c r="AN50" s="24">
        <v>0</v>
      </c>
      <c r="AO50" s="24">
        <v>4</v>
      </c>
      <c r="AP50" s="24">
        <v>0</v>
      </c>
      <c r="AQ50" s="24">
        <v>0</v>
      </c>
      <c r="AR50" s="24">
        <v>90</v>
      </c>
      <c r="AS50" s="24">
        <v>0</v>
      </c>
      <c r="AT50" s="24" t="s">
        <v>224</v>
      </c>
      <c r="AU50" s="24">
        <v>0</v>
      </c>
      <c r="AV50" s="24">
        <v>0</v>
      </c>
    </row>
    <row r="51" s="24" customFormat="1" spans="1:48">
      <c r="A51" s="5">
        <v>461002</v>
      </c>
      <c r="B51" s="15" t="s">
        <v>327</v>
      </c>
      <c r="C51" s="15">
        <v>11</v>
      </c>
      <c r="D51" s="15">
        <v>2</v>
      </c>
      <c r="E51" s="33" t="s">
        <v>328</v>
      </c>
      <c r="F51" s="15">
        <v>4</v>
      </c>
      <c r="G51" s="15">
        <v>6</v>
      </c>
      <c r="H51" s="15">
        <v>0</v>
      </c>
      <c r="I51" s="15">
        <v>0</v>
      </c>
      <c r="J51" s="15" t="s">
        <v>329</v>
      </c>
      <c r="K51" s="15" t="s">
        <v>329</v>
      </c>
      <c r="L51" s="14">
        <v>0</v>
      </c>
      <c r="M51" s="14">
        <f>士兵数据!L31</f>
        <v>2433</v>
      </c>
      <c r="N51" s="14">
        <v>0</v>
      </c>
      <c r="O51" s="14">
        <f>士兵数据!N31</f>
        <v>306</v>
      </c>
      <c r="P51" s="14">
        <v>0</v>
      </c>
      <c r="Q51" s="14">
        <f>士兵数据!P31</f>
        <v>129</v>
      </c>
      <c r="R51" s="14">
        <v>0</v>
      </c>
      <c r="S51" s="14">
        <f>士兵数据!Q31</f>
        <v>88</v>
      </c>
      <c r="T51" s="14">
        <v>0</v>
      </c>
      <c r="U51" s="14">
        <f>士兵数据!T31</f>
        <v>141</v>
      </c>
      <c r="V51" s="14">
        <v>0</v>
      </c>
      <c r="W51" s="14">
        <v>11</v>
      </c>
      <c r="X51" s="14">
        <v>0</v>
      </c>
      <c r="Y51" s="14">
        <v>200</v>
      </c>
      <c r="Z51" s="41">
        <v>1300</v>
      </c>
      <c r="AA51" s="14">
        <v>500</v>
      </c>
      <c r="AB51" s="14">
        <v>8</v>
      </c>
      <c r="AC51" s="14">
        <v>1</v>
      </c>
      <c r="AD51" s="14" t="s">
        <v>326</v>
      </c>
      <c r="AE51" s="14">
        <v>0</v>
      </c>
      <c r="AF51" s="14">
        <v>0</v>
      </c>
      <c r="AG51" s="14">
        <v>0</v>
      </c>
      <c r="AH51" s="14">
        <v>0</v>
      </c>
      <c r="AI51" s="14" t="s">
        <v>266</v>
      </c>
      <c r="AJ51" s="14">
        <v>1.5</v>
      </c>
      <c r="AK51" s="14">
        <v>3</v>
      </c>
      <c r="AL51" s="14">
        <v>100</v>
      </c>
      <c r="AM51" s="24">
        <v>11</v>
      </c>
      <c r="AN51" s="24">
        <v>0</v>
      </c>
      <c r="AO51" s="24">
        <v>4</v>
      </c>
      <c r="AP51" s="24">
        <v>0</v>
      </c>
      <c r="AQ51" s="24">
        <v>0</v>
      </c>
      <c r="AR51" s="24">
        <v>90</v>
      </c>
      <c r="AS51" s="24">
        <v>0</v>
      </c>
      <c r="AT51" s="24" t="s">
        <v>224</v>
      </c>
      <c r="AU51" s="24">
        <v>0</v>
      </c>
      <c r="AV51" s="24">
        <v>0</v>
      </c>
    </row>
    <row r="52" s="24" customFormat="1" spans="1:48">
      <c r="A52" s="5">
        <v>521001</v>
      </c>
      <c r="B52" s="15" t="s">
        <v>330</v>
      </c>
      <c r="C52" s="15">
        <v>11</v>
      </c>
      <c r="D52" s="15">
        <v>2</v>
      </c>
      <c r="E52" s="33" t="s">
        <v>331</v>
      </c>
      <c r="F52" s="15">
        <v>5</v>
      </c>
      <c r="G52" s="15">
        <v>2</v>
      </c>
      <c r="H52" s="15">
        <v>0</v>
      </c>
      <c r="I52" s="15">
        <v>0</v>
      </c>
      <c r="J52" s="15" t="s">
        <v>332</v>
      </c>
      <c r="K52" s="15" t="s">
        <v>332</v>
      </c>
      <c r="L52" s="14">
        <v>0</v>
      </c>
      <c r="M52" s="14">
        <f>士兵数据!L32</f>
        <v>474</v>
      </c>
      <c r="N52" s="14">
        <v>0</v>
      </c>
      <c r="O52" s="14">
        <f>士兵数据!N32</f>
        <v>25</v>
      </c>
      <c r="P52" s="14">
        <v>0</v>
      </c>
      <c r="Q52" s="14">
        <f>士兵数据!P32</f>
        <v>36</v>
      </c>
      <c r="R52" s="14">
        <v>0</v>
      </c>
      <c r="S52" s="14">
        <f>士兵数据!Q32</f>
        <v>68</v>
      </c>
      <c r="T52" s="14">
        <v>0</v>
      </c>
      <c r="U52" s="14">
        <f>士兵数据!T32</f>
        <v>51</v>
      </c>
      <c r="V52" s="14">
        <v>0</v>
      </c>
      <c r="W52" s="14">
        <v>11</v>
      </c>
      <c r="X52" s="14">
        <v>0</v>
      </c>
      <c r="Y52" s="14">
        <v>1200</v>
      </c>
      <c r="Z52" s="41">
        <v>1300</v>
      </c>
      <c r="AA52" s="14">
        <v>400</v>
      </c>
      <c r="AB52" s="14">
        <v>10</v>
      </c>
      <c r="AC52" s="14">
        <v>1</v>
      </c>
      <c r="AD52" s="14" t="s">
        <v>333</v>
      </c>
      <c r="AE52" s="14">
        <v>0</v>
      </c>
      <c r="AF52" s="14">
        <v>0</v>
      </c>
      <c r="AG52" s="14">
        <v>0</v>
      </c>
      <c r="AH52" s="14">
        <v>0</v>
      </c>
      <c r="AI52" s="14" t="s">
        <v>266</v>
      </c>
      <c r="AJ52" s="14">
        <v>1.5</v>
      </c>
      <c r="AK52" s="14">
        <v>1.7</v>
      </c>
      <c r="AL52" s="14">
        <v>100</v>
      </c>
      <c r="AM52" s="24">
        <v>11</v>
      </c>
      <c r="AN52" s="24">
        <v>0</v>
      </c>
      <c r="AO52" s="24">
        <v>4</v>
      </c>
      <c r="AP52" s="24">
        <v>0</v>
      </c>
      <c r="AQ52" s="24">
        <v>0</v>
      </c>
      <c r="AR52" s="24">
        <v>90</v>
      </c>
      <c r="AS52" s="24">
        <v>0</v>
      </c>
      <c r="AT52" s="24" t="s">
        <v>224</v>
      </c>
      <c r="AU52" s="24">
        <v>0</v>
      </c>
      <c r="AV52" s="24">
        <v>0</v>
      </c>
    </row>
    <row r="53" s="24" customFormat="1" spans="1:48">
      <c r="A53" s="5">
        <v>531001</v>
      </c>
      <c r="B53" s="15" t="s">
        <v>334</v>
      </c>
      <c r="C53" s="15">
        <v>11</v>
      </c>
      <c r="D53" s="15">
        <v>2</v>
      </c>
      <c r="E53" s="33" t="s">
        <v>335</v>
      </c>
      <c r="F53" s="15">
        <v>5</v>
      </c>
      <c r="G53" s="15">
        <v>3</v>
      </c>
      <c r="H53" s="15">
        <v>0</v>
      </c>
      <c r="I53" s="15">
        <v>0</v>
      </c>
      <c r="J53" s="15" t="s">
        <v>336</v>
      </c>
      <c r="K53" s="15" t="s">
        <v>336</v>
      </c>
      <c r="L53" s="14">
        <v>0</v>
      </c>
      <c r="M53" s="14">
        <f>士兵数据!L33</f>
        <v>797</v>
      </c>
      <c r="N53" s="14">
        <v>0</v>
      </c>
      <c r="O53" s="14">
        <f>士兵数据!N33</f>
        <v>90</v>
      </c>
      <c r="P53" s="14">
        <v>0</v>
      </c>
      <c r="Q53" s="14">
        <f>士兵数据!P33</f>
        <v>50</v>
      </c>
      <c r="R53" s="14">
        <v>0</v>
      </c>
      <c r="S53" s="14">
        <f>士兵数据!Q33</f>
        <v>80</v>
      </c>
      <c r="T53" s="14">
        <v>0</v>
      </c>
      <c r="U53" s="14">
        <f>士兵数据!T33</f>
        <v>71</v>
      </c>
      <c r="V53" s="14">
        <v>0</v>
      </c>
      <c r="W53" s="14">
        <v>11</v>
      </c>
      <c r="X53" s="14">
        <v>0</v>
      </c>
      <c r="Y53" s="14">
        <v>1200</v>
      </c>
      <c r="Z53" s="41">
        <v>1300</v>
      </c>
      <c r="AA53" s="14">
        <v>400</v>
      </c>
      <c r="AB53" s="14">
        <v>10</v>
      </c>
      <c r="AC53" s="14">
        <v>1</v>
      </c>
      <c r="AD53" s="14" t="s">
        <v>337</v>
      </c>
      <c r="AE53" s="14">
        <v>0</v>
      </c>
      <c r="AF53" s="14">
        <v>0</v>
      </c>
      <c r="AG53" s="14">
        <v>0</v>
      </c>
      <c r="AH53" s="14">
        <v>0</v>
      </c>
      <c r="AI53" s="14" t="s">
        <v>266</v>
      </c>
      <c r="AJ53" s="14">
        <v>1.5</v>
      </c>
      <c r="AK53" s="14">
        <v>2</v>
      </c>
      <c r="AL53" s="14">
        <v>100</v>
      </c>
      <c r="AM53" s="24">
        <v>11</v>
      </c>
      <c r="AN53" s="24">
        <v>0</v>
      </c>
      <c r="AO53" s="24">
        <v>4</v>
      </c>
      <c r="AP53" s="24">
        <v>0</v>
      </c>
      <c r="AQ53" s="24">
        <v>0</v>
      </c>
      <c r="AR53" s="24">
        <v>90</v>
      </c>
      <c r="AS53" s="24">
        <v>0</v>
      </c>
      <c r="AT53" s="24" t="s">
        <v>224</v>
      </c>
      <c r="AU53" s="24">
        <v>0</v>
      </c>
      <c r="AV53" s="24">
        <v>0</v>
      </c>
    </row>
    <row r="54" s="24" customFormat="1" spans="1:48">
      <c r="A54" s="5">
        <v>531002</v>
      </c>
      <c r="B54" s="15" t="s">
        <v>338</v>
      </c>
      <c r="C54" s="15">
        <v>11</v>
      </c>
      <c r="D54" s="15">
        <v>2</v>
      </c>
      <c r="E54" s="33" t="s">
        <v>339</v>
      </c>
      <c r="F54" s="15">
        <v>5</v>
      </c>
      <c r="G54" s="15">
        <v>3</v>
      </c>
      <c r="H54" s="15">
        <v>0</v>
      </c>
      <c r="I54" s="15">
        <v>0</v>
      </c>
      <c r="J54" s="15" t="s">
        <v>340</v>
      </c>
      <c r="K54" s="15" t="s">
        <v>340</v>
      </c>
      <c r="L54" s="14">
        <v>0</v>
      </c>
      <c r="M54" s="14">
        <f>士兵数据!L34</f>
        <v>869</v>
      </c>
      <c r="N54" s="14">
        <v>0</v>
      </c>
      <c r="O54" s="14">
        <f>士兵数据!N34</f>
        <v>137</v>
      </c>
      <c r="P54" s="14">
        <v>0</v>
      </c>
      <c r="Q54" s="14">
        <f>士兵数据!P34</f>
        <v>59</v>
      </c>
      <c r="R54" s="14">
        <v>0</v>
      </c>
      <c r="S54" s="14">
        <f>士兵数据!Q34</f>
        <v>75</v>
      </c>
      <c r="T54" s="14">
        <v>0</v>
      </c>
      <c r="U54" s="14">
        <f>士兵数据!T34</f>
        <v>81</v>
      </c>
      <c r="V54" s="14">
        <v>0</v>
      </c>
      <c r="W54" s="14">
        <v>11</v>
      </c>
      <c r="X54" s="14">
        <v>0</v>
      </c>
      <c r="Y54" s="14">
        <v>1200</v>
      </c>
      <c r="Z54" s="41">
        <v>1300</v>
      </c>
      <c r="AA54" s="14">
        <v>400</v>
      </c>
      <c r="AB54" s="14">
        <v>10</v>
      </c>
      <c r="AC54" s="14">
        <v>1</v>
      </c>
      <c r="AD54" s="14" t="s">
        <v>341</v>
      </c>
      <c r="AE54" s="14">
        <v>0</v>
      </c>
      <c r="AF54" s="14">
        <v>0</v>
      </c>
      <c r="AG54" s="14">
        <v>0</v>
      </c>
      <c r="AH54" s="14">
        <v>0</v>
      </c>
      <c r="AI54" s="14" t="s">
        <v>266</v>
      </c>
      <c r="AJ54" s="14">
        <v>1.5</v>
      </c>
      <c r="AK54" s="14">
        <v>2</v>
      </c>
      <c r="AL54" s="14">
        <v>100</v>
      </c>
      <c r="AM54" s="24">
        <v>11</v>
      </c>
      <c r="AN54" s="24">
        <v>0</v>
      </c>
      <c r="AO54" s="24">
        <v>4</v>
      </c>
      <c r="AP54" s="24">
        <v>0</v>
      </c>
      <c r="AQ54" s="24">
        <v>0</v>
      </c>
      <c r="AR54" s="24">
        <v>90</v>
      </c>
      <c r="AS54" s="24">
        <v>0</v>
      </c>
      <c r="AT54" s="24" t="s">
        <v>224</v>
      </c>
      <c r="AU54" s="24">
        <v>0</v>
      </c>
      <c r="AV54" s="24">
        <v>0</v>
      </c>
    </row>
    <row r="55" s="24" customFormat="1" spans="1:48">
      <c r="A55" s="5">
        <v>541001</v>
      </c>
      <c r="B55" s="15" t="s">
        <v>342</v>
      </c>
      <c r="C55" s="15">
        <v>11</v>
      </c>
      <c r="D55" s="15">
        <v>2</v>
      </c>
      <c r="E55" s="33" t="s">
        <v>343</v>
      </c>
      <c r="F55" s="15">
        <v>5</v>
      </c>
      <c r="G55" s="15">
        <v>4</v>
      </c>
      <c r="H55" s="15">
        <v>0</v>
      </c>
      <c r="I55" s="15">
        <v>0</v>
      </c>
      <c r="J55" s="15" t="s">
        <v>344</v>
      </c>
      <c r="K55" s="15" t="s">
        <v>344</v>
      </c>
      <c r="L55" s="14">
        <v>0</v>
      </c>
      <c r="M55" s="14">
        <f>士兵数据!L35</f>
        <v>1210</v>
      </c>
      <c r="N55" s="14">
        <v>0</v>
      </c>
      <c r="O55" s="14">
        <f>士兵数据!N35</f>
        <v>162</v>
      </c>
      <c r="P55" s="14">
        <v>0</v>
      </c>
      <c r="Q55" s="14">
        <f>士兵数据!P35</f>
        <v>72</v>
      </c>
      <c r="R55" s="14">
        <v>0</v>
      </c>
      <c r="S55" s="14">
        <f>士兵数据!Q35</f>
        <v>95</v>
      </c>
      <c r="T55" s="14">
        <v>0</v>
      </c>
      <c r="U55" s="14">
        <f>士兵数据!T35</f>
        <v>100</v>
      </c>
      <c r="V55" s="14">
        <v>0</v>
      </c>
      <c r="W55" s="14">
        <v>12</v>
      </c>
      <c r="X55" s="14">
        <v>0</v>
      </c>
      <c r="Y55" s="14">
        <v>1200</v>
      </c>
      <c r="Z55" s="41">
        <v>1300</v>
      </c>
      <c r="AA55" s="14">
        <v>400</v>
      </c>
      <c r="AB55" s="14">
        <v>10</v>
      </c>
      <c r="AC55" s="14">
        <v>1</v>
      </c>
      <c r="AD55" s="14" t="s">
        <v>345</v>
      </c>
      <c r="AE55" s="14">
        <v>0</v>
      </c>
      <c r="AF55" s="14">
        <v>0</v>
      </c>
      <c r="AG55" s="14">
        <v>0</v>
      </c>
      <c r="AH55" s="14">
        <v>0</v>
      </c>
      <c r="AI55" s="14" t="s">
        <v>266</v>
      </c>
      <c r="AJ55" s="14">
        <v>1.5</v>
      </c>
      <c r="AK55" s="14">
        <v>2</v>
      </c>
      <c r="AL55" s="14">
        <v>100</v>
      </c>
      <c r="AM55" s="24">
        <v>11</v>
      </c>
      <c r="AN55" s="24">
        <v>0</v>
      </c>
      <c r="AO55" s="24">
        <v>4</v>
      </c>
      <c r="AP55" s="24">
        <v>0</v>
      </c>
      <c r="AQ55" s="24">
        <v>0</v>
      </c>
      <c r="AR55" s="24">
        <v>90</v>
      </c>
      <c r="AS55" s="24">
        <v>0</v>
      </c>
      <c r="AT55" s="24" t="s">
        <v>224</v>
      </c>
      <c r="AU55" s="24">
        <v>0</v>
      </c>
      <c r="AV55" s="24">
        <v>0</v>
      </c>
    </row>
    <row r="56" s="24" customFormat="1" spans="1:48">
      <c r="A56" s="5">
        <v>551001</v>
      </c>
      <c r="B56" s="15" t="s">
        <v>346</v>
      </c>
      <c r="C56" s="15">
        <v>11</v>
      </c>
      <c r="D56" s="15">
        <v>2</v>
      </c>
      <c r="E56" s="33" t="s">
        <v>347</v>
      </c>
      <c r="F56" s="15">
        <v>5</v>
      </c>
      <c r="G56" s="15">
        <v>5</v>
      </c>
      <c r="H56" s="15">
        <v>0</v>
      </c>
      <c r="I56" s="15">
        <v>0</v>
      </c>
      <c r="J56" s="15" t="s">
        <v>348</v>
      </c>
      <c r="K56" s="15" t="s">
        <v>348</v>
      </c>
      <c r="L56" s="14">
        <v>0</v>
      </c>
      <c r="M56" s="14">
        <f>士兵数据!L36</f>
        <v>1460</v>
      </c>
      <c r="N56" s="14">
        <v>0</v>
      </c>
      <c r="O56" s="14">
        <f>士兵数据!N36</f>
        <v>174</v>
      </c>
      <c r="P56" s="14">
        <v>0</v>
      </c>
      <c r="Q56" s="14">
        <f>士兵数据!P36</f>
        <v>89</v>
      </c>
      <c r="R56" s="14">
        <v>0</v>
      </c>
      <c r="S56" s="14">
        <f>士兵数据!Q36</f>
        <v>111</v>
      </c>
      <c r="T56" s="14">
        <v>0</v>
      </c>
      <c r="U56" s="14">
        <f>士兵数据!T36</f>
        <v>124</v>
      </c>
      <c r="V56" s="14">
        <v>0</v>
      </c>
      <c r="W56" s="14">
        <v>12</v>
      </c>
      <c r="X56" s="14">
        <v>0</v>
      </c>
      <c r="Y56" s="14">
        <v>1200</v>
      </c>
      <c r="Z56" s="41">
        <v>1300</v>
      </c>
      <c r="AA56" s="14">
        <v>400</v>
      </c>
      <c r="AB56" s="14">
        <v>10</v>
      </c>
      <c r="AC56" s="14">
        <v>1</v>
      </c>
      <c r="AD56" s="14" t="s">
        <v>349</v>
      </c>
      <c r="AE56" s="14">
        <v>0</v>
      </c>
      <c r="AF56" s="14">
        <v>0</v>
      </c>
      <c r="AG56" s="14">
        <v>0</v>
      </c>
      <c r="AH56" s="14">
        <v>0</v>
      </c>
      <c r="AI56" s="14" t="s">
        <v>266</v>
      </c>
      <c r="AJ56" s="14">
        <v>1.5</v>
      </c>
      <c r="AK56" s="14">
        <v>2.5</v>
      </c>
      <c r="AL56" s="14">
        <v>100</v>
      </c>
      <c r="AM56" s="24">
        <v>11</v>
      </c>
      <c r="AN56" s="24">
        <v>0</v>
      </c>
      <c r="AO56" s="24">
        <v>4</v>
      </c>
      <c r="AP56" s="24">
        <v>0</v>
      </c>
      <c r="AQ56" s="24">
        <v>0</v>
      </c>
      <c r="AR56" s="24">
        <v>90</v>
      </c>
      <c r="AS56" s="24">
        <v>0</v>
      </c>
      <c r="AT56" s="24" t="s">
        <v>224</v>
      </c>
      <c r="AU56" s="24">
        <v>0</v>
      </c>
      <c r="AV56" s="24">
        <v>0</v>
      </c>
    </row>
    <row r="57" s="24" customFormat="1" spans="1:48">
      <c r="A57" s="5">
        <v>561001</v>
      </c>
      <c r="B57" s="15" t="s">
        <v>350</v>
      </c>
      <c r="C57" s="15">
        <v>11</v>
      </c>
      <c r="D57" s="15">
        <v>2</v>
      </c>
      <c r="E57" s="33" t="s">
        <v>351</v>
      </c>
      <c r="F57" s="15">
        <v>5</v>
      </c>
      <c r="G57" s="15">
        <v>6</v>
      </c>
      <c r="H57" s="15">
        <v>0</v>
      </c>
      <c r="I57" s="15">
        <v>0</v>
      </c>
      <c r="J57" s="15" t="s">
        <v>352</v>
      </c>
      <c r="K57" s="15" t="s">
        <v>352</v>
      </c>
      <c r="L57" s="14">
        <v>0</v>
      </c>
      <c r="M57" s="14">
        <f>士兵数据!L37</f>
        <v>2736</v>
      </c>
      <c r="N57" s="14">
        <v>0</v>
      </c>
      <c r="O57" s="14">
        <f>士兵数据!N37</f>
        <v>191</v>
      </c>
      <c r="P57" s="14">
        <v>0</v>
      </c>
      <c r="Q57" s="14">
        <f>士兵数据!P37</f>
        <v>132</v>
      </c>
      <c r="R57" s="14">
        <v>0</v>
      </c>
      <c r="S57" s="14">
        <f>士兵数据!Q37</f>
        <v>148</v>
      </c>
      <c r="T57" s="14">
        <v>0</v>
      </c>
      <c r="U57" s="14">
        <f>士兵数据!T37</f>
        <v>186</v>
      </c>
      <c r="V57" s="14">
        <v>0</v>
      </c>
      <c r="W57" s="14">
        <v>11</v>
      </c>
      <c r="X57" s="14">
        <v>0</v>
      </c>
      <c r="Y57" s="14">
        <v>1200</v>
      </c>
      <c r="Z57" s="41">
        <v>1300</v>
      </c>
      <c r="AA57" s="14">
        <v>400</v>
      </c>
      <c r="AB57" s="14">
        <v>10</v>
      </c>
      <c r="AC57" s="14">
        <v>1</v>
      </c>
      <c r="AD57" s="14" t="s">
        <v>349</v>
      </c>
      <c r="AE57" s="14">
        <v>0</v>
      </c>
      <c r="AF57" s="14">
        <v>0</v>
      </c>
      <c r="AG57" s="14">
        <v>0</v>
      </c>
      <c r="AH57" s="14">
        <v>0</v>
      </c>
      <c r="AI57" s="14" t="s">
        <v>266</v>
      </c>
      <c r="AJ57" s="14">
        <v>1.5</v>
      </c>
      <c r="AK57" s="14">
        <v>3</v>
      </c>
      <c r="AL57" s="14">
        <v>100</v>
      </c>
      <c r="AM57" s="24">
        <v>11</v>
      </c>
      <c r="AN57" s="24">
        <v>0</v>
      </c>
      <c r="AO57" s="24">
        <v>4</v>
      </c>
      <c r="AP57" s="24">
        <v>0</v>
      </c>
      <c r="AQ57" s="24">
        <v>0</v>
      </c>
      <c r="AR57" s="24">
        <v>90</v>
      </c>
      <c r="AS57" s="24">
        <v>0</v>
      </c>
      <c r="AT57" s="24" t="s">
        <v>224</v>
      </c>
      <c r="AU57" s="24">
        <v>0</v>
      </c>
      <c r="AV57" s="24">
        <v>0</v>
      </c>
    </row>
    <row r="58" s="24" customFormat="1" spans="1:48">
      <c r="A58" s="5">
        <v>621001</v>
      </c>
      <c r="B58" s="15" t="s">
        <v>353</v>
      </c>
      <c r="C58" s="15">
        <v>11</v>
      </c>
      <c r="D58" s="15">
        <v>2</v>
      </c>
      <c r="E58" s="33" t="s">
        <v>226</v>
      </c>
      <c r="F58" s="15">
        <v>5</v>
      </c>
      <c r="G58" s="15">
        <v>2</v>
      </c>
      <c r="H58" s="15">
        <v>0</v>
      </c>
      <c r="I58" s="15">
        <v>0</v>
      </c>
      <c r="J58" s="15" t="s">
        <v>354</v>
      </c>
      <c r="K58" s="15" t="s">
        <v>354</v>
      </c>
      <c r="L58" s="14">
        <v>0</v>
      </c>
      <c r="M58" s="14">
        <f>士兵数据!L38</f>
        <v>433</v>
      </c>
      <c r="N58" s="14">
        <v>0</v>
      </c>
      <c r="O58" s="14">
        <f>士兵数据!N38</f>
        <v>17</v>
      </c>
      <c r="P58" s="14">
        <v>0</v>
      </c>
      <c r="Q58" s="14">
        <f>士兵数据!P38</f>
        <v>40</v>
      </c>
      <c r="R58" s="14">
        <v>0</v>
      </c>
      <c r="S58" s="14">
        <f>士兵数据!Q38</f>
        <v>60</v>
      </c>
      <c r="T58" s="14">
        <v>0</v>
      </c>
      <c r="U58" s="14">
        <f>士兵数据!T38</f>
        <v>56</v>
      </c>
      <c r="V58" s="14">
        <v>0</v>
      </c>
      <c r="W58" s="14">
        <v>11</v>
      </c>
      <c r="X58" s="14">
        <v>0</v>
      </c>
      <c r="Y58" s="14">
        <v>1200</v>
      </c>
      <c r="Z58" s="41">
        <v>1300</v>
      </c>
      <c r="AA58" s="14">
        <v>400</v>
      </c>
      <c r="AB58" s="14">
        <v>10</v>
      </c>
      <c r="AC58" s="14">
        <v>1</v>
      </c>
      <c r="AD58" s="14" t="s">
        <v>349</v>
      </c>
      <c r="AE58" s="14">
        <v>0</v>
      </c>
      <c r="AF58" s="14">
        <v>0</v>
      </c>
      <c r="AG58" s="14">
        <v>0</v>
      </c>
      <c r="AH58" s="14">
        <v>0</v>
      </c>
      <c r="AI58" s="14" t="s">
        <v>266</v>
      </c>
      <c r="AJ58" s="14">
        <v>1.5</v>
      </c>
      <c r="AK58" s="14">
        <v>1.7</v>
      </c>
      <c r="AL58" s="14">
        <v>100</v>
      </c>
      <c r="AM58" s="24">
        <v>11</v>
      </c>
      <c r="AN58" s="24">
        <v>0</v>
      </c>
      <c r="AO58" s="24">
        <v>4</v>
      </c>
      <c r="AP58" s="24">
        <v>0</v>
      </c>
      <c r="AQ58" s="24">
        <v>0</v>
      </c>
      <c r="AR58" s="24">
        <v>90</v>
      </c>
      <c r="AS58" s="24">
        <v>0</v>
      </c>
      <c r="AT58" s="24" t="s">
        <v>224</v>
      </c>
      <c r="AU58" s="24">
        <v>0</v>
      </c>
      <c r="AV58" s="24">
        <v>0</v>
      </c>
    </row>
    <row r="59" s="24" customFormat="1" spans="1:48">
      <c r="A59" s="5">
        <v>631001</v>
      </c>
      <c r="B59" s="15" t="s">
        <v>355</v>
      </c>
      <c r="C59" s="15">
        <v>11</v>
      </c>
      <c r="D59" s="15">
        <v>2</v>
      </c>
      <c r="E59" s="33" t="s">
        <v>285</v>
      </c>
      <c r="F59" s="15">
        <v>6</v>
      </c>
      <c r="G59" s="15">
        <v>3</v>
      </c>
      <c r="H59" s="15">
        <v>0</v>
      </c>
      <c r="I59" s="15">
        <v>0</v>
      </c>
      <c r="J59" s="15" t="s">
        <v>356</v>
      </c>
      <c r="K59" s="15" t="s">
        <v>356</v>
      </c>
      <c r="L59" s="14">
        <v>0</v>
      </c>
      <c r="M59" s="14">
        <f>士兵数据!L39</f>
        <v>747</v>
      </c>
      <c r="N59" s="14">
        <v>0</v>
      </c>
      <c r="O59" s="14">
        <f>士兵数据!N39</f>
        <v>76</v>
      </c>
      <c r="P59" s="14">
        <v>0</v>
      </c>
      <c r="Q59" s="14">
        <f>士兵数据!P39</f>
        <v>60</v>
      </c>
      <c r="R59" s="14">
        <v>0</v>
      </c>
      <c r="S59" s="14">
        <f>士兵数据!Q39</f>
        <v>77</v>
      </c>
      <c r="T59" s="14">
        <v>0</v>
      </c>
      <c r="U59" s="14">
        <f>士兵数据!T39</f>
        <v>83</v>
      </c>
      <c r="V59" s="14">
        <v>0</v>
      </c>
      <c r="W59" s="14">
        <v>11</v>
      </c>
      <c r="X59" s="14">
        <v>0</v>
      </c>
      <c r="Y59" s="14">
        <v>1200</v>
      </c>
      <c r="Z59" s="41">
        <v>1300</v>
      </c>
      <c r="AA59" s="14">
        <v>400</v>
      </c>
      <c r="AB59" s="14">
        <v>10</v>
      </c>
      <c r="AC59" s="14">
        <v>1</v>
      </c>
      <c r="AD59" s="14" t="s">
        <v>357</v>
      </c>
      <c r="AE59" s="14">
        <v>0</v>
      </c>
      <c r="AF59" s="14">
        <v>0</v>
      </c>
      <c r="AG59" s="14">
        <v>0</v>
      </c>
      <c r="AH59" s="14">
        <v>0</v>
      </c>
      <c r="AI59" s="14" t="s">
        <v>266</v>
      </c>
      <c r="AJ59" s="14">
        <v>1.5</v>
      </c>
      <c r="AK59" s="14">
        <v>2</v>
      </c>
      <c r="AL59" s="14">
        <v>100</v>
      </c>
      <c r="AM59" s="24">
        <v>11</v>
      </c>
      <c r="AN59" s="24">
        <v>0</v>
      </c>
      <c r="AO59" s="24">
        <v>4</v>
      </c>
      <c r="AP59" s="24">
        <v>0</v>
      </c>
      <c r="AQ59" s="24">
        <v>0</v>
      </c>
      <c r="AR59" s="24">
        <v>90</v>
      </c>
      <c r="AS59" s="24">
        <v>0</v>
      </c>
      <c r="AT59" s="24" t="s">
        <v>224</v>
      </c>
      <c r="AU59" s="24">
        <v>0</v>
      </c>
      <c r="AV59" s="24">
        <v>0</v>
      </c>
    </row>
    <row r="60" s="24" customFormat="1" spans="1:48">
      <c r="A60" s="5">
        <v>641001</v>
      </c>
      <c r="B60" s="15" t="s">
        <v>358</v>
      </c>
      <c r="C60" s="15">
        <v>11</v>
      </c>
      <c r="D60" s="15">
        <v>2</v>
      </c>
      <c r="E60" s="33" t="s">
        <v>293</v>
      </c>
      <c r="F60" s="15">
        <v>6</v>
      </c>
      <c r="G60" s="15">
        <v>4</v>
      </c>
      <c r="H60" s="15">
        <v>0</v>
      </c>
      <c r="I60" s="15">
        <v>0</v>
      </c>
      <c r="J60" s="15" t="s">
        <v>359</v>
      </c>
      <c r="K60" s="15" t="s">
        <v>359</v>
      </c>
      <c r="L60" s="14">
        <v>0</v>
      </c>
      <c r="M60" s="14">
        <f>士兵数据!L40</f>
        <v>1152</v>
      </c>
      <c r="N60" s="14">
        <v>0</v>
      </c>
      <c r="O60" s="14">
        <f>士兵数据!N40</f>
        <v>142</v>
      </c>
      <c r="P60" s="14">
        <v>0</v>
      </c>
      <c r="Q60" s="14">
        <f>士兵数据!P40</f>
        <v>72</v>
      </c>
      <c r="R60" s="14">
        <v>0</v>
      </c>
      <c r="S60" s="14">
        <f>士兵数据!Q40</f>
        <v>92</v>
      </c>
      <c r="T60" s="14">
        <v>0</v>
      </c>
      <c r="U60" s="14">
        <f>士兵数据!T40</f>
        <v>100</v>
      </c>
      <c r="V60" s="14">
        <v>0</v>
      </c>
      <c r="W60" s="14">
        <v>11</v>
      </c>
      <c r="X60" s="14">
        <v>0</v>
      </c>
      <c r="Y60" s="14">
        <v>1200</v>
      </c>
      <c r="Z60" s="41">
        <v>1300</v>
      </c>
      <c r="AA60" s="14">
        <v>400</v>
      </c>
      <c r="AB60" s="14">
        <v>10</v>
      </c>
      <c r="AC60" s="14">
        <v>1</v>
      </c>
      <c r="AD60" s="14" t="s">
        <v>360</v>
      </c>
      <c r="AE60" s="14">
        <v>0</v>
      </c>
      <c r="AF60" s="14">
        <v>0</v>
      </c>
      <c r="AG60" s="14">
        <v>0</v>
      </c>
      <c r="AH60" s="14">
        <v>0</v>
      </c>
      <c r="AI60" s="14" t="s">
        <v>266</v>
      </c>
      <c r="AJ60" s="14">
        <v>1.5</v>
      </c>
      <c r="AK60" s="14">
        <v>2</v>
      </c>
      <c r="AL60" s="14">
        <v>100</v>
      </c>
      <c r="AM60" s="24">
        <v>11</v>
      </c>
      <c r="AN60" s="24">
        <v>0</v>
      </c>
      <c r="AO60" s="24">
        <v>4</v>
      </c>
      <c r="AP60" s="24">
        <v>0</v>
      </c>
      <c r="AQ60" s="24">
        <v>0</v>
      </c>
      <c r="AR60" s="24">
        <v>90</v>
      </c>
      <c r="AS60" s="24">
        <v>0</v>
      </c>
      <c r="AT60" s="24" t="s">
        <v>224</v>
      </c>
      <c r="AU60" s="24">
        <v>0</v>
      </c>
      <c r="AV60" s="24">
        <v>0</v>
      </c>
    </row>
    <row r="61" s="24" customFormat="1" spans="1:48">
      <c r="A61" s="5">
        <v>641002</v>
      </c>
      <c r="B61" s="15" t="s">
        <v>361</v>
      </c>
      <c r="C61" s="15">
        <v>11</v>
      </c>
      <c r="D61" s="15">
        <v>2</v>
      </c>
      <c r="E61" s="33" t="s">
        <v>293</v>
      </c>
      <c r="F61" s="15">
        <v>6</v>
      </c>
      <c r="G61" s="15">
        <v>4</v>
      </c>
      <c r="H61" s="15">
        <v>0</v>
      </c>
      <c r="I61" s="15">
        <v>0</v>
      </c>
      <c r="J61" s="15" t="s">
        <v>362</v>
      </c>
      <c r="K61" s="15" t="s">
        <v>362</v>
      </c>
      <c r="L61" s="14">
        <v>0</v>
      </c>
      <c r="M61" s="14">
        <f>士兵数据!L41</f>
        <v>1161</v>
      </c>
      <c r="N61" s="14">
        <v>0</v>
      </c>
      <c r="O61" s="14">
        <f>士兵数据!N41</f>
        <v>138</v>
      </c>
      <c r="P61" s="14">
        <v>0</v>
      </c>
      <c r="Q61" s="14">
        <f>士兵数据!P41</f>
        <v>75</v>
      </c>
      <c r="R61" s="14">
        <v>0</v>
      </c>
      <c r="S61" s="14">
        <f>士兵数据!Q41</f>
        <v>95</v>
      </c>
      <c r="T61" s="14">
        <v>0</v>
      </c>
      <c r="U61" s="14">
        <f>士兵数据!T41</f>
        <v>105</v>
      </c>
      <c r="V61" s="14">
        <v>0</v>
      </c>
      <c r="W61" s="14">
        <v>11</v>
      </c>
      <c r="X61" s="14">
        <v>0</v>
      </c>
      <c r="Y61" s="14">
        <v>1200</v>
      </c>
      <c r="Z61" s="41">
        <v>1300</v>
      </c>
      <c r="AA61" s="14">
        <v>400</v>
      </c>
      <c r="AB61" s="14">
        <v>10</v>
      </c>
      <c r="AC61" s="14">
        <v>1</v>
      </c>
      <c r="AD61" s="14" t="s">
        <v>363</v>
      </c>
      <c r="AE61" s="14">
        <v>0</v>
      </c>
      <c r="AF61" s="14">
        <v>0</v>
      </c>
      <c r="AG61" s="14">
        <v>0</v>
      </c>
      <c r="AH61" s="14">
        <v>0</v>
      </c>
      <c r="AI61" s="14" t="s">
        <v>266</v>
      </c>
      <c r="AJ61" s="14">
        <v>1.5</v>
      </c>
      <c r="AK61" s="14">
        <v>2</v>
      </c>
      <c r="AL61" s="14">
        <v>100</v>
      </c>
      <c r="AM61" s="24">
        <v>11</v>
      </c>
      <c r="AN61" s="24">
        <v>0</v>
      </c>
      <c r="AO61" s="24">
        <v>4</v>
      </c>
      <c r="AP61" s="24">
        <v>0</v>
      </c>
      <c r="AQ61" s="24">
        <v>0</v>
      </c>
      <c r="AR61" s="24">
        <v>90</v>
      </c>
      <c r="AS61" s="24">
        <v>0</v>
      </c>
      <c r="AT61" s="24" t="s">
        <v>224</v>
      </c>
      <c r="AU61" s="24">
        <v>0</v>
      </c>
      <c r="AV61" s="24">
        <v>0</v>
      </c>
    </row>
    <row r="62" s="24" customFormat="1" spans="1:48">
      <c r="A62" s="5">
        <v>651001</v>
      </c>
      <c r="B62" s="15" t="s">
        <v>364</v>
      </c>
      <c r="C62" s="15">
        <v>11</v>
      </c>
      <c r="D62" s="15">
        <v>2</v>
      </c>
      <c r="E62" s="33" t="s">
        <v>301</v>
      </c>
      <c r="F62" s="15">
        <v>6</v>
      </c>
      <c r="G62" s="15">
        <v>5</v>
      </c>
      <c r="H62" s="15">
        <v>0</v>
      </c>
      <c r="I62" s="15">
        <v>0</v>
      </c>
      <c r="J62" s="15" t="s">
        <v>365</v>
      </c>
      <c r="K62" s="15" t="s">
        <v>365</v>
      </c>
      <c r="L62" s="14">
        <v>0</v>
      </c>
      <c r="M62" s="14">
        <f>士兵数据!L42</f>
        <v>1431</v>
      </c>
      <c r="N62" s="14">
        <v>0</v>
      </c>
      <c r="O62" s="14">
        <f>士兵数据!N42</f>
        <v>148</v>
      </c>
      <c r="P62" s="14">
        <v>0</v>
      </c>
      <c r="Q62" s="14">
        <f>士兵数据!P42</f>
        <v>88</v>
      </c>
      <c r="R62" s="14">
        <v>0</v>
      </c>
      <c r="S62" s="14">
        <f>士兵数据!Q42</f>
        <v>108</v>
      </c>
      <c r="T62" s="14">
        <v>0</v>
      </c>
      <c r="U62" s="14">
        <f>士兵数据!T42</f>
        <v>123</v>
      </c>
      <c r="V62" s="14">
        <v>0</v>
      </c>
      <c r="W62" s="14">
        <v>11</v>
      </c>
      <c r="X62" s="14">
        <v>0</v>
      </c>
      <c r="Y62" s="14">
        <v>1200</v>
      </c>
      <c r="Z62" s="41">
        <v>1300</v>
      </c>
      <c r="AA62" s="14">
        <v>400</v>
      </c>
      <c r="AB62" s="14">
        <v>10</v>
      </c>
      <c r="AC62" s="14">
        <v>1</v>
      </c>
      <c r="AD62" s="14" t="s">
        <v>366</v>
      </c>
      <c r="AE62" s="14">
        <v>0</v>
      </c>
      <c r="AF62" s="14">
        <v>0</v>
      </c>
      <c r="AG62" s="14">
        <v>0</v>
      </c>
      <c r="AH62" s="14">
        <v>0</v>
      </c>
      <c r="AI62" s="14" t="s">
        <v>266</v>
      </c>
      <c r="AJ62" s="14">
        <v>1.5</v>
      </c>
      <c r="AK62" s="14">
        <v>2.5</v>
      </c>
      <c r="AL62" s="14">
        <v>100</v>
      </c>
      <c r="AM62" s="24">
        <v>11</v>
      </c>
      <c r="AN62" s="24">
        <v>0</v>
      </c>
      <c r="AO62" s="24">
        <v>4</v>
      </c>
      <c r="AP62" s="24">
        <v>0</v>
      </c>
      <c r="AQ62" s="24">
        <v>0</v>
      </c>
      <c r="AR62" s="24">
        <v>90</v>
      </c>
      <c r="AS62" s="24">
        <v>0</v>
      </c>
      <c r="AT62" s="24" t="s">
        <v>224</v>
      </c>
      <c r="AU62" s="24">
        <v>0</v>
      </c>
      <c r="AV62" s="24">
        <v>0</v>
      </c>
    </row>
    <row r="63" s="24" customFormat="1" spans="1:48">
      <c r="A63" s="5">
        <v>651002</v>
      </c>
      <c r="B63" s="15" t="s">
        <v>367</v>
      </c>
      <c r="C63" s="15">
        <v>11</v>
      </c>
      <c r="D63" s="15">
        <v>2</v>
      </c>
      <c r="E63" s="33" t="s">
        <v>301</v>
      </c>
      <c r="F63" s="15">
        <v>6</v>
      </c>
      <c r="G63" s="15">
        <v>5</v>
      </c>
      <c r="H63" s="15">
        <v>0</v>
      </c>
      <c r="I63" s="15">
        <v>0</v>
      </c>
      <c r="J63" s="15" t="s">
        <v>368</v>
      </c>
      <c r="K63" s="15" t="s">
        <v>368</v>
      </c>
      <c r="L63" s="14">
        <v>0</v>
      </c>
      <c r="M63" s="14">
        <f>士兵数据!L43</f>
        <v>1442</v>
      </c>
      <c r="N63" s="14">
        <v>0</v>
      </c>
      <c r="O63" s="14">
        <f>士兵数据!N43</f>
        <v>148</v>
      </c>
      <c r="P63" s="14">
        <v>0</v>
      </c>
      <c r="Q63" s="14">
        <f>士兵数据!P43</f>
        <v>93</v>
      </c>
      <c r="R63" s="14">
        <v>0</v>
      </c>
      <c r="S63" s="14">
        <f>士兵数据!Q43</f>
        <v>110</v>
      </c>
      <c r="T63" s="14">
        <v>0</v>
      </c>
      <c r="U63" s="14">
        <f>士兵数据!T43</f>
        <v>131</v>
      </c>
      <c r="V63" s="14">
        <v>0</v>
      </c>
      <c r="W63" s="14">
        <v>12</v>
      </c>
      <c r="X63" s="14">
        <v>0</v>
      </c>
      <c r="Y63" s="14">
        <v>1200</v>
      </c>
      <c r="Z63" s="41">
        <v>1300</v>
      </c>
      <c r="AA63" s="14">
        <v>400</v>
      </c>
      <c r="AB63" s="14">
        <v>10</v>
      </c>
      <c r="AC63" s="14">
        <v>1</v>
      </c>
      <c r="AD63" s="14" t="s">
        <v>369</v>
      </c>
      <c r="AE63" s="14">
        <v>0</v>
      </c>
      <c r="AF63" s="14">
        <v>0</v>
      </c>
      <c r="AG63" s="14">
        <v>0</v>
      </c>
      <c r="AH63" s="14">
        <v>0</v>
      </c>
      <c r="AI63" s="14" t="s">
        <v>266</v>
      </c>
      <c r="AJ63" s="14">
        <v>1.5</v>
      </c>
      <c r="AK63" s="14">
        <v>2.5</v>
      </c>
      <c r="AL63" s="14">
        <v>100</v>
      </c>
      <c r="AM63" s="24">
        <v>11</v>
      </c>
      <c r="AN63" s="24">
        <v>0</v>
      </c>
      <c r="AO63" s="24">
        <v>4</v>
      </c>
      <c r="AP63" s="24">
        <v>0</v>
      </c>
      <c r="AQ63" s="24">
        <v>0</v>
      </c>
      <c r="AR63" s="24">
        <v>90</v>
      </c>
      <c r="AS63" s="24">
        <v>0</v>
      </c>
      <c r="AT63" s="24" t="s">
        <v>224</v>
      </c>
      <c r="AU63" s="24">
        <v>0</v>
      </c>
      <c r="AV63" s="24">
        <v>0</v>
      </c>
    </row>
    <row r="64" s="24" customFormat="1" spans="1:48">
      <c r="A64" s="5">
        <v>661001</v>
      </c>
      <c r="B64" s="15" t="s">
        <v>370</v>
      </c>
      <c r="C64" s="15">
        <v>11</v>
      </c>
      <c r="D64" s="15">
        <v>2</v>
      </c>
      <c r="E64" s="33" t="s">
        <v>371</v>
      </c>
      <c r="F64" s="15">
        <v>6</v>
      </c>
      <c r="G64" s="15">
        <v>6</v>
      </c>
      <c r="H64" s="15">
        <v>0</v>
      </c>
      <c r="I64" s="15">
        <v>0</v>
      </c>
      <c r="J64" s="15" t="s">
        <v>372</v>
      </c>
      <c r="K64" s="15" t="s">
        <v>372</v>
      </c>
      <c r="L64" s="14">
        <v>0</v>
      </c>
      <c r="M64" s="14">
        <f>士兵数据!L44</f>
        <v>1730</v>
      </c>
      <c r="N64" s="14">
        <v>0</v>
      </c>
      <c r="O64" s="14">
        <f>士兵数据!N44</f>
        <v>162</v>
      </c>
      <c r="P64" s="14">
        <v>0</v>
      </c>
      <c r="Q64" s="14">
        <f>士兵数据!P44</f>
        <v>110</v>
      </c>
      <c r="R64" s="14">
        <v>0</v>
      </c>
      <c r="S64" s="14">
        <f>士兵数据!Q44</f>
        <v>116</v>
      </c>
      <c r="T64" s="14">
        <v>0</v>
      </c>
      <c r="U64" s="14">
        <f>士兵数据!T44</f>
        <v>154</v>
      </c>
      <c r="V64" s="14">
        <v>0</v>
      </c>
      <c r="W64" s="14">
        <v>11</v>
      </c>
      <c r="X64" s="14">
        <v>0</v>
      </c>
      <c r="Y64" s="14">
        <v>1200</v>
      </c>
      <c r="Z64" s="41">
        <v>1300</v>
      </c>
      <c r="AA64" s="14">
        <v>400</v>
      </c>
      <c r="AB64" s="14">
        <v>10</v>
      </c>
      <c r="AC64" s="14">
        <v>1</v>
      </c>
      <c r="AD64" s="14" t="s">
        <v>369</v>
      </c>
      <c r="AE64" s="14">
        <v>0</v>
      </c>
      <c r="AF64" s="14">
        <v>0</v>
      </c>
      <c r="AG64" s="14">
        <v>0</v>
      </c>
      <c r="AH64" s="14">
        <v>0</v>
      </c>
      <c r="AI64" s="14" t="s">
        <v>266</v>
      </c>
      <c r="AJ64" s="14">
        <v>1.5</v>
      </c>
      <c r="AK64" s="14">
        <v>3</v>
      </c>
      <c r="AL64" s="14">
        <v>100</v>
      </c>
      <c r="AM64" s="24">
        <v>11</v>
      </c>
      <c r="AN64" s="24">
        <v>0</v>
      </c>
      <c r="AO64" s="24">
        <v>4</v>
      </c>
      <c r="AP64" s="24">
        <v>0</v>
      </c>
      <c r="AQ64" s="24">
        <v>0</v>
      </c>
      <c r="AR64" s="24">
        <v>90</v>
      </c>
      <c r="AS64" s="24">
        <v>0</v>
      </c>
      <c r="AT64" s="24" t="s">
        <v>224</v>
      </c>
      <c r="AU64" s="24">
        <v>0</v>
      </c>
      <c r="AV64" s="24">
        <v>0</v>
      </c>
    </row>
    <row r="65" s="24" customFormat="1" spans="1:48">
      <c r="A65" s="5">
        <v>711001</v>
      </c>
      <c r="B65" s="15" t="s">
        <v>373</v>
      </c>
      <c r="C65" s="15">
        <v>11</v>
      </c>
      <c r="D65" s="15">
        <v>2</v>
      </c>
      <c r="E65" s="33" t="s">
        <v>374</v>
      </c>
      <c r="F65" s="15">
        <v>6</v>
      </c>
      <c r="G65" s="15">
        <v>1</v>
      </c>
      <c r="H65" s="15">
        <v>0</v>
      </c>
      <c r="I65" s="15">
        <v>0</v>
      </c>
      <c r="J65" s="15" t="s">
        <v>375</v>
      </c>
      <c r="K65" s="15" t="s">
        <v>375</v>
      </c>
      <c r="L65" s="14">
        <v>0</v>
      </c>
      <c r="M65" s="14">
        <f>士兵数据!L45</f>
        <v>373</v>
      </c>
      <c r="N65" s="14">
        <v>0</v>
      </c>
      <c r="O65" s="14">
        <f>士兵数据!N45</f>
        <v>83</v>
      </c>
      <c r="P65" s="14">
        <v>0</v>
      </c>
      <c r="Q65" s="14">
        <f>士兵数据!P45</f>
        <v>43</v>
      </c>
      <c r="R65" s="14">
        <v>0</v>
      </c>
      <c r="S65" s="14">
        <f>士兵数据!Q45</f>
        <v>57</v>
      </c>
      <c r="T65" s="14">
        <v>0</v>
      </c>
      <c r="U65" s="14">
        <f>士兵数据!T45</f>
        <v>38</v>
      </c>
      <c r="V65" s="14">
        <v>0</v>
      </c>
      <c r="W65" s="14">
        <v>11</v>
      </c>
      <c r="X65" s="14">
        <v>0</v>
      </c>
      <c r="Y65" s="14">
        <v>1200</v>
      </c>
      <c r="Z65" s="41">
        <v>1300</v>
      </c>
      <c r="AA65" s="14">
        <v>400</v>
      </c>
      <c r="AB65" s="14">
        <v>10</v>
      </c>
      <c r="AC65" s="14">
        <v>1</v>
      </c>
      <c r="AD65" s="14" t="s">
        <v>376</v>
      </c>
      <c r="AE65" s="14">
        <v>0</v>
      </c>
      <c r="AF65" s="14">
        <v>0</v>
      </c>
      <c r="AG65" s="14">
        <v>0</v>
      </c>
      <c r="AH65" s="14">
        <v>0</v>
      </c>
      <c r="AI65" s="14" t="s">
        <v>266</v>
      </c>
      <c r="AJ65" s="14">
        <v>1.5</v>
      </c>
      <c r="AK65" s="14">
        <v>1.7</v>
      </c>
      <c r="AL65" s="14">
        <v>100</v>
      </c>
      <c r="AM65" s="24">
        <v>11</v>
      </c>
      <c r="AN65" s="24">
        <v>0</v>
      </c>
      <c r="AO65" s="24">
        <v>4</v>
      </c>
      <c r="AP65" s="24">
        <v>0</v>
      </c>
      <c r="AQ65" s="24">
        <v>0</v>
      </c>
      <c r="AR65" s="24">
        <v>90</v>
      </c>
      <c r="AS65" s="24">
        <v>0</v>
      </c>
      <c r="AT65" s="24" t="s">
        <v>224</v>
      </c>
      <c r="AU65" s="24">
        <v>0</v>
      </c>
      <c r="AV65" s="24">
        <v>0</v>
      </c>
    </row>
    <row r="66" s="24" customFormat="1" spans="1:48">
      <c r="A66" s="5">
        <v>721001</v>
      </c>
      <c r="B66" s="15" t="s">
        <v>377</v>
      </c>
      <c r="C66" s="15">
        <v>11</v>
      </c>
      <c r="D66" s="15">
        <v>2</v>
      </c>
      <c r="E66" s="33" t="s">
        <v>378</v>
      </c>
      <c r="F66" s="15">
        <v>7</v>
      </c>
      <c r="G66" s="15">
        <v>2</v>
      </c>
      <c r="H66" s="15">
        <v>0</v>
      </c>
      <c r="I66" s="15">
        <v>0</v>
      </c>
      <c r="J66" s="15" t="s">
        <v>379</v>
      </c>
      <c r="K66" s="15" t="s">
        <v>379</v>
      </c>
      <c r="L66" s="14">
        <v>0</v>
      </c>
      <c r="M66" s="14">
        <f>士兵数据!L46</f>
        <v>546</v>
      </c>
      <c r="N66" s="14">
        <v>0</v>
      </c>
      <c r="O66" s="14">
        <f>士兵数据!N46</f>
        <v>110</v>
      </c>
      <c r="P66" s="14">
        <v>0</v>
      </c>
      <c r="Q66" s="14">
        <f>士兵数据!P46</f>
        <v>60</v>
      </c>
      <c r="R66" s="14">
        <v>0</v>
      </c>
      <c r="S66" s="14">
        <f>士兵数据!Q46</f>
        <v>62</v>
      </c>
      <c r="T66" s="14">
        <v>0</v>
      </c>
      <c r="U66" s="14">
        <f>士兵数据!T46</f>
        <v>53</v>
      </c>
      <c r="V66" s="14">
        <v>0</v>
      </c>
      <c r="W66" s="14">
        <v>11</v>
      </c>
      <c r="X66" s="14">
        <v>0</v>
      </c>
      <c r="Y66" s="14">
        <v>200</v>
      </c>
      <c r="Z66" s="41">
        <v>1300</v>
      </c>
      <c r="AA66" s="14">
        <v>400</v>
      </c>
      <c r="AB66" s="14">
        <v>8</v>
      </c>
      <c r="AC66" s="14">
        <v>2</v>
      </c>
      <c r="AD66" s="14" t="s">
        <v>376</v>
      </c>
      <c r="AE66" s="14">
        <v>0</v>
      </c>
      <c r="AF66" s="14">
        <v>0</v>
      </c>
      <c r="AG66" s="14">
        <v>0</v>
      </c>
      <c r="AH66" s="14">
        <v>0</v>
      </c>
      <c r="AI66" s="14" t="s">
        <v>266</v>
      </c>
      <c r="AJ66" s="14">
        <v>1.5</v>
      </c>
      <c r="AK66" s="14">
        <v>1.7</v>
      </c>
      <c r="AL66" s="14">
        <v>100</v>
      </c>
      <c r="AM66" s="24">
        <v>11</v>
      </c>
      <c r="AN66" s="24">
        <v>0</v>
      </c>
      <c r="AO66" s="24">
        <v>4</v>
      </c>
      <c r="AP66" s="24">
        <v>0</v>
      </c>
      <c r="AQ66" s="24">
        <v>0</v>
      </c>
      <c r="AR66" s="24">
        <v>90</v>
      </c>
      <c r="AS66" s="24">
        <v>0</v>
      </c>
      <c r="AT66" s="24" t="s">
        <v>224</v>
      </c>
      <c r="AU66" s="24">
        <v>0</v>
      </c>
      <c r="AV66" s="24">
        <v>0</v>
      </c>
    </row>
    <row r="67" s="24" customFormat="1" spans="1:48">
      <c r="A67" s="5">
        <v>721002</v>
      </c>
      <c r="B67" s="15" t="s">
        <v>380</v>
      </c>
      <c r="C67" s="15">
        <v>11</v>
      </c>
      <c r="D67" s="15">
        <v>2</v>
      </c>
      <c r="E67" s="33" t="s">
        <v>381</v>
      </c>
      <c r="F67" s="15">
        <v>7</v>
      </c>
      <c r="G67" s="15">
        <v>2</v>
      </c>
      <c r="H67" s="15">
        <v>0</v>
      </c>
      <c r="I67" s="15">
        <v>0</v>
      </c>
      <c r="J67" s="15" t="s">
        <v>382</v>
      </c>
      <c r="K67" s="15" t="s">
        <v>382</v>
      </c>
      <c r="L67" s="14">
        <v>0</v>
      </c>
      <c r="M67" s="14">
        <f>士兵数据!L47</f>
        <v>655</v>
      </c>
      <c r="N67" s="14">
        <v>0</v>
      </c>
      <c r="O67" s="14">
        <f>士兵数据!N47</f>
        <v>112</v>
      </c>
      <c r="P67" s="14">
        <v>0</v>
      </c>
      <c r="Q67" s="14">
        <f>士兵数据!P47</f>
        <v>40</v>
      </c>
      <c r="R67" s="14">
        <v>0</v>
      </c>
      <c r="S67" s="14">
        <f>士兵数据!Q47</f>
        <v>57</v>
      </c>
      <c r="T67" s="14">
        <v>0</v>
      </c>
      <c r="U67" s="14">
        <f>士兵数据!T47</f>
        <v>34</v>
      </c>
      <c r="V67" s="14">
        <v>0</v>
      </c>
      <c r="W67" s="14">
        <v>11</v>
      </c>
      <c r="X67" s="14">
        <v>0</v>
      </c>
      <c r="Y67" s="14">
        <v>200</v>
      </c>
      <c r="Z67" s="41">
        <v>1300</v>
      </c>
      <c r="AA67" s="14">
        <v>400</v>
      </c>
      <c r="AB67" s="14">
        <v>8</v>
      </c>
      <c r="AC67" s="14">
        <v>2</v>
      </c>
      <c r="AD67" s="14" t="s">
        <v>383</v>
      </c>
      <c r="AE67" s="14">
        <v>0</v>
      </c>
      <c r="AF67" s="14">
        <v>0</v>
      </c>
      <c r="AG67" s="14">
        <v>0</v>
      </c>
      <c r="AH67" s="14">
        <v>0</v>
      </c>
      <c r="AI67" s="14" t="s">
        <v>266</v>
      </c>
      <c r="AJ67" s="14">
        <v>1.5</v>
      </c>
      <c r="AK67" s="14">
        <v>1.7</v>
      </c>
      <c r="AL67" s="14">
        <v>100</v>
      </c>
      <c r="AM67" s="24">
        <v>11</v>
      </c>
      <c r="AN67" s="24">
        <v>0</v>
      </c>
      <c r="AO67" s="24">
        <v>4</v>
      </c>
      <c r="AP67" s="24">
        <v>0</v>
      </c>
      <c r="AQ67" s="24">
        <v>0</v>
      </c>
      <c r="AR67" s="24">
        <v>90</v>
      </c>
      <c r="AS67" s="24">
        <v>0</v>
      </c>
      <c r="AT67" s="24" t="s">
        <v>224</v>
      </c>
      <c r="AU67" s="24">
        <v>0</v>
      </c>
      <c r="AV67" s="24">
        <v>0</v>
      </c>
    </row>
    <row r="68" s="24" customFormat="1" spans="1:48">
      <c r="A68" s="5">
        <v>731001</v>
      </c>
      <c r="B68" s="15" t="s">
        <v>384</v>
      </c>
      <c r="C68" s="15">
        <v>11</v>
      </c>
      <c r="D68" s="15">
        <v>2</v>
      </c>
      <c r="E68" s="33" t="s">
        <v>385</v>
      </c>
      <c r="F68" s="15">
        <v>7</v>
      </c>
      <c r="G68" s="15">
        <v>3</v>
      </c>
      <c r="H68" s="15">
        <v>0</v>
      </c>
      <c r="I68" s="15">
        <v>0</v>
      </c>
      <c r="J68" s="15" t="s">
        <v>386</v>
      </c>
      <c r="K68" s="15" t="s">
        <v>386</v>
      </c>
      <c r="L68" s="14">
        <v>0</v>
      </c>
      <c r="M68" s="14">
        <f>士兵数据!L48</f>
        <v>811</v>
      </c>
      <c r="N68" s="14">
        <v>0</v>
      </c>
      <c r="O68" s="14">
        <f>士兵数据!N48</f>
        <v>145</v>
      </c>
      <c r="P68" s="14">
        <v>0</v>
      </c>
      <c r="Q68" s="14">
        <f>士兵数据!P48</f>
        <v>69</v>
      </c>
      <c r="R68" s="14">
        <v>0</v>
      </c>
      <c r="S68" s="14">
        <f>士兵数据!Q48</f>
        <v>68</v>
      </c>
      <c r="T68" s="14">
        <v>0</v>
      </c>
      <c r="U68" s="14">
        <f>士兵数据!T48</f>
        <v>60</v>
      </c>
      <c r="V68" s="14">
        <v>0</v>
      </c>
      <c r="W68" s="14">
        <v>11</v>
      </c>
      <c r="X68" s="14">
        <v>0</v>
      </c>
      <c r="Y68" s="14">
        <v>200</v>
      </c>
      <c r="Z68" s="41">
        <v>1300</v>
      </c>
      <c r="AA68" s="14">
        <v>500</v>
      </c>
      <c r="AB68" s="14">
        <v>8</v>
      </c>
      <c r="AC68" s="14">
        <v>2</v>
      </c>
      <c r="AD68" s="14" t="s">
        <v>387</v>
      </c>
      <c r="AE68" s="14">
        <v>0</v>
      </c>
      <c r="AF68" s="14">
        <v>0</v>
      </c>
      <c r="AG68" s="14">
        <v>0</v>
      </c>
      <c r="AH68" s="14">
        <v>0</v>
      </c>
      <c r="AI68" s="14" t="s">
        <v>266</v>
      </c>
      <c r="AJ68" s="14">
        <v>1.5</v>
      </c>
      <c r="AK68" s="14">
        <v>2</v>
      </c>
      <c r="AL68" s="14">
        <v>100</v>
      </c>
      <c r="AM68" s="24">
        <v>11</v>
      </c>
      <c r="AN68" s="24">
        <v>0</v>
      </c>
      <c r="AO68" s="24">
        <v>4</v>
      </c>
      <c r="AP68" s="24">
        <v>0</v>
      </c>
      <c r="AQ68" s="24">
        <v>0</v>
      </c>
      <c r="AR68" s="24">
        <v>90</v>
      </c>
      <c r="AS68" s="24">
        <v>0</v>
      </c>
      <c r="AT68" s="24" t="s">
        <v>224</v>
      </c>
      <c r="AU68" s="24">
        <v>0</v>
      </c>
      <c r="AV68" s="24">
        <v>0</v>
      </c>
    </row>
    <row r="69" s="24" customFormat="1" spans="1:48">
      <c r="A69" s="5">
        <v>731002</v>
      </c>
      <c r="B69" s="15" t="s">
        <v>388</v>
      </c>
      <c r="C69" s="15">
        <v>11</v>
      </c>
      <c r="D69" s="15">
        <v>2</v>
      </c>
      <c r="E69" s="33" t="s">
        <v>289</v>
      </c>
      <c r="F69" s="15">
        <v>7</v>
      </c>
      <c r="G69" s="15">
        <v>3</v>
      </c>
      <c r="H69" s="15">
        <v>0</v>
      </c>
      <c r="I69" s="15">
        <v>0</v>
      </c>
      <c r="J69" s="15" t="s">
        <v>389</v>
      </c>
      <c r="K69" s="15" t="s">
        <v>389</v>
      </c>
      <c r="L69" s="14">
        <v>0</v>
      </c>
      <c r="M69" s="14">
        <f>士兵数据!L49</f>
        <v>1019</v>
      </c>
      <c r="N69" s="14">
        <v>0</v>
      </c>
      <c r="O69" s="14">
        <f>士兵数据!N49</f>
        <v>142</v>
      </c>
      <c r="P69" s="14">
        <v>0</v>
      </c>
      <c r="Q69" s="14">
        <f>士兵数据!P49</f>
        <v>74</v>
      </c>
      <c r="R69" s="14">
        <v>0</v>
      </c>
      <c r="S69" s="14">
        <f>士兵数据!Q49</f>
        <v>61</v>
      </c>
      <c r="T69" s="14">
        <v>0</v>
      </c>
      <c r="U69" s="14">
        <f>士兵数据!T49</f>
        <v>64</v>
      </c>
      <c r="V69" s="14">
        <v>0</v>
      </c>
      <c r="W69" s="14">
        <v>11</v>
      </c>
      <c r="X69" s="14">
        <v>0</v>
      </c>
      <c r="Y69" s="14">
        <v>200</v>
      </c>
      <c r="Z69" s="41">
        <v>1300</v>
      </c>
      <c r="AA69" s="14">
        <v>400</v>
      </c>
      <c r="AB69" s="14">
        <v>8</v>
      </c>
      <c r="AC69" s="14">
        <v>2</v>
      </c>
      <c r="AD69" s="14" t="s">
        <v>390</v>
      </c>
      <c r="AE69" s="14">
        <v>0</v>
      </c>
      <c r="AF69" s="14">
        <v>0</v>
      </c>
      <c r="AG69" s="14">
        <v>0</v>
      </c>
      <c r="AH69" s="14">
        <v>0</v>
      </c>
      <c r="AI69" s="14" t="s">
        <v>266</v>
      </c>
      <c r="AJ69" s="14">
        <v>1.5</v>
      </c>
      <c r="AK69" s="14">
        <v>2</v>
      </c>
      <c r="AL69" s="14">
        <v>100</v>
      </c>
      <c r="AM69" s="24">
        <v>11</v>
      </c>
      <c r="AN69" s="24">
        <v>0</v>
      </c>
      <c r="AO69" s="24">
        <v>4</v>
      </c>
      <c r="AP69" s="24">
        <v>0</v>
      </c>
      <c r="AQ69" s="24">
        <v>0</v>
      </c>
      <c r="AR69" s="24">
        <v>90</v>
      </c>
      <c r="AS69" s="24">
        <v>0</v>
      </c>
      <c r="AT69" s="24" t="s">
        <v>224</v>
      </c>
      <c r="AU69" s="24">
        <v>0</v>
      </c>
      <c r="AV69" s="24">
        <v>0</v>
      </c>
    </row>
    <row r="70" s="24" customFormat="1" spans="1:48">
      <c r="A70" s="5">
        <v>741001</v>
      </c>
      <c r="B70" s="15" t="s">
        <v>391</v>
      </c>
      <c r="C70" s="15">
        <v>11</v>
      </c>
      <c r="D70" s="15">
        <v>2</v>
      </c>
      <c r="E70" s="33" t="s">
        <v>392</v>
      </c>
      <c r="F70" s="15">
        <v>7</v>
      </c>
      <c r="G70" s="15">
        <v>4</v>
      </c>
      <c r="H70" s="15">
        <v>0</v>
      </c>
      <c r="I70" s="15">
        <v>0</v>
      </c>
      <c r="J70" s="15" t="s">
        <v>393</v>
      </c>
      <c r="K70" s="15" t="s">
        <v>393</v>
      </c>
      <c r="L70" s="14">
        <v>0</v>
      </c>
      <c r="M70" s="14">
        <f>士兵数据!L50</f>
        <v>1072</v>
      </c>
      <c r="N70" s="14">
        <v>0</v>
      </c>
      <c r="O70" s="14">
        <f>士兵数据!N50</f>
        <v>134</v>
      </c>
      <c r="P70" s="14">
        <v>0</v>
      </c>
      <c r="Q70" s="14">
        <f>士兵数据!P50</f>
        <v>69</v>
      </c>
      <c r="R70" s="14">
        <v>0</v>
      </c>
      <c r="S70" s="14">
        <f>士兵数据!Q50</f>
        <v>98</v>
      </c>
      <c r="T70" s="14">
        <v>0</v>
      </c>
      <c r="U70" s="14">
        <f>士兵数据!T50</f>
        <v>96</v>
      </c>
      <c r="V70" s="14">
        <v>0</v>
      </c>
      <c r="W70" s="14">
        <v>11</v>
      </c>
      <c r="X70" s="14">
        <v>0</v>
      </c>
      <c r="Y70" s="14">
        <v>1200</v>
      </c>
      <c r="Z70" s="41">
        <v>1300</v>
      </c>
      <c r="AA70" s="14">
        <v>400</v>
      </c>
      <c r="AB70" s="14">
        <v>10</v>
      </c>
      <c r="AC70" s="14">
        <v>2</v>
      </c>
      <c r="AD70" s="14" t="s">
        <v>394</v>
      </c>
      <c r="AE70" s="14">
        <v>0</v>
      </c>
      <c r="AF70" s="14">
        <v>0</v>
      </c>
      <c r="AG70" s="14">
        <v>0</v>
      </c>
      <c r="AH70" s="14">
        <v>0</v>
      </c>
      <c r="AI70" s="14" t="s">
        <v>266</v>
      </c>
      <c r="AJ70" s="14">
        <v>1.5</v>
      </c>
      <c r="AK70" s="14">
        <v>2</v>
      </c>
      <c r="AL70" s="14">
        <v>100</v>
      </c>
      <c r="AM70" s="24">
        <v>11</v>
      </c>
      <c r="AN70" s="24">
        <v>0</v>
      </c>
      <c r="AO70" s="24">
        <v>4</v>
      </c>
      <c r="AP70" s="24">
        <v>0</v>
      </c>
      <c r="AQ70" s="24">
        <v>0</v>
      </c>
      <c r="AR70" s="24">
        <v>90</v>
      </c>
      <c r="AS70" s="24">
        <v>0</v>
      </c>
      <c r="AT70" s="24" t="s">
        <v>224</v>
      </c>
      <c r="AU70" s="24">
        <v>0</v>
      </c>
      <c r="AV70" s="24">
        <v>0</v>
      </c>
    </row>
    <row r="71" s="24" customFormat="1" spans="1:48">
      <c r="A71" s="5">
        <v>741002</v>
      </c>
      <c r="B71" s="15" t="s">
        <v>395</v>
      </c>
      <c r="C71" s="15">
        <v>11</v>
      </c>
      <c r="D71" s="15">
        <v>2</v>
      </c>
      <c r="E71" s="33" t="s">
        <v>268</v>
      </c>
      <c r="F71" s="15">
        <v>7</v>
      </c>
      <c r="G71" s="15">
        <v>4</v>
      </c>
      <c r="H71" s="15">
        <v>0</v>
      </c>
      <c r="I71" s="15">
        <v>0</v>
      </c>
      <c r="J71" s="15" t="s">
        <v>396</v>
      </c>
      <c r="K71" s="15" t="s">
        <v>396</v>
      </c>
      <c r="L71" s="14">
        <v>0</v>
      </c>
      <c r="M71" s="14">
        <f>士兵数据!L51</f>
        <v>1420</v>
      </c>
      <c r="N71" s="14">
        <v>0</v>
      </c>
      <c r="O71" s="14">
        <f>士兵数据!N51</f>
        <v>182</v>
      </c>
      <c r="P71" s="14">
        <v>0</v>
      </c>
      <c r="Q71" s="14">
        <f>士兵数据!P51</f>
        <v>89</v>
      </c>
      <c r="R71" s="14">
        <v>0</v>
      </c>
      <c r="S71" s="14">
        <f>士兵数据!Q51</f>
        <v>71</v>
      </c>
      <c r="T71" s="14">
        <v>0</v>
      </c>
      <c r="U71" s="14">
        <f>士兵数据!T51</f>
        <v>77</v>
      </c>
      <c r="V71" s="14">
        <v>0</v>
      </c>
      <c r="W71" s="14">
        <v>11</v>
      </c>
      <c r="X71" s="14">
        <v>0</v>
      </c>
      <c r="Y71" s="14">
        <v>1200</v>
      </c>
      <c r="Z71" s="41">
        <v>1300</v>
      </c>
      <c r="AA71" s="14">
        <v>400</v>
      </c>
      <c r="AB71" s="14">
        <v>10</v>
      </c>
      <c r="AC71" s="14">
        <v>2</v>
      </c>
      <c r="AD71" s="14" t="s">
        <v>394</v>
      </c>
      <c r="AE71" s="14">
        <v>0</v>
      </c>
      <c r="AF71" s="14">
        <v>0</v>
      </c>
      <c r="AG71" s="14">
        <v>0</v>
      </c>
      <c r="AH71" s="14">
        <v>0</v>
      </c>
      <c r="AI71" s="14" t="s">
        <v>266</v>
      </c>
      <c r="AJ71" s="14">
        <v>1.5</v>
      </c>
      <c r="AK71" s="14">
        <v>2</v>
      </c>
      <c r="AL71" s="14">
        <v>100</v>
      </c>
      <c r="AM71" s="24">
        <v>11</v>
      </c>
      <c r="AN71" s="24">
        <v>0</v>
      </c>
      <c r="AO71" s="24">
        <v>4</v>
      </c>
      <c r="AP71" s="24">
        <v>0</v>
      </c>
      <c r="AQ71" s="24">
        <v>0</v>
      </c>
      <c r="AR71" s="24">
        <v>90</v>
      </c>
      <c r="AS71" s="24">
        <v>0</v>
      </c>
      <c r="AT71" s="24" t="s">
        <v>224</v>
      </c>
      <c r="AU71" s="24">
        <v>0</v>
      </c>
      <c r="AV71" s="24">
        <v>0</v>
      </c>
    </row>
    <row r="72" s="24" customFormat="1" spans="1:48">
      <c r="A72" s="5">
        <v>741003</v>
      </c>
      <c r="B72" s="15" t="s">
        <v>397</v>
      </c>
      <c r="C72" s="15">
        <v>11</v>
      </c>
      <c r="D72" s="15">
        <v>2</v>
      </c>
      <c r="E72" s="33" t="s">
        <v>268</v>
      </c>
      <c r="F72" s="15">
        <v>7</v>
      </c>
      <c r="G72" s="15">
        <v>4</v>
      </c>
      <c r="H72" s="15">
        <v>0</v>
      </c>
      <c r="I72" s="15">
        <v>0</v>
      </c>
      <c r="J72" s="15" t="s">
        <v>398</v>
      </c>
      <c r="K72" s="15" t="s">
        <v>398</v>
      </c>
      <c r="L72" s="14">
        <v>0</v>
      </c>
      <c r="M72" s="14">
        <f>士兵数据!L52</f>
        <v>1420</v>
      </c>
      <c r="N72" s="14">
        <v>0</v>
      </c>
      <c r="O72" s="14">
        <f>士兵数据!N52</f>
        <v>182</v>
      </c>
      <c r="P72" s="14">
        <v>0</v>
      </c>
      <c r="Q72" s="14">
        <f>士兵数据!P52</f>
        <v>89</v>
      </c>
      <c r="R72" s="14">
        <v>0</v>
      </c>
      <c r="S72" s="14">
        <f>士兵数据!Q52</f>
        <v>71</v>
      </c>
      <c r="T72" s="14">
        <v>0</v>
      </c>
      <c r="U72" s="14">
        <f>士兵数据!T52</f>
        <v>77</v>
      </c>
      <c r="V72" s="14">
        <v>0</v>
      </c>
      <c r="W72" s="14">
        <v>11</v>
      </c>
      <c r="X72" s="14">
        <v>0</v>
      </c>
      <c r="Y72" s="14">
        <v>1200</v>
      </c>
      <c r="Z72" s="41">
        <v>1300</v>
      </c>
      <c r="AA72" s="14">
        <v>400</v>
      </c>
      <c r="AB72" s="14">
        <v>10</v>
      </c>
      <c r="AC72" s="14">
        <v>2</v>
      </c>
      <c r="AD72" s="14" t="s">
        <v>394</v>
      </c>
      <c r="AE72" s="14">
        <v>0</v>
      </c>
      <c r="AF72" s="14">
        <v>0</v>
      </c>
      <c r="AG72" s="14">
        <v>0</v>
      </c>
      <c r="AH72" s="14">
        <v>0</v>
      </c>
      <c r="AI72" s="14" t="s">
        <v>266</v>
      </c>
      <c r="AJ72" s="14">
        <v>1.5</v>
      </c>
      <c r="AK72" s="14">
        <v>2</v>
      </c>
      <c r="AL72" s="14">
        <v>100</v>
      </c>
      <c r="AM72" s="24">
        <v>11</v>
      </c>
      <c r="AN72" s="24">
        <v>0</v>
      </c>
      <c r="AO72" s="24">
        <v>4</v>
      </c>
      <c r="AP72" s="24">
        <v>0</v>
      </c>
      <c r="AQ72" s="24">
        <v>0</v>
      </c>
      <c r="AR72" s="24">
        <v>90</v>
      </c>
      <c r="AS72" s="24">
        <v>0</v>
      </c>
      <c r="AT72" s="24" t="s">
        <v>224</v>
      </c>
      <c r="AU72" s="24">
        <v>0</v>
      </c>
      <c r="AV72" s="24">
        <v>0</v>
      </c>
    </row>
    <row r="73" s="24" customFormat="1" spans="1:48">
      <c r="A73" s="5">
        <v>751001</v>
      </c>
      <c r="B73" s="15" t="s">
        <v>399</v>
      </c>
      <c r="C73" s="15">
        <v>11</v>
      </c>
      <c r="D73" s="15">
        <v>2</v>
      </c>
      <c r="E73" s="33" t="s">
        <v>347</v>
      </c>
      <c r="F73" s="15">
        <v>7</v>
      </c>
      <c r="G73" s="15">
        <v>5</v>
      </c>
      <c r="H73" s="15">
        <v>0</v>
      </c>
      <c r="I73" s="15">
        <v>0</v>
      </c>
      <c r="J73" s="15" t="s">
        <v>400</v>
      </c>
      <c r="K73" s="15" t="s">
        <v>400</v>
      </c>
      <c r="L73" s="14">
        <v>0</v>
      </c>
      <c r="M73" s="14">
        <f>士兵数据!L53</f>
        <v>1426</v>
      </c>
      <c r="N73" s="14">
        <v>0</v>
      </c>
      <c r="O73" s="14">
        <f>士兵数据!N53</f>
        <v>256</v>
      </c>
      <c r="P73" s="14">
        <v>0</v>
      </c>
      <c r="Q73" s="14">
        <f>士兵数据!P53</f>
        <v>94</v>
      </c>
      <c r="R73" s="14">
        <v>0</v>
      </c>
      <c r="S73" s="14">
        <f>士兵数据!Q53</f>
        <v>72</v>
      </c>
      <c r="T73" s="14">
        <v>0</v>
      </c>
      <c r="U73" s="14">
        <f>士兵数据!T53</f>
        <v>83</v>
      </c>
      <c r="V73" s="14">
        <v>0</v>
      </c>
      <c r="W73" s="14">
        <v>12</v>
      </c>
      <c r="X73" s="14">
        <v>0</v>
      </c>
      <c r="Y73" s="14">
        <v>1200</v>
      </c>
      <c r="Z73" s="41">
        <v>1300</v>
      </c>
      <c r="AA73" s="14">
        <v>400</v>
      </c>
      <c r="AB73" s="14">
        <v>10</v>
      </c>
      <c r="AC73" s="14">
        <v>2</v>
      </c>
      <c r="AD73" s="14" t="s">
        <v>394</v>
      </c>
      <c r="AE73" s="14">
        <v>0</v>
      </c>
      <c r="AF73" s="14">
        <v>0</v>
      </c>
      <c r="AG73" s="14">
        <v>0</v>
      </c>
      <c r="AH73" s="14">
        <v>0</v>
      </c>
      <c r="AI73" s="14" t="s">
        <v>266</v>
      </c>
      <c r="AJ73" s="14">
        <v>1.5</v>
      </c>
      <c r="AK73" s="14">
        <v>2.5</v>
      </c>
      <c r="AL73" s="14">
        <v>100</v>
      </c>
      <c r="AM73" s="24">
        <v>11</v>
      </c>
      <c r="AN73" s="24">
        <v>0</v>
      </c>
      <c r="AO73" s="24">
        <v>4</v>
      </c>
      <c r="AP73" s="24">
        <v>0</v>
      </c>
      <c r="AQ73" s="24">
        <v>0</v>
      </c>
      <c r="AR73" s="24">
        <v>90</v>
      </c>
      <c r="AS73" s="24">
        <v>0</v>
      </c>
      <c r="AT73" s="24" t="s">
        <v>224</v>
      </c>
      <c r="AU73" s="24">
        <v>0</v>
      </c>
      <c r="AV73" s="24">
        <v>0</v>
      </c>
    </row>
    <row r="74" s="24" customFormat="1" spans="1:48">
      <c r="A74" s="5">
        <v>751002</v>
      </c>
      <c r="B74" s="15" t="s">
        <v>401</v>
      </c>
      <c r="C74" s="15">
        <v>11</v>
      </c>
      <c r="D74" s="15">
        <v>2</v>
      </c>
      <c r="E74" s="33" t="s">
        <v>272</v>
      </c>
      <c r="F74" s="15">
        <v>7</v>
      </c>
      <c r="G74" s="15">
        <v>5</v>
      </c>
      <c r="H74" s="15">
        <v>0</v>
      </c>
      <c r="I74" s="15">
        <v>0</v>
      </c>
      <c r="J74" s="15" t="s">
        <v>402</v>
      </c>
      <c r="K74" s="15" t="s">
        <v>402</v>
      </c>
      <c r="L74" s="14">
        <v>0</v>
      </c>
      <c r="M74" s="14">
        <f>士兵数据!L54</f>
        <v>1691</v>
      </c>
      <c r="N74" s="14">
        <v>0</v>
      </c>
      <c r="O74" s="14">
        <f>士兵数据!N54</f>
        <v>272</v>
      </c>
      <c r="P74" s="14">
        <v>0</v>
      </c>
      <c r="Q74" s="14">
        <f>士兵数据!P54</f>
        <v>95</v>
      </c>
      <c r="R74" s="14">
        <v>0</v>
      </c>
      <c r="S74" s="14">
        <f>士兵数据!Q54</f>
        <v>73</v>
      </c>
      <c r="T74" s="14">
        <v>0</v>
      </c>
      <c r="U74" s="14">
        <f>士兵数据!T54</f>
        <v>105</v>
      </c>
      <c r="V74" s="14">
        <v>0</v>
      </c>
      <c r="W74" s="14">
        <v>12</v>
      </c>
      <c r="X74" s="14">
        <v>0</v>
      </c>
      <c r="Y74" s="14">
        <v>1200</v>
      </c>
      <c r="Z74" s="41">
        <v>1300</v>
      </c>
      <c r="AA74" s="14">
        <v>400</v>
      </c>
      <c r="AB74" s="14">
        <v>10</v>
      </c>
      <c r="AC74" s="14">
        <v>2</v>
      </c>
      <c r="AD74" s="14" t="s">
        <v>394</v>
      </c>
      <c r="AE74" s="14">
        <v>0</v>
      </c>
      <c r="AF74" s="14">
        <v>0</v>
      </c>
      <c r="AG74" s="14">
        <v>0</v>
      </c>
      <c r="AH74" s="14">
        <v>0</v>
      </c>
      <c r="AI74" s="14" t="s">
        <v>266</v>
      </c>
      <c r="AJ74" s="14">
        <v>1.5</v>
      </c>
      <c r="AK74" s="14">
        <v>2.5</v>
      </c>
      <c r="AL74" s="14">
        <v>100</v>
      </c>
      <c r="AM74" s="24">
        <v>11</v>
      </c>
      <c r="AN74" s="24">
        <v>0</v>
      </c>
      <c r="AO74" s="24">
        <v>4</v>
      </c>
      <c r="AP74" s="24">
        <v>0</v>
      </c>
      <c r="AQ74" s="24">
        <v>0</v>
      </c>
      <c r="AR74" s="24">
        <v>90</v>
      </c>
      <c r="AS74" s="24">
        <v>0</v>
      </c>
      <c r="AT74" s="24" t="s">
        <v>224</v>
      </c>
      <c r="AU74" s="24">
        <v>0</v>
      </c>
      <c r="AV74" s="24">
        <v>0</v>
      </c>
    </row>
    <row r="75" s="24" customFormat="1" spans="1:48">
      <c r="A75" s="5">
        <v>761001</v>
      </c>
      <c r="B75" s="15" t="s">
        <v>403</v>
      </c>
      <c r="C75" s="15">
        <v>11</v>
      </c>
      <c r="D75" s="15">
        <v>2</v>
      </c>
      <c r="E75" s="33" t="s">
        <v>404</v>
      </c>
      <c r="F75" s="15">
        <v>7</v>
      </c>
      <c r="G75" s="15">
        <v>6</v>
      </c>
      <c r="H75" s="15">
        <v>0</v>
      </c>
      <c r="I75" s="15">
        <v>0</v>
      </c>
      <c r="J75" s="15" t="s">
        <v>405</v>
      </c>
      <c r="K75" s="15" t="s">
        <v>405</v>
      </c>
      <c r="L75" s="14">
        <v>0</v>
      </c>
      <c r="M75" s="14">
        <f>士兵数据!L55</f>
        <v>2916</v>
      </c>
      <c r="N75" s="14">
        <v>0</v>
      </c>
      <c r="O75" s="14">
        <f>士兵数据!N55</f>
        <v>343</v>
      </c>
      <c r="P75" s="14">
        <v>0</v>
      </c>
      <c r="Q75" s="14">
        <f>士兵数据!P55</f>
        <v>154</v>
      </c>
      <c r="R75" s="14">
        <v>0</v>
      </c>
      <c r="S75" s="14">
        <f>士兵数据!Q55</f>
        <v>73</v>
      </c>
      <c r="T75" s="14">
        <v>0</v>
      </c>
      <c r="U75" s="14">
        <f>士兵数据!T55</f>
        <v>169</v>
      </c>
      <c r="V75" s="14">
        <v>0</v>
      </c>
      <c r="W75" s="14">
        <v>12</v>
      </c>
      <c r="X75" s="14">
        <v>0</v>
      </c>
      <c r="Y75" s="14">
        <v>1200</v>
      </c>
      <c r="Z75" s="41">
        <v>1300</v>
      </c>
      <c r="AA75" s="14">
        <v>400</v>
      </c>
      <c r="AB75" s="14">
        <v>10</v>
      </c>
      <c r="AC75" s="14">
        <v>2</v>
      </c>
      <c r="AD75" s="14" t="s">
        <v>394</v>
      </c>
      <c r="AE75" s="14">
        <v>0</v>
      </c>
      <c r="AF75" s="14">
        <v>0</v>
      </c>
      <c r="AG75" s="14">
        <v>0</v>
      </c>
      <c r="AH75" s="14">
        <v>0</v>
      </c>
      <c r="AI75" s="14" t="s">
        <v>266</v>
      </c>
      <c r="AJ75" s="14">
        <v>1.5</v>
      </c>
      <c r="AK75" s="14">
        <v>3</v>
      </c>
      <c r="AL75" s="14">
        <v>100</v>
      </c>
      <c r="AM75" s="24">
        <v>11</v>
      </c>
      <c r="AN75" s="24">
        <v>0</v>
      </c>
      <c r="AO75" s="24">
        <v>4</v>
      </c>
      <c r="AP75" s="24">
        <v>0</v>
      </c>
      <c r="AQ75" s="24">
        <v>0</v>
      </c>
      <c r="AR75" s="24">
        <v>90</v>
      </c>
      <c r="AS75" s="24">
        <v>0</v>
      </c>
      <c r="AT75" s="24" t="s">
        <v>224</v>
      </c>
      <c r="AU75" s="24">
        <v>0</v>
      </c>
      <c r="AV75" s="24">
        <v>0</v>
      </c>
    </row>
    <row r="76" s="24" customFormat="1" spans="1:48">
      <c r="A76" s="5">
        <v>761002</v>
      </c>
      <c r="B76" s="15" t="s">
        <v>406</v>
      </c>
      <c r="C76" s="15">
        <v>11</v>
      </c>
      <c r="D76" s="15">
        <v>2</v>
      </c>
      <c r="E76" s="33" t="s">
        <v>279</v>
      </c>
      <c r="F76" s="15">
        <v>7</v>
      </c>
      <c r="G76" s="15">
        <v>6</v>
      </c>
      <c r="H76" s="15">
        <v>0</v>
      </c>
      <c r="I76" s="15">
        <v>0</v>
      </c>
      <c r="J76" s="15" t="s">
        <v>407</v>
      </c>
      <c r="K76" s="15" t="s">
        <v>407</v>
      </c>
      <c r="L76" s="14">
        <v>0</v>
      </c>
      <c r="M76" s="14">
        <f>士兵数据!L56</f>
        <v>2301</v>
      </c>
      <c r="N76" s="14">
        <v>0</v>
      </c>
      <c r="O76" s="14">
        <f>士兵数据!N56</f>
        <v>298</v>
      </c>
      <c r="P76" s="14">
        <v>0</v>
      </c>
      <c r="Q76" s="14">
        <f>士兵数据!P56</f>
        <v>128</v>
      </c>
      <c r="R76" s="14">
        <v>0</v>
      </c>
      <c r="S76" s="14">
        <f>士兵数据!Q56</f>
        <v>72</v>
      </c>
      <c r="T76" s="14">
        <v>0</v>
      </c>
      <c r="U76" s="14">
        <f>士兵数据!T56</f>
        <v>140</v>
      </c>
      <c r="V76" s="14">
        <v>0</v>
      </c>
      <c r="W76" s="14">
        <v>12</v>
      </c>
      <c r="X76" s="14">
        <v>0</v>
      </c>
      <c r="Y76" s="14">
        <v>1200</v>
      </c>
      <c r="Z76" s="41">
        <v>1300</v>
      </c>
      <c r="AA76" s="14">
        <v>400</v>
      </c>
      <c r="AB76" s="14">
        <v>10</v>
      </c>
      <c r="AC76" s="14">
        <v>2</v>
      </c>
      <c r="AD76" s="14" t="s">
        <v>394</v>
      </c>
      <c r="AE76" s="14">
        <v>0</v>
      </c>
      <c r="AF76" s="14">
        <v>0</v>
      </c>
      <c r="AG76" s="14">
        <v>0</v>
      </c>
      <c r="AH76" s="14">
        <v>0</v>
      </c>
      <c r="AI76" s="14" t="s">
        <v>266</v>
      </c>
      <c r="AJ76" s="14">
        <v>1.5</v>
      </c>
      <c r="AK76" s="14">
        <v>3</v>
      </c>
      <c r="AL76" s="14">
        <v>100</v>
      </c>
      <c r="AM76" s="24">
        <v>11</v>
      </c>
      <c r="AN76" s="24">
        <v>0</v>
      </c>
      <c r="AO76" s="24">
        <v>4</v>
      </c>
      <c r="AP76" s="24">
        <v>0</v>
      </c>
      <c r="AQ76" s="24">
        <v>0</v>
      </c>
      <c r="AR76" s="24">
        <v>90</v>
      </c>
      <c r="AS76" s="24">
        <v>0</v>
      </c>
      <c r="AT76" s="24" t="s">
        <v>224</v>
      </c>
      <c r="AU76" s="24">
        <v>0</v>
      </c>
      <c r="AV76" s="24">
        <v>0</v>
      </c>
    </row>
    <row r="77" s="24" customFormat="1" spans="1:48">
      <c r="A77" s="5">
        <v>811001</v>
      </c>
      <c r="B77" s="15" t="s">
        <v>408</v>
      </c>
      <c r="C77" s="15">
        <v>11</v>
      </c>
      <c r="D77" s="15">
        <v>2</v>
      </c>
      <c r="E77" s="33" t="s">
        <v>409</v>
      </c>
      <c r="F77" s="15">
        <v>7</v>
      </c>
      <c r="G77" s="15">
        <v>1</v>
      </c>
      <c r="H77" s="15">
        <v>0</v>
      </c>
      <c r="I77" s="15">
        <v>0</v>
      </c>
      <c r="J77" s="15" t="s">
        <v>410</v>
      </c>
      <c r="K77" s="15" t="s">
        <v>410</v>
      </c>
      <c r="L77" s="14">
        <v>0</v>
      </c>
      <c r="M77" s="14">
        <f>士兵数据!L57</f>
        <v>589</v>
      </c>
      <c r="N77" s="14">
        <v>0</v>
      </c>
      <c r="O77" s="14">
        <f>士兵数据!N57</f>
        <v>85</v>
      </c>
      <c r="P77" s="14">
        <v>0</v>
      </c>
      <c r="Q77" s="14">
        <f>士兵数据!P57</f>
        <v>45</v>
      </c>
      <c r="R77" s="14">
        <v>0</v>
      </c>
      <c r="S77" s="14">
        <f>士兵数据!Q57</f>
        <v>55</v>
      </c>
      <c r="T77" s="14">
        <v>0</v>
      </c>
      <c r="U77" s="14">
        <f>士兵数据!T57</f>
        <v>39</v>
      </c>
      <c r="V77" s="14">
        <v>0</v>
      </c>
      <c r="W77" s="14">
        <v>14</v>
      </c>
      <c r="X77" s="14">
        <v>0</v>
      </c>
      <c r="Y77" s="14">
        <v>1200</v>
      </c>
      <c r="Z77" s="41">
        <v>1300</v>
      </c>
      <c r="AA77" s="14">
        <v>400</v>
      </c>
      <c r="AB77" s="14">
        <v>10</v>
      </c>
      <c r="AC77" s="14">
        <v>2</v>
      </c>
      <c r="AD77" s="14" t="s">
        <v>394</v>
      </c>
      <c r="AE77" s="14">
        <v>0</v>
      </c>
      <c r="AF77" s="14">
        <v>0</v>
      </c>
      <c r="AG77" s="14">
        <v>0</v>
      </c>
      <c r="AH77" s="14">
        <v>0</v>
      </c>
      <c r="AI77" s="14" t="s">
        <v>266</v>
      </c>
      <c r="AJ77" s="14">
        <v>1.5</v>
      </c>
      <c r="AK77" s="14">
        <v>1.7</v>
      </c>
      <c r="AL77" s="14">
        <v>100</v>
      </c>
      <c r="AM77" s="24">
        <v>11</v>
      </c>
      <c r="AN77" s="24">
        <v>0</v>
      </c>
      <c r="AO77" s="24">
        <v>4</v>
      </c>
      <c r="AP77" s="24">
        <v>0</v>
      </c>
      <c r="AQ77" s="24">
        <v>0</v>
      </c>
      <c r="AR77" s="24">
        <v>90</v>
      </c>
      <c r="AS77" s="24">
        <v>0</v>
      </c>
      <c r="AT77" s="24" t="s">
        <v>224</v>
      </c>
      <c r="AU77" s="24">
        <v>0</v>
      </c>
      <c r="AV77" s="24">
        <v>0</v>
      </c>
    </row>
    <row r="78" s="24" customFormat="1" spans="1:48">
      <c r="A78" s="5">
        <v>821001</v>
      </c>
      <c r="B78" s="15" t="s">
        <v>411</v>
      </c>
      <c r="C78" s="15">
        <v>11</v>
      </c>
      <c r="D78" s="15">
        <v>2</v>
      </c>
      <c r="E78" s="33" t="s">
        <v>412</v>
      </c>
      <c r="F78" s="15">
        <v>8</v>
      </c>
      <c r="G78" s="15">
        <v>2</v>
      </c>
      <c r="H78" s="15">
        <v>0</v>
      </c>
      <c r="I78" s="15">
        <v>0</v>
      </c>
      <c r="J78" s="15" t="s">
        <v>413</v>
      </c>
      <c r="K78" s="15" t="s">
        <v>413</v>
      </c>
      <c r="L78" s="14">
        <v>0</v>
      </c>
      <c r="M78" s="14">
        <f>士兵数据!L58</f>
        <v>783</v>
      </c>
      <c r="N78" s="14">
        <v>0</v>
      </c>
      <c r="O78" s="14">
        <f>士兵数据!N58</f>
        <v>121</v>
      </c>
      <c r="P78" s="14">
        <v>0</v>
      </c>
      <c r="Q78" s="14">
        <f>士兵数据!P58</f>
        <v>60</v>
      </c>
      <c r="R78" s="14">
        <v>0</v>
      </c>
      <c r="S78" s="14">
        <f>士兵数据!Q58</f>
        <v>60</v>
      </c>
      <c r="T78" s="14">
        <v>0</v>
      </c>
      <c r="U78" s="14">
        <f>士兵数据!T58</f>
        <v>52</v>
      </c>
      <c r="V78" s="14">
        <v>0</v>
      </c>
      <c r="W78" s="14">
        <v>11</v>
      </c>
      <c r="X78" s="14">
        <v>0</v>
      </c>
      <c r="Y78" s="14">
        <v>200</v>
      </c>
      <c r="Z78" s="41">
        <v>1300</v>
      </c>
      <c r="AA78" s="14">
        <v>400</v>
      </c>
      <c r="AB78" s="14">
        <v>8</v>
      </c>
      <c r="AC78" s="14">
        <v>2</v>
      </c>
      <c r="AD78" s="14" t="s">
        <v>414</v>
      </c>
      <c r="AE78" s="14">
        <v>0</v>
      </c>
      <c r="AF78" s="14">
        <v>0</v>
      </c>
      <c r="AG78" s="14">
        <v>0</v>
      </c>
      <c r="AH78" s="14">
        <v>0</v>
      </c>
      <c r="AI78" s="14" t="s">
        <v>266</v>
      </c>
      <c r="AJ78" s="14">
        <v>1.5</v>
      </c>
      <c r="AK78" s="14">
        <v>1.7</v>
      </c>
      <c r="AL78" s="14">
        <v>100</v>
      </c>
      <c r="AM78" s="24">
        <v>11</v>
      </c>
      <c r="AN78" s="24">
        <v>0</v>
      </c>
      <c r="AO78" s="24">
        <v>4</v>
      </c>
      <c r="AP78" s="24">
        <v>0</v>
      </c>
      <c r="AQ78" s="24">
        <v>0</v>
      </c>
      <c r="AR78" s="24">
        <v>90</v>
      </c>
      <c r="AS78" s="24">
        <v>0</v>
      </c>
      <c r="AT78" s="24" t="s">
        <v>224</v>
      </c>
      <c r="AU78" s="24">
        <v>0</v>
      </c>
      <c r="AV78" s="24">
        <v>0</v>
      </c>
    </row>
    <row r="79" s="24" customFormat="1" spans="1:48">
      <c r="A79" s="5">
        <v>831001</v>
      </c>
      <c r="B79" s="15" t="s">
        <v>415</v>
      </c>
      <c r="C79" s="15">
        <v>11</v>
      </c>
      <c r="D79" s="15">
        <v>2</v>
      </c>
      <c r="E79" s="33" t="s">
        <v>416</v>
      </c>
      <c r="F79" s="15">
        <v>8</v>
      </c>
      <c r="G79" s="15">
        <v>3</v>
      </c>
      <c r="H79" s="15">
        <v>0</v>
      </c>
      <c r="I79" s="15">
        <v>0</v>
      </c>
      <c r="J79" s="15" t="s">
        <v>417</v>
      </c>
      <c r="K79" s="15" t="s">
        <v>417</v>
      </c>
      <c r="L79" s="14">
        <v>0</v>
      </c>
      <c r="M79" s="14">
        <f>士兵数据!L59</f>
        <v>1486</v>
      </c>
      <c r="N79" s="14">
        <v>0</v>
      </c>
      <c r="O79" s="14">
        <f>士兵数据!N59</f>
        <v>185</v>
      </c>
      <c r="P79" s="14">
        <v>0</v>
      </c>
      <c r="Q79" s="14">
        <f>士兵数据!P59</f>
        <v>80</v>
      </c>
      <c r="R79" s="14">
        <v>0</v>
      </c>
      <c r="S79" s="14">
        <f>士兵数据!Q59</f>
        <v>65</v>
      </c>
      <c r="T79" s="14">
        <v>0</v>
      </c>
      <c r="U79" s="14">
        <f>士兵数据!T59</f>
        <v>69</v>
      </c>
      <c r="V79" s="14">
        <v>0</v>
      </c>
      <c r="W79" s="14">
        <v>12</v>
      </c>
      <c r="X79" s="14">
        <v>0</v>
      </c>
      <c r="Y79" s="14">
        <v>200</v>
      </c>
      <c r="Z79" s="41">
        <v>1300</v>
      </c>
      <c r="AA79" s="14">
        <v>400</v>
      </c>
      <c r="AB79" s="14">
        <v>8</v>
      </c>
      <c r="AC79" s="14">
        <v>2</v>
      </c>
      <c r="AD79" s="14" t="s">
        <v>418</v>
      </c>
      <c r="AE79" s="14">
        <v>0</v>
      </c>
      <c r="AF79" s="14">
        <v>0</v>
      </c>
      <c r="AG79" s="14">
        <v>0</v>
      </c>
      <c r="AH79" s="14">
        <v>0</v>
      </c>
      <c r="AI79" s="14" t="s">
        <v>266</v>
      </c>
      <c r="AJ79" s="14">
        <v>1.5</v>
      </c>
      <c r="AK79" s="14">
        <v>2</v>
      </c>
      <c r="AL79" s="14">
        <v>100</v>
      </c>
      <c r="AM79" s="24">
        <v>11</v>
      </c>
      <c r="AN79" s="24">
        <v>0</v>
      </c>
      <c r="AO79" s="24">
        <v>4</v>
      </c>
      <c r="AP79" s="24">
        <v>0</v>
      </c>
      <c r="AQ79" s="24">
        <v>0</v>
      </c>
      <c r="AR79" s="24">
        <v>90</v>
      </c>
      <c r="AS79" s="24">
        <v>0</v>
      </c>
      <c r="AT79" s="24" t="s">
        <v>224</v>
      </c>
      <c r="AU79" s="24">
        <v>0</v>
      </c>
      <c r="AV79" s="24">
        <v>0</v>
      </c>
    </row>
    <row r="80" s="24" customFormat="1" spans="1:48">
      <c r="A80" s="5">
        <v>841001</v>
      </c>
      <c r="B80" s="15" t="s">
        <v>419</v>
      </c>
      <c r="C80" s="15">
        <v>11</v>
      </c>
      <c r="D80" s="15">
        <v>2</v>
      </c>
      <c r="E80" s="33" t="s">
        <v>420</v>
      </c>
      <c r="F80" s="15">
        <v>8</v>
      </c>
      <c r="G80" s="15">
        <v>4</v>
      </c>
      <c r="H80" s="15">
        <v>0</v>
      </c>
      <c r="I80" s="15">
        <v>0</v>
      </c>
      <c r="J80" s="15" t="s">
        <v>421</v>
      </c>
      <c r="K80" s="15" t="s">
        <v>421</v>
      </c>
      <c r="L80" s="14">
        <v>0</v>
      </c>
      <c r="M80" s="14">
        <f>士兵数据!L60</f>
        <v>1741</v>
      </c>
      <c r="N80" s="14">
        <v>0</v>
      </c>
      <c r="O80" s="14">
        <f>士兵数据!N60</f>
        <v>227</v>
      </c>
      <c r="P80" s="14">
        <v>0</v>
      </c>
      <c r="Q80" s="14">
        <f>士兵数据!P60</f>
        <v>79</v>
      </c>
      <c r="R80" s="14">
        <v>0</v>
      </c>
      <c r="S80" s="14">
        <f>士兵数据!Q60</f>
        <v>70</v>
      </c>
      <c r="T80" s="14">
        <v>0</v>
      </c>
      <c r="U80" s="14">
        <f>士兵数据!T60</f>
        <v>68</v>
      </c>
      <c r="V80" s="14">
        <v>0</v>
      </c>
      <c r="W80" s="14">
        <v>12</v>
      </c>
      <c r="X80" s="14">
        <v>0</v>
      </c>
      <c r="Y80" s="14">
        <v>200</v>
      </c>
      <c r="Z80" s="41">
        <v>1300</v>
      </c>
      <c r="AA80" s="14">
        <v>400</v>
      </c>
      <c r="AB80" s="14">
        <v>8</v>
      </c>
      <c r="AC80" s="14">
        <v>2</v>
      </c>
      <c r="AD80" s="14" t="s">
        <v>422</v>
      </c>
      <c r="AE80" s="14">
        <v>0</v>
      </c>
      <c r="AF80" s="14">
        <v>0</v>
      </c>
      <c r="AG80" s="14">
        <v>0</v>
      </c>
      <c r="AH80" s="14">
        <v>0</v>
      </c>
      <c r="AI80" s="14" t="s">
        <v>266</v>
      </c>
      <c r="AJ80" s="14">
        <v>1.5</v>
      </c>
      <c r="AK80" s="14">
        <v>2</v>
      </c>
      <c r="AL80" s="14">
        <v>100</v>
      </c>
      <c r="AM80" s="24">
        <v>11</v>
      </c>
      <c r="AN80" s="24">
        <v>0</v>
      </c>
      <c r="AO80" s="24">
        <v>4</v>
      </c>
      <c r="AP80" s="24">
        <v>0</v>
      </c>
      <c r="AQ80" s="24">
        <v>0</v>
      </c>
      <c r="AR80" s="24">
        <v>90</v>
      </c>
      <c r="AS80" s="24">
        <v>0</v>
      </c>
      <c r="AT80" s="24" t="s">
        <v>224</v>
      </c>
      <c r="AU80" s="24">
        <v>0</v>
      </c>
      <c r="AV80" s="24">
        <v>0</v>
      </c>
    </row>
    <row r="81" s="24" customFormat="1" spans="1:48">
      <c r="A81" s="5">
        <v>851001</v>
      </c>
      <c r="B81" s="15" t="s">
        <v>423</v>
      </c>
      <c r="C81" s="15">
        <v>11</v>
      </c>
      <c r="D81" s="15">
        <v>2</v>
      </c>
      <c r="E81" s="33" t="s">
        <v>424</v>
      </c>
      <c r="F81" s="15">
        <v>8</v>
      </c>
      <c r="G81" s="15">
        <v>5</v>
      </c>
      <c r="H81" s="15">
        <v>0</v>
      </c>
      <c r="I81" s="15">
        <v>0</v>
      </c>
      <c r="J81" s="15" t="s">
        <v>425</v>
      </c>
      <c r="K81" s="15" t="s">
        <v>425</v>
      </c>
      <c r="L81" s="14">
        <v>0</v>
      </c>
      <c r="M81" s="14">
        <f>士兵数据!L61</f>
        <v>1960</v>
      </c>
      <c r="N81" s="14">
        <v>0</v>
      </c>
      <c r="O81" s="14">
        <f>士兵数据!N61</f>
        <v>266</v>
      </c>
      <c r="P81" s="14">
        <v>0</v>
      </c>
      <c r="Q81" s="14">
        <f>士兵数据!P61</f>
        <v>120</v>
      </c>
      <c r="R81" s="14">
        <v>0</v>
      </c>
      <c r="S81" s="14">
        <f>士兵数据!Q61</f>
        <v>75</v>
      </c>
      <c r="T81" s="14">
        <v>0</v>
      </c>
      <c r="U81" s="14">
        <f>士兵数据!T61</f>
        <v>103</v>
      </c>
      <c r="V81" s="14">
        <v>0</v>
      </c>
      <c r="W81" s="14">
        <v>12</v>
      </c>
      <c r="X81" s="14">
        <v>0</v>
      </c>
      <c r="Y81" s="14">
        <v>200</v>
      </c>
      <c r="Z81" s="41">
        <v>1300</v>
      </c>
      <c r="AA81" s="14">
        <v>500</v>
      </c>
      <c r="AB81" s="14">
        <v>10</v>
      </c>
      <c r="AC81" s="14">
        <v>2</v>
      </c>
      <c r="AD81" s="14" t="s">
        <v>426</v>
      </c>
      <c r="AE81" s="14">
        <v>0</v>
      </c>
      <c r="AF81" s="14">
        <v>0</v>
      </c>
      <c r="AG81" s="14">
        <v>0</v>
      </c>
      <c r="AH81" s="14">
        <v>0</v>
      </c>
      <c r="AI81" s="14" t="s">
        <v>266</v>
      </c>
      <c r="AJ81" s="14">
        <v>1.5</v>
      </c>
      <c r="AK81" s="14">
        <v>2.5</v>
      </c>
      <c r="AL81" s="14">
        <v>100</v>
      </c>
      <c r="AM81" s="24">
        <v>11</v>
      </c>
      <c r="AN81" s="24">
        <v>0</v>
      </c>
      <c r="AO81" s="24">
        <v>4</v>
      </c>
      <c r="AP81" s="24">
        <v>0</v>
      </c>
      <c r="AQ81" s="24">
        <v>0</v>
      </c>
      <c r="AR81" s="24">
        <v>90</v>
      </c>
      <c r="AS81" s="24">
        <v>0</v>
      </c>
      <c r="AT81" s="24" t="s">
        <v>224</v>
      </c>
      <c r="AU81" s="24">
        <v>0</v>
      </c>
      <c r="AV81" s="24">
        <v>0</v>
      </c>
    </row>
    <row r="82" s="24" customFormat="1" spans="1:48">
      <c r="A82" s="5">
        <v>861001</v>
      </c>
      <c r="B82" s="15" t="s">
        <v>427</v>
      </c>
      <c r="C82" s="15">
        <v>11</v>
      </c>
      <c r="D82" s="15">
        <v>2</v>
      </c>
      <c r="E82" s="33" t="s">
        <v>255</v>
      </c>
      <c r="F82" s="15">
        <v>8</v>
      </c>
      <c r="G82" s="15">
        <v>6</v>
      </c>
      <c r="H82" s="15">
        <v>0</v>
      </c>
      <c r="I82" s="15">
        <v>0</v>
      </c>
      <c r="J82" s="15" t="s">
        <v>428</v>
      </c>
      <c r="K82" s="15" t="s">
        <v>428</v>
      </c>
      <c r="L82" s="14">
        <v>0</v>
      </c>
      <c r="M82" s="14">
        <f>士兵数据!L62</f>
        <v>2666</v>
      </c>
      <c r="N82" s="14">
        <v>0</v>
      </c>
      <c r="O82" s="14">
        <f>士兵数据!N62</f>
        <v>340</v>
      </c>
      <c r="P82" s="14">
        <v>0</v>
      </c>
      <c r="Q82" s="14">
        <f>士兵数据!P62</f>
        <v>160</v>
      </c>
      <c r="R82" s="14">
        <v>0</v>
      </c>
      <c r="S82" s="14">
        <f>士兵数据!Q62</f>
        <v>88</v>
      </c>
      <c r="T82" s="14">
        <v>0</v>
      </c>
      <c r="U82" s="14">
        <f>士兵数据!T62</f>
        <v>191</v>
      </c>
      <c r="V82" s="14">
        <v>0</v>
      </c>
      <c r="W82" s="14">
        <v>12</v>
      </c>
      <c r="X82" s="14">
        <v>0</v>
      </c>
      <c r="Y82" s="14">
        <v>200</v>
      </c>
      <c r="Z82" s="41">
        <v>1300</v>
      </c>
      <c r="AA82" s="14">
        <v>400</v>
      </c>
      <c r="AB82" s="14">
        <v>8</v>
      </c>
      <c r="AC82" s="14">
        <v>2</v>
      </c>
      <c r="AD82" s="14" t="s">
        <v>429</v>
      </c>
      <c r="AE82" s="14">
        <v>0</v>
      </c>
      <c r="AF82" s="14">
        <v>0</v>
      </c>
      <c r="AG82" s="14">
        <v>0</v>
      </c>
      <c r="AH82" s="14">
        <v>0</v>
      </c>
      <c r="AI82" s="14" t="s">
        <v>266</v>
      </c>
      <c r="AJ82" s="14">
        <v>1.5</v>
      </c>
      <c r="AK82" s="14">
        <v>3</v>
      </c>
      <c r="AL82" s="14">
        <v>100</v>
      </c>
      <c r="AM82" s="24">
        <v>11</v>
      </c>
      <c r="AN82" s="24">
        <v>0</v>
      </c>
      <c r="AO82" s="24">
        <v>4</v>
      </c>
      <c r="AP82" s="24">
        <v>0</v>
      </c>
      <c r="AQ82" s="24">
        <v>0</v>
      </c>
      <c r="AR82" s="24">
        <v>90</v>
      </c>
      <c r="AS82" s="24">
        <v>0</v>
      </c>
      <c r="AT82" s="24" t="s">
        <v>224</v>
      </c>
      <c r="AU82" s="24">
        <v>0</v>
      </c>
      <c r="AV82" s="24">
        <v>0</v>
      </c>
    </row>
    <row r="83" s="24" customFormat="1" spans="1:48">
      <c r="A83" s="5">
        <v>861002</v>
      </c>
      <c r="B83" s="15" t="s">
        <v>430</v>
      </c>
      <c r="C83" s="15">
        <v>11</v>
      </c>
      <c r="D83" s="15">
        <v>2</v>
      </c>
      <c r="E83" s="33" t="s">
        <v>431</v>
      </c>
      <c r="F83" s="15">
        <v>8</v>
      </c>
      <c r="G83" s="15">
        <v>6</v>
      </c>
      <c r="H83" s="15">
        <v>0</v>
      </c>
      <c r="I83" s="15">
        <v>0</v>
      </c>
      <c r="J83" s="15" t="s">
        <v>432</v>
      </c>
      <c r="K83" s="15" t="s">
        <v>432</v>
      </c>
      <c r="L83" s="14">
        <v>0</v>
      </c>
      <c r="M83" s="14">
        <f>士兵数据!L63</f>
        <v>2665</v>
      </c>
      <c r="N83" s="14">
        <v>0</v>
      </c>
      <c r="O83" s="14">
        <f>士兵数据!N63</f>
        <v>314</v>
      </c>
      <c r="P83" s="14">
        <v>0</v>
      </c>
      <c r="Q83" s="14">
        <f>士兵数据!P63</f>
        <v>148</v>
      </c>
      <c r="R83" s="14">
        <v>0</v>
      </c>
      <c r="S83" s="14">
        <f>士兵数据!Q63</f>
        <v>85</v>
      </c>
      <c r="T83" s="14">
        <v>0</v>
      </c>
      <c r="U83" s="14">
        <f>士兵数据!T63</f>
        <v>178</v>
      </c>
      <c r="V83" s="14">
        <v>0</v>
      </c>
      <c r="W83" s="14">
        <v>14</v>
      </c>
      <c r="X83" s="14">
        <v>0</v>
      </c>
      <c r="Y83" s="14">
        <v>200</v>
      </c>
      <c r="Z83" s="41">
        <v>1300</v>
      </c>
      <c r="AA83" s="14">
        <v>400</v>
      </c>
      <c r="AB83" s="14">
        <v>8</v>
      </c>
      <c r="AC83" s="14">
        <v>2</v>
      </c>
      <c r="AD83" s="14" t="s">
        <v>429</v>
      </c>
      <c r="AE83" s="14">
        <v>0</v>
      </c>
      <c r="AF83" s="14">
        <v>0</v>
      </c>
      <c r="AG83" s="14">
        <v>0</v>
      </c>
      <c r="AH83" s="14">
        <v>0</v>
      </c>
      <c r="AI83" s="14" t="s">
        <v>266</v>
      </c>
      <c r="AJ83" s="14">
        <v>1.5</v>
      </c>
      <c r="AK83" s="14">
        <v>3</v>
      </c>
      <c r="AL83" s="14">
        <v>100</v>
      </c>
      <c r="AM83" s="24">
        <v>11</v>
      </c>
      <c r="AN83" s="24">
        <v>0</v>
      </c>
      <c r="AO83" s="24">
        <v>4</v>
      </c>
      <c r="AP83" s="24">
        <v>0</v>
      </c>
      <c r="AQ83" s="24">
        <v>0</v>
      </c>
      <c r="AR83" s="24">
        <v>90</v>
      </c>
      <c r="AS83" s="24">
        <v>0</v>
      </c>
      <c r="AT83" s="24" t="s">
        <v>224</v>
      </c>
      <c r="AU83" s="24">
        <v>0</v>
      </c>
      <c r="AV83" s="24">
        <v>0</v>
      </c>
    </row>
    <row r="84" s="24" customFormat="1" spans="1:48">
      <c r="A84" s="15">
        <v>10000001</v>
      </c>
      <c r="B84" s="15" t="s">
        <v>433</v>
      </c>
      <c r="C84" s="15">
        <v>11</v>
      </c>
      <c r="D84" s="15">
        <v>2</v>
      </c>
      <c r="E84" s="14">
        <v>0</v>
      </c>
      <c r="F84" s="15" t="s">
        <v>434</v>
      </c>
      <c r="G84" s="15">
        <v>1</v>
      </c>
      <c r="H84" s="15">
        <v>0</v>
      </c>
      <c r="I84" s="15">
        <v>0</v>
      </c>
      <c r="J84" s="41" t="s">
        <v>435</v>
      </c>
      <c r="K84" s="41" t="str">
        <f t="shared" ref="K84:K86" si="2">J84</f>
        <v>monster013</v>
      </c>
      <c r="L84" s="14">
        <v>0</v>
      </c>
      <c r="M84" s="14">
        <f>士兵数据!L64</f>
        <v>0</v>
      </c>
      <c r="N84" s="14">
        <v>0</v>
      </c>
      <c r="O84" s="14">
        <f>士兵数据!N64</f>
        <v>0</v>
      </c>
      <c r="P84" s="14">
        <v>0</v>
      </c>
      <c r="Q84" s="14">
        <f>士兵数据!P64</f>
        <v>0</v>
      </c>
      <c r="R84" s="14">
        <v>0</v>
      </c>
      <c r="S84" s="14">
        <f>士兵数据!Q64</f>
        <v>0</v>
      </c>
      <c r="T84" s="14">
        <v>0</v>
      </c>
      <c r="U84" s="14">
        <f>士兵数据!T64</f>
        <v>0</v>
      </c>
      <c r="V84" s="14">
        <v>0</v>
      </c>
      <c r="W84" s="14">
        <v>12</v>
      </c>
      <c r="X84" s="14">
        <v>0</v>
      </c>
      <c r="Y84" s="14">
        <v>1200</v>
      </c>
      <c r="Z84" s="41">
        <v>1300</v>
      </c>
      <c r="AA84" s="14">
        <v>400</v>
      </c>
      <c r="AB84" s="14">
        <v>10</v>
      </c>
      <c r="AC84" s="14">
        <f>_xlfn.IFS(OR(F84="1",F84="2",F84="7",F84="8"),2,OR(F84="3",F84="4",F84="5",F84="6"),1)</f>
        <v>2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 t="s">
        <v>266</v>
      </c>
      <c r="AJ84" s="14">
        <f>AJ82</f>
        <v>1.5</v>
      </c>
      <c r="AK84" s="14">
        <v>1.7</v>
      </c>
      <c r="AL84" s="14">
        <v>100</v>
      </c>
      <c r="AM84" s="24">
        <v>11</v>
      </c>
      <c r="AN84" s="24">
        <v>0</v>
      </c>
      <c r="AO84" s="24">
        <v>4</v>
      </c>
      <c r="AP84" s="24">
        <v>0</v>
      </c>
      <c r="AQ84" s="24">
        <v>0</v>
      </c>
      <c r="AR84" s="24">
        <v>90</v>
      </c>
      <c r="AS84" s="24">
        <v>0</v>
      </c>
      <c r="AT84" s="24" t="s">
        <v>224</v>
      </c>
      <c r="AU84" s="24">
        <v>0</v>
      </c>
      <c r="AV84" s="24">
        <v>0</v>
      </c>
    </row>
    <row r="85" s="24" customFormat="1" spans="1:48">
      <c r="A85" s="15">
        <v>10000002</v>
      </c>
      <c r="B85" s="15" t="s">
        <v>436</v>
      </c>
      <c r="C85" s="15">
        <v>11</v>
      </c>
      <c r="D85" s="15">
        <v>2</v>
      </c>
      <c r="E85" s="14">
        <v>0</v>
      </c>
      <c r="F85" s="15" t="s">
        <v>434</v>
      </c>
      <c r="G85" s="15">
        <v>1</v>
      </c>
      <c r="H85" s="15">
        <v>0</v>
      </c>
      <c r="I85" s="15">
        <v>0</v>
      </c>
      <c r="J85" s="41" t="s">
        <v>437</v>
      </c>
      <c r="K85" s="41" t="str">
        <f t="shared" si="2"/>
        <v>daxiong_1</v>
      </c>
      <c r="L85" s="14">
        <v>0</v>
      </c>
      <c r="M85" s="14">
        <f>士兵数据!L65</f>
        <v>0</v>
      </c>
      <c r="N85" s="14">
        <v>0</v>
      </c>
      <c r="O85" s="14">
        <f>士兵数据!N65</f>
        <v>0</v>
      </c>
      <c r="P85" s="14">
        <v>0</v>
      </c>
      <c r="Q85" s="14">
        <f>士兵数据!P65</f>
        <v>0</v>
      </c>
      <c r="R85" s="14">
        <v>0</v>
      </c>
      <c r="S85" s="14">
        <f>士兵数据!Q65</f>
        <v>0</v>
      </c>
      <c r="T85" s="14">
        <v>0</v>
      </c>
      <c r="U85" s="14">
        <f>士兵数据!T65</f>
        <v>0</v>
      </c>
      <c r="V85" s="14">
        <v>0</v>
      </c>
      <c r="W85" s="14">
        <v>12</v>
      </c>
      <c r="X85" s="14">
        <v>0</v>
      </c>
      <c r="Y85" s="14">
        <v>200</v>
      </c>
      <c r="Z85" s="41">
        <v>1300</v>
      </c>
      <c r="AA85" s="14">
        <v>400</v>
      </c>
      <c r="AB85" s="14">
        <v>8</v>
      </c>
      <c r="AC85" s="14">
        <f>_xlfn.IFS(OR(F85="1",F85="2",F85="7",F85="8"),2,OR(F85="3",F85="4",F85="5",F85="6"),1)</f>
        <v>2</v>
      </c>
      <c r="AD85" s="49">
        <v>23004911</v>
      </c>
      <c r="AE85" s="14">
        <v>0</v>
      </c>
      <c r="AF85" s="14">
        <v>0</v>
      </c>
      <c r="AG85" s="14">
        <v>0</v>
      </c>
      <c r="AH85" s="14">
        <v>0</v>
      </c>
      <c r="AI85" s="14" t="s">
        <v>266</v>
      </c>
      <c r="AJ85" s="14">
        <f>AJ84</f>
        <v>1.5</v>
      </c>
      <c r="AK85" s="14">
        <v>1.7</v>
      </c>
      <c r="AL85" s="14">
        <v>100</v>
      </c>
      <c r="AM85" s="24">
        <v>11</v>
      </c>
      <c r="AN85" s="24">
        <v>0</v>
      </c>
      <c r="AO85" s="24">
        <v>4</v>
      </c>
      <c r="AP85" s="24">
        <v>0</v>
      </c>
      <c r="AQ85" s="24">
        <v>0</v>
      </c>
      <c r="AR85" s="24">
        <v>90</v>
      </c>
      <c r="AS85" s="24">
        <v>0</v>
      </c>
      <c r="AT85" s="24" t="s">
        <v>224</v>
      </c>
      <c r="AU85" s="24">
        <v>0</v>
      </c>
      <c r="AV85" s="24">
        <v>0</v>
      </c>
    </row>
    <row r="86" s="24" customFormat="1" spans="1:48">
      <c r="A86" s="15">
        <v>10000003</v>
      </c>
      <c r="B86" s="15" t="s">
        <v>438</v>
      </c>
      <c r="C86" s="15">
        <v>11</v>
      </c>
      <c r="D86" s="15">
        <v>2</v>
      </c>
      <c r="E86" s="14">
        <v>0</v>
      </c>
      <c r="F86" s="15" t="s">
        <v>434</v>
      </c>
      <c r="G86" s="15">
        <v>1</v>
      </c>
      <c r="H86" s="15">
        <v>0</v>
      </c>
      <c r="I86" s="15">
        <v>0</v>
      </c>
      <c r="J86" s="41" t="s">
        <v>439</v>
      </c>
      <c r="K86" s="41" t="str">
        <f t="shared" si="2"/>
        <v>xiaoxiong_1</v>
      </c>
      <c r="L86" s="14">
        <v>0</v>
      </c>
      <c r="M86" s="14">
        <f>士兵数据!L66</f>
        <v>0</v>
      </c>
      <c r="N86" s="14">
        <v>0</v>
      </c>
      <c r="O86" s="14">
        <f>士兵数据!N66</f>
        <v>0</v>
      </c>
      <c r="P86" s="14">
        <v>0</v>
      </c>
      <c r="Q86" s="14">
        <f>士兵数据!P66</f>
        <v>0</v>
      </c>
      <c r="R86" s="14">
        <v>0</v>
      </c>
      <c r="S86" s="14">
        <f>士兵数据!Q66</f>
        <v>0</v>
      </c>
      <c r="T86" s="14">
        <v>0</v>
      </c>
      <c r="U86" s="14">
        <f>士兵数据!T66</f>
        <v>0</v>
      </c>
      <c r="V86" s="14">
        <v>0</v>
      </c>
      <c r="W86" s="14">
        <v>12</v>
      </c>
      <c r="X86" s="14">
        <v>0</v>
      </c>
      <c r="Y86" s="14">
        <v>200</v>
      </c>
      <c r="Z86" s="41">
        <v>1300</v>
      </c>
      <c r="AA86" s="14">
        <v>400</v>
      </c>
      <c r="AB86" s="14">
        <v>8</v>
      </c>
      <c r="AC86" s="14">
        <f>_xlfn.IFS(OR(F86="1",F86="2",F86="7",F86="8"),2,OR(F86="3",F86="4",F86="5",F86="6"),1)</f>
        <v>2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 t="s">
        <v>266</v>
      </c>
      <c r="AJ86" s="14">
        <f>AJ85</f>
        <v>1.5</v>
      </c>
      <c r="AK86" s="14">
        <v>1.7</v>
      </c>
      <c r="AL86" s="14">
        <v>100</v>
      </c>
      <c r="AM86" s="24">
        <v>11</v>
      </c>
      <c r="AN86" s="24">
        <v>0</v>
      </c>
      <c r="AO86" s="24">
        <v>4</v>
      </c>
      <c r="AP86" s="24">
        <v>0</v>
      </c>
      <c r="AQ86" s="24">
        <v>0</v>
      </c>
      <c r="AR86" s="24">
        <v>90</v>
      </c>
      <c r="AS86" s="24">
        <v>0</v>
      </c>
      <c r="AT86" s="24" t="s">
        <v>224</v>
      </c>
      <c r="AU86" s="24">
        <v>0</v>
      </c>
      <c r="AV86" s="24">
        <v>0</v>
      </c>
    </row>
  </sheetData>
  <autoFilter ref="A3:BD86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workbookViewId="0">
      <selection activeCell="D10" sqref="D10"/>
    </sheetView>
  </sheetViews>
  <sheetFormatPr defaultColWidth="9" defaultRowHeight="13.5"/>
  <cols>
    <col min="5" max="5" width="28.375" customWidth="1"/>
    <col min="9" max="9" width="39.5" customWidth="1"/>
    <col min="14" max="14" width="20.625" customWidth="1"/>
  </cols>
  <sheetData>
    <row r="1" spans="2:10">
      <c r="B1" t="s">
        <v>440</v>
      </c>
      <c r="F1" t="s">
        <v>441</v>
      </c>
      <c r="J1" t="s">
        <v>442</v>
      </c>
    </row>
    <row r="2" spans="1:13">
      <c r="A2">
        <v>1</v>
      </c>
      <c r="B2" t="s">
        <v>443</v>
      </c>
      <c r="C2" t="s">
        <v>444</v>
      </c>
      <c r="D2" t="s">
        <v>445</v>
      </c>
      <c r="E2" t="s">
        <v>446</v>
      </c>
      <c r="F2" t="s">
        <v>447</v>
      </c>
      <c r="G2" t="s">
        <v>448</v>
      </c>
      <c r="H2" t="s">
        <v>449</v>
      </c>
      <c r="I2" t="s">
        <v>450</v>
      </c>
      <c r="J2" t="s">
        <v>451</v>
      </c>
      <c r="K2" t="s">
        <v>452</v>
      </c>
      <c r="L2" t="s">
        <v>453</v>
      </c>
      <c r="M2" t="s">
        <v>454</v>
      </c>
    </row>
    <row r="3" spans="1:15">
      <c r="A3">
        <v>2</v>
      </c>
      <c r="B3" t="s">
        <v>281</v>
      </c>
      <c r="C3" t="s">
        <v>455</v>
      </c>
      <c r="D3" t="s">
        <v>456</v>
      </c>
      <c r="E3" t="s">
        <v>457</v>
      </c>
      <c r="F3" t="s">
        <v>458</v>
      </c>
      <c r="G3" t="s">
        <v>459</v>
      </c>
      <c r="H3" t="s">
        <v>460</v>
      </c>
      <c r="I3" t="s">
        <v>461</v>
      </c>
      <c r="J3" t="s">
        <v>462</v>
      </c>
      <c r="K3" t="s">
        <v>463</v>
      </c>
      <c r="L3" t="s">
        <v>464</v>
      </c>
      <c r="M3" t="s">
        <v>465</v>
      </c>
      <c r="O3" t="s">
        <v>466</v>
      </c>
    </row>
    <row r="4" spans="1:15">
      <c r="A4">
        <v>3</v>
      </c>
      <c r="B4" t="s">
        <v>467</v>
      </c>
      <c r="C4" t="s">
        <v>468</v>
      </c>
      <c r="D4" t="s">
        <v>469</v>
      </c>
      <c r="E4" t="s">
        <v>470</v>
      </c>
      <c r="F4" t="s">
        <v>471</v>
      </c>
      <c r="G4" t="s">
        <v>472</v>
      </c>
      <c r="H4" t="s">
        <v>473</v>
      </c>
      <c r="I4" t="s">
        <v>474</v>
      </c>
      <c r="J4" t="s">
        <v>475</v>
      </c>
      <c r="K4" t="s">
        <v>476</v>
      </c>
      <c r="L4" t="s">
        <v>477</v>
      </c>
      <c r="M4" t="s">
        <v>478</v>
      </c>
      <c r="O4" t="s">
        <v>479</v>
      </c>
    </row>
    <row r="5" spans="1:15">
      <c r="A5">
        <v>4</v>
      </c>
      <c r="B5" t="s">
        <v>480</v>
      </c>
      <c r="C5" t="s">
        <v>481</v>
      </c>
      <c r="D5" t="s">
        <v>482</v>
      </c>
      <c r="E5" t="s">
        <v>483</v>
      </c>
      <c r="F5" t="s">
        <v>484</v>
      </c>
      <c r="G5" t="s">
        <v>485</v>
      </c>
      <c r="H5" t="s">
        <v>486</v>
      </c>
      <c r="I5" t="s">
        <v>487</v>
      </c>
      <c r="J5" t="s">
        <v>488</v>
      </c>
      <c r="K5" t="s">
        <v>489</v>
      </c>
      <c r="L5" t="s">
        <v>490</v>
      </c>
      <c r="M5" t="s">
        <v>491</v>
      </c>
      <c r="O5" t="s">
        <v>492</v>
      </c>
    </row>
    <row r="6" spans="1:15">
      <c r="A6">
        <v>5</v>
      </c>
      <c r="B6" t="s">
        <v>493</v>
      </c>
      <c r="C6" t="s">
        <v>494</v>
      </c>
      <c r="D6" t="s">
        <v>495</v>
      </c>
      <c r="E6" t="s">
        <v>496</v>
      </c>
      <c r="F6" t="s">
        <v>497</v>
      </c>
      <c r="G6" t="s">
        <v>498</v>
      </c>
      <c r="H6" t="s">
        <v>499</v>
      </c>
      <c r="I6" t="s">
        <v>500</v>
      </c>
      <c r="J6" t="s">
        <v>501</v>
      </c>
      <c r="K6" t="s">
        <v>502</v>
      </c>
      <c r="L6" t="s">
        <v>503</v>
      </c>
      <c r="M6" t="s">
        <v>504</v>
      </c>
      <c r="O6" t="s">
        <v>505</v>
      </c>
    </row>
    <row r="7" spans="1:15">
      <c r="A7">
        <v>6</v>
      </c>
      <c r="B7" t="s">
        <v>506</v>
      </c>
      <c r="C7" t="s">
        <v>507</v>
      </c>
      <c r="D7" t="s">
        <v>508</v>
      </c>
      <c r="E7" t="s">
        <v>509</v>
      </c>
      <c r="F7" t="s">
        <v>510</v>
      </c>
      <c r="G7" t="s">
        <v>511</v>
      </c>
      <c r="H7" t="s">
        <v>512</v>
      </c>
      <c r="I7" t="s">
        <v>513</v>
      </c>
      <c r="J7" t="s">
        <v>514</v>
      </c>
      <c r="K7" t="s">
        <v>515</v>
      </c>
      <c r="L7" t="s">
        <v>516</v>
      </c>
      <c r="M7" t="s">
        <v>517</v>
      </c>
      <c r="O7" t="s">
        <v>518</v>
      </c>
    </row>
    <row r="8" spans="1:15">
      <c r="A8">
        <v>7</v>
      </c>
      <c r="B8" t="s">
        <v>519</v>
      </c>
      <c r="C8" t="s">
        <v>520</v>
      </c>
      <c r="D8" t="s">
        <v>521</v>
      </c>
      <c r="E8" t="s">
        <v>522</v>
      </c>
      <c r="F8" t="s">
        <v>327</v>
      </c>
      <c r="G8" t="s">
        <v>327</v>
      </c>
      <c r="H8" t="s">
        <v>327</v>
      </c>
      <c r="I8" t="s">
        <v>523</v>
      </c>
      <c r="J8" t="s">
        <v>524</v>
      </c>
      <c r="K8" t="s">
        <v>307</v>
      </c>
      <c r="L8" t="s">
        <v>525</v>
      </c>
      <c r="M8" t="s">
        <v>526</v>
      </c>
      <c r="O8" t="s">
        <v>527</v>
      </c>
    </row>
    <row r="9" spans="1:15">
      <c r="A9">
        <v>8</v>
      </c>
      <c r="B9" t="s">
        <v>528</v>
      </c>
      <c r="C9" t="s">
        <v>529</v>
      </c>
      <c r="D9" t="s">
        <v>530</v>
      </c>
      <c r="E9" t="s">
        <v>531</v>
      </c>
      <c r="F9" t="s">
        <v>427</v>
      </c>
      <c r="G9" t="s">
        <v>532</v>
      </c>
      <c r="H9" t="s">
        <v>533</v>
      </c>
      <c r="I9" t="s">
        <v>534</v>
      </c>
      <c r="J9" t="s">
        <v>535</v>
      </c>
      <c r="K9" t="s">
        <v>536</v>
      </c>
      <c r="L9" t="s">
        <v>537</v>
      </c>
      <c r="M9" t="s">
        <v>538</v>
      </c>
      <c r="O9" t="s">
        <v>539</v>
      </c>
    </row>
    <row r="10" spans="1:15">
      <c r="A10">
        <v>9</v>
      </c>
      <c r="B10" t="s">
        <v>254</v>
      </c>
      <c r="C10" t="s">
        <v>540</v>
      </c>
      <c r="D10" t="s">
        <v>541</v>
      </c>
      <c r="E10" t="s">
        <v>542</v>
      </c>
      <c r="F10" t="s">
        <v>543</v>
      </c>
      <c r="G10" t="s">
        <v>543</v>
      </c>
      <c r="H10" t="s">
        <v>543</v>
      </c>
      <c r="I10" t="s">
        <v>544</v>
      </c>
      <c r="J10" t="s">
        <v>545</v>
      </c>
      <c r="K10" t="s">
        <v>545</v>
      </c>
      <c r="L10" t="s">
        <v>545</v>
      </c>
      <c r="M10" t="s">
        <v>546</v>
      </c>
      <c r="O10" t="s">
        <v>547</v>
      </c>
    </row>
    <row r="11" spans="15:15">
      <c r="O11" t="s">
        <v>548</v>
      </c>
    </row>
    <row r="12" spans="15:15">
      <c r="O12" t="s">
        <v>549</v>
      </c>
    </row>
    <row r="13" spans="15:15">
      <c r="O13" t="s">
        <v>550</v>
      </c>
    </row>
    <row r="14" spans="2:15">
      <c r="B14" t="s">
        <v>551</v>
      </c>
      <c r="F14" t="s">
        <v>552</v>
      </c>
      <c r="J14" t="s">
        <v>553</v>
      </c>
      <c r="O14" t="s">
        <v>554</v>
      </c>
    </row>
    <row r="15" spans="2:15">
      <c r="B15" t="s">
        <v>555</v>
      </c>
      <c r="C15" t="s">
        <v>556</v>
      </c>
      <c r="D15" t="s">
        <v>557</v>
      </c>
      <c r="E15" t="s">
        <v>558</v>
      </c>
      <c r="F15" t="s">
        <v>559</v>
      </c>
      <c r="G15" t="s">
        <v>560</v>
      </c>
      <c r="H15" t="s">
        <v>561</v>
      </c>
      <c r="I15" t="s">
        <v>562</v>
      </c>
      <c r="J15" t="s">
        <v>563</v>
      </c>
      <c r="K15" t="s">
        <v>564</v>
      </c>
      <c r="L15" t="s">
        <v>565</v>
      </c>
      <c r="M15" t="s">
        <v>566</v>
      </c>
      <c r="O15" t="s">
        <v>567</v>
      </c>
    </row>
    <row r="16" spans="2:15">
      <c r="B16" t="s">
        <v>568</v>
      </c>
      <c r="C16" t="s">
        <v>569</v>
      </c>
      <c r="D16" t="s">
        <v>570</v>
      </c>
      <c r="E16" t="s">
        <v>571</v>
      </c>
      <c r="F16" t="s">
        <v>572</v>
      </c>
      <c r="G16" t="s">
        <v>572</v>
      </c>
      <c r="H16" t="s">
        <v>572</v>
      </c>
      <c r="I16" t="s">
        <v>573</v>
      </c>
      <c r="J16" t="s">
        <v>574</v>
      </c>
      <c r="K16" t="s">
        <v>575</v>
      </c>
      <c r="L16" t="s">
        <v>576</v>
      </c>
      <c r="M16" t="s">
        <v>577</v>
      </c>
      <c r="O16" t="s">
        <v>578</v>
      </c>
    </row>
    <row r="17" spans="2:13">
      <c r="B17" t="s">
        <v>579</v>
      </c>
      <c r="C17" t="s">
        <v>580</v>
      </c>
      <c r="D17" t="s">
        <v>581</v>
      </c>
      <c r="E17" t="s">
        <v>582</v>
      </c>
      <c r="F17" t="s">
        <v>583</v>
      </c>
      <c r="G17" t="s">
        <v>583</v>
      </c>
      <c r="H17" t="s">
        <v>583</v>
      </c>
      <c r="I17" t="s">
        <v>584</v>
      </c>
      <c r="J17" t="s">
        <v>585</v>
      </c>
      <c r="K17" t="s">
        <v>586</v>
      </c>
      <c r="L17" t="s">
        <v>587</v>
      </c>
      <c r="M17" t="s">
        <v>588</v>
      </c>
    </row>
    <row r="18" spans="2:13">
      <c r="B18" t="s">
        <v>589</v>
      </c>
      <c r="C18" t="s">
        <v>590</v>
      </c>
      <c r="D18" t="s">
        <v>591</v>
      </c>
      <c r="E18" t="s">
        <v>592</v>
      </c>
      <c r="F18" t="s">
        <v>593</v>
      </c>
      <c r="G18" t="s">
        <v>594</v>
      </c>
      <c r="H18" t="s">
        <v>595</v>
      </c>
      <c r="I18" t="s">
        <v>596</v>
      </c>
      <c r="J18" t="s">
        <v>597</v>
      </c>
      <c r="K18" t="s">
        <v>598</v>
      </c>
      <c r="L18" t="s">
        <v>599</v>
      </c>
      <c r="M18" t="s">
        <v>600</v>
      </c>
    </row>
    <row r="19" spans="2:13">
      <c r="B19" t="s">
        <v>601</v>
      </c>
      <c r="C19" t="s">
        <v>602</v>
      </c>
      <c r="D19" t="s">
        <v>603</v>
      </c>
      <c r="E19" t="s">
        <v>604</v>
      </c>
      <c r="F19" t="s">
        <v>605</v>
      </c>
      <c r="G19" t="s">
        <v>606</v>
      </c>
      <c r="H19" t="s">
        <v>607</v>
      </c>
      <c r="I19" t="s">
        <v>608</v>
      </c>
      <c r="J19" t="s">
        <v>609</v>
      </c>
      <c r="K19" t="s">
        <v>610</v>
      </c>
      <c r="L19" t="s">
        <v>611</v>
      </c>
      <c r="M19" t="s">
        <v>612</v>
      </c>
    </row>
    <row r="20" spans="2:13">
      <c r="B20" t="s">
        <v>613</v>
      </c>
      <c r="C20" t="s">
        <v>614</v>
      </c>
      <c r="D20" t="s">
        <v>615</v>
      </c>
      <c r="E20" t="s">
        <v>616</v>
      </c>
      <c r="F20" t="s">
        <v>617</v>
      </c>
      <c r="G20" t="s">
        <v>618</v>
      </c>
      <c r="H20" t="s">
        <v>619</v>
      </c>
      <c r="I20" t="s">
        <v>620</v>
      </c>
      <c r="J20" t="s">
        <v>621</v>
      </c>
      <c r="K20" t="s">
        <v>622</v>
      </c>
      <c r="L20" t="s">
        <v>623</v>
      </c>
      <c r="M20" t="s">
        <v>624</v>
      </c>
    </row>
    <row r="21" spans="2:13">
      <c r="B21" t="s">
        <v>625</v>
      </c>
      <c r="C21" t="s">
        <v>626</v>
      </c>
      <c r="D21" t="s">
        <v>627</v>
      </c>
      <c r="E21" t="s">
        <v>628</v>
      </c>
      <c r="F21" t="s">
        <v>629</v>
      </c>
      <c r="G21" t="s">
        <v>630</v>
      </c>
      <c r="H21" t="s">
        <v>631</v>
      </c>
      <c r="I21" t="s">
        <v>632</v>
      </c>
      <c r="J21" t="s">
        <v>633</v>
      </c>
      <c r="K21" t="s">
        <v>634</v>
      </c>
      <c r="L21" t="s">
        <v>635</v>
      </c>
      <c r="M21" t="s">
        <v>636</v>
      </c>
    </row>
    <row r="22" spans="2:13">
      <c r="B22" t="s">
        <v>350</v>
      </c>
      <c r="C22" t="s">
        <v>637</v>
      </c>
      <c r="D22" t="s">
        <v>638</v>
      </c>
      <c r="E22" t="s">
        <v>639</v>
      </c>
      <c r="F22" t="s">
        <v>640</v>
      </c>
      <c r="G22" t="s">
        <v>403</v>
      </c>
      <c r="H22" t="s">
        <v>641</v>
      </c>
      <c r="I22" t="s">
        <v>642</v>
      </c>
      <c r="J22" t="s">
        <v>406</v>
      </c>
      <c r="K22" t="s">
        <v>406</v>
      </c>
      <c r="L22" t="s">
        <v>406</v>
      </c>
      <c r="M22" t="s">
        <v>643</v>
      </c>
    </row>
    <row r="23" spans="2:13">
      <c r="B23" t="s">
        <v>644</v>
      </c>
      <c r="C23" t="s">
        <v>644</v>
      </c>
      <c r="D23" t="s">
        <v>644</v>
      </c>
      <c r="E23" t="s">
        <v>645</v>
      </c>
      <c r="F23" t="s">
        <v>646</v>
      </c>
      <c r="G23" t="s">
        <v>646</v>
      </c>
      <c r="H23" t="s">
        <v>646</v>
      </c>
      <c r="I23" t="s">
        <v>647</v>
      </c>
      <c r="J23" t="s">
        <v>648</v>
      </c>
      <c r="K23" t="s">
        <v>649</v>
      </c>
      <c r="L23" t="s">
        <v>650</v>
      </c>
      <c r="M23" t="s">
        <v>651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15"/>
  <sheetViews>
    <sheetView topLeftCell="T1" workbookViewId="0">
      <selection activeCell="AH21" sqref="AH4:AH17 AH19 AH21:AH23"/>
    </sheetView>
  </sheetViews>
  <sheetFormatPr defaultColWidth="9" defaultRowHeight="16.5"/>
  <cols>
    <col min="1" max="1" width="10.375" style="15"/>
    <col min="2" max="2" width="13.75" style="15" customWidth="1"/>
    <col min="3" max="3" width="7.375" style="15" customWidth="1"/>
    <col min="4" max="4" width="8.375" style="15" customWidth="1"/>
    <col min="5" max="5" width="18.125" style="15" customWidth="1"/>
    <col min="6" max="6" width="9.125" style="15" customWidth="1"/>
    <col min="7" max="7" width="9.5" style="15" customWidth="1"/>
    <col min="8" max="9" width="9" style="15" customWidth="1"/>
    <col min="10" max="10" width="17.375" style="15" customWidth="1"/>
    <col min="11" max="11" width="14.125" style="15" customWidth="1"/>
    <col min="12" max="12" width="27.625" style="15" customWidth="1"/>
    <col min="13" max="13" width="7.625" style="15" customWidth="1"/>
    <col min="14" max="14" width="11.5" style="15" customWidth="1"/>
    <col min="15" max="21" width="7.625" style="15" customWidth="1"/>
    <col min="22" max="24" width="8" style="15" customWidth="1"/>
    <col min="25" max="26" width="9" style="30" customWidth="1"/>
    <col min="27" max="27" width="9" style="15" customWidth="1"/>
    <col min="28" max="29" width="10.625" style="15" customWidth="1"/>
    <col min="30" max="30" width="26.375" style="15" customWidth="1"/>
    <col min="31" max="31" width="16.5" style="15" customWidth="1"/>
    <col min="32" max="32" width="14.625" style="15" customWidth="1"/>
    <col min="33" max="33" width="17" style="15" customWidth="1"/>
    <col min="34" max="34" width="20.625" style="15" customWidth="1"/>
    <col min="35" max="37" width="28.625" style="15" customWidth="1"/>
    <col min="38" max="38" width="9" style="31" customWidth="1"/>
    <col min="39" max="39" width="19.125" style="31" customWidth="1"/>
    <col min="40" max="40" width="14.5" style="31" customWidth="1"/>
    <col min="41" max="41" width="18.125" style="31" customWidth="1"/>
    <col min="42" max="44" width="9" style="31" customWidth="1"/>
    <col min="45" max="45" width="59.875" style="31" customWidth="1"/>
    <col min="46" max="47" width="9" style="31" customWidth="1"/>
    <col min="48" max="16384" width="9" style="24"/>
  </cols>
  <sheetData>
    <row r="1" s="24" customFormat="1" spans="1:4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6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9" t="s">
        <v>24</v>
      </c>
      <c r="Z1" s="9" t="s">
        <v>25</v>
      </c>
      <c r="AA1" s="38" t="s">
        <v>26</v>
      </c>
      <c r="AB1" s="38" t="s">
        <v>27</v>
      </c>
      <c r="AC1" s="38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43" t="s">
        <v>35</v>
      </c>
      <c r="AK1" s="43" t="s">
        <v>36</v>
      </c>
      <c r="AL1" s="44" t="s">
        <v>2</v>
      </c>
      <c r="AM1" s="44" t="s">
        <v>38</v>
      </c>
      <c r="AN1" s="44" t="s">
        <v>39</v>
      </c>
      <c r="AO1" s="44" t="s">
        <v>40</v>
      </c>
      <c r="AP1" s="44" t="s">
        <v>41</v>
      </c>
      <c r="AQ1" s="44" t="s">
        <v>42</v>
      </c>
      <c r="AR1" s="44" t="s">
        <v>43</v>
      </c>
      <c r="AS1" s="46" t="s">
        <v>44</v>
      </c>
      <c r="AT1" s="44" t="s">
        <v>45</v>
      </c>
      <c r="AU1" s="44" t="s">
        <v>46</v>
      </c>
    </row>
    <row r="2" s="24" customFormat="1" ht="39" customHeight="1" spans="1:47">
      <c r="A2" s="11" t="s">
        <v>47</v>
      </c>
      <c r="B2" s="11" t="s">
        <v>48</v>
      </c>
      <c r="C2" s="11" t="s">
        <v>47</v>
      </c>
      <c r="D2" s="11" t="s">
        <v>47</v>
      </c>
      <c r="E2" s="11" t="s">
        <v>47</v>
      </c>
      <c r="F2" s="11" t="s">
        <v>47</v>
      </c>
      <c r="G2" s="11" t="s">
        <v>47</v>
      </c>
      <c r="H2" s="11" t="s">
        <v>47</v>
      </c>
      <c r="I2" s="11" t="s">
        <v>47</v>
      </c>
      <c r="J2" s="11" t="s">
        <v>48</v>
      </c>
      <c r="K2" s="11" t="s">
        <v>48</v>
      </c>
      <c r="L2" s="11" t="s">
        <v>48</v>
      </c>
      <c r="M2" s="11" t="s">
        <v>47</v>
      </c>
      <c r="N2" s="11" t="s">
        <v>49</v>
      </c>
      <c r="O2" s="11" t="s">
        <v>47</v>
      </c>
      <c r="P2" s="11" t="s">
        <v>49</v>
      </c>
      <c r="Q2" s="11" t="s">
        <v>47</v>
      </c>
      <c r="R2" s="11" t="s">
        <v>49</v>
      </c>
      <c r="S2" s="11" t="s">
        <v>47</v>
      </c>
      <c r="T2" s="11" t="s">
        <v>49</v>
      </c>
      <c r="U2" s="11" t="s">
        <v>47</v>
      </c>
      <c r="V2" s="11" t="s">
        <v>49</v>
      </c>
      <c r="W2" s="11" t="s">
        <v>47</v>
      </c>
      <c r="X2" s="11" t="s">
        <v>49</v>
      </c>
      <c r="Y2" s="39" t="s">
        <v>47</v>
      </c>
      <c r="Z2" s="39" t="s">
        <v>47</v>
      </c>
      <c r="AA2" s="11" t="s">
        <v>47</v>
      </c>
      <c r="AB2" s="11" t="s">
        <v>47</v>
      </c>
      <c r="AC2" s="11" t="s">
        <v>47</v>
      </c>
      <c r="AD2" s="11" t="s">
        <v>48</v>
      </c>
      <c r="AE2" s="11" t="s">
        <v>48</v>
      </c>
      <c r="AF2" s="11" t="s">
        <v>48</v>
      </c>
      <c r="AG2" s="11" t="s">
        <v>47</v>
      </c>
      <c r="AH2" s="11" t="s">
        <v>48</v>
      </c>
      <c r="AI2" s="11" t="s">
        <v>48</v>
      </c>
      <c r="AJ2" s="43" t="s">
        <v>49</v>
      </c>
      <c r="AK2" s="43" t="s">
        <v>49</v>
      </c>
      <c r="AL2" s="45" t="s">
        <v>47</v>
      </c>
      <c r="AM2" s="45" t="s">
        <v>47</v>
      </c>
      <c r="AN2" s="45" t="s">
        <v>47</v>
      </c>
      <c r="AO2" s="45" t="s">
        <v>47</v>
      </c>
      <c r="AP2" s="45" t="s">
        <v>47</v>
      </c>
      <c r="AQ2" s="45" t="s">
        <v>47</v>
      </c>
      <c r="AR2" s="45" t="s">
        <v>49</v>
      </c>
      <c r="AS2" s="45" t="s">
        <v>48</v>
      </c>
      <c r="AT2" s="45" t="s">
        <v>47</v>
      </c>
      <c r="AU2" s="45" t="s">
        <v>49</v>
      </c>
    </row>
    <row r="3" s="12" customFormat="1" ht="42" customHeight="1" spans="1:47">
      <c r="A3" s="12" t="s">
        <v>50</v>
      </c>
      <c r="B3" s="12" t="s">
        <v>51</v>
      </c>
      <c r="C3" s="13" t="s">
        <v>52</v>
      </c>
      <c r="D3" s="13" t="s">
        <v>53</v>
      </c>
      <c r="E3" s="13" t="s">
        <v>54</v>
      </c>
      <c r="F3" s="13" t="s">
        <v>55</v>
      </c>
      <c r="G3" s="13" t="s">
        <v>56</v>
      </c>
      <c r="H3" s="13" t="s">
        <v>57</v>
      </c>
      <c r="I3" s="13" t="s">
        <v>58</v>
      </c>
      <c r="J3" s="12" t="s">
        <v>59</v>
      </c>
      <c r="K3" s="12" t="s">
        <v>60</v>
      </c>
      <c r="L3" s="12" t="s">
        <v>61</v>
      </c>
      <c r="M3" s="12" t="s">
        <v>62</v>
      </c>
      <c r="N3" s="12" t="s">
        <v>63</v>
      </c>
      <c r="O3" s="12" t="s">
        <v>64</v>
      </c>
      <c r="P3" s="12" t="s">
        <v>65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70</v>
      </c>
      <c r="V3" s="12" t="s">
        <v>71</v>
      </c>
      <c r="W3" s="12" t="s">
        <v>72</v>
      </c>
      <c r="X3" s="12" t="s">
        <v>73</v>
      </c>
      <c r="Y3" s="40" t="s">
        <v>74</v>
      </c>
      <c r="Z3" s="40" t="s">
        <v>75</v>
      </c>
      <c r="AA3" s="12" t="s">
        <v>76</v>
      </c>
      <c r="AB3" s="12" t="s">
        <v>77</v>
      </c>
      <c r="AC3" s="12" t="s">
        <v>78</v>
      </c>
      <c r="AD3" s="12" t="s">
        <v>79</v>
      </c>
      <c r="AE3" s="12" t="s">
        <v>55</v>
      </c>
      <c r="AF3" s="12" t="s">
        <v>80</v>
      </c>
      <c r="AG3" s="12" t="s">
        <v>81</v>
      </c>
      <c r="AH3" s="12" t="s">
        <v>82</v>
      </c>
      <c r="AI3" s="12" t="s">
        <v>83</v>
      </c>
      <c r="AJ3" s="43" t="s">
        <v>84</v>
      </c>
      <c r="AK3" s="43" t="s">
        <v>85</v>
      </c>
      <c r="AL3" s="46" t="s">
        <v>52</v>
      </c>
      <c r="AM3" s="46" t="s">
        <v>87</v>
      </c>
      <c r="AN3" s="46" t="s">
        <v>88</v>
      </c>
      <c r="AO3" s="46" t="s">
        <v>89</v>
      </c>
      <c r="AP3" s="46" t="s">
        <v>90</v>
      </c>
      <c r="AQ3" s="46" t="s">
        <v>91</v>
      </c>
      <c r="AR3" s="46" t="s">
        <v>92</v>
      </c>
      <c r="AS3" s="46" t="s">
        <v>93</v>
      </c>
      <c r="AT3" s="46" t="s">
        <v>94</v>
      </c>
      <c r="AU3" s="46" t="s">
        <v>95</v>
      </c>
    </row>
    <row r="4" s="25" customFormat="1" spans="1:47">
      <c r="A4" s="14">
        <v>11001</v>
      </c>
      <c r="B4" s="14" t="s">
        <v>96</v>
      </c>
      <c r="C4" s="14">
        <v>1</v>
      </c>
      <c r="D4" s="14">
        <v>1</v>
      </c>
      <c r="E4" s="14">
        <v>0</v>
      </c>
      <c r="F4" s="14" t="s">
        <v>98</v>
      </c>
      <c r="G4" s="14">
        <v>0</v>
      </c>
      <c r="H4" s="14" t="s">
        <v>98</v>
      </c>
      <c r="I4" s="14" t="s">
        <v>98</v>
      </c>
      <c r="J4" s="14" t="s">
        <v>99</v>
      </c>
      <c r="K4" s="14" t="s">
        <v>99</v>
      </c>
      <c r="L4" s="14" t="s">
        <v>652</v>
      </c>
      <c r="M4" s="14">
        <v>600</v>
      </c>
      <c r="N4" s="14">
        <v>10</v>
      </c>
      <c r="O4" s="14">
        <v>68</v>
      </c>
      <c r="P4" s="14">
        <v>1.9</v>
      </c>
      <c r="Q4" s="14">
        <v>31</v>
      </c>
      <c r="R4" s="14">
        <v>1.3</v>
      </c>
      <c r="S4" s="14">
        <v>41</v>
      </c>
      <c r="T4" s="14">
        <v>1.1</v>
      </c>
      <c r="U4" s="14">
        <v>26</v>
      </c>
      <c r="V4" s="14">
        <v>1.2</v>
      </c>
      <c r="W4" s="14">
        <v>14</v>
      </c>
      <c r="X4" s="14">
        <v>1</v>
      </c>
      <c r="Y4" s="14">
        <v>200</v>
      </c>
      <c r="Z4" s="41">
        <f t="shared" ref="Z4:Z67" si="0">MIN(Y4+400,1100)</f>
        <v>600</v>
      </c>
      <c r="AA4" s="14">
        <v>300</v>
      </c>
      <c r="AB4" s="14">
        <v>8</v>
      </c>
      <c r="AC4" s="14">
        <f t="shared" ref="AC4:AC25" si="1">_xlfn.IFS(OR(F4="1",F4="2",F4="7",F4="8"),2,OR(F4="3",F4="4",F4="5",F4="6"),1)</f>
        <v>2</v>
      </c>
      <c r="AD4" s="14" t="s">
        <v>100</v>
      </c>
      <c r="AE4" s="14">
        <v>110002</v>
      </c>
      <c r="AF4" s="14" t="s">
        <v>101</v>
      </c>
      <c r="AG4" s="14">
        <v>101001</v>
      </c>
      <c r="AH4" s="14" t="s">
        <v>102</v>
      </c>
      <c r="AI4" s="14">
        <v>0</v>
      </c>
      <c r="AJ4" s="14">
        <v>1</v>
      </c>
      <c r="AK4" s="14">
        <v>1</v>
      </c>
      <c r="AL4" s="47">
        <v>3</v>
      </c>
      <c r="AM4" s="47">
        <v>0</v>
      </c>
      <c r="AN4" s="47">
        <v>0</v>
      </c>
      <c r="AO4" s="48" t="s">
        <v>103</v>
      </c>
      <c r="AP4" s="47">
        <v>8</v>
      </c>
      <c r="AQ4" s="47">
        <v>60</v>
      </c>
      <c r="AR4" s="47">
        <v>12</v>
      </c>
      <c r="AS4" s="47" t="s">
        <v>104</v>
      </c>
      <c r="AT4" s="47">
        <v>0</v>
      </c>
      <c r="AU4" s="47">
        <v>0</v>
      </c>
    </row>
    <row r="5" s="25" customFormat="1" spans="1:47">
      <c r="A5" s="14">
        <v>12001</v>
      </c>
      <c r="B5" s="14" t="s">
        <v>105</v>
      </c>
      <c r="C5" s="14">
        <v>1</v>
      </c>
      <c r="D5" s="14">
        <v>1</v>
      </c>
      <c r="E5" s="14">
        <v>0</v>
      </c>
      <c r="F5" s="14" t="s">
        <v>106</v>
      </c>
      <c r="G5" s="14">
        <v>0</v>
      </c>
      <c r="H5" s="14" t="s">
        <v>98</v>
      </c>
      <c r="I5" s="14" t="s">
        <v>98</v>
      </c>
      <c r="J5" s="14" t="s">
        <v>107</v>
      </c>
      <c r="K5" s="14" t="s">
        <v>107</v>
      </c>
      <c r="L5" s="14" t="s">
        <v>653</v>
      </c>
      <c r="M5" s="14">
        <v>590</v>
      </c>
      <c r="N5" s="14">
        <v>14</v>
      </c>
      <c r="O5" s="14">
        <v>71</v>
      </c>
      <c r="P5" s="14">
        <v>2</v>
      </c>
      <c r="Q5" s="14">
        <v>28</v>
      </c>
      <c r="R5" s="14">
        <v>1.2</v>
      </c>
      <c r="S5" s="14">
        <v>38</v>
      </c>
      <c r="T5" s="14">
        <v>1.1</v>
      </c>
      <c r="U5" s="14">
        <v>25</v>
      </c>
      <c r="V5" s="14">
        <v>1.2</v>
      </c>
      <c r="W5" s="14">
        <v>16</v>
      </c>
      <c r="X5" s="14">
        <v>1</v>
      </c>
      <c r="Y5" s="14">
        <v>200</v>
      </c>
      <c r="Z5" s="41">
        <f t="shared" si="0"/>
        <v>600</v>
      </c>
      <c r="AA5" s="14">
        <v>450</v>
      </c>
      <c r="AB5" s="14">
        <v>8</v>
      </c>
      <c r="AC5" s="14">
        <f t="shared" si="1"/>
        <v>2</v>
      </c>
      <c r="AD5" s="14" t="s">
        <v>108</v>
      </c>
      <c r="AE5" s="14">
        <v>110003</v>
      </c>
      <c r="AF5" s="14" t="s">
        <v>109</v>
      </c>
      <c r="AG5" s="14">
        <v>102001</v>
      </c>
      <c r="AH5" s="14" t="s">
        <v>110</v>
      </c>
      <c r="AI5" s="14">
        <v>0</v>
      </c>
      <c r="AJ5" s="14">
        <v>1</v>
      </c>
      <c r="AK5" s="14">
        <v>1</v>
      </c>
      <c r="AL5" s="47">
        <v>1</v>
      </c>
      <c r="AM5" s="47">
        <v>1</v>
      </c>
      <c r="AN5" s="47">
        <v>0</v>
      </c>
      <c r="AO5" s="48" t="s">
        <v>111</v>
      </c>
      <c r="AP5" s="47">
        <v>3</v>
      </c>
      <c r="AQ5" s="47">
        <v>45</v>
      </c>
      <c r="AR5" s="47">
        <v>8</v>
      </c>
      <c r="AS5" s="47" t="s">
        <v>112</v>
      </c>
      <c r="AT5" s="47">
        <v>0</v>
      </c>
      <c r="AU5" s="47">
        <v>0</v>
      </c>
    </row>
    <row r="6" s="25" customFormat="1" spans="1:47">
      <c r="A6" s="14">
        <v>13001</v>
      </c>
      <c r="B6" s="14" t="s">
        <v>113</v>
      </c>
      <c r="C6" s="14">
        <v>1</v>
      </c>
      <c r="D6" s="14">
        <v>1</v>
      </c>
      <c r="E6" s="14">
        <v>0</v>
      </c>
      <c r="F6" s="14" t="s">
        <v>114</v>
      </c>
      <c r="G6" s="14">
        <v>0</v>
      </c>
      <c r="H6" s="14" t="s">
        <v>98</v>
      </c>
      <c r="I6" s="14" t="s">
        <v>98</v>
      </c>
      <c r="J6" s="14" t="s">
        <v>115</v>
      </c>
      <c r="K6" s="14" t="s">
        <v>115</v>
      </c>
      <c r="L6" s="14" t="s">
        <v>654</v>
      </c>
      <c r="M6" s="14">
        <v>500</v>
      </c>
      <c r="N6" s="14">
        <v>12</v>
      </c>
      <c r="O6" s="14">
        <v>62</v>
      </c>
      <c r="P6" s="14">
        <v>1.7</v>
      </c>
      <c r="Q6" s="14">
        <v>21</v>
      </c>
      <c r="R6" s="14">
        <v>1</v>
      </c>
      <c r="S6" s="14">
        <v>34</v>
      </c>
      <c r="T6" s="14">
        <v>1.2</v>
      </c>
      <c r="U6" s="14">
        <v>23</v>
      </c>
      <c r="V6" s="14">
        <v>1.3</v>
      </c>
      <c r="W6" s="14">
        <v>15</v>
      </c>
      <c r="X6" s="14">
        <v>1</v>
      </c>
      <c r="Y6" s="14">
        <v>1200</v>
      </c>
      <c r="Z6" s="41">
        <f t="shared" si="0"/>
        <v>1100</v>
      </c>
      <c r="AA6" s="14">
        <v>300</v>
      </c>
      <c r="AB6" s="14">
        <v>10</v>
      </c>
      <c r="AC6" s="14">
        <f t="shared" si="1"/>
        <v>1</v>
      </c>
      <c r="AD6" s="14" t="s">
        <v>116</v>
      </c>
      <c r="AE6" s="14">
        <v>110004</v>
      </c>
      <c r="AF6" s="14" t="s">
        <v>117</v>
      </c>
      <c r="AG6" s="14">
        <v>103001</v>
      </c>
      <c r="AH6" s="14" t="s">
        <v>118</v>
      </c>
      <c r="AI6" s="14">
        <v>0</v>
      </c>
      <c r="AJ6" s="14">
        <v>1</v>
      </c>
      <c r="AK6" s="14">
        <v>1</v>
      </c>
      <c r="AL6" s="47">
        <v>2</v>
      </c>
      <c r="AM6" s="47">
        <v>0</v>
      </c>
      <c r="AN6" s="47">
        <v>2</v>
      </c>
      <c r="AO6" s="48" t="s">
        <v>103</v>
      </c>
      <c r="AP6" s="47">
        <v>14</v>
      </c>
      <c r="AQ6" s="47">
        <v>30</v>
      </c>
      <c r="AR6" s="47">
        <v>9</v>
      </c>
      <c r="AS6" s="47" t="s">
        <v>119</v>
      </c>
      <c r="AT6" s="47">
        <v>0</v>
      </c>
      <c r="AU6" s="47">
        <v>0</v>
      </c>
    </row>
    <row r="7" s="25" customFormat="1" spans="1:47">
      <c r="A7" s="14">
        <v>14001</v>
      </c>
      <c r="B7" s="14" t="s">
        <v>120</v>
      </c>
      <c r="C7" s="14">
        <v>1</v>
      </c>
      <c r="D7" s="14">
        <v>1</v>
      </c>
      <c r="E7" s="14">
        <v>0</v>
      </c>
      <c r="F7" s="14" t="s">
        <v>121</v>
      </c>
      <c r="G7" s="14">
        <v>0</v>
      </c>
      <c r="H7" s="14" t="s">
        <v>98</v>
      </c>
      <c r="I7" s="14" t="s">
        <v>98</v>
      </c>
      <c r="J7" s="14" t="s">
        <v>122</v>
      </c>
      <c r="K7" s="14" t="s">
        <v>122</v>
      </c>
      <c r="L7" s="14" t="s">
        <v>655</v>
      </c>
      <c r="M7" s="14">
        <v>570</v>
      </c>
      <c r="N7" s="14">
        <v>13.5</v>
      </c>
      <c r="O7" s="14">
        <v>66</v>
      </c>
      <c r="P7" s="14">
        <v>2</v>
      </c>
      <c r="Q7" s="14">
        <v>26</v>
      </c>
      <c r="R7" s="14">
        <v>1.2</v>
      </c>
      <c r="S7" s="14">
        <v>43</v>
      </c>
      <c r="T7" s="14">
        <v>1.2</v>
      </c>
      <c r="U7" s="14">
        <v>28</v>
      </c>
      <c r="V7" s="14">
        <v>1.4</v>
      </c>
      <c r="W7" s="14">
        <v>18</v>
      </c>
      <c r="X7" s="14">
        <v>1</v>
      </c>
      <c r="Y7" s="14">
        <v>200</v>
      </c>
      <c r="Z7" s="41">
        <f t="shared" si="0"/>
        <v>600</v>
      </c>
      <c r="AA7" s="14">
        <v>450</v>
      </c>
      <c r="AB7" s="14">
        <v>8</v>
      </c>
      <c r="AC7" s="14">
        <f t="shared" si="1"/>
        <v>1</v>
      </c>
      <c r="AD7" s="14" t="s">
        <v>123</v>
      </c>
      <c r="AE7" s="14">
        <v>110005</v>
      </c>
      <c r="AF7" s="14" t="s">
        <v>124</v>
      </c>
      <c r="AG7" s="14">
        <v>104001</v>
      </c>
      <c r="AH7" s="14" t="s">
        <v>125</v>
      </c>
      <c r="AI7" s="14">
        <v>0</v>
      </c>
      <c r="AJ7" s="14">
        <v>1</v>
      </c>
      <c r="AK7" s="14">
        <v>1</v>
      </c>
      <c r="AL7" s="47">
        <v>3</v>
      </c>
      <c r="AM7" s="47">
        <v>0</v>
      </c>
      <c r="AN7" s="47">
        <v>2</v>
      </c>
      <c r="AO7" s="48" t="s">
        <v>103</v>
      </c>
      <c r="AP7" s="47">
        <v>4</v>
      </c>
      <c r="AQ7" s="47">
        <v>60</v>
      </c>
      <c r="AR7" s="47">
        <v>10</v>
      </c>
      <c r="AS7" s="47" t="s">
        <v>126</v>
      </c>
      <c r="AT7" s="47">
        <v>0</v>
      </c>
      <c r="AU7" s="47">
        <v>0</v>
      </c>
    </row>
    <row r="8" s="25" customFormat="1" spans="1:47">
      <c r="A8" s="14">
        <v>15001</v>
      </c>
      <c r="B8" s="14" t="s">
        <v>127</v>
      </c>
      <c r="C8" s="14">
        <v>2</v>
      </c>
      <c r="D8" s="14">
        <v>1</v>
      </c>
      <c r="E8" s="14">
        <v>0</v>
      </c>
      <c r="F8" s="14" t="s">
        <v>128</v>
      </c>
      <c r="G8" s="14">
        <v>0</v>
      </c>
      <c r="H8" s="14" t="s">
        <v>98</v>
      </c>
      <c r="I8" s="14" t="s">
        <v>98</v>
      </c>
      <c r="J8" s="14" t="s">
        <v>129</v>
      </c>
      <c r="K8" s="14" t="s">
        <v>129</v>
      </c>
      <c r="L8" s="14" t="s">
        <v>656</v>
      </c>
      <c r="M8" s="14">
        <v>500</v>
      </c>
      <c r="N8" s="14">
        <v>11</v>
      </c>
      <c r="O8" s="14">
        <v>45</v>
      </c>
      <c r="P8" s="14">
        <v>2</v>
      </c>
      <c r="Q8" s="14">
        <v>15</v>
      </c>
      <c r="R8" s="14">
        <v>1</v>
      </c>
      <c r="S8" s="14">
        <v>63</v>
      </c>
      <c r="T8" s="14">
        <v>2</v>
      </c>
      <c r="U8" s="14">
        <v>30</v>
      </c>
      <c r="V8" s="14">
        <v>1.6</v>
      </c>
      <c r="W8" s="14">
        <v>12</v>
      </c>
      <c r="X8" s="14">
        <v>1</v>
      </c>
      <c r="Y8" s="14">
        <v>1200</v>
      </c>
      <c r="Z8" s="41">
        <f t="shared" si="0"/>
        <v>1100</v>
      </c>
      <c r="AA8" s="14">
        <v>300</v>
      </c>
      <c r="AB8" s="14">
        <v>10</v>
      </c>
      <c r="AC8" s="14">
        <f t="shared" si="1"/>
        <v>1</v>
      </c>
      <c r="AD8" s="14" t="s">
        <v>130</v>
      </c>
      <c r="AE8" s="14">
        <v>110006</v>
      </c>
      <c r="AF8" s="14" t="s">
        <v>131</v>
      </c>
      <c r="AG8" s="14">
        <v>105001</v>
      </c>
      <c r="AH8" s="14" t="s">
        <v>132</v>
      </c>
      <c r="AI8" s="14">
        <v>0</v>
      </c>
      <c r="AJ8" s="14">
        <v>1</v>
      </c>
      <c r="AK8" s="14">
        <v>1</v>
      </c>
      <c r="AL8" s="47">
        <v>2</v>
      </c>
      <c r="AM8" s="47">
        <v>1</v>
      </c>
      <c r="AN8" s="47">
        <v>2</v>
      </c>
      <c r="AO8" s="48" t="s">
        <v>111</v>
      </c>
      <c r="AP8" s="47">
        <v>3</v>
      </c>
      <c r="AQ8" s="47">
        <v>40</v>
      </c>
      <c r="AR8" s="47">
        <v>11</v>
      </c>
      <c r="AS8" s="47" t="s">
        <v>133</v>
      </c>
      <c r="AT8" s="47">
        <v>0</v>
      </c>
      <c r="AU8" s="47">
        <v>0</v>
      </c>
    </row>
    <row r="9" s="25" customFormat="1" spans="1:47">
      <c r="A9" s="14">
        <v>16001</v>
      </c>
      <c r="B9" s="14" t="s">
        <v>134</v>
      </c>
      <c r="C9" s="14">
        <v>2</v>
      </c>
      <c r="D9" s="14">
        <v>1</v>
      </c>
      <c r="E9" s="14">
        <v>0</v>
      </c>
      <c r="F9" s="14" t="s">
        <v>135</v>
      </c>
      <c r="G9" s="14">
        <v>0</v>
      </c>
      <c r="H9" s="14" t="s">
        <v>98</v>
      </c>
      <c r="I9" s="14" t="s">
        <v>98</v>
      </c>
      <c r="J9" s="14" t="s">
        <v>136</v>
      </c>
      <c r="K9" s="14" t="s">
        <v>136</v>
      </c>
      <c r="L9" s="14" t="s">
        <v>657</v>
      </c>
      <c r="M9" s="14">
        <v>530</v>
      </c>
      <c r="N9" s="14">
        <v>12</v>
      </c>
      <c r="O9" s="14">
        <v>50</v>
      </c>
      <c r="P9" s="14">
        <v>1.9</v>
      </c>
      <c r="Q9" s="14">
        <v>21</v>
      </c>
      <c r="R9" s="14">
        <v>1.1</v>
      </c>
      <c r="S9" s="14">
        <v>55</v>
      </c>
      <c r="T9" s="14">
        <v>1.9</v>
      </c>
      <c r="U9" s="14">
        <v>40</v>
      </c>
      <c r="V9" s="14">
        <v>1.8</v>
      </c>
      <c r="W9" s="14">
        <v>10</v>
      </c>
      <c r="X9" s="14">
        <v>1</v>
      </c>
      <c r="Y9" s="14">
        <v>1200</v>
      </c>
      <c r="Z9" s="41">
        <f t="shared" si="0"/>
        <v>1100</v>
      </c>
      <c r="AA9" s="14">
        <v>300</v>
      </c>
      <c r="AB9" s="14">
        <v>10</v>
      </c>
      <c r="AC9" s="14">
        <f t="shared" si="1"/>
        <v>1</v>
      </c>
      <c r="AD9" s="14" t="s">
        <v>137</v>
      </c>
      <c r="AE9" s="14">
        <v>110007</v>
      </c>
      <c r="AF9" s="14" t="s">
        <v>138</v>
      </c>
      <c r="AG9" s="14">
        <v>106001</v>
      </c>
      <c r="AH9" s="14" t="s">
        <v>139</v>
      </c>
      <c r="AI9" s="14">
        <v>0</v>
      </c>
      <c r="AJ9" s="14">
        <v>1</v>
      </c>
      <c r="AK9" s="14">
        <v>1</v>
      </c>
      <c r="AL9" s="47">
        <v>1</v>
      </c>
      <c r="AM9" s="47">
        <v>0</v>
      </c>
      <c r="AN9" s="47">
        <v>2</v>
      </c>
      <c r="AO9" s="48" t="s">
        <v>111</v>
      </c>
      <c r="AP9" s="47">
        <v>8</v>
      </c>
      <c r="AQ9" s="47">
        <v>45</v>
      </c>
      <c r="AR9" s="47">
        <v>12</v>
      </c>
      <c r="AS9" s="47" t="s">
        <v>140</v>
      </c>
      <c r="AT9" s="47">
        <v>0</v>
      </c>
      <c r="AU9" s="47">
        <v>0</v>
      </c>
    </row>
    <row r="10" s="25" customFormat="1" spans="1:47">
      <c r="A10" s="14">
        <v>21001</v>
      </c>
      <c r="B10" s="14" t="s">
        <v>141</v>
      </c>
      <c r="C10" s="14">
        <v>1</v>
      </c>
      <c r="D10" s="14">
        <v>1</v>
      </c>
      <c r="E10" s="14">
        <v>0</v>
      </c>
      <c r="F10" s="14" t="s">
        <v>98</v>
      </c>
      <c r="G10" s="14">
        <v>0</v>
      </c>
      <c r="H10" s="14" t="s">
        <v>106</v>
      </c>
      <c r="I10" s="14" t="s">
        <v>106</v>
      </c>
      <c r="J10" s="14" t="s">
        <v>143</v>
      </c>
      <c r="K10" s="14" t="s">
        <v>143</v>
      </c>
      <c r="L10" s="14" t="s">
        <v>658</v>
      </c>
      <c r="M10" s="14">
        <v>645</v>
      </c>
      <c r="N10" s="14">
        <v>16.5</v>
      </c>
      <c r="O10" s="14">
        <v>72</v>
      </c>
      <c r="P10" s="14">
        <v>2.1</v>
      </c>
      <c r="Q10" s="14">
        <v>39</v>
      </c>
      <c r="R10" s="14">
        <v>1.4</v>
      </c>
      <c r="S10" s="14">
        <v>44</v>
      </c>
      <c r="T10" s="14">
        <v>1.2</v>
      </c>
      <c r="U10" s="14">
        <v>29</v>
      </c>
      <c r="V10" s="14">
        <v>1.3</v>
      </c>
      <c r="W10" s="14">
        <v>10</v>
      </c>
      <c r="X10" s="14">
        <v>1</v>
      </c>
      <c r="Y10" s="14">
        <v>200</v>
      </c>
      <c r="Z10" s="41">
        <f t="shared" si="0"/>
        <v>600</v>
      </c>
      <c r="AA10" s="14">
        <v>300</v>
      </c>
      <c r="AB10" s="14">
        <v>8</v>
      </c>
      <c r="AC10" s="14">
        <f t="shared" si="1"/>
        <v>2</v>
      </c>
      <c r="AD10" s="14" t="s">
        <v>659</v>
      </c>
      <c r="AE10" s="14">
        <v>120001</v>
      </c>
      <c r="AF10" s="14" t="s">
        <v>145</v>
      </c>
      <c r="AG10" s="14">
        <v>201001</v>
      </c>
      <c r="AH10" s="14" t="s">
        <v>146</v>
      </c>
      <c r="AI10" s="14">
        <v>0</v>
      </c>
      <c r="AJ10" s="14">
        <v>1</v>
      </c>
      <c r="AK10" s="14">
        <v>1</v>
      </c>
      <c r="AL10" s="47">
        <v>2</v>
      </c>
      <c r="AM10" s="47">
        <v>1</v>
      </c>
      <c r="AN10" s="47">
        <v>3</v>
      </c>
      <c r="AO10" s="47">
        <v>4000</v>
      </c>
      <c r="AP10" s="47">
        <v>3</v>
      </c>
      <c r="AQ10" s="47">
        <v>30</v>
      </c>
      <c r="AR10" s="47">
        <v>10</v>
      </c>
      <c r="AS10" s="47" t="s">
        <v>147</v>
      </c>
      <c r="AT10" s="47">
        <v>0</v>
      </c>
      <c r="AU10" s="47">
        <v>0</v>
      </c>
    </row>
    <row r="11" s="25" customFormat="1" spans="1:47">
      <c r="A11" s="14">
        <v>22001</v>
      </c>
      <c r="B11" s="14" t="s">
        <v>148</v>
      </c>
      <c r="C11" s="14">
        <v>1</v>
      </c>
      <c r="D11" s="14">
        <v>1</v>
      </c>
      <c r="E11" s="14">
        <v>0</v>
      </c>
      <c r="F11" s="14" t="s">
        <v>106</v>
      </c>
      <c r="G11" s="14">
        <v>0</v>
      </c>
      <c r="H11" s="14" t="s">
        <v>106</v>
      </c>
      <c r="I11" s="14" t="s">
        <v>106</v>
      </c>
      <c r="J11" s="14" t="s">
        <v>149</v>
      </c>
      <c r="K11" s="14" t="s">
        <v>149</v>
      </c>
      <c r="L11" s="14" t="s">
        <v>660</v>
      </c>
      <c r="M11" s="14">
        <v>634</v>
      </c>
      <c r="N11" s="14">
        <v>10.4</v>
      </c>
      <c r="O11" s="14">
        <v>75</v>
      </c>
      <c r="P11" s="14">
        <v>2.2</v>
      </c>
      <c r="Q11" s="14">
        <v>36</v>
      </c>
      <c r="R11" s="14">
        <v>1.3</v>
      </c>
      <c r="S11" s="14">
        <v>41</v>
      </c>
      <c r="T11" s="14">
        <v>1.2</v>
      </c>
      <c r="U11" s="14">
        <v>28</v>
      </c>
      <c r="V11" s="14">
        <v>1.3</v>
      </c>
      <c r="W11" s="14">
        <v>17</v>
      </c>
      <c r="X11" s="14">
        <v>1</v>
      </c>
      <c r="Y11" s="14">
        <v>200</v>
      </c>
      <c r="Z11" s="41">
        <f t="shared" si="0"/>
        <v>600</v>
      </c>
      <c r="AA11" s="14">
        <v>450</v>
      </c>
      <c r="AB11" s="14">
        <v>8</v>
      </c>
      <c r="AC11" s="14">
        <f t="shared" si="1"/>
        <v>2</v>
      </c>
      <c r="AD11" s="14" t="s">
        <v>150</v>
      </c>
      <c r="AE11" s="14">
        <v>120002</v>
      </c>
      <c r="AF11" s="14" t="s">
        <v>151</v>
      </c>
      <c r="AG11" s="14">
        <v>202001</v>
      </c>
      <c r="AH11" s="14" t="s">
        <v>152</v>
      </c>
      <c r="AI11" s="14">
        <v>0</v>
      </c>
      <c r="AJ11" s="14">
        <v>1</v>
      </c>
      <c r="AK11" s="14">
        <v>1</v>
      </c>
      <c r="AL11" s="47">
        <v>3</v>
      </c>
      <c r="AM11" s="47">
        <v>1</v>
      </c>
      <c r="AN11" s="47">
        <v>3</v>
      </c>
      <c r="AO11" s="47">
        <v>3500</v>
      </c>
      <c r="AP11" s="47">
        <v>3</v>
      </c>
      <c r="AQ11" s="47">
        <v>70</v>
      </c>
      <c r="AR11" s="47">
        <v>16</v>
      </c>
      <c r="AS11" s="47" t="s">
        <v>153</v>
      </c>
      <c r="AT11" s="47">
        <v>0</v>
      </c>
      <c r="AU11" s="47">
        <v>0</v>
      </c>
    </row>
    <row r="12" s="25" customFormat="1" spans="1:47">
      <c r="A12" s="14">
        <v>23001</v>
      </c>
      <c r="B12" s="14" t="s">
        <v>154</v>
      </c>
      <c r="C12" s="14">
        <v>1</v>
      </c>
      <c r="D12" s="14">
        <v>1</v>
      </c>
      <c r="E12" s="14">
        <v>0</v>
      </c>
      <c r="F12" s="14" t="s">
        <v>114</v>
      </c>
      <c r="G12" s="14">
        <v>0</v>
      </c>
      <c r="H12" s="14" t="s">
        <v>106</v>
      </c>
      <c r="I12" s="14" t="s">
        <v>106</v>
      </c>
      <c r="J12" s="14" t="s">
        <v>155</v>
      </c>
      <c r="K12" s="14" t="s">
        <v>155</v>
      </c>
      <c r="L12" s="14" t="s">
        <v>661</v>
      </c>
      <c r="M12" s="14">
        <v>535</v>
      </c>
      <c r="N12" s="14">
        <v>13.2</v>
      </c>
      <c r="O12" s="14">
        <v>68</v>
      </c>
      <c r="P12" s="14">
        <v>2.1</v>
      </c>
      <c r="Q12" s="14">
        <v>29</v>
      </c>
      <c r="R12" s="14">
        <v>1.1</v>
      </c>
      <c r="S12" s="14">
        <v>37</v>
      </c>
      <c r="T12" s="14">
        <v>1.3</v>
      </c>
      <c r="U12" s="14">
        <v>25</v>
      </c>
      <c r="V12" s="14">
        <v>1.4</v>
      </c>
      <c r="W12" s="14">
        <v>24</v>
      </c>
      <c r="X12" s="14">
        <v>1</v>
      </c>
      <c r="Y12" s="14">
        <v>1200</v>
      </c>
      <c r="Z12" s="41">
        <f t="shared" si="0"/>
        <v>1100</v>
      </c>
      <c r="AA12" s="14">
        <v>300</v>
      </c>
      <c r="AB12" s="14">
        <v>10</v>
      </c>
      <c r="AC12" s="14">
        <f t="shared" si="1"/>
        <v>1</v>
      </c>
      <c r="AD12" s="14" t="s">
        <v>156</v>
      </c>
      <c r="AE12" s="14">
        <v>120003</v>
      </c>
      <c r="AF12" s="14" t="s">
        <v>145</v>
      </c>
      <c r="AG12" s="14">
        <v>203001</v>
      </c>
      <c r="AH12" s="14" t="s">
        <v>157</v>
      </c>
      <c r="AI12" s="14">
        <v>0</v>
      </c>
      <c r="AJ12" s="14">
        <v>1</v>
      </c>
      <c r="AK12" s="14">
        <v>1</v>
      </c>
      <c r="AL12" s="47">
        <v>2</v>
      </c>
      <c r="AM12" s="47">
        <v>1</v>
      </c>
      <c r="AN12" s="47">
        <v>4</v>
      </c>
      <c r="AO12" s="47">
        <v>3500</v>
      </c>
      <c r="AP12" s="47">
        <v>3</v>
      </c>
      <c r="AQ12" s="47">
        <v>30</v>
      </c>
      <c r="AR12" s="47">
        <v>17</v>
      </c>
      <c r="AS12" s="47" t="s">
        <v>158</v>
      </c>
      <c r="AT12" s="47">
        <v>0</v>
      </c>
      <c r="AU12" s="47">
        <v>0</v>
      </c>
    </row>
    <row r="13" s="25" customFormat="1" spans="1:47">
      <c r="A13" s="14">
        <v>24001</v>
      </c>
      <c r="B13" s="14" t="s">
        <v>159</v>
      </c>
      <c r="C13" s="14">
        <v>1</v>
      </c>
      <c r="D13" s="14">
        <v>1</v>
      </c>
      <c r="E13" s="14">
        <v>0</v>
      </c>
      <c r="F13" s="14" t="s">
        <v>121</v>
      </c>
      <c r="G13" s="14">
        <v>0</v>
      </c>
      <c r="H13" s="14" t="s">
        <v>106</v>
      </c>
      <c r="I13" s="14" t="s">
        <v>106</v>
      </c>
      <c r="J13" s="14" t="s">
        <v>160</v>
      </c>
      <c r="K13" s="14" t="s">
        <v>160</v>
      </c>
      <c r="L13" s="14" t="s">
        <v>662</v>
      </c>
      <c r="M13" s="14">
        <v>612</v>
      </c>
      <c r="N13" s="14">
        <v>14.9</v>
      </c>
      <c r="O13" s="14">
        <v>72</v>
      </c>
      <c r="P13" s="14">
        <v>2.2</v>
      </c>
      <c r="Q13" s="14">
        <v>34</v>
      </c>
      <c r="R13" s="14">
        <v>1.3</v>
      </c>
      <c r="S13" s="14">
        <v>47</v>
      </c>
      <c r="T13" s="14">
        <v>1.3</v>
      </c>
      <c r="U13" s="14">
        <v>32</v>
      </c>
      <c r="V13" s="14">
        <v>1.5</v>
      </c>
      <c r="W13" s="14">
        <v>20</v>
      </c>
      <c r="X13" s="14">
        <v>1</v>
      </c>
      <c r="Y13" s="14">
        <v>200</v>
      </c>
      <c r="Z13" s="41">
        <f t="shared" si="0"/>
        <v>600</v>
      </c>
      <c r="AA13" s="14">
        <v>450</v>
      </c>
      <c r="AB13" s="14">
        <v>8</v>
      </c>
      <c r="AC13" s="14">
        <f t="shared" si="1"/>
        <v>1</v>
      </c>
      <c r="AD13" s="14" t="s">
        <v>161</v>
      </c>
      <c r="AE13" s="14">
        <v>120004</v>
      </c>
      <c r="AF13" s="14" t="s">
        <v>162</v>
      </c>
      <c r="AG13" s="14">
        <v>204001</v>
      </c>
      <c r="AH13" s="14" t="s">
        <v>163</v>
      </c>
      <c r="AI13" s="14">
        <v>0</v>
      </c>
      <c r="AJ13" s="14">
        <v>1</v>
      </c>
      <c r="AK13" s="14">
        <v>1</v>
      </c>
      <c r="AL13" s="47">
        <v>3</v>
      </c>
      <c r="AM13" s="47">
        <v>1</v>
      </c>
      <c r="AN13" s="47">
        <v>4</v>
      </c>
      <c r="AO13" s="47">
        <v>3500</v>
      </c>
      <c r="AP13" s="47">
        <v>8</v>
      </c>
      <c r="AQ13" s="47">
        <v>60</v>
      </c>
      <c r="AR13" s="47">
        <v>18</v>
      </c>
      <c r="AS13" s="47" t="s">
        <v>164</v>
      </c>
      <c r="AT13" s="47">
        <v>0</v>
      </c>
      <c r="AU13" s="47">
        <v>0</v>
      </c>
    </row>
    <row r="14" s="25" customFormat="1" spans="1:47">
      <c r="A14" s="14">
        <v>25001</v>
      </c>
      <c r="B14" s="14" t="s">
        <v>165</v>
      </c>
      <c r="C14" s="14">
        <v>2</v>
      </c>
      <c r="D14" s="14">
        <v>1</v>
      </c>
      <c r="E14" s="14">
        <v>0</v>
      </c>
      <c r="F14" s="14" t="s">
        <v>128</v>
      </c>
      <c r="G14" s="14">
        <v>0</v>
      </c>
      <c r="H14" s="14" t="s">
        <v>106</v>
      </c>
      <c r="I14" s="14" t="s">
        <v>106</v>
      </c>
      <c r="J14" s="14" t="s">
        <v>166</v>
      </c>
      <c r="K14" s="14" t="s">
        <v>166</v>
      </c>
      <c r="L14" s="14" t="s">
        <v>663</v>
      </c>
      <c r="M14" s="14">
        <v>535</v>
      </c>
      <c r="N14" s="14">
        <v>12.1</v>
      </c>
      <c r="O14" s="14">
        <v>57</v>
      </c>
      <c r="P14" s="14">
        <v>2.5</v>
      </c>
      <c r="Q14" s="14">
        <v>25</v>
      </c>
      <c r="R14" s="14">
        <v>1.1</v>
      </c>
      <c r="S14" s="14">
        <v>71</v>
      </c>
      <c r="T14" s="14">
        <v>2.5</v>
      </c>
      <c r="U14" s="14">
        <v>33</v>
      </c>
      <c r="V14" s="14">
        <v>1.8</v>
      </c>
      <c r="W14" s="14">
        <v>13</v>
      </c>
      <c r="X14" s="14">
        <v>1</v>
      </c>
      <c r="Y14" s="14">
        <v>1200</v>
      </c>
      <c r="Z14" s="41">
        <f t="shared" si="0"/>
        <v>1100</v>
      </c>
      <c r="AA14" s="14">
        <v>300</v>
      </c>
      <c r="AB14" s="14">
        <v>10</v>
      </c>
      <c r="AC14" s="14">
        <f t="shared" si="1"/>
        <v>1</v>
      </c>
      <c r="AD14" s="14" t="s">
        <v>167</v>
      </c>
      <c r="AE14" s="14">
        <v>120005</v>
      </c>
      <c r="AF14" s="14" t="s">
        <v>168</v>
      </c>
      <c r="AG14" s="14">
        <v>205001</v>
      </c>
      <c r="AH14" s="14" t="s">
        <v>169</v>
      </c>
      <c r="AI14" s="14">
        <v>0</v>
      </c>
      <c r="AJ14" s="14">
        <v>1</v>
      </c>
      <c r="AK14" s="14">
        <v>1</v>
      </c>
      <c r="AL14" s="47">
        <v>1</v>
      </c>
      <c r="AM14" s="47">
        <v>1</v>
      </c>
      <c r="AN14" s="47">
        <v>4</v>
      </c>
      <c r="AO14" s="47">
        <v>3500</v>
      </c>
      <c r="AP14" s="47">
        <v>4</v>
      </c>
      <c r="AQ14" s="47">
        <v>45</v>
      </c>
      <c r="AR14" s="47">
        <v>19</v>
      </c>
      <c r="AS14" s="47" t="s">
        <v>170</v>
      </c>
      <c r="AT14" s="47">
        <v>0</v>
      </c>
      <c r="AU14" s="47">
        <v>0</v>
      </c>
    </row>
    <row r="15" s="25" customFormat="1" spans="1:47">
      <c r="A15" s="14">
        <v>26001</v>
      </c>
      <c r="B15" s="14" t="s">
        <v>171</v>
      </c>
      <c r="C15" s="14">
        <v>2</v>
      </c>
      <c r="D15" s="14">
        <v>1</v>
      </c>
      <c r="E15" s="14">
        <v>0</v>
      </c>
      <c r="F15" s="14" t="s">
        <v>135</v>
      </c>
      <c r="G15" s="14">
        <v>0</v>
      </c>
      <c r="H15" s="14" t="s">
        <v>106</v>
      </c>
      <c r="I15" s="14" t="s">
        <v>106</v>
      </c>
      <c r="J15" s="14" t="s">
        <v>172</v>
      </c>
      <c r="K15" s="14" t="s">
        <v>172</v>
      </c>
      <c r="L15" s="14" t="s">
        <v>664</v>
      </c>
      <c r="M15" s="14">
        <v>568</v>
      </c>
      <c r="N15" s="14">
        <v>13.2</v>
      </c>
      <c r="O15" s="14">
        <v>55</v>
      </c>
      <c r="P15" s="14">
        <v>2.3</v>
      </c>
      <c r="Q15" s="14">
        <v>30</v>
      </c>
      <c r="R15" s="14">
        <v>1.2</v>
      </c>
      <c r="S15" s="14">
        <v>64</v>
      </c>
      <c r="T15" s="14">
        <v>2.3</v>
      </c>
      <c r="U15" s="14">
        <v>45</v>
      </c>
      <c r="V15" s="14">
        <v>2</v>
      </c>
      <c r="W15" s="14">
        <v>11</v>
      </c>
      <c r="X15" s="14">
        <v>1</v>
      </c>
      <c r="Y15" s="14">
        <v>1200</v>
      </c>
      <c r="Z15" s="41">
        <f t="shared" si="0"/>
        <v>1100</v>
      </c>
      <c r="AA15" s="14">
        <v>300</v>
      </c>
      <c r="AB15" s="14">
        <v>10</v>
      </c>
      <c r="AC15" s="14">
        <f t="shared" si="1"/>
        <v>1</v>
      </c>
      <c r="AD15" s="14" t="s">
        <v>173</v>
      </c>
      <c r="AE15" s="14">
        <v>120006</v>
      </c>
      <c r="AF15" s="14" t="s">
        <v>174</v>
      </c>
      <c r="AG15" s="14">
        <v>206001</v>
      </c>
      <c r="AH15" s="14" t="s">
        <v>175</v>
      </c>
      <c r="AI15" s="14">
        <v>0</v>
      </c>
      <c r="AJ15" s="14">
        <v>1</v>
      </c>
      <c r="AK15" s="14">
        <v>1</v>
      </c>
      <c r="AL15" s="47">
        <v>1</v>
      </c>
      <c r="AM15" s="47">
        <v>1</v>
      </c>
      <c r="AN15" s="47">
        <v>4</v>
      </c>
      <c r="AO15" s="47">
        <v>3500</v>
      </c>
      <c r="AP15" s="47">
        <v>14</v>
      </c>
      <c r="AQ15" s="47">
        <v>45</v>
      </c>
      <c r="AR15" s="47">
        <v>20</v>
      </c>
      <c r="AS15" s="47" t="s">
        <v>176</v>
      </c>
      <c r="AT15" s="47">
        <v>0</v>
      </c>
      <c r="AU15" s="47">
        <v>0</v>
      </c>
    </row>
    <row r="16" s="25" customFormat="1" spans="1:47">
      <c r="A16" s="14">
        <v>28001</v>
      </c>
      <c r="B16" s="14" t="s">
        <v>177</v>
      </c>
      <c r="C16" s="14">
        <v>1</v>
      </c>
      <c r="D16" s="14">
        <v>1</v>
      </c>
      <c r="E16" s="14">
        <v>0</v>
      </c>
      <c r="F16" s="14" t="s">
        <v>178</v>
      </c>
      <c r="G16" s="14">
        <v>0</v>
      </c>
      <c r="H16" s="14" t="s">
        <v>106</v>
      </c>
      <c r="I16" s="14" t="s">
        <v>106</v>
      </c>
      <c r="J16" s="14" t="s">
        <v>179</v>
      </c>
      <c r="K16" s="14" t="s">
        <v>179</v>
      </c>
      <c r="L16" s="14" t="s">
        <v>665</v>
      </c>
      <c r="M16" s="14">
        <v>623</v>
      </c>
      <c r="N16" s="14">
        <v>19.8</v>
      </c>
      <c r="O16" s="14">
        <v>76</v>
      </c>
      <c r="P16" s="14">
        <v>2.1</v>
      </c>
      <c r="Q16" s="14">
        <v>33</v>
      </c>
      <c r="R16" s="14">
        <v>1.3</v>
      </c>
      <c r="S16" s="14">
        <v>38</v>
      </c>
      <c r="T16" s="14">
        <v>1.1</v>
      </c>
      <c r="U16" s="14">
        <v>18</v>
      </c>
      <c r="V16" s="14">
        <v>1.1</v>
      </c>
      <c r="W16" s="14">
        <v>26</v>
      </c>
      <c r="X16" s="14">
        <v>1</v>
      </c>
      <c r="Y16" s="14">
        <v>200</v>
      </c>
      <c r="Z16" s="41">
        <f t="shared" si="0"/>
        <v>600</v>
      </c>
      <c r="AA16" s="14">
        <v>300</v>
      </c>
      <c r="AB16" s="14">
        <v>8</v>
      </c>
      <c r="AC16" s="14">
        <f t="shared" si="1"/>
        <v>2</v>
      </c>
      <c r="AD16" s="14" t="s">
        <v>180</v>
      </c>
      <c r="AE16" s="14">
        <v>120007</v>
      </c>
      <c r="AF16" s="14" t="s">
        <v>181</v>
      </c>
      <c r="AG16" s="14">
        <v>208001</v>
      </c>
      <c r="AH16" s="14" t="s">
        <v>182</v>
      </c>
      <c r="AI16" s="14">
        <v>0</v>
      </c>
      <c r="AJ16" s="14">
        <v>1</v>
      </c>
      <c r="AK16" s="14">
        <v>1</v>
      </c>
      <c r="AL16" s="47">
        <v>1</v>
      </c>
      <c r="AM16" s="47">
        <v>1</v>
      </c>
      <c r="AN16" s="47">
        <v>4</v>
      </c>
      <c r="AO16" s="47">
        <v>3500</v>
      </c>
      <c r="AP16" s="47">
        <v>14</v>
      </c>
      <c r="AQ16" s="47">
        <v>45</v>
      </c>
      <c r="AR16" s="47">
        <v>20</v>
      </c>
      <c r="AS16" s="47" t="s">
        <v>176</v>
      </c>
      <c r="AT16" s="47">
        <v>0</v>
      </c>
      <c r="AU16" s="47">
        <v>0</v>
      </c>
    </row>
    <row r="17" s="25" customFormat="1" spans="1:47">
      <c r="A17" s="14">
        <v>31001</v>
      </c>
      <c r="B17" s="14" t="s">
        <v>183</v>
      </c>
      <c r="C17" s="14">
        <v>1</v>
      </c>
      <c r="D17" s="14">
        <v>1</v>
      </c>
      <c r="E17" s="14">
        <v>0</v>
      </c>
      <c r="F17" s="14" t="s">
        <v>98</v>
      </c>
      <c r="G17" s="14">
        <v>0</v>
      </c>
      <c r="H17" s="14" t="s">
        <v>114</v>
      </c>
      <c r="I17" s="14" t="s">
        <v>114</v>
      </c>
      <c r="J17" s="14" t="s">
        <v>185</v>
      </c>
      <c r="K17" s="14" t="s">
        <v>185</v>
      </c>
      <c r="L17" s="14" t="s">
        <v>666</v>
      </c>
      <c r="M17" s="14">
        <v>690</v>
      </c>
      <c r="N17" s="14">
        <v>19.8</v>
      </c>
      <c r="O17" s="14">
        <v>80</v>
      </c>
      <c r="P17" s="14">
        <v>2.5</v>
      </c>
      <c r="Q17" s="14">
        <v>46</v>
      </c>
      <c r="R17" s="14">
        <v>1.7</v>
      </c>
      <c r="S17" s="14">
        <v>47</v>
      </c>
      <c r="T17" s="14">
        <v>1.4</v>
      </c>
      <c r="U17" s="14">
        <v>32</v>
      </c>
      <c r="V17" s="14">
        <v>1.6</v>
      </c>
      <c r="W17" s="14">
        <v>17</v>
      </c>
      <c r="X17" s="14">
        <v>1</v>
      </c>
      <c r="Y17" s="14">
        <v>200</v>
      </c>
      <c r="Z17" s="41">
        <f t="shared" si="0"/>
        <v>600</v>
      </c>
      <c r="AA17" s="14">
        <v>300</v>
      </c>
      <c r="AB17" s="14">
        <v>8</v>
      </c>
      <c r="AC17" s="14">
        <f t="shared" si="1"/>
        <v>2</v>
      </c>
      <c r="AD17" s="14" t="s">
        <v>186</v>
      </c>
      <c r="AE17" s="14">
        <v>130001</v>
      </c>
      <c r="AF17" s="14" t="s">
        <v>187</v>
      </c>
      <c r="AG17" s="14">
        <v>301001</v>
      </c>
      <c r="AH17" s="14" t="s">
        <v>188</v>
      </c>
      <c r="AI17" s="14">
        <v>0</v>
      </c>
      <c r="AJ17" s="14">
        <v>1</v>
      </c>
      <c r="AK17" s="14">
        <v>1</v>
      </c>
      <c r="AL17" s="47">
        <v>1</v>
      </c>
      <c r="AM17" s="47">
        <v>0</v>
      </c>
      <c r="AN17" s="47">
        <v>5</v>
      </c>
      <c r="AO17" s="47">
        <v>3500</v>
      </c>
      <c r="AP17" s="47">
        <v>3</v>
      </c>
      <c r="AQ17" s="47">
        <v>45</v>
      </c>
      <c r="AR17" s="47">
        <v>21</v>
      </c>
      <c r="AS17" s="47" t="s">
        <v>189</v>
      </c>
      <c r="AT17" s="47">
        <v>0</v>
      </c>
      <c r="AU17" s="47">
        <v>0</v>
      </c>
    </row>
    <row r="18" s="26" customFormat="1" spans="1:47">
      <c r="A18" s="32">
        <v>31002</v>
      </c>
      <c r="B18" s="32" t="s">
        <v>667</v>
      </c>
      <c r="C18" s="32">
        <v>1</v>
      </c>
      <c r="D18" s="32">
        <v>1</v>
      </c>
      <c r="E18" s="32">
        <v>0</v>
      </c>
      <c r="F18" s="32" t="s">
        <v>106</v>
      </c>
      <c r="G18" s="32">
        <v>0</v>
      </c>
      <c r="H18" s="32" t="s">
        <v>114</v>
      </c>
      <c r="I18" s="32" t="s">
        <v>114</v>
      </c>
      <c r="J18" s="32" t="s">
        <v>668</v>
      </c>
      <c r="K18" s="32" t="s">
        <v>668</v>
      </c>
      <c r="L18" s="32" t="s">
        <v>669</v>
      </c>
      <c r="M18" s="32">
        <v>678</v>
      </c>
      <c r="N18" s="32">
        <v>18.5</v>
      </c>
      <c r="O18" s="32">
        <v>83</v>
      </c>
      <c r="P18" s="32">
        <v>2.6</v>
      </c>
      <c r="Q18" s="32">
        <v>42</v>
      </c>
      <c r="R18" s="32">
        <v>1.6</v>
      </c>
      <c r="S18" s="32">
        <v>44</v>
      </c>
      <c r="T18" s="32">
        <v>1.4</v>
      </c>
      <c r="U18" s="32">
        <v>32</v>
      </c>
      <c r="V18" s="32">
        <v>1.6</v>
      </c>
      <c r="W18" s="32">
        <v>19</v>
      </c>
      <c r="X18" s="32">
        <v>1</v>
      </c>
      <c r="Y18" s="32">
        <v>200</v>
      </c>
      <c r="Z18" s="42">
        <f t="shared" si="0"/>
        <v>600</v>
      </c>
      <c r="AA18" s="32">
        <v>450</v>
      </c>
      <c r="AB18" s="32">
        <v>8</v>
      </c>
      <c r="AC18" s="32">
        <f t="shared" si="1"/>
        <v>2</v>
      </c>
      <c r="AD18" s="32" t="s">
        <v>670</v>
      </c>
      <c r="AE18" s="32">
        <v>130002</v>
      </c>
      <c r="AF18" s="32" t="s">
        <v>671</v>
      </c>
      <c r="AG18" s="32">
        <v>301002</v>
      </c>
      <c r="AH18" s="32" t="s">
        <v>672</v>
      </c>
      <c r="AI18" s="32">
        <v>0</v>
      </c>
      <c r="AJ18" s="32">
        <v>1</v>
      </c>
      <c r="AK18" s="32">
        <v>1</v>
      </c>
      <c r="AL18" s="32">
        <v>1</v>
      </c>
      <c r="AM18" s="32">
        <v>0</v>
      </c>
      <c r="AN18" s="32">
        <v>5</v>
      </c>
      <c r="AO18" s="32">
        <v>3500</v>
      </c>
      <c r="AP18" s="32">
        <v>3</v>
      </c>
      <c r="AQ18" s="32">
        <v>45</v>
      </c>
      <c r="AR18" s="32">
        <v>21</v>
      </c>
      <c r="AS18" s="32" t="s">
        <v>189</v>
      </c>
      <c r="AT18" s="32">
        <v>0</v>
      </c>
      <c r="AU18" s="32">
        <v>0</v>
      </c>
    </row>
    <row r="19" s="25" customFormat="1" spans="1:47">
      <c r="A19" s="14">
        <v>32001</v>
      </c>
      <c r="B19" s="14" t="s">
        <v>190</v>
      </c>
      <c r="C19" s="14">
        <v>1</v>
      </c>
      <c r="D19" s="14">
        <v>1</v>
      </c>
      <c r="E19" s="14">
        <v>0</v>
      </c>
      <c r="F19" s="14" t="s">
        <v>114</v>
      </c>
      <c r="G19" s="14">
        <v>0</v>
      </c>
      <c r="H19" s="14" t="s">
        <v>114</v>
      </c>
      <c r="I19" s="14" t="s">
        <v>114</v>
      </c>
      <c r="J19" s="14" t="s">
        <v>191</v>
      </c>
      <c r="K19" s="14" t="s">
        <v>191</v>
      </c>
      <c r="L19" s="14" t="s">
        <v>673</v>
      </c>
      <c r="M19" s="14">
        <v>606</v>
      </c>
      <c r="N19" s="14">
        <v>10.8</v>
      </c>
      <c r="O19" s="14">
        <v>64</v>
      </c>
      <c r="P19" s="14">
        <v>2.5</v>
      </c>
      <c r="Q19" s="14">
        <v>28</v>
      </c>
      <c r="R19" s="14">
        <v>1.3</v>
      </c>
      <c r="S19" s="14">
        <v>41</v>
      </c>
      <c r="T19" s="14">
        <v>1.6</v>
      </c>
      <c r="U19" s="14">
        <v>31</v>
      </c>
      <c r="V19" s="14">
        <v>1.7</v>
      </c>
      <c r="W19" s="14">
        <v>26</v>
      </c>
      <c r="X19" s="14">
        <v>1</v>
      </c>
      <c r="Y19" s="14">
        <v>1200</v>
      </c>
      <c r="Z19" s="41">
        <f t="shared" si="0"/>
        <v>1100</v>
      </c>
      <c r="AA19" s="14">
        <v>300</v>
      </c>
      <c r="AB19" s="14">
        <v>10</v>
      </c>
      <c r="AC19" s="14">
        <f t="shared" si="1"/>
        <v>1</v>
      </c>
      <c r="AD19" s="14" t="s">
        <v>192</v>
      </c>
      <c r="AE19" s="14">
        <v>130003</v>
      </c>
      <c r="AF19" s="14" t="s">
        <v>193</v>
      </c>
      <c r="AG19" s="14">
        <v>302001</v>
      </c>
      <c r="AH19" s="14" t="s">
        <v>194</v>
      </c>
      <c r="AI19" s="14">
        <v>0</v>
      </c>
      <c r="AJ19" s="14">
        <v>1</v>
      </c>
      <c r="AK19" s="14">
        <v>1</v>
      </c>
      <c r="AL19" s="47">
        <v>3</v>
      </c>
      <c r="AM19" s="47">
        <v>0</v>
      </c>
      <c r="AN19" s="47">
        <v>5</v>
      </c>
      <c r="AO19" s="47">
        <v>3500</v>
      </c>
      <c r="AP19" s="47">
        <v>3</v>
      </c>
      <c r="AQ19" s="47">
        <v>60</v>
      </c>
      <c r="AR19" s="47">
        <v>15</v>
      </c>
      <c r="AS19" s="47" t="s">
        <v>195</v>
      </c>
      <c r="AT19" s="47">
        <v>0</v>
      </c>
      <c r="AU19" s="47">
        <v>0</v>
      </c>
    </row>
    <row r="20" s="26" customFormat="1" spans="1:47">
      <c r="A20" s="32">
        <v>33001</v>
      </c>
      <c r="B20" s="32" t="s">
        <v>674</v>
      </c>
      <c r="C20" s="32">
        <v>1</v>
      </c>
      <c r="D20" s="32">
        <v>1</v>
      </c>
      <c r="E20" s="32">
        <v>0</v>
      </c>
      <c r="F20" s="32" t="s">
        <v>98</v>
      </c>
      <c r="G20" s="32">
        <v>0</v>
      </c>
      <c r="H20" s="32" t="s">
        <v>114</v>
      </c>
      <c r="I20" s="32" t="s">
        <v>114</v>
      </c>
      <c r="J20" s="32" t="s">
        <v>675</v>
      </c>
      <c r="K20" s="32" t="s">
        <v>675</v>
      </c>
      <c r="L20" s="32" t="s">
        <v>676</v>
      </c>
      <c r="M20" s="32">
        <v>750</v>
      </c>
      <c r="N20" s="32">
        <v>25.1</v>
      </c>
      <c r="O20" s="32">
        <v>61</v>
      </c>
      <c r="P20" s="32">
        <v>1.6</v>
      </c>
      <c r="Q20" s="32">
        <v>55</v>
      </c>
      <c r="R20" s="32">
        <v>2</v>
      </c>
      <c r="S20" s="32">
        <v>46</v>
      </c>
      <c r="T20" s="32">
        <v>1.3</v>
      </c>
      <c r="U20" s="32">
        <v>37</v>
      </c>
      <c r="V20" s="32">
        <v>1.3</v>
      </c>
      <c r="W20" s="32">
        <v>13</v>
      </c>
      <c r="X20" s="32">
        <v>1</v>
      </c>
      <c r="Y20" s="32">
        <v>200</v>
      </c>
      <c r="Z20" s="42">
        <f t="shared" si="0"/>
        <v>600</v>
      </c>
      <c r="AA20" s="32">
        <v>300</v>
      </c>
      <c r="AB20" s="32">
        <v>8</v>
      </c>
      <c r="AC20" s="32">
        <f t="shared" si="1"/>
        <v>2</v>
      </c>
      <c r="AD20" s="32" t="s">
        <v>677</v>
      </c>
      <c r="AE20" s="32">
        <v>130004</v>
      </c>
      <c r="AF20" s="32" t="s">
        <v>678</v>
      </c>
      <c r="AG20" s="32">
        <v>303001</v>
      </c>
      <c r="AH20" s="32" t="s">
        <v>679</v>
      </c>
      <c r="AI20" s="32">
        <v>0</v>
      </c>
      <c r="AJ20" s="32">
        <v>1</v>
      </c>
      <c r="AK20" s="32">
        <v>1</v>
      </c>
      <c r="AL20" s="32">
        <v>1</v>
      </c>
      <c r="AM20" s="32">
        <v>0</v>
      </c>
      <c r="AN20" s="32">
        <v>5</v>
      </c>
      <c r="AO20" s="32">
        <v>4000</v>
      </c>
      <c r="AP20" s="32">
        <v>4</v>
      </c>
      <c r="AQ20" s="32">
        <v>45</v>
      </c>
      <c r="AR20" s="32">
        <v>23</v>
      </c>
      <c r="AS20" s="32" t="s">
        <v>680</v>
      </c>
      <c r="AT20" s="32">
        <v>0</v>
      </c>
      <c r="AU20" s="32">
        <v>0</v>
      </c>
    </row>
    <row r="21" s="25" customFormat="1" spans="1:47">
      <c r="A21" s="14">
        <v>34001</v>
      </c>
      <c r="B21" s="14" t="s">
        <v>196</v>
      </c>
      <c r="C21" s="14">
        <v>1</v>
      </c>
      <c r="D21" s="14">
        <v>1</v>
      </c>
      <c r="E21" s="14">
        <v>0</v>
      </c>
      <c r="F21" s="14" t="s">
        <v>121</v>
      </c>
      <c r="G21" s="14">
        <v>0</v>
      </c>
      <c r="H21" s="14" t="s">
        <v>114</v>
      </c>
      <c r="I21" s="14" t="s">
        <v>114</v>
      </c>
      <c r="J21" s="14" t="s">
        <v>197</v>
      </c>
      <c r="K21" s="14" t="s">
        <v>197</v>
      </c>
      <c r="L21" s="14" t="s">
        <v>681</v>
      </c>
      <c r="M21" s="14">
        <v>654</v>
      </c>
      <c r="N21" s="14">
        <v>17.9</v>
      </c>
      <c r="O21" s="14">
        <v>78</v>
      </c>
      <c r="P21" s="14">
        <v>2.6</v>
      </c>
      <c r="Q21" s="14">
        <v>40</v>
      </c>
      <c r="R21" s="14">
        <v>1.6</v>
      </c>
      <c r="S21" s="14">
        <v>50</v>
      </c>
      <c r="T21" s="14">
        <v>1.6</v>
      </c>
      <c r="U21" s="14">
        <v>35</v>
      </c>
      <c r="V21" s="14">
        <v>1.8</v>
      </c>
      <c r="W21" s="14">
        <v>21</v>
      </c>
      <c r="X21" s="14">
        <v>1</v>
      </c>
      <c r="Y21" s="14">
        <v>200</v>
      </c>
      <c r="Z21" s="41">
        <f t="shared" si="0"/>
        <v>600</v>
      </c>
      <c r="AA21" s="14">
        <v>450</v>
      </c>
      <c r="AB21" s="14">
        <v>8</v>
      </c>
      <c r="AC21" s="14">
        <f t="shared" si="1"/>
        <v>1</v>
      </c>
      <c r="AD21" s="14" t="s">
        <v>198</v>
      </c>
      <c r="AE21" s="14">
        <v>130005</v>
      </c>
      <c r="AF21" s="14" t="s">
        <v>199</v>
      </c>
      <c r="AG21" s="14">
        <v>304001</v>
      </c>
      <c r="AH21" s="14" t="s">
        <v>200</v>
      </c>
      <c r="AI21" s="14">
        <v>0</v>
      </c>
      <c r="AJ21" s="14">
        <v>1</v>
      </c>
      <c r="AK21" s="14">
        <v>1</v>
      </c>
      <c r="AL21" s="47">
        <v>2</v>
      </c>
      <c r="AM21" s="47">
        <v>0</v>
      </c>
      <c r="AN21" s="47">
        <v>5</v>
      </c>
      <c r="AO21" s="47">
        <v>3500</v>
      </c>
      <c r="AP21" s="47">
        <v>14</v>
      </c>
      <c r="AQ21" s="47">
        <v>30</v>
      </c>
      <c r="AR21" s="47">
        <v>24</v>
      </c>
      <c r="AS21" s="47" t="s">
        <v>201</v>
      </c>
      <c r="AT21" s="47">
        <v>0</v>
      </c>
      <c r="AU21" s="47">
        <v>0</v>
      </c>
    </row>
    <row r="22" s="25" customFormat="1" spans="1:47">
      <c r="A22" s="14">
        <v>35001</v>
      </c>
      <c r="B22" s="14" t="s">
        <v>202</v>
      </c>
      <c r="C22" s="14">
        <v>2</v>
      </c>
      <c r="D22" s="14">
        <v>1</v>
      </c>
      <c r="E22" s="14">
        <v>0</v>
      </c>
      <c r="F22" s="14" t="s">
        <v>128</v>
      </c>
      <c r="G22" s="14">
        <v>0</v>
      </c>
      <c r="H22" s="14" t="s">
        <v>114</v>
      </c>
      <c r="I22" s="14" t="s">
        <v>114</v>
      </c>
      <c r="J22" s="14" t="s">
        <v>203</v>
      </c>
      <c r="K22" s="14" t="s">
        <v>203</v>
      </c>
      <c r="L22" s="14" t="s">
        <v>682</v>
      </c>
      <c r="M22" s="14">
        <v>570</v>
      </c>
      <c r="N22" s="14">
        <v>14.5</v>
      </c>
      <c r="O22" s="14">
        <v>51</v>
      </c>
      <c r="P22" s="14">
        <v>2.8</v>
      </c>
      <c r="Q22" s="14">
        <v>33</v>
      </c>
      <c r="R22" s="14">
        <v>1.3</v>
      </c>
      <c r="S22" s="14">
        <v>77</v>
      </c>
      <c r="T22" s="14">
        <v>2.8</v>
      </c>
      <c r="U22" s="14">
        <v>37</v>
      </c>
      <c r="V22" s="14">
        <v>2.2</v>
      </c>
      <c r="W22" s="14">
        <v>14</v>
      </c>
      <c r="X22" s="14">
        <v>1</v>
      </c>
      <c r="Y22" s="14">
        <v>1200</v>
      </c>
      <c r="Z22" s="41">
        <f t="shared" si="0"/>
        <v>1100</v>
      </c>
      <c r="AA22" s="14">
        <v>300</v>
      </c>
      <c r="AB22" s="14">
        <v>10</v>
      </c>
      <c r="AC22" s="14">
        <f t="shared" si="1"/>
        <v>1</v>
      </c>
      <c r="AD22" s="14" t="s">
        <v>204</v>
      </c>
      <c r="AE22" s="14">
        <v>130006</v>
      </c>
      <c r="AF22" s="14" t="s">
        <v>205</v>
      </c>
      <c r="AG22" s="14">
        <v>305001</v>
      </c>
      <c r="AH22" s="14" t="s">
        <v>206</v>
      </c>
      <c r="AI22" s="14">
        <v>0</v>
      </c>
      <c r="AJ22" s="14">
        <v>1</v>
      </c>
      <c r="AK22" s="14">
        <v>1</v>
      </c>
      <c r="AL22" s="47">
        <v>3</v>
      </c>
      <c r="AM22" s="47">
        <v>1</v>
      </c>
      <c r="AN22" s="47">
        <v>6</v>
      </c>
      <c r="AO22" s="47">
        <v>3500</v>
      </c>
      <c r="AP22" s="47">
        <v>3</v>
      </c>
      <c r="AQ22" s="47">
        <v>30</v>
      </c>
      <c r="AR22" s="47">
        <v>25</v>
      </c>
      <c r="AS22" s="47" t="s">
        <v>207</v>
      </c>
      <c r="AT22" s="47">
        <v>0</v>
      </c>
      <c r="AU22" s="47">
        <v>0</v>
      </c>
    </row>
    <row r="23" s="25" customFormat="1" spans="1:47">
      <c r="A23" s="14">
        <v>36001</v>
      </c>
      <c r="B23" s="14" t="s">
        <v>208</v>
      </c>
      <c r="C23" s="14">
        <v>2</v>
      </c>
      <c r="D23" s="14">
        <v>1</v>
      </c>
      <c r="E23" s="14">
        <v>0</v>
      </c>
      <c r="F23" s="14" t="s">
        <v>135</v>
      </c>
      <c r="G23" s="14">
        <v>0</v>
      </c>
      <c r="H23" s="14" t="s">
        <v>114</v>
      </c>
      <c r="I23" s="14" t="s">
        <v>114</v>
      </c>
      <c r="J23" s="14" t="s">
        <v>209</v>
      </c>
      <c r="K23" s="14" t="s">
        <v>209</v>
      </c>
      <c r="L23" s="14" t="s">
        <v>683</v>
      </c>
      <c r="M23" s="14">
        <v>630</v>
      </c>
      <c r="N23" s="14">
        <v>10.8</v>
      </c>
      <c r="O23" s="14">
        <v>54</v>
      </c>
      <c r="P23" s="14">
        <v>2.6</v>
      </c>
      <c r="Q23" s="14">
        <v>28</v>
      </c>
      <c r="R23" s="14">
        <v>1.4</v>
      </c>
      <c r="S23" s="14">
        <v>72</v>
      </c>
      <c r="T23" s="14">
        <v>2.6</v>
      </c>
      <c r="U23" s="14">
        <v>48</v>
      </c>
      <c r="V23" s="14">
        <v>2.4</v>
      </c>
      <c r="W23" s="14">
        <v>12</v>
      </c>
      <c r="X23" s="14">
        <v>1</v>
      </c>
      <c r="Y23" s="14">
        <v>1200</v>
      </c>
      <c r="Z23" s="41">
        <f t="shared" si="0"/>
        <v>1100</v>
      </c>
      <c r="AA23" s="14">
        <v>300</v>
      </c>
      <c r="AB23" s="14">
        <v>10</v>
      </c>
      <c r="AC23" s="14">
        <f t="shared" si="1"/>
        <v>1</v>
      </c>
      <c r="AD23" s="14" t="s">
        <v>210</v>
      </c>
      <c r="AE23" s="14">
        <v>130007</v>
      </c>
      <c r="AF23" s="14" t="s">
        <v>211</v>
      </c>
      <c r="AG23" s="14">
        <v>306001</v>
      </c>
      <c r="AH23" s="14" t="s">
        <v>212</v>
      </c>
      <c r="AI23" s="14">
        <v>0</v>
      </c>
      <c r="AJ23" s="14">
        <v>1</v>
      </c>
      <c r="AK23" s="14">
        <v>1</v>
      </c>
      <c r="AL23" s="47">
        <v>1</v>
      </c>
      <c r="AM23" s="47">
        <v>0</v>
      </c>
      <c r="AN23" s="47">
        <v>6</v>
      </c>
      <c r="AO23" s="47">
        <v>4000</v>
      </c>
      <c r="AP23" s="47">
        <v>3</v>
      </c>
      <c r="AQ23" s="47">
        <v>30</v>
      </c>
      <c r="AR23" s="47">
        <v>26</v>
      </c>
      <c r="AS23" s="47" t="s">
        <v>213</v>
      </c>
      <c r="AT23" s="47">
        <v>0</v>
      </c>
      <c r="AU23" s="47">
        <v>0</v>
      </c>
    </row>
    <row r="24" s="26" customFormat="1" spans="1:47">
      <c r="A24" s="32">
        <v>37001</v>
      </c>
      <c r="B24" s="32" t="s">
        <v>684</v>
      </c>
      <c r="C24" s="32">
        <v>1</v>
      </c>
      <c r="D24" s="32">
        <v>1</v>
      </c>
      <c r="E24" s="32">
        <v>0</v>
      </c>
      <c r="F24" s="32" t="s">
        <v>434</v>
      </c>
      <c r="G24" s="32">
        <v>0</v>
      </c>
      <c r="H24" s="32" t="s">
        <v>114</v>
      </c>
      <c r="I24" s="32" t="s">
        <v>114</v>
      </c>
      <c r="J24" s="32" t="s">
        <v>685</v>
      </c>
      <c r="K24" s="32" t="s">
        <v>685</v>
      </c>
      <c r="L24" s="32" t="s">
        <v>686</v>
      </c>
      <c r="M24" s="32">
        <v>702</v>
      </c>
      <c r="N24" s="32">
        <v>21.1</v>
      </c>
      <c r="O24" s="32">
        <v>70</v>
      </c>
      <c r="P24" s="37">
        <v>2</v>
      </c>
      <c r="Q24" s="32">
        <v>35</v>
      </c>
      <c r="R24" s="32">
        <v>1.3</v>
      </c>
      <c r="S24" s="32">
        <v>43</v>
      </c>
      <c r="T24" s="32">
        <v>1.3</v>
      </c>
      <c r="U24" s="32">
        <v>15</v>
      </c>
      <c r="V24" s="32">
        <v>1.3</v>
      </c>
      <c r="W24" s="32">
        <v>24</v>
      </c>
      <c r="X24" s="32">
        <v>1</v>
      </c>
      <c r="Y24" s="32">
        <v>200</v>
      </c>
      <c r="Z24" s="42">
        <f t="shared" si="0"/>
        <v>600</v>
      </c>
      <c r="AA24" s="32">
        <v>300</v>
      </c>
      <c r="AB24" s="32">
        <v>8</v>
      </c>
      <c r="AC24" s="32">
        <f t="shared" si="1"/>
        <v>2</v>
      </c>
      <c r="AD24" s="32" t="s">
        <v>687</v>
      </c>
      <c r="AE24" s="32">
        <v>130008</v>
      </c>
      <c r="AF24" s="32" t="s">
        <v>688</v>
      </c>
      <c r="AG24" s="32">
        <v>307001</v>
      </c>
      <c r="AH24" s="32" t="s">
        <v>689</v>
      </c>
      <c r="AI24" s="32">
        <v>0</v>
      </c>
      <c r="AJ24" s="32">
        <v>1</v>
      </c>
      <c r="AK24" s="32">
        <v>1</v>
      </c>
      <c r="AL24" s="32">
        <v>3</v>
      </c>
      <c r="AM24" s="32">
        <v>1</v>
      </c>
      <c r="AN24" s="32">
        <v>6</v>
      </c>
      <c r="AO24" s="32">
        <v>3500</v>
      </c>
      <c r="AP24" s="32">
        <v>3</v>
      </c>
      <c r="AQ24" s="32">
        <v>30</v>
      </c>
      <c r="AR24" s="32">
        <v>25</v>
      </c>
      <c r="AS24" s="32" t="s">
        <v>207</v>
      </c>
      <c r="AT24" s="32">
        <v>0</v>
      </c>
      <c r="AU24" s="32">
        <v>0</v>
      </c>
    </row>
    <row r="25" s="26" customFormat="1" spans="1:47">
      <c r="A25" s="32">
        <v>37002</v>
      </c>
      <c r="B25" s="32" t="s">
        <v>690</v>
      </c>
      <c r="C25" s="32">
        <v>1</v>
      </c>
      <c r="D25" s="32">
        <v>1</v>
      </c>
      <c r="E25" s="32">
        <v>0</v>
      </c>
      <c r="F25" s="32" t="s">
        <v>434</v>
      </c>
      <c r="G25" s="32">
        <v>0</v>
      </c>
      <c r="H25" s="32" t="s">
        <v>114</v>
      </c>
      <c r="I25" s="32" t="s">
        <v>114</v>
      </c>
      <c r="J25" s="32" t="s">
        <v>691</v>
      </c>
      <c r="K25" s="32" t="s">
        <v>691</v>
      </c>
      <c r="L25" s="32" t="s">
        <v>692</v>
      </c>
      <c r="M25" s="32">
        <v>666</v>
      </c>
      <c r="N25" s="32">
        <v>23.8</v>
      </c>
      <c r="O25" s="32">
        <v>71</v>
      </c>
      <c r="P25" s="32">
        <v>2.5</v>
      </c>
      <c r="Q25" s="32">
        <v>39</v>
      </c>
      <c r="R25" s="32">
        <v>1.6</v>
      </c>
      <c r="S25" s="32">
        <v>41</v>
      </c>
      <c r="T25" s="32">
        <v>1.3</v>
      </c>
      <c r="U25" s="32">
        <v>20</v>
      </c>
      <c r="V25" s="32">
        <v>1.3</v>
      </c>
      <c r="W25" s="32">
        <v>29</v>
      </c>
      <c r="X25" s="32">
        <v>1</v>
      </c>
      <c r="Y25" s="32">
        <v>200</v>
      </c>
      <c r="Z25" s="42">
        <f t="shared" si="0"/>
        <v>600</v>
      </c>
      <c r="AA25" s="32">
        <v>300</v>
      </c>
      <c r="AB25" s="32">
        <v>8</v>
      </c>
      <c r="AC25" s="32">
        <f t="shared" si="1"/>
        <v>2</v>
      </c>
      <c r="AD25" s="32" t="s">
        <v>693</v>
      </c>
      <c r="AE25" s="32">
        <v>130009</v>
      </c>
      <c r="AF25" s="32" t="s">
        <v>694</v>
      </c>
      <c r="AG25" s="32">
        <v>307002</v>
      </c>
      <c r="AH25" s="32" t="s">
        <v>695</v>
      </c>
      <c r="AI25" s="32">
        <v>0</v>
      </c>
      <c r="AJ25" s="32">
        <v>1</v>
      </c>
      <c r="AK25" s="32">
        <v>1</v>
      </c>
      <c r="AL25" s="32">
        <v>3</v>
      </c>
      <c r="AM25" s="32">
        <v>1</v>
      </c>
      <c r="AN25" s="32">
        <v>6</v>
      </c>
      <c r="AO25" s="32">
        <v>3500</v>
      </c>
      <c r="AP25" s="32">
        <v>3</v>
      </c>
      <c r="AQ25" s="32">
        <v>30</v>
      </c>
      <c r="AR25" s="32">
        <v>25</v>
      </c>
      <c r="AS25" s="32" t="s">
        <v>207</v>
      </c>
      <c r="AT25" s="32">
        <v>0</v>
      </c>
      <c r="AU25" s="32">
        <v>0</v>
      </c>
    </row>
    <row r="26" s="26" customFormat="1" spans="1:47">
      <c r="A26" s="32">
        <v>38001</v>
      </c>
      <c r="B26" s="32" t="s">
        <v>696</v>
      </c>
      <c r="C26" s="32">
        <v>2</v>
      </c>
      <c r="D26" s="32">
        <v>1</v>
      </c>
      <c r="E26" s="32">
        <v>0</v>
      </c>
      <c r="F26" s="32" t="s">
        <v>178</v>
      </c>
      <c r="G26" s="32">
        <v>0</v>
      </c>
      <c r="H26" s="32" t="s">
        <v>114</v>
      </c>
      <c r="I26" s="32" t="s">
        <v>114</v>
      </c>
      <c r="J26" s="32" t="s">
        <v>697</v>
      </c>
      <c r="K26" s="32" t="s">
        <v>697</v>
      </c>
      <c r="L26" s="32" t="s">
        <v>698</v>
      </c>
      <c r="M26" s="32">
        <v>682</v>
      </c>
      <c r="N26" s="32">
        <v>14.5</v>
      </c>
      <c r="O26" s="32">
        <v>68</v>
      </c>
      <c r="P26" s="32">
        <v>2.7</v>
      </c>
      <c r="Q26" s="32">
        <v>28</v>
      </c>
      <c r="R26" s="32">
        <v>1.3</v>
      </c>
      <c r="S26" s="32">
        <v>82</v>
      </c>
      <c r="T26" s="32">
        <v>2.7</v>
      </c>
      <c r="U26" s="32">
        <v>37</v>
      </c>
      <c r="V26" s="32">
        <v>2.2</v>
      </c>
      <c r="W26" s="32">
        <v>14</v>
      </c>
      <c r="X26" s="32">
        <v>1</v>
      </c>
      <c r="Y26" s="32">
        <v>1200</v>
      </c>
      <c r="Z26" s="42">
        <f t="shared" si="0"/>
        <v>1100</v>
      </c>
      <c r="AA26" s="32">
        <v>300</v>
      </c>
      <c r="AB26" s="32">
        <v>10</v>
      </c>
      <c r="AC26" s="32">
        <v>1</v>
      </c>
      <c r="AD26" s="32" t="s">
        <v>699</v>
      </c>
      <c r="AE26" s="32">
        <v>130010</v>
      </c>
      <c r="AF26" s="32" t="s">
        <v>700</v>
      </c>
      <c r="AG26" s="32">
        <v>308001</v>
      </c>
      <c r="AH26" s="32" t="s">
        <v>701</v>
      </c>
      <c r="AI26" s="32">
        <v>0</v>
      </c>
      <c r="AJ26" s="32">
        <v>1</v>
      </c>
      <c r="AK26" s="32">
        <v>1</v>
      </c>
      <c r="AL26" s="32">
        <v>1</v>
      </c>
      <c r="AM26" s="32">
        <v>0</v>
      </c>
      <c r="AN26" s="32">
        <v>6</v>
      </c>
      <c r="AO26" s="32">
        <v>4000</v>
      </c>
      <c r="AP26" s="32">
        <v>3</v>
      </c>
      <c r="AQ26" s="32">
        <v>30</v>
      </c>
      <c r="AR26" s="32">
        <v>26</v>
      </c>
      <c r="AS26" s="32" t="s">
        <v>213</v>
      </c>
      <c r="AT26" s="32">
        <v>0</v>
      </c>
      <c r="AU26" s="32">
        <v>0</v>
      </c>
    </row>
    <row r="27" s="26" customFormat="1" spans="1:47">
      <c r="A27" s="32">
        <v>38002</v>
      </c>
      <c r="B27" s="32" t="s">
        <v>702</v>
      </c>
      <c r="C27" s="32">
        <v>1</v>
      </c>
      <c r="D27" s="32">
        <v>1</v>
      </c>
      <c r="E27" s="32">
        <v>0</v>
      </c>
      <c r="F27" s="32" t="s">
        <v>178</v>
      </c>
      <c r="G27" s="32">
        <v>0</v>
      </c>
      <c r="H27" s="32" t="s">
        <v>114</v>
      </c>
      <c r="I27" s="32" t="s">
        <v>114</v>
      </c>
      <c r="J27" s="32" t="s">
        <v>703</v>
      </c>
      <c r="K27" s="32" t="s">
        <v>703</v>
      </c>
      <c r="L27" s="32" t="s">
        <v>704</v>
      </c>
      <c r="M27" s="32">
        <v>690</v>
      </c>
      <c r="N27" s="32">
        <v>20</v>
      </c>
      <c r="O27" s="32">
        <v>62</v>
      </c>
      <c r="P27" s="32">
        <v>1.3</v>
      </c>
      <c r="Q27" s="32">
        <v>53</v>
      </c>
      <c r="R27" s="32">
        <v>1.2</v>
      </c>
      <c r="S27" s="32">
        <v>34</v>
      </c>
      <c r="T27" s="32">
        <v>1</v>
      </c>
      <c r="U27" s="32">
        <v>45</v>
      </c>
      <c r="V27" s="32">
        <v>1.9</v>
      </c>
      <c r="W27" s="32">
        <v>14</v>
      </c>
      <c r="X27" s="32">
        <v>1</v>
      </c>
      <c r="Y27" s="32">
        <v>200</v>
      </c>
      <c r="Z27" s="42">
        <f t="shared" si="0"/>
        <v>600</v>
      </c>
      <c r="AA27" s="32">
        <v>300</v>
      </c>
      <c r="AB27" s="32">
        <v>8</v>
      </c>
      <c r="AC27" s="32">
        <f t="shared" ref="AC27:AC73" si="2">_xlfn.IFS(OR(F27="1",F27="2",F27="7",F27="8"),2,OR(F27="3",F27="4",F27="5",F27="6"),1)</f>
        <v>2</v>
      </c>
      <c r="AD27" s="32" t="s">
        <v>705</v>
      </c>
      <c r="AE27" s="32">
        <v>130011</v>
      </c>
      <c r="AF27" s="32" t="s">
        <v>706</v>
      </c>
      <c r="AG27" s="32">
        <v>308002</v>
      </c>
      <c r="AH27" s="32" t="s">
        <v>707</v>
      </c>
      <c r="AI27" s="32">
        <v>0</v>
      </c>
      <c r="AJ27" s="32">
        <v>1</v>
      </c>
      <c r="AK27" s="32">
        <v>1</v>
      </c>
      <c r="AL27" s="32">
        <v>1</v>
      </c>
      <c r="AM27" s="32">
        <v>0</v>
      </c>
      <c r="AN27" s="32">
        <v>6</v>
      </c>
      <c r="AO27" s="32">
        <v>4000</v>
      </c>
      <c r="AP27" s="32">
        <v>3</v>
      </c>
      <c r="AQ27" s="32">
        <v>30</v>
      </c>
      <c r="AR27" s="32">
        <v>26</v>
      </c>
      <c r="AS27" s="32" t="s">
        <v>213</v>
      </c>
      <c r="AT27" s="32">
        <v>0</v>
      </c>
      <c r="AU27" s="32">
        <v>0</v>
      </c>
    </row>
    <row r="28" s="24" customFormat="1" ht="15" customHeight="1" spans="1:55">
      <c r="A28" s="14">
        <v>111001</v>
      </c>
      <c r="B28" s="14" t="s">
        <v>214</v>
      </c>
      <c r="C28" s="14">
        <v>11</v>
      </c>
      <c r="D28" s="14">
        <v>2</v>
      </c>
      <c r="E28" s="33" t="s">
        <v>221</v>
      </c>
      <c r="F28" s="14" t="s">
        <v>98</v>
      </c>
      <c r="G28" s="14">
        <v>1</v>
      </c>
      <c r="H28" s="14">
        <v>0</v>
      </c>
      <c r="I28" s="14">
        <v>0</v>
      </c>
      <c r="J28" s="14" t="s">
        <v>216</v>
      </c>
      <c r="K28" s="14" t="s">
        <v>216</v>
      </c>
      <c r="L28" s="14"/>
      <c r="M28" s="14">
        <f>士兵数据!L2</f>
        <v>296</v>
      </c>
      <c r="N28" s="14">
        <v>0</v>
      </c>
      <c r="O28" s="14">
        <f>士兵数据!N2</f>
        <v>81</v>
      </c>
      <c r="P28" s="14">
        <v>0</v>
      </c>
      <c r="Q28" s="14">
        <f>士兵数据!P2</f>
        <v>37</v>
      </c>
      <c r="R28" s="14">
        <v>0</v>
      </c>
      <c r="S28" s="14">
        <f>士兵数据!R2</f>
        <v>60</v>
      </c>
      <c r="T28" s="14">
        <v>0</v>
      </c>
      <c r="U28" s="14">
        <f>士兵数据!T2</f>
        <v>31</v>
      </c>
      <c r="V28" s="14">
        <v>0</v>
      </c>
      <c r="W28" s="14">
        <f>士兵数据!V2</f>
        <v>10</v>
      </c>
      <c r="X28" s="14">
        <v>0</v>
      </c>
      <c r="Y28" s="14">
        <v>200</v>
      </c>
      <c r="Z28" s="41">
        <f t="shared" si="0"/>
        <v>600</v>
      </c>
      <c r="AA28" s="14">
        <v>300</v>
      </c>
      <c r="AB28" s="14">
        <v>8</v>
      </c>
      <c r="AC28" s="14">
        <f t="shared" si="2"/>
        <v>2</v>
      </c>
      <c r="AD28" s="14" t="s">
        <v>217</v>
      </c>
      <c r="AE28" s="14">
        <v>0</v>
      </c>
      <c r="AF28" s="14">
        <v>0</v>
      </c>
      <c r="AG28" s="14">
        <v>0</v>
      </c>
      <c r="AH28" s="14">
        <v>0</v>
      </c>
      <c r="AI28" s="14" t="s">
        <v>218</v>
      </c>
      <c r="AJ28" s="14">
        <v>1</v>
      </c>
      <c r="AK28" s="14">
        <v>1</v>
      </c>
      <c r="AL28" s="47">
        <v>11</v>
      </c>
      <c r="AM28" s="47">
        <v>0</v>
      </c>
      <c r="AN28" s="47">
        <v>2</v>
      </c>
      <c r="AO28" s="47">
        <v>0</v>
      </c>
      <c r="AP28" s="47">
        <v>0</v>
      </c>
      <c r="AQ28" s="47">
        <v>20</v>
      </c>
      <c r="AR28" s="47">
        <v>0</v>
      </c>
      <c r="AS28" s="47" t="s">
        <v>219</v>
      </c>
      <c r="AT28" s="47">
        <v>0</v>
      </c>
      <c r="AU28" s="47">
        <v>0</v>
      </c>
      <c r="AV28" s="14"/>
      <c r="AW28" s="14"/>
      <c r="AX28" s="14"/>
      <c r="AY28" s="14"/>
      <c r="AZ28" s="14"/>
      <c r="BA28" s="14"/>
      <c r="BB28" s="14"/>
      <c r="BC28" s="14"/>
    </row>
    <row r="29" s="27" customFormat="1" spans="1:55">
      <c r="A29" s="34">
        <v>111002</v>
      </c>
      <c r="B29" s="34" t="s">
        <v>220</v>
      </c>
      <c r="C29" s="34">
        <v>11</v>
      </c>
      <c r="D29" s="34">
        <v>2</v>
      </c>
      <c r="E29" s="33" t="s">
        <v>221</v>
      </c>
      <c r="F29" s="34" t="s">
        <v>98</v>
      </c>
      <c r="G29" s="34">
        <v>1</v>
      </c>
      <c r="H29" s="34">
        <v>0</v>
      </c>
      <c r="I29" s="34">
        <v>0</v>
      </c>
      <c r="J29" s="34" t="s">
        <v>232</v>
      </c>
      <c r="K29" s="34" t="s">
        <v>232</v>
      </c>
      <c r="L29" s="34"/>
      <c r="M29" s="14">
        <f>士兵数据!L3</f>
        <v>348</v>
      </c>
      <c r="N29" s="14">
        <v>0</v>
      </c>
      <c r="O29" s="14">
        <f>士兵数据!N3</f>
        <v>77</v>
      </c>
      <c r="P29" s="14">
        <v>0</v>
      </c>
      <c r="Q29" s="14">
        <f>士兵数据!P3</f>
        <v>63</v>
      </c>
      <c r="R29" s="14">
        <v>0</v>
      </c>
      <c r="S29" s="14">
        <f>士兵数据!R3</f>
        <v>61</v>
      </c>
      <c r="T29" s="14">
        <v>0</v>
      </c>
      <c r="U29" s="14">
        <f>士兵数据!T3</f>
        <v>54</v>
      </c>
      <c r="V29" s="14">
        <v>0</v>
      </c>
      <c r="W29" s="14">
        <f>士兵数据!V3</f>
        <v>10</v>
      </c>
      <c r="X29" s="14">
        <v>0</v>
      </c>
      <c r="Y29" s="14">
        <v>200</v>
      </c>
      <c r="Z29" s="41">
        <f t="shared" si="0"/>
        <v>600</v>
      </c>
      <c r="AA29" s="14">
        <v>300</v>
      </c>
      <c r="AB29" s="14">
        <v>8</v>
      </c>
      <c r="AC29" s="14">
        <f t="shared" si="2"/>
        <v>2</v>
      </c>
      <c r="AD29" s="14" t="s">
        <v>708</v>
      </c>
      <c r="AE29" s="14">
        <v>0</v>
      </c>
      <c r="AF29" s="14">
        <v>0</v>
      </c>
      <c r="AG29" s="14">
        <v>0</v>
      </c>
      <c r="AH29" s="14">
        <v>0</v>
      </c>
      <c r="AI29" s="14" t="s">
        <v>218</v>
      </c>
      <c r="AJ29" s="14">
        <f t="shared" ref="AJ29:AJ73" si="3">AJ28</f>
        <v>1</v>
      </c>
      <c r="AK29" s="14">
        <v>1</v>
      </c>
      <c r="AL29" s="34">
        <v>11</v>
      </c>
      <c r="AM29" s="34">
        <v>0</v>
      </c>
      <c r="AN29" s="34">
        <v>4</v>
      </c>
      <c r="AO29" s="34">
        <v>0</v>
      </c>
      <c r="AP29" s="34">
        <v>0</v>
      </c>
      <c r="AQ29" s="34">
        <v>90</v>
      </c>
      <c r="AR29" s="34">
        <v>0</v>
      </c>
      <c r="AS29" s="34" t="s">
        <v>224</v>
      </c>
      <c r="AT29" s="34">
        <v>0</v>
      </c>
      <c r="AU29" s="34">
        <v>0</v>
      </c>
      <c r="AV29" s="34"/>
      <c r="AW29" s="34"/>
      <c r="AX29" s="34"/>
      <c r="AY29" s="34"/>
      <c r="AZ29" s="34"/>
      <c r="BA29" s="34"/>
      <c r="BB29" s="34"/>
      <c r="BC29" s="34"/>
    </row>
    <row r="30" s="24" customFormat="1" spans="1:55">
      <c r="A30" s="14">
        <v>121001</v>
      </c>
      <c r="B30" s="14" t="s">
        <v>225</v>
      </c>
      <c r="C30" s="14">
        <v>11</v>
      </c>
      <c r="D30" s="14">
        <v>2</v>
      </c>
      <c r="E30" s="33" t="s">
        <v>709</v>
      </c>
      <c r="F30" s="14" t="s">
        <v>98</v>
      </c>
      <c r="G30" s="14">
        <v>2</v>
      </c>
      <c r="H30" s="14">
        <v>0</v>
      </c>
      <c r="I30" s="14">
        <v>0</v>
      </c>
      <c r="J30" s="14" t="s">
        <v>227</v>
      </c>
      <c r="K30" s="14" t="s">
        <v>227</v>
      </c>
      <c r="L30" s="14"/>
      <c r="M30" s="14">
        <f>士兵数据!L4</f>
        <v>676</v>
      </c>
      <c r="N30" s="14">
        <v>0</v>
      </c>
      <c r="O30" s="14">
        <f>士兵数据!N4</f>
        <v>101</v>
      </c>
      <c r="P30" s="14">
        <v>0</v>
      </c>
      <c r="Q30" s="14">
        <f>士兵数据!P4</f>
        <v>73</v>
      </c>
      <c r="R30" s="14">
        <v>0</v>
      </c>
      <c r="S30" s="14">
        <f>士兵数据!R4</f>
        <v>85</v>
      </c>
      <c r="T30" s="14">
        <v>0</v>
      </c>
      <c r="U30" s="14">
        <f>士兵数据!T4</f>
        <v>63</v>
      </c>
      <c r="V30" s="14">
        <v>0</v>
      </c>
      <c r="W30" s="14">
        <f>士兵数据!V4</f>
        <v>11</v>
      </c>
      <c r="X30" s="14">
        <v>0</v>
      </c>
      <c r="Y30" s="14">
        <v>200</v>
      </c>
      <c r="Z30" s="41">
        <f t="shared" si="0"/>
        <v>600</v>
      </c>
      <c r="AA30" s="14">
        <v>300</v>
      </c>
      <c r="AB30" s="14">
        <v>8</v>
      </c>
      <c r="AC30" s="14">
        <f t="shared" si="2"/>
        <v>2</v>
      </c>
      <c r="AD30" s="14" t="s">
        <v>228</v>
      </c>
      <c r="AE30" s="14">
        <v>0</v>
      </c>
      <c r="AF30" s="14">
        <v>0</v>
      </c>
      <c r="AG30" s="14">
        <v>0</v>
      </c>
      <c r="AH30" s="14">
        <v>0</v>
      </c>
      <c r="AI30" s="14" t="s">
        <v>229</v>
      </c>
      <c r="AJ30" s="14">
        <f t="shared" si="3"/>
        <v>1</v>
      </c>
      <c r="AK30" s="14">
        <v>1</v>
      </c>
      <c r="AL30" s="47">
        <v>11</v>
      </c>
      <c r="AM30" s="47">
        <v>0</v>
      </c>
      <c r="AN30" s="47">
        <v>4</v>
      </c>
      <c r="AO30" s="47">
        <v>0</v>
      </c>
      <c r="AP30" s="47">
        <v>0</v>
      </c>
      <c r="AQ30" s="47">
        <v>90</v>
      </c>
      <c r="AR30" s="47">
        <v>0</v>
      </c>
      <c r="AS30" s="47" t="s">
        <v>224</v>
      </c>
      <c r="AT30" s="47">
        <v>0</v>
      </c>
      <c r="AU30" s="47">
        <v>0</v>
      </c>
      <c r="AV30" s="14"/>
      <c r="AW30" s="14"/>
      <c r="AX30" s="14"/>
      <c r="AY30" s="14"/>
      <c r="AZ30" s="14"/>
      <c r="BA30" s="14"/>
      <c r="BB30" s="14"/>
      <c r="BC30" s="14"/>
    </row>
    <row r="31" s="27" customFormat="1" spans="1:55">
      <c r="A31" s="34">
        <v>121002</v>
      </c>
      <c r="B31" s="34" t="s">
        <v>230</v>
      </c>
      <c r="C31" s="34">
        <v>11</v>
      </c>
      <c r="D31" s="34">
        <v>2</v>
      </c>
      <c r="E31" s="33" t="s">
        <v>709</v>
      </c>
      <c r="F31" s="34" t="s">
        <v>98</v>
      </c>
      <c r="G31" s="34">
        <v>2</v>
      </c>
      <c r="H31" s="34">
        <v>0</v>
      </c>
      <c r="I31" s="34">
        <v>0</v>
      </c>
      <c r="J31" s="34" t="s">
        <v>222</v>
      </c>
      <c r="K31" s="34" t="s">
        <v>222</v>
      </c>
      <c r="L31" s="34"/>
      <c r="M31" s="14">
        <f>士兵数据!L5</f>
        <v>827</v>
      </c>
      <c r="N31" s="14">
        <v>0</v>
      </c>
      <c r="O31" s="14">
        <f>士兵数据!N5</f>
        <v>126</v>
      </c>
      <c r="P31" s="14">
        <v>0</v>
      </c>
      <c r="Q31" s="14">
        <f>士兵数据!P5</f>
        <v>91</v>
      </c>
      <c r="R31" s="14">
        <v>0</v>
      </c>
      <c r="S31" s="14">
        <f>士兵数据!R5</f>
        <v>102</v>
      </c>
      <c r="T31" s="14">
        <v>0</v>
      </c>
      <c r="U31" s="14">
        <f>士兵数据!T5</f>
        <v>79</v>
      </c>
      <c r="V31" s="14">
        <v>0</v>
      </c>
      <c r="W31" s="14">
        <f>士兵数据!V5</f>
        <v>11</v>
      </c>
      <c r="X31" s="14">
        <v>0</v>
      </c>
      <c r="Y31" s="14">
        <v>200</v>
      </c>
      <c r="Z31" s="41">
        <f t="shared" si="0"/>
        <v>600</v>
      </c>
      <c r="AA31" s="14">
        <v>300</v>
      </c>
      <c r="AB31" s="14">
        <v>8</v>
      </c>
      <c r="AC31" s="14">
        <f t="shared" si="2"/>
        <v>2</v>
      </c>
      <c r="AD31" s="14" t="s">
        <v>710</v>
      </c>
      <c r="AE31" s="14">
        <v>0</v>
      </c>
      <c r="AF31" s="14">
        <v>0</v>
      </c>
      <c r="AG31" s="14">
        <v>0</v>
      </c>
      <c r="AH31" s="14">
        <v>0</v>
      </c>
      <c r="AI31" s="14" t="s">
        <v>218</v>
      </c>
      <c r="AJ31" s="14">
        <f t="shared" si="3"/>
        <v>1</v>
      </c>
      <c r="AK31" s="14">
        <v>1</v>
      </c>
      <c r="AL31" s="34">
        <v>11</v>
      </c>
      <c r="AM31" s="34">
        <v>0</v>
      </c>
      <c r="AN31" s="34">
        <v>4</v>
      </c>
      <c r="AO31" s="34">
        <v>0</v>
      </c>
      <c r="AP31" s="34">
        <v>0</v>
      </c>
      <c r="AQ31" s="34">
        <v>90</v>
      </c>
      <c r="AR31" s="34">
        <v>0</v>
      </c>
      <c r="AS31" s="34" t="s">
        <v>224</v>
      </c>
      <c r="AT31" s="34">
        <v>0</v>
      </c>
      <c r="AU31" s="34">
        <v>0</v>
      </c>
      <c r="AV31" s="34"/>
      <c r="AW31" s="34"/>
      <c r="AX31" s="34"/>
      <c r="AY31" s="34"/>
      <c r="AZ31" s="34"/>
      <c r="BA31" s="34"/>
      <c r="BB31" s="34"/>
      <c r="BC31" s="34"/>
    </row>
    <row r="32" s="24" customFormat="1" spans="1:55">
      <c r="A32" s="14">
        <v>131001</v>
      </c>
      <c r="B32" s="14" t="s">
        <v>234</v>
      </c>
      <c r="C32" s="14">
        <v>11</v>
      </c>
      <c r="D32" s="14">
        <v>2</v>
      </c>
      <c r="E32" s="33" t="s">
        <v>711</v>
      </c>
      <c r="F32" s="14" t="s">
        <v>98</v>
      </c>
      <c r="G32" s="14">
        <v>3</v>
      </c>
      <c r="H32" s="14">
        <v>0</v>
      </c>
      <c r="I32" s="14">
        <v>0</v>
      </c>
      <c r="J32" s="14" t="s">
        <v>236</v>
      </c>
      <c r="K32" s="14" t="s">
        <v>236</v>
      </c>
      <c r="L32" s="14"/>
      <c r="M32" s="14">
        <f>士兵数据!L6</f>
        <v>1170</v>
      </c>
      <c r="N32" s="14">
        <v>0</v>
      </c>
      <c r="O32" s="14">
        <f>士兵数据!N6</f>
        <v>176</v>
      </c>
      <c r="P32" s="14">
        <v>0</v>
      </c>
      <c r="Q32" s="14">
        <f>士兵数据!P6</f>
        <v>111</v>
      </c>
      <c r="R32" s="14">
        <v>0</v>
      </c>
      <c r="S32" s="14">
        <f>士兵数据!R6</f>
        <v>123</v>
      </c>
      <c r="T32" s="14">
        <v>0</v>
      </c>
      <c r="U32" s="14">
        <f>士兵数据!T6</f>
        <v>98</v>
      </c>
      <c r="V32" s="14">
        <v>0</v>
      </c>
      <c r="W32" s="14">
        <f>士兵数据!V6</f>
        <v>11</v>
      </c>
      <c r="X32" s="14">
        <v>0</v>
      </c>
      <c r="Y32" s="14">
        <v>200</v>
      </c>
      <c r="Z32" s="41">
        <f t="shared" si="0"/>
        <v>600</v>
      </c>
      <c r="AA32" s="14">
        <v>300</v>
      </c>
      <c r="AB32" s="14">
        <v>8</v>
      </c>
      <c r="AC32" s="14">
        <f t="shared" si="2"/>
        <v>2</v>
      </c>
      <c r="AD32" s="14" t="s">
        <v>237</v>
      </c>
      <c r="AE32" s="14">
        <v>0</v>
      </c>
      <c r="AF32" s="14">
        <v>0</v>
      </c>
      <c r="AG32" s="14">
        <v>0</v>
      </c>
      <c r="AH32" s="14">
        <v>0</v>
      </c>
      <c r="AI32" s="14" t="s">
        <v>238</v>
      </c>
      <c r="AJ32" s="14">
        <f t="shared" si="3"/>
        <v>1</v>
      </c>
      <c r="AK32" s="14">
        <v>1</v>
      </c>
      <c r="AL32" s="47">
        <v>11</v>
      </c>
      <c r="AM32" s="47">
        <v>0</v>
      </c>
      <c r="AN32" s="47">
        <v>4</v>
      </c>
      <c r="AO32" s="47">
        <v>0</v>
      </c>
      <c r="AP32" s="47">
        <v>0</v>
      </c>
      <c r="AQ32" s="47">
        <v>90</v>
      </c>
      <c r="AR32" s="47">
        <v>0</v>
      </c>
      <c r="AS32" s="47" t="s">
        <v>224</v>
      </c>
      <c r="AT32" s="47">
        <v>0</v>
      </c>
      <c r="AU32" s="47">
        <v>0</v>
      </c>
      <c r="AV32" s="14"/>
      <c r="AW32" s="14"/>
      <c r="AX32" s="14"/>
      <c r="AY32" s="14"/>
      <c r="AZ32" s="14"/>
      <c r="BA32" s="14"/>
      <c r="BB32" s="14"/>
      <c r="BC32" s="14"/>
    </row>
    <row r="33" s="27" customFormat="1" spans="1:55">
      <c r="A33" s="34">
        <v>131002</v>
      </c>
      <c r="B33" s="34" t="s">
        <v>712</v>
      </c>
      <c r="C33" s="34">
        <v>11</v>
      </c>
      <c r="D33" s="34">
        <v>2</v>
      </c>
      <c r="E33" s="33" t="s">
        <v>711</v>
      </c>
      <c r="F33" s="34" t="s">
        <v>98</v>
      </c>
      <c r="G33" s="34">
        <v>3</v>
      </c>
      <c r="H33" s="34">
        <v>0</v>
      </c>
      <c r="I33" s="34">
        <v>0</v>
      </c>
      <c r="J33" s="34" t="s">
        <v>246</v>
      </c>
      <c r="K33" s="34" t="s">
        <v>246</v>
      </c>
      <c r="L33" s="34"/>
      <c r="M33" s="14">
        <f>士兵数据!L7</f>
        <v>1155</v>
      </c>
      <c r="N33" s="14">
        <v>0</v>
      </c>
      <c r="O33" s="14">
        <f>士兵数据!N7</f>
        <v>166</v>
      </c>
      <c r="P33" s="14">
        <v>0</v>
      </c>
      <c r="Q33" s="14">
        <f>士兵数据!P7</f>
        <v>118</v>
      </c>
      <c r="R33" s="14">
        <v>0</v>
      </c>
      <c r="S33" s="14">
        <f>士兵数据!R7</f>
        <v>125</v>
      </c>
      <c r="T33" s="14">
        <v>0</v>
      </c>
      <c r="U33" s="14">
        <f>士兵数据!T7</f>
        <v>103</v>
      </c>
      <c r="V33" s="14">
        <v>0</v>
      </c>
      <c r="W33" s="14">
        <f>士兵数据!V7</f>
        <v>11</v>
      </c>
      <c r="X33" s="14">
        <v>0</v>
      </c>
      <c r="Y33" s="14">
        <v>200</v>
      </c>
      <c r="Z33" s="41">
        <f t="shared" si="0"/>
        <v>600</v>
      </c>
      <c r="AA33" s="14">
        <v>300</v>
      </c>
      <c r="AB33" s="14">
        <v>8</v>
      </c>
      <c r="AC33" s="14">
        <f t="shared" si="2"/>
        <v>2</v>
      </c>
      <c r="AD33" s="14" t="s">
        <v>242</v>
      </c>
      <c r="AE33" s="14">
        <v>0</v>
      </c>
      <c r="AF33" s="14">
        <v>0</v>
      </c>
      <c r="AG33" s="14">
        <v>0</v>
      </c>
      <c r="AH33" s="14">
        <v>0</v>
      </c>
      <c r="AI33" s="14" t="s">
        <v>243</v>
      </c>
      <c r="AJ33" s="14">
        <f t="shared" si="3"/>
        <v>1</v>
      </c>
      <c r="AK33" s="14">
        <v>1</v>
      </c>
      <c r="AL33" s="34">
        <v>11</v>
      </c>
      <c r="AM33" s="34">
        <v>0</v>
      </c>
      <c r="AN33" s="34">
        <v>4</v>
      </c>
      <c r="AO33" s="34">
        <v>0</v>
      </c>
      <c r="AP33" s="34">
        <v>0</v>
      </c>
      <c r="AQ33" s="34">
        <v>90</v>
      </c>
      <c r="AR33" s="34">
        <v>0</v>
      </c>
      <c r="AS33" s="34" t="s">
        <v>224</v>
      </c>
      <c r="AT33" s="34">
        <v>0</v>
      </c>
      <c r="AU33" s="34">
        <v>0</v>
      </c>
      <c r="AV33" s="34"/>
      <c r="AW33" s="34"/>
      <c r="AX33" s="34"/>
      <c r="AY33" s="34"/>
      <c r="AZ33" s="34"/>
      <c r="BA33" s="34"/>
      <c r="BB33" s="34"/>
      <c r="BC33" s="34"/>
    </row>
    <row r="34" s="27" customFormat="1" spans="1:55">
      <c r="A34" s="34">
        <v>131003</v>
      </c>
      <c r="B34" s="34" t="s">
        <v>713</v>
      </c>
      <c r="C34" s="34">
        <v>11</v>
      </c>
      <c r="D34" s="34">
        <v>2</v>
      </c>
      <c r="E34" s="33" t="s">
        <v>711</v>
      </c>
      <c r="F34" s="34" t="s">
        <v>98</v>
      </c>
      <c r="G34" s="34">
        <v>3</v>
      </c>
      <c r="H34" s="34">
        <v>0</v>
      </c>
      <c r="I34" s="34">
        <v>0</v>
      </c>
      <c r="J34" s="34" t="s">
        <v>251</v>
      </c>
      <c r="K34" s="34" t="s">
        <v>251</v>
      </c>
      <c r="L34" s="34"/>
      <c r="M34" s="14">
        <f>士兵数据!L8</f>
        <v>1423</v>
      </c>
      <c r="N34" s="14">
        <v>0</v>
      </c>
      <c r="O34" s="14">
        <f>士兵数据!N8</f>
        <v>247</v>
      </c>
      <c r="P34" s="14">
        <v>0</v>
      </c>
      <c r="Q34" s="14">
        <f>士兵数据!P8</f>
        <v>131</v>
      </c>
      <c r="R34" s="14">
        <v>0</v>
      </c>
      <c r="S34" s="14">
        <f>士兵数据!R8</f>
        <v>144</v>
      </c>
      <c r="T34" s="14">
        <v>0</v>
      </c>
      <c r="U34" s="14">
        <f>士兵数据!T8</f>
        <v>142</v>
      </c>
      <c r="V34" s="14">
        <v>0</v>
      </c>
      <c r="W34" s="14">
        <f>士兵数据!V8</f>
        <v>11</v>
      </c>
      <c r="X34" s="14">
        <v>0</v>
      </c>
      <c r="Y34" s="14">
        <v>200</v>
      </c>
      <c r="Z34" s="41">
        <f t="shared" si="0"/>
        <v>600</v>
      </c>
      <c r="AA34" s="14">
        <v>300</v>
      </c>
      <c r="AB34" s="14">
        <v>8</v>
      </c>
      <c r="AC34" s="14">
        <f t="shared" si="2"/>
        <v>2</v>
      </c>
      <c r="AD34" s="14" t="s">
        <v>247</v>
      </c>
      <c r="AE34" s="14">
        <v>0</v>
      </c>
      <c r="AF34" s="14">
        <v>0</v>
      </c>
      <c r="AG34" s="14">
        <v>0</v>
      </c>
      <c r="AH34" s="14">
        <v>0</v>
      </c>
      <c r="AI34" s="14" t="s">
        <v>248</v>
      </c>
      <c r="AJ34" s="14">
        <f t="shared" si="3"/>
        <v>1</v>
      </c>
      <c r="AK34" s="14">
        <v>1</v>
      </c>
      <c r="AL34" s="34">
        <v>11</v>
      </c>
      <c r="AM34" s="34">
        <v>0</v>
      </c>
      <c r="AN34" s="34">
        <v>4</v>
      </c>
      <c r="AO34" s="34">
        <v>0</v>
      </c>
      <c r="AP34" s="34">
        <v>0</v>
      </c>
      <c r="AQ34" s="34">
        <v>90</v>
      </c>
      <c r="AR34" s="34">
        <v>0</v>
      </c>
      <c r="AS34" s="34" t="s">
        <v>224</v>
      </c>
      <c r="AT34" s="34">
        <v>0</v>
      </c>
      <c r="AU34" s="34">
        <v>0</v>
      </c>
      <c r="AV34" s="34"/>
      <c r="AW34" s="34"/>
      <c r="AX34" s="34"/>
      <c r="AY34" s="34"/>
      <c r="AZ34" s="34"/>
      <c r="BA34" s="34"/>
      <c r="BB34" s="34"/>
      <c r="BC34" s="34"/>
    </row>
    <row r="35" s="27" customFormat="1" spans="1:55">
      <c r="A35" s="34">
        <v>131004</v>
      </c>
      <c r="B35" s="34" t="s">
        <v>244</v>
      </c>
      <c r="C35" s="34">
        <v>11</v>
      </c>
      <c r="D35" s="34">
        <v>2</v>
      </c>
      <c r="E35" s="33" t="s">
        <v>711</v>
      </c>
      <c r="F35" s="34" t="s">
        <v>98</v>
      </c>
      <c r="G35" s="34">
        <v>3</v>
      </c>
      <c r="H35" s="34">
        <v>0</v>
      </c>
      <c r="I35" s="34">
        <v>0</v>
      </c>
      <c r="J35" s="34" t="s">
        <v>241</v>
      </c>
      <c r="K35" s="34" t="s">
        <v>241</v>
      </c>
      <c r="L35" s="34"/>
      <c r="M35" s="14">
        <f>士兵数据!L9</f>
        <v>1946</v>
      </c>
      <c r="N35" s="14">
        <v>0</v>
      </c>
      <c r="O35" s="14">
        <f>士兵数据!N9</f>
        <v>296</v>
      </c>
      <c r="P35" s="14">
        <v>0</v>
      </c>
      <c r="Q35" s="14">
        <f>士兵数据!P9</f>
        <v>151</v>
      </c>
      <c r="R35" s="14">
        <v>0</v>
      </c>
      <c r="S35" s="14">
        <f>士兵数据!R9</f>
        <v>172</v>
      </c>
      <c r="T35" s="14">
        <v>0</v>
      </c>
      <c r="U35" s="14">
        <f>士兵数据!T9</f>
        <v>133</v>
      </c>
      <c r="V35" s="14">
        <v>0</v>
      </c>
      <c r="W35" s="14">
        <f>士兵数据!V9</f>
        <v>12</v>
      </c>
      <c r="X35" s="14">
        <v>0</v>
      </c>
      <c r="Y35" s="14">
        <v>200</v>
      </c>
      <c r="Z35" s="41">
        <f t="shared" si="0"/>
        <v>600</v>
      </c>
      <c r="AA35" s="14">
        <v>300</v>
      </c>
      <c r="AB35" s="14">
        <v>8</v>
      </c>
      <c r="AC35" s="14">
        <f t="shared" si="2"/>
        <v>2</v>
      </c>
      <c r="AD35" s="14" t="s">
        <v>252</v>
      </c>
      <c r="AE35" s="14">
        <v>0</v>
      </c>
      <c r="AF35" s="14">
        <v>0</v>
      </c>
      <c r="AG35" s="14">
        <v>0</v>
      </c>
      <c r="AH35" s="14">
        <v>0</v>
      </c>
      <c r="AI35" s="14" t="s">
        <v>253</v>
      </c>
      <c r="AJ35" s="14">
        <f t="shared" si="3"/>
        <v>1</v>
      </c>
      <c r="AK35" s="14">
        <v>1</v>
      </c>
      <c r="AL35" s="34">
        <v>11</v>
      </c>
      <c r="AM35" s="34">
        <v>0</v>
      </c>
      <c r="AN35" s="34">
        <v>4</v>
      </c>
      <c r="AO35" s="34">
        <v>0</v>
      </c>
      <c r="AP35" s="34">
        <v>0</v>
      </c>
      <c r="AQ35" s="34">
        <v>90</v>
      </c>
      <c r="AR35" s="34">
        <v>0</v>
      </c>
      <c r="AS35" s="34" t="s">
        <v>224</v>
      </c>
      <c r="AT35" s="34">
        <v>0</v>
      </c>
      <c r="AU35" s="34">
        <v>0</v>
      </c>
      <c r="AV35" s="34"/>
      <c r="AW35" s="34"/>
      <c r="AX35" s="34"/>
      <c r="AY35" s="34"/>
      <c r="AZ35" s="34"/>
      <c r="BA35" s="34"/>
      <c r="BB35" s="34"/>
      <c r="BC35" s="34"/>
    </row>
    <row r="36" s="24" customFormat="1" spans="1:47">
      <c r="A36" s="15">
        <v>211001</v>
      </c>
      <c r="B36" s="15" t="s">
        <v>257</v>
      </c>
      <c r="C36" s="15">
        <v>11</v>
      </c>
      <c r="D36" s="15">
        <v>2</v>
      </c>
      <c r="E36" s="33" t="s">
        <v>258</v>
      </c>
      <c r="F36" s="15" t="s">
        <v>106</v>
      </c>
      <c r="G36" s="15">
        <v>1</v>
      </c>
      <c r="H36" s="15">
        <v>0</v>
      </c>
      <c r="I36" s="15">
        <v>0</v>
      </c>
      <c r="J36" s="15" t="s">
        <v>259</v>
      </c>
      <c r="K36" s="15" t="s">
        <v>259</v>
      </c>
      <c r="L36" s="15"/>
      <c r="M36" s="14">
        <f>士兵数据!L11</f>
        <v>619</v>
      </c>
      <c r="N36" s="14">
        <v>0</v>
      </c>
      <c r="O36" s="14">
        <f>士兵数据!N11</f>
        <v>103</v>
      </c>
      <c r="P36" s="14">
        <v>0</v>
      </c>
      <c r="Q36" s="14">
        <f>士兵数据!P11</f>
        <v>49</v>
      </c>
      <c r="R36" s="14">
        <v>0</v>
      </c>
      <c r="S36" s="14">
        <f>士兵数据!R11</f>
        <v>91</v>
      </c>
      <c r="T36" s="14">
        <v>0</v>
      </c>
      <c r="U36" s="14">
        <f>士兵数据!T11</f>
        <v>42</v>
      </c>
      <c r="V36" s="14">
        <v>0</v>
      </c>
      <c r="W36" s="14">
        <f>士兵数据!V11</f>
        <v>11</v>
      </c>
      <c r="X36" s="14">
        <v>0</v>
      </c>
      <c r="Y36" s="14">
        <v>200</v>
      </c>
      <c r="Z36" s="41">
        <f t="shared" si="0"/>
        <v>600</v>
      </c>
      <c r="AA36" s="14">
        <v>400</v>
      </c>
      <c r="AB36" s="14">
        <v>8</v>
      </c>
      <c r="AC36" s="14">
        <f t="shared" si="2"/>
        <v>2</v>
      </c>
      <c r="AD36" s="14" t="s">
        <v>260</v>
      </c>
      <c r="AE36" s="14">
        <v>0</v>
      </c>
      <c r="AF36" s="14">
        <v>0</v>
      </c>
      <c r="AG36" s="14">
        <v>0</v>
      </c>
      <c r="AH36" s="14">
        <v>0</v>
      </c>
      <c r="AI36" s="14" t="s">
        <v>261</v>
      </c>
      <c r="AJ36" s="14">
        <f t="shared" si="3"/>
        <v>1</v>
      </c>
      <c r="AK36" s="14">
        <v>1</v>
      </c>
      <c r="AL36" s="31">
        <v>11</v>
      </c>
      <c r="AM36" s="31">
        <v>0</v>
      </c>
      <c r="AN36" s="31">
        <v>4</v>
      </c>
      <c r="AO36" s="31">
        <v>0</v>
      </c>
      <c r="AP36" s="31">
        <v>0</v>
      </c>
      <c r="AQ36" s="31">
        <v>90</v>
      </c>
      <c r="AR36" s="31">
        <v>0</v>
      </c>
      <c r="AS36" s="31" t="s">
        <v>224</v>
      </c>
      <c r="AT36" s="31">
        <v>0</v>
      </c>
      <c r="AU36" s="31">
        <v>0</v>
      </c>
    </row>
    <row r="37" s="24" customFormat="1" spans="1:47">
      <c r="A37" s="15">
        <v>221001</v>
      </c>
      <c r="B37" s="15" t="s">
        <v>262</v>
      </c>
      <c r="C37" s="15">
        <v>11</v>
      </c>
      <c r="D37" s="15">
        <v>2</v>
      </c>
      <c r="E37" s="33" t="s">
        <v>714</v>
      </c>
      <c r="F37" s="15" t="s">
        <v>106</v>
      </c>
      <c r="G37" s="15">
        <v>2</v>
      </c>
      <c r="H37" s="15">
        <v>0</v>
      </c>
      <c r="I37" s="15">
        <v>0</v>
      </c>
      <c r="J37" s="15" t="s">
        <v>264</v>
      </c>
      <c r="K37" s="15" t="s">
        <v>264</v>
      </c>
      <c r="L37" s="15"/>
      <c r="M37" s="14">
        <f>士兵数据!L12</f>
        <v>967</v>
      </c>
      <c r="N37" s="14">
        <v>0</v>
      </c>
      <c r="O37" s="14">
        <f>士兵数据!N12</f>
        <v>132</v>
      </c>
      <c r="P37" s="14">
        <v>0</v>
      </c>
      <c r="Q37" s="14">
        <f>士兵数据!P12</f>
        <v>68</v>
      </c>
      <c r="R37" s="14">
        <v>0</v>
      </c>
      <c r="S37" s="14">
        <f>士兵数据!R12</f>
        <v>110</v>
      </c>
      <c r="T37" s="14">
        <v>0</v>
      </c>
      <c r="U37" s="14">
        <f>士兵数据!T12</f>
        <v>60</v>
      </c>
      <c r="V37" s="14">
        <v>0</v>
      </c>
      <c r="W37" s="14">
        <f>士兵数据!V12</f>
        <v>12</v>
      </c>
      <c r="X37" s="14">
        <v>0</v>
      </c>
      <c r="Y37" s="14">
        <v>200</v>
      </c>
      <c r="Z37" s="41">
        <f t="shared" si="0"/>
        <v>600</v>
      </c>
      <c r="AA37" s="14">
        <v>400</v>
      </c>
      <c r="AB37" s="14">
        <v>8</v>
      </c>
      <c r="AC37" s="14">
        <f t="shared" si="2"/>
        <v>2</v>
      </c>
      <c r="AD37" s="14" t="s">
        <v>265</v>
      </c>
      <c r="AE37" s="14">
        <v>0</v>
      </c>
      <c r="AF37" s="14">
        <v>0</v>
      </c>
      <c r="AG37" s="14">
        <v>0</v>
      </c>
      <c r="AH37" s="14">
        <v>0</v>
      </c>
      <c r="AI37" s="14" t="s">
        <v>266</v>
      </c>
      <c r="AJ37" s="14">
        <f t="shared" si="3"/>
        <v>1</v>
      </c>
      <c r="AK37" s="14">
        <v>1</v>
      </c>
      <c r="AL37" s="31">
        <v>11</v>
      </c>
      <c r="AM37" s="31">
        <v>0</v>
      </c>
      <c r="AN37" s="31">
        <v>4</v>
      </c>
      <c r="AO37" s="31">
        <v>0</v>
      </c>
      <c r="AP37" s="31">
        <v>0</v>
      </c>
      <c r="AQ37" s="31">
        <v>90</v>
      </c>
      <c r="AR37" s="31">
        <v>0</v>
      </c>
      <c r="AS37" s="31" t="s">
        <v>224</v>
      </c>
      <c r="AT37" s="31">
        <v>0</v>
      </c>
      <c r="AU37" s="31">
        <v>0</v>
      </c>
    </row>
    <row r="38" s="24" customFormat="1" spans="1:47">
      <c r="A38" s="15">
        <v>231001</v>
      </c>
      <c r="B38" s="15" t="s">
        <v>278</v>
      </c>
      <c r="C38" s="15">
        <v>11</v>
      </c>
      <c r="D38" s="15">
        <v>2</v>
      </c>
      <c r="E38" s="33" t="s">
        <v>371</v>
      </c>
      <c r="F38" s="15" t="s">
        <v>106</v>
      </c>
      <c r="G38" s="15">
        <v>3</v>
      </c>
      <c r="H38" s="15">
        <v>0</v>
      </c>
      <c r="I38" s="15">
        <v>0</v>
      </c>
      <c r="J38" s="15" t="s">
        <v>280</v>
      </c>
      <c r="K38" s="15" t="s">
        <v>280</v>
      </c>
      <c r="L38" s="15"/>
      <c r="M38" s="14">
        <f>士兵数据!L13</f>
        <v>1391</v>
      </c>
      <c r="N38" s="14">
        <v>0</v>
      </c>
      <c r="O38" s="14">
        <f>士兵数据!N13</f>
        <v>188</v>
      </c>
      <c r="P38" s="14">
        <v>0</v>
      </c>
      <c r="Q38" s="14">
        <f>士兵数据!P13</f>
        <v>89</v>
      </c>
      <c r="R38" s="14">
        <v>0</v>
      </c>
      <c r="S38" s="14">
        <f>士兵数据!R13</f>
        <v>130</v>
      </c>
      <c r="T38" s="14">
        <v>0</v>
      </c>
      <c r="U38" s="14">
        <f>士兵数据!T13</f>
        <v>77</v>
      </c>
      <c r="V38" s="14">
        <v>0</v>
      </c>
      <c r="W38" s="14">
        <f>士兵数据!V13</f>
        <v>12</v>
      </c>
      <c r="X38" s="14">
        <v>0</v>
      </c>
      <c r="Y38" s="14">
        <v>200</v>
      </c>
      <c r="Z38" s="41">
        <f t="shared" si="0"/>
        <v>600</v>
      </c>
      <c r="AA38" s="14">
        <v>400</v>
      </c>
      <c r="AB38" s="14">
        <v>8</v>
      </c>
      <c r="AC38" s="14">
        <f t="shared" si="2"/>
        <v>2</v>
      </c>
      <c r="AD38" s="14" t="s">
        <v>270</v>
      </c>
      <c r="AE38" s="14">
        <v>0</v>
      </c>
      <c r="AF38" s="14">
        <v>0</v>
      </c>
      <c r="AG38" s="14">
        <v>0</v>
      </c>
      <c r="AH38" s="14">
        <v>0</v>
      </c>
      <c r="AI38" s="14" t="s">
        <v>266</v>
      </c>
      <c r="AJ38" s="14">
        <f t="shared" si="3"/>
        <v>1</v>
      </c>
      <c r="AK38" s="14">
        <v>1</v>
      </c>
      <c r="AL38" s="31">
        <v>11</v>
      </c>
      <c r="AM38" s="31">
        <v>0</v>
      </c>
      <c r="AN38" s="31">
        <v>4</v>
      </c>
      <c r="AO38" s="31">
        <v>0</v>
      </c>
      <c r="AP38" s="31">
        <v>0</v>
      </c>
      <c r="AQ38" s="31">
        <v>90</v>
      </c>
      <c r="AR38" s="31">
        <v>0</v>
      </c>
      <c r="AS38" s="31" t="s">
        <v>224</v>
      </c>
      <c r="AT38" s="31">
        <v>0</v>
      </c>
      <c r="AU38" s="31">
        <v>0</v>
      </c>
    </row>
    <row r="39" s="24" customFormat="1" spans="1:47">
      <c r="A39" s="15">
        <v>231002</v>
      </c>
      <c r="B39" s="15" t="s">
        <v>715</v>
      </c>
      <c r="C39" s="15">
        <v>11</v>
      </c>
      <c r="D39" s="15">
        <v>2</v>
      </c>
      <c r="E39" s="33" t="s">
        <v>371</v>
      </c>
      <c r="F39" s="15" t="s">
        <v>106</v>
      </c>
      <c r="G39" s="15">
        <v>3</v>
      </c>
      <c r="H39" s="15">
        <v>0</v>
      </c>
      <c r="I39" s="15">
        <v>0</v>
      </c>
      <c r="J39" s="15" t="s">
        <v>269</v>
      </c>
      <c r="K39" s="15" t="s">
        <v>269</v>
      </c>
      <c r="L39" s="15"/>
      <c r="M39" s="14">
        <f>士兵数据!L14</f>
        <v>1732</v>
      </c>
      <c r="N39" s="14">
        <v>0</v>
      </c>
      <c r="O39" s="14">
        <f>士兵数据!N14</f>
        <v>229</v>
      </c>
      <c r="P39" s="14">
        <v>0</v>
      </c>
      <c r="Q39" s="14">
        <f>士兵数据!P14</f>
        <v>105</v>
      </c>
      <c r="R39" s="14">
        <v>0</v>
      </c>
      <c r="S39" s="14">
        <f>士兵数据!R14</f>
        <v>136</v>
      </c>
      <c r="T39" s="14">
        <v>0</v>
      </c>
      <c r="U39" s="14">
        <f>士兵数据!T14</f>
        <v>91</v>
      </c>
      <c r="V39" s="14">
        <v>0</v>
      </c>
      <c r="W39" s="14">
        <f>士兵数据!V14</f>
        <v>12</v>
      </c>
      <c r="X39" s="14">
        <v>0</v>
      </c>
      <c r="Y39" s="14">
        <v>200</v>
      </c>
      <c r="Z39" s="41">
        <f t="shared" si="0"/>
        <v>600</v>
      </c>
      <c r="AA39" s="14">
        <v>400</v>
      </c>
      <c r="AB39" s="14">
        <v>8</v>
      </c>
      <c r="AC39" s="14">
        <f t="shared" si="2"/>
        <v>2</v>
      </c>
      <c r="AD39" s="14" t="s">
        <v>274</v>
      </c>
      <c r="AE39" s="14">
        <v>0</v>
      </c>
      <c r="AF39" s="14">
        <v>0</v>
      </c>
      <c r="AG39" s="14">
        <v>0</v>
      </c>
      <c r="AH39" s="14">
        <v>0</v>
      </c>
      <c r="AI39" s="14" t="s">
        <v>266</v>
      </c>
      <c r="AJ39" s="14">
        <f t="shared" si="3"/>
        <v>1</v>
      </c>
      <c r="AK39" s="14">
        <v>1</v>
      </c>
      <c r="AL39" s="24">
        <v>11</v>
      </c>
      <c r="AM39" s="24">
        <v>0</v>
      </c>
      <c r="AN39" s="24">
        <v>4</v>
      </c>
      <c r="AO39" s="24">
        <v>0</v>
      </c>
      <c r="AP39" s="24">
        <v>0</v>
      </c>
      <c r="AQ39" s="24">
        <v>90</v>
      </c>
      <c r="AR39" s="24">
        <v>0</v>
      </c>
      <c r="AS39" s="24" t="s">
        <v>224</v>
      </c>
      <c r="AT39" s="24">
        <v>0</v>
      </c>
      <c r="AU39" s="24">
        <v>0</v>
      </c>
    </row>
    <row r="40" s="27" customFormat="1" spans="1:47">
      <c r="A40" s="35">
        <v>231003</v>
      </c>
      <c r="B40" s="35" t="s">
        <v>716</v>
      </c>
      <c r="C40" s="35">
        <v>11</v>
      </c>
      <c r="D40" s="35">
        <v>2</v>
      </c>
      <c r="E40" s="33" t="s">
        <v>371</v>
      </c>
      <c r="F40" s="35" t="s">
        <v>106</v>
      </c>
      <c r="G40" s="35">
        <v>3</v>
      </c>
      <c r="H40" s="35">
        <v>0</v>
      </c>
      <c r="I40" s="35">
        <v>0</v>
      </c>
      <c r="J40" s="35" t="s">
        <v>273</v>
      </c>
      <c r="K40" s="35" t="s">
        <v>273</v>
      </c>
      <c r="L40" s="35"/>
      <c r="M40" s="14">
        <f>士兵数据!L15</f>
        <v>1691</v>
      </c>
      <c r="N40" s="14">
        <v>0</v>
      </c>
      <c r="O40" s="14">
        <f>士兵数据!N15</f>
        <v>240</v>
      </c>
      <c r="P40" s="14">
        <v>0</v>
      </c>
      <c r="Q40" s="14">
        <f>士兵数据!P15</f>
        <v>101</v>
      </c>
      <c r="R40" s="14">
        <v>0</v>
      </c>
      <c r="S40" s="14">
        <f>士兵数据!R15</f>
        <v>139</v>
      </c>
      <c r="T40" s="14">
        <v>0</v>
      </c>
      <c r="U40" s="14">
        <f>士兵数据!T15</f>
        <v>88</v>
      </c>
      <c r="V40" s="14">
        <v>0</v>
      </c>
      <c r="W40" s="14">
        <f>士兵数据!V15</f>
        <v>12</v>
      </c>
      <c r="X40" s="14">
        <v>0</v>
      </c>
      <c r="Y40" s="14">
        <v>200</v>
      </c>
      <c r="Z40" s="41">
        <f t="shared" si="0"/>
        <v>600</v>
      </c>
      <c r="AA40" s="14">
        <v>400</v>
      </c>
      <c r="AB40" s="14">
        <v>8</v>
      </c>
      <c r="AC40" s="14">
        <f t="shared" si="2"/>
        <v>2</v>
      </c>
      <c r="AD40" s="14" t="s">
        <v>277</v>
      </c>
      <c r="AE40" s="14">
        <v>0</v>
      </c>
      <c r="AF40" s="14">
        <v>0</v>
      </c>
      <c r="AG40" s="14">
        <v>0</v>
      </c>
      <c r="AH40" s="14">
        <v>0</v>
      </c>
      <c r="AI40" s="14" t="s">
        <v>266</v>
      </c>
      <c r="AJ40" s="14">
        <f t="shared" si="3"/>
        <v>1</v>
      </c>
      <c r="AK40" s="14">
        <v>1</v>
      </c>
      <c r="AL40" s="27">
        <v>11</v>
      </c>
      <c r="AM40" s="27">
        <v>0</v>
      </c>
      <c r="AN40" s="27">
        <v>4</v>
      </c>
      <c r="AO40" s="27">
        <v>0</v>
      </c>
      <c r="AP40" s="27">
        <v>0</v>
      </c>
      <c r="AQ40" s="27">
        <v>90</v>
      </c>
      <c r="AR40" s="27">
        <v>0</v>
      </c>
      <c r="AS40" s="27" t="s">
        <v>224</v>
      </c>
      <c r="AT40" s="27">
        <v>0</v>
      </c>
      <c r="AU40" s="27">
        <v>0</v>
      </c>
    </row>
    <row r="41" s="24" customFormat="1" spans="1:47">
      <c r="A41" s="15">
        <v>311001</v>
      </c>
      <c r="B41" s="15" t="s">
        <v>717</v>
      </c>
      <c r="C41" s="15">
        <v>11</v>
      </c>
      <c r="D41" s="15">
        <v>2</v>
      </c>
      <c r="E41" s="33" t="s">
        <v>226</v>
      </c>
      <c r="F41" s="15" t="s">
        <v>114</v>
      </c>
      <c r="G41" s="15">
        <v>1</v>
      </c>
      <c r="H41" s="15">
        <v>0</v>
      </c>
      <c r="I41" s="15">
        <v>0</v>
      </c>
      <c r="J41" s="15" t="s">
        <v>282</v>
      </c>
      <c r="K41" s="15" t="s">
        <v>282</v>
      </c>
      <c r="L41" s="15"/>
      <c r="M41" s="14">
        <f>士兵数据!L17</f>
        <v>399</v>
      </c>
      <c r="N41" s="14">
        <v>0</v>
      </c>
      <c r="O41" s="14">
        <f>士兵数据!N17</f>
        <v>87</v>
      </c>
      <c r="P41" s="14">
        <v>0</v>
      </c>
      <c r="Q41" s="14">
        <f>士兵数据!P17</f>
        <v>35</v>
      </c>
      <c r="R41" s="14">
        <v>0</v>
      </c>
      <c r="S41" s="14">
        <f>士兵数据!R17</f>
        <v>73</v>
      </c>
      <c r="T41" s="14">
        <v>0</v>
      </c>
      <c r="U41" s="14">
        <f>士兵数据!T17</f>
        <v>37</v>
      </c>
      <c r="V41" s="14">
        <v>0</v>
      </c>
      <c r="W41" s="14">
        <f>士兵数据!V17</f>
        <v>11</v>
      </c>
      <c r="X41" s="14">
        <v>0</v>
      </c>
      <c r="Y41" s="14">
        <v>1200</v>
      </c>
      <c r="Z41" s="41">
        <f t="shared" si="0"/>
        <v>1100</v>
      </c>
      <c r="AA41" s="14">
        <v>300</v>
      </c>
      <c r="AB41" s="14">
        <v>10</v>
      </c>
      <c r="AC41" s="14">
        <f t="shared" si="2"/>
        <v>1</v>
      </c>
      <c r="AD41" s="14" t="s">
        <v>718</v>
      </c>
      <c r="AE41" s="14">
        <v>0</v>
      </c>
      <c r="AF41" s="14">
        <v>0</v>
      </c>
      <c r="AG41" s="14">
        <v>0</v>
      </c>
      <c r="AH41" s="14">
        <v>0</v>
      </c>
      <c r="AI41" s="14" t="s">
        <v>266</v>
      </c>
      <c r="AJ41" s="14">
        <f t="shared" si="3"/>
        <v>1</v>
      </c>
      <c r="AK41" s="14">
        <v>1</v>
      </c>
      <c r="AL41" s="31">
        <v>11</v>
      </c>
      <c r="AM41" s="31">
        <v>0</v>
      </c>
      <c r="AN41" s="31">
        <v>4</v>
      </c>
      <c r="AO41" s="31">
        <v>0</v>
      </c>
      <c r="AP41" s="31">
        <v>0</v>
      </c>
      <c r="AQ41" s="31">
        <v>90</v>
      </c>
      <c r="AR41" s="31">
        <v>0</v>
      </c>
      <c r="AS41" s="31" t="s">
        <v>224</v>
      </c>
      <c r="AT41" s="31">
        <v>0</v>
      </c>
      <c r="AU41" s="31">
        <v>0</v>
      </c>
    </row>
    <row r="42" s="24" customFormat="1" spans="1:47">
      <c r="A42" s="15">
        <v>321001</v>
      </c>
      <c r="B42" s="15" t="s">
        <v>719</v>
      </c>
      <c r="C42" s="15">
        <v>11</v>
      </c>
      <c r="D42" s="15">
        <v>2</v>
      </c>
      <c r="E42" s="33" t="s">
        <v>711</v>
      </c>
      <c r="F42" s="15" t="s">
        <v>114</v>
      </c>
      <c r="G42" s="15">
        <v>2</v>
      </c>
      <c r="H42" s="15">
        <v>0</v>
      </c>
      <c r="I42" s="15">
        <v>0</v>
      </c>
      <c r="J42" s="15" t="s">
        <v>286</v>
      </c>
      <c r="K42" s="15" t="s">
        <v>286</v>
      </c>
      <c r="L42" s="15"/>
      <c r="M42" s="14">
        <f>士兵数据!L18</f>
        <v>742</v>
      </c>
      <c r="N42" s="14">
        <v>0</v>
      </c>
      <c r="O42" s="14">
        <f>士兵数据!N18</f>
        <v>128</v>
      </c>
      <c r="P42" s="14">
        <v>0</v>
      </c>
      <c r="Q42" s="14">
        <f>士兵数据!P18</f>
        <v>45</v>
      </c>
      <c r="R42" s="14">
        <v>0</v>
      </c>
      <c r="S42" s="14">
        <f>士兵数据!R18</f>
        <v>97</v>
      </c>
      <c r="T42" s="14">
        <v>0</v>
      </c>
      <c r="U42" s="14">
        <f>士兵数据!T18</f>
        <v>50</v>
      </c>
      <c r="V42" s="14">
        <v>0</v>
      </c>
      <c r="W42" s="14">
        <f>士兵数据!V18</f>
        <v>11</v>
      </c>
      <c r="X42" s="14">
        <v>0</v>
      </c>
      <c r="Y42" s="14">
        <v>1200</v>
      </c>
      <c r="Z42" s="41">
        <f t="shared" si="0"/>
        <v>1100</v>
      </c>
      <c r="AA42" s="14">
        <v>300</v>
      </c>
      <c r="AB42" s="14">
        <v>10</v>
      </c>
      <c r="AC42" s="14">
        <f t="shared" si="2"/>
        <v>1</v>
      </c>
      <c r="AD42" s="14" t="s">
        <v>720</v>
      </c>
      <c r="AE42" s="14">
        <v>0</v>
      </c>
      <c r="AF42" s="14">
        <v>0</v>
      </c>
      <c r="AG42" s="14">
        <v>0</v>
      </c>
      <c r="AH42" s="14">
        <v>0</v>
      </c>
      <c r="AI42" s="14" t="s">
        <v>266</v>
      </c>
      <c r="AJ42" s="14">
        <f t="shared" si="3"/>
        <v>1</v>
      </c>
      <c r="AK42" s="14">
        <v>1</v>
      </c>
      <c r="AL42" s="31">
        <v>11</v>
      </c>
      <c r="AM42" s="31">
        <v>0</v>
      </c>
      <c r="AN42" s="31">
        <v>4</v>
      </c>
      <c r="AO42" s="31">
        <v>0</v>
      </c>
      <c r="AP42" s="31">
        <v>0</v>
      </c>
      <c r="AQ42" s="31">
        <v>90</v>
      </c>
      <c r="AR42" s="31">
        <v>0</v>
      </c>
      <c r="AS42" s="31" t="s">
        <v>224</v>
      </c>
      <c r="AT42" s="31">
        <v>0</v>
      </c>
      <c r="AU42" s="31">
        <v>0</v>
      </c>
    </row>
    <row r="43" s="24" customFormat="1" spans="1:47">
      <c r="A43" s="15">
        <v>331001</v>
      </c>
      <c r="B43" s="15" t="s">
        <v>721</v>
      </c>
      <c r="C43" s="15">
        <v>11</v>
      </c>
      <c r="D43" s="15">
        <v>2</v>
      </c>
      <c r="E43" s="33" t="s">
        <v>722</v>
      </c>
      <c r="F43" s="15" t="s">
        <v>114</v>
      </c>
      <c r="G43" s="15">
        <v>3</v>
      </c>
      <c r="H43" s="15">
        <v>0</v>
      </c>
      <c r="I43" s="15">
        <v>0</v>
      </c>
      <c r="J43" s="15" t="s">
        <v>294</v>
      </c>
      <c r="K43" s="15" t="s">
        <v>294</v>
      </c>
      <c r="L43" s="15"/>
      <c r="M43" s="14">
        <f>士兵数据!L19</f>
        <v>976</v>
      </c>
      <c r="N43" s="14">
        <v>0</v>
      </c>
      <c r="O43" s="14">
        <f>士兵数据!N19</f>
        <v>178</v>
      </c>
      <c r="P43" s="14">
        <v>0</v>
      </c>
      <c r="Q43" s="14">
        <f>士兵数据!P19</f>
        <v>75</v>
      </c>
      <c r="R43" s="14">
        <v>0</v>
      </c>
      <c r="S43" s="14">
        <f>士兵数据!R19</f>
        <v>92</v>
      </c>
      <c r="T43" s="14">
        <v>0</v>
      </c>
      <c r="U43" s="14">
        <f>士兵数据!T19</f>
        <v>65</v>
      </c>
      <c r="V43" s="14">
        <v>0</v>
      </c>
      <c r="W43" s="14">
        <f>士兵数据!V19</f>
        <v>11</v>
      </c>
      <c r="X43" s="14">
        <v>0</v>
      </c>
      <c r="Y43" s="14">
        <v>1200</v>
      </c>
      <c r="Z43" s="41">
        <f t="shared" si="0"/>
        <v>1100</v>
      </c>
      <c r="AA43" s="14">
        <v>300</v>
      </c>
      <c r="AB43" s="14">
        <v>10</v>
      </c>
      <c r="AC43" s="14">
        <f t="shared" si="2"/>
        <v>1</v>
      </c>
      <c r="AD43" s="14" t="s">
        <v>291</v>
      </c>
      <c r="AE43" s="14">
        <v>0</v>
      </c>
      <c r="AF43" s="14">
        <v>0</v>
      </c>
      <c r="AG43" s="14">
        <v>0</v>
      </c>
      <c r="AH43" s="14">
        <v>0</v>
      </c>
      <c r="AI43" s="14" t="s">
        <v>266</v>
      </c>
      <c r="AJ43" s="14">
        <f t="shared" si="3"/>
        <v>1</v>
      </c>
      <c r="AK43" s="14">
        <v>1</v>
      </c>
      <c r="AL43" s="31">
        <v>11</v>
      </c>
      <c r="AM43" s="31">
        <v>0</v>
      </c>
      <c r="AN43" s="31">
        <v>4</v>
      </c>
      <c r="AO43" s="31">
        <v>0</v>
      </c>
      <c r="AP43" s="31">
        <v>0</v>
      </c>
      <c r="AQ43" s="31">
        <v>90</v>
      </c>
      <c r="AR43" s="31">
        <v>0</v>
      </c>
      <c r="AS43" s="31" t="s">
        <v>224</v>
      </c>
      <c r="AT43" s="31">
        <v>0</v>
      </c>
      <c r="AU43" s="31">
        <v>0</v>
      </c>
    </row>
    <row r="44" s="24" customFormat="1" spans="1:47">
      <c r="A44" s="15">
        <v>331002</v>
      </c>
      <c r="B44" s="15" t="s">
        <v>723</v>
      </c>
      <c r="C44" s="15">
        <v>11</v>
      </c>
      <c r="D44" s="15">
        <v>2</v>
      </c>
      <c r="E44" s="33" t="s">
        <v>722</v>
      </c>
      <c r="F44" s="15" t="s">
        <v>114</v>
      </c>
      <c r="G44" s="15">
        <v>3</v>
      </c>
      <c r="H44" s="15">
        <v>0</v>
      </c>
      <c r="I44" s="15">
        <v>0</v>
      </c>
      <c r="J44" s="15" t="s">
        <v>302</v>
      </c>
      <c r="K44" s="15" t="s">
        <v>302</v>
      </c>
      <c r="L44" s="15"/>
      <c r="M44" s="14">
        <f>士兵数据!L20</f>
        <v>1143</v>
      </c>
      <c r="N44" s="14">
        <v>0</v>
      </c>
      <c r="O44" s="14">
        <f>士兵数据!N20</f>
        <v>186</v>
      </c>
      <c r="P44" s="14">
        <v>0</v>
      </c>
      <c r="Q44" s="14">
        <f>士兵数据!P20</f>
        <v>72</v>
      </c>
      <c r="R44" s="14">
        <v>0</v>
      </c>
      <c r="S44" s="14">
        <f>士兵数据!R20</f>
        <v>113</v>
      </c>
      <c r="T44" s="14">
        <v>0</v>
      </c>
      <c r="U44" s="14">
        <f>士兵数据!T20</f>
        <v>79</v>
      </c>
      <c r="V44" s="14">
        <v>0</v>
      </c>
      <c r="W44" s="14">
        <f>士兵数据!V20</f>
        <v>11</v>
      </c>
      <c r="X44" s="14">
        <v>0</v>
      </c>
      <c r="Y44" s="14">
        <v>1200</v>
      </c>
      <c r="Z44" s="41">
        <f t="shared" si="0"/>
        <v>1100</v>
      </c>
      <c r="AA44" s="14">
        <v>400</v>
      </c>
      <c r="AB44" s="14">
        <v>10</v>
      </c>
      <c r="AC44" s="14">
        <f t="shared" si="2"/>
        <v>1</v>
      </c>
      <c r="AD44" s="14" t="s">
        <v>295</v>
      </c>
      <c r="AE44" s="14">
        <v>0</v>
      </c>
      <c r="AF44" s="14">
        <v>0</v>
      </c>
      <c r="AG44" s="14">
        <v>0</v>
      </c>
      <c r="AH44" s="14">
        <v>0</v>
      </c>
      <c r="AI44" s="14" t="s">
        <v>266</v>
      </c>
      <c r="AJ44" s="14">
        <f t="shared" si="3"/>
        <v>1</v>
      </c>
      <c r="AK44" s="14">
        <v>1</v>
      </c>
      <c r="AL44" s="31">
        <v>11</v>
      </c>
      <c r="AM44" s="31">
        <v>0</v>
      </c>
      <c r="AN44" s="31">
        <v>4</v>
      </c>
      <c r="AO44" s="31">
        <v>0</v>
      </c>
      <c r="AP44" s="31">
        <v>0</v>
      </c>
      <c r="AQ44" s="31">
        <v>90</v>
      </c>
      <c r="AR44" s="31">
        <v>0</v>
      </c>
      <c r="AS44" s="31" t="s">
        <v>224</v>
      </c>
      <c r="AT44" s="31">
        <v>0</v>
      </c>
      <c r="AU44" s="31">
        <v>0</v>
      </c>
    </row>
    <row r="45" s="28" customFormat="1" spans="1:47">
      <c r="A45" s="36">
        <v>331003</v>
      </c>
      <c r="B45" s="36" t="s">
        <v>305</v>
      </c>
      <c r="C45" s="36">
        <v>11</v>
      </c>
      <c r="D45" s="36">
        <v>2</v>
      </c>
      <c r="E45" s="33" t="s">
        <v>722</v>
      </c>
      <c r="F45" s="36" t="s">
        <v>114</v>
      </c>
      <c r="G45" s="36">
        <v>3</v>
      </c>
      <c r="H45" s="36">
        <v>0</v>
      </c>
      <c r="I45" s="36">
        <v>0</v>
      </c>
      <c r="J45" s="36" t="s">
        <v>306</v>
      </c>
      <c r="K45" s="36" t="s">
        <v>306</v>
      </c>
      <c r="L45" s="36"/>
      <c r="M45" s="14">
        <f>士兵数据!L21</f>
        <v>1520</v>
      </c>
      <c r="N45" s="14">
        <v>0</v>
      </c>
      <c r="O45" s="14">
        <f>士兵数据!N21</f>
        <v>220</v>
      </c>
      <c r="P45" s="14">
        <v>0</v>
      </c>
      <c r="Q45" s="14">
        <f>士兵数据!P21</f>
        <v>95</v>
      </c>
      <c r="R45" s="14">
        <v>0</v>
      </c>
      <c r="S45" s="14">
        <f>士兵数据!R21</f>
        <v>119</v>
      </c>
      <c r="T45" s="14">
        <v>0</v>
      </c>
      <c r="U45" s="14">
        <f>士兵数据!T21</f>
        <v>83</v>
      </c>
      <c r="V45" s="14">
        <v>0</v>
      </c>
      <c r="W45" s="14">
        <f>士兵数据!V21</f>
        <v>12</v>
      </c>
      <c r="X45" s="14">
        <v>0</v>
      </c>
      <c r="Y45" s="14">
        <v>1200</v>
      </c>
      <c r="Z45" s="41">
        <f t="shared" si="0"/>
        <v>1100</v>
      </c>
      <c r="AA45" s="14">
        <v>300</v>
      </c>
      <c r="AB45" s="14">
        <v>10</v>
      </c>
      <c r="AC45" s="14">
        <f t="shared" si="2"/>
        <v>1</v>
      </c>
      <c r="AD45" s="14" t="s">
        <v>299</v>
      </c>
      <c r="AE45" s="14">
        <v>0</v>
      </c>
      <c r="AF45" s="14">
        <v>0</v>
      </c>
      <c r="AG45" s="14">
        <v>0</v>
      </c>
      <c r="AH45" s="14">
        <v>0</v>
      </c>
      <c r="AI45" s="14" t="s">
        <v>266</v>
      </c>
      <c r="AJ45" s="14">
        <f t="shared" si="3"/>
        <v>1</v>
      </c>
      <c r="AK45" s="14">
        <v>1</v>
      </c>
      <c r="AL45" s="28">
        <v>11</v>
      </c>
      <c r="AM45" s="28">
        <v>0</v>
      </c>
      <c r="AN45" s="28">
        <v>4</v>
      </c>
      <c r="AO45" s="28">
        <v>0</v>
      </c>
      <c r="AP45" s="28">
        <v>0</v>
      </c>
      <c r="AQ45" s="28">
        <v>90</v>
      </c>
      <c r="AR45" s="28">
        <v>0</v>
      </c>
      <c r="AS45" s="28" t="s">
        <v>224</v>
      </c>
      <c r="AT45" s="28">
        <v>0</v>
      </c>
      <c r="AU45" s="28">
        <v>0</v>
      </c>
    </row>
    <row r="46" s="24" customFormat="1" spans="1:47">
      <c r="A46" s="15">
        <v>411001</v>
      </c>
      <c r="B46" s="15" t="s">
        <v>724</v>
      </c>
      <c r="C46" s="15">
        <v>11</v>
      </c>
      <c r="D46" s="15">
        <v>2</v>
      </c>
      <c r="E46" s="33" t="s">
        <v>310</v>
      </c>
      <c r="F46" s="15" t="s">
        <v>121</v>
      </c>
      <c r="G46" s="15">
        <v>1</v>
      </c>
      <c r="H46" s="15">
        <v>0</v>
      </c>
      <c r="I46" s="15">
        <v>0</v>
      </c>
      <c r="J46" s="15" t="s">
        <v>311</v>
      </c>
      <c r="K46" s="15" t="s">
        <v>311</v>
      </c>
      <c r="L46" s="15"/>
      <c r="M46" s="14">
        <f>士兵数据!L26</f>
        <v>481</v>
      </c>
      <c r="N46" s="14">
        <v>0</v>
      </c>
      <c r="O46" s="14">
        <f>士兵数据!N26</f>
        <v>90</v>
      </c>
      <c r="P46" s="14">
        <v>0</v>
      </c>
      <c r="Q46" s="14">
        <f>士兵数据!P26</f>
        <v>39</v>
      </c>
      <c r="R46" s="14">
        <v>0</v>
      </c>
      <c r="S46" s="14">
        <f>士兵数据!R26</f>
        <v>64</v>
      </c>
      <c r="T46" s="14">
        <v>0</v>
      </c>
      <c r="U46" s="14">
        <f>士兵数据!T26</f>
        <v>34</v>
      </c>
      <c r="V46" s="14">
        <v>0</v>
      </c>
      <c r="W46" s="14">
        <f>士兵数据!V26</f>
        <v>11</v>
      </c>
      <c r="X46" s="14">
        <v>0</v>
      </c>
      <c r="Y46" s="14">
        <v>200</v>
      </c>
      <c r="Z46" s="41">
        <f t="shared" si="0"/>
        <v>600</v>
      </c>
      <c r="AA46" s="14">
        <v>400</v>
      </c>
      <c r="AB46" s="14">
        <v>8</v>
      </c>
      <c r="AC46" s="14">
        <f t="shared" si="2"/>
        <v>1</v>
      </c>
      <c r="AD46" s="14" t="s">
        <v>312</v>
      </c>
      <c r="AE46" s="14">
        <v>0</v>
      </c>
      <c r="AF46" s="14">
        <v>0</v>
      </c>
      <c r="AG46" s="14">
        <v>0</v>
      </c>
      <c r="AH46" s="14">
        <v>0</v>
      </c>
      <c r="AI46" s="14" t="s">
        <v>266</v>
      </c>
      <c r="AJ46" s="14">
        <f t="shared" si="3"/>
        <v>1</v>
      </c>
      <c r="AK46" s="14">
        <v>1</v>
      </c>
      <c r="AL46" s="31">
        <v>11</v>
      </c>
      <c r="AM46" s="31">
        <v>0</v>
      </c>
      <c r="AN46" s="31">
        <v>4</v>
      </c>
      <c r="AO46" s="31">
        <v>0</v>
      </c>
      <c r="AP46" s="31">
        <v>0</v>
      </c>
      <c r="AQ46" s="31">
        <v>90</v>
      </c>
      <c r="AR46" s="31">
        <v>0</v>
      </c>
      <c r="AS46" s="31" t="s">
        <v>224</v>
      </c>
      <c r="AT46" s="31">
        <v>0</v>
      </c>
      <c r="AU46" s="31">
        <v>0</v>
      </c>
    </row>
    <row r="47" s="24" customFormat="1" spans="1:47">
      <c r="A47" s="15">
        <v>421001</v>
      </c>
      <c r="B47" s="15" t="s">
        <v>725</v>
      </c>
      <c r="C47" s="15">
        <v>11</v>
      </c>
      <c r="D47" s="15">
        <v>2</v>
      </c>
      <c r="E47" s="33" t="s">
        <v>726</v>
      </c>
      <c r="F47" s="15" t="s">
        <v>121</v>
      </c>
      <c r="G47" s="15">
        <v>2</v>
      </c>
      <c r="H47" s="15">
        <v>0</v>
      </c>
      <c r="I47" s="15">
        <v>0</v>
      </c>
      <c r="J47" s="15" t="s">
        <v>314</v>
      </c>
      <c r="K47" s="15" t="s">
        <v>314</v>
      </c>
      <c r="L47" s="15"/>
      <c r="M47" s="14">
        <f>士兵数据!L27</f>
        <v>877</v>
      </c>
      <c r="N47" s="14">
        <v>0</v>
      </c>
      <c r="O47" s="14">
        <f>士兵数据!N27</f>
        <v>164</v>
      </c>
      <c r="P47" s="14">
        <v>0</v>
      </c>
      <c r="Q47" s="14">
        <f>士兵数据!P27</f>
        <v>66</v>
      </c>
      <c r="R47" s="14">
        <v>0</v>
      </c>
      <c r="S47" s="14">
        <f>士兵数据!R27</f>
        <v>97</v>
      </c>
      <c r="T47" s="14">
        <v>0</v>
      </c>
      <c r="U47" s="14">
        <f>士兵数据!T27</f>
        <v>57</v>
      </c>
      <c r="V47" s="14">
        <v>0</v>
      </c>
      <c r="W47" s="14">
        <f>士兵数据!V27</f>
        <v>11</v>
      </c>
      <c r="X47" s="14">
        <v>0</v>
      </c>
      <c r="Y47" s="14">
        <v>200</v>
      </c>
      <c r="Z47" s="41">
        <f t="shared" si="0"/>
        <v>600</v>
      </c>
      <c r="AA47" s="14">
        <v>400</v>
      </c>
      <c r="AB47" s="14">
        <v>8</v>
      </c>
      <c r="AC47" s="14">
        <f t="shared" si="2"/>
        <v>1</v>
      </c>
      <c r="AD47" s="14" t="s">
        <v>315</v>
      </c>
      <c r="AE47" s="14">
        <v>0</v>
      </c>
      <c r="AF47" s="14">
        <v>0</v>
      </c>
      <c r="AG47" s="14">
        <v>0</v>
      </c>
      <c r="AH47" s="14">
        <v>0</v>
      </c>
      <c r="AI47" s="14" t="s">
        <v>266</v>
      </c>
      <c r="AJ47" s="14">
        <f t="shared" si="3"/>
        <v>1</v>
      </c>
      <c r="AK47" s="14">
        <v>1</v>
      </c>
      <c r="AL47" s="31">
        <v>11</v>
      </c>
      <c r="AM47" s="31">
        <v>0</v>
      </c>
      <c r="AN47" s="31">
        <v>4</v>
      </c>
      <c r="AO47" s="31">
        <v>0</v>
      </c>
      <c r="AP47" s="31">
        <v>0</v>
      </c>
      <c r="AQ47" s="31">
        <v>90</v>
      </c>
      <c r="AR47" s="31">
        <v>0</v>
      </c>
      <c r="AS47" s="31" t="s">
        <v>224</v>
      </c>
      <c r="AT47" s="31">
        <v>0</v>
      </c>
      <c r="AU47" s="31">
        <v>0</v>
      </c>
    </row>
    <row r="48" s="24" customFormat="1" spans="1:47">
      <c r="A48" s="15">
        <v>431001</v>
      </c>
      <c r="B48" s="15" t="s">
        <v>727</v>
      </c>
      <c r="C48" s="15">
        <v>11</v>
      </c>
      <c r="D48" s="15">
        <v>2</v>
      </c>
      <c r="E48" s="33" t="s">
        <v>714</v>
      </c>
      <c r="F48" s="15" t="s">
        <v>121</v>
      </c>
      <c r="G48" s="15">
        <v>3</v>
      </c>
      <c r="H48" s="15">
        <v>0</v>
      </c>
      <c r="I48" s="15">
        <v>0</v>
      </c>
      <c r="J48" s="15" t="s">
        <v>317</v>
      </c>
      <c r="K48" s="15" t="s">
        <v>317</v>
      </c>
      <c r="L48" s="15"/>
      <c r="M48" s="14">
        <f>士兵数据!L28</f>
        <v>1324</v>
      </c>
      <c r="N48" s="14">
        <v>0</v>
      </c>
      <c r="O48" s="14">
        <f>士兵数据!N28</f>
        <v>212</v>
      </c>
      <c r="P48" s="14">
        <v>0</v>
      </c>
      <c r="Q48" s="14">
        <f>士兵数据!P28</f>
        <v>86</v>
      </c>
      <c r="R48" s="14">
        <v>0</v>
      </c>
      <c r="S48" s="14">
        <f>士兵数据!R28</f>
        <v>117</v>
      </c>
      <c r="T48" s="14">
        <v>0</v>
      </c>
      <c r="U48" s="14">
        <f>士兵数据!T28</f>
        <v>74</v>
      </c>
      <c r="V48" s="14">
        <v>0</v>
      </c>
      <c r="W48" s="14">
        <f>士兵数据!V28</f>
        <v>12</v>
      </c>
      <c r="X48" s="14">
        <v>0</v>
      </c>
      <c r="Y48" s="14">
        <v>200</v>
      </c>
      <c r="Z48" s="41">
        <f t="shared" si="0"/>
        <v>600</v>
      </c>
      <c r="AA48" s="14">
        <v>400</v>
      </c>
      <c r="AB48" s="14">
        <v>8</v>
      </c>
      <c r="AC48" s="14">
        <f t="shared" si="2"/>
        <v>1</v>
      </c>
      <c r="AD48" s="14" t="s">
        <v>318</v>
      </c>
      <c r="AE48" s="14">
        <v>0</v>
      </c>
      <c r="AF48" s="14">
        <v>0</v>
      </c>
      <c r="AG48" s="14">
        <v>0</v>
      </c>
      <c r="AH48" s="14">
        <v>0</v>
      </c>
      <c r="AI48" s="14" t="s">
        <v>266</v>
      </c>
      <c r="AJ48" s="14">
        <f t="shared" si="3"/>
        <v>1</v>
      </c>
      <c r="AK48" s="14">
        <v>1</v>
      </c>
      <c r="AL48" s="31">
        <v>11</v>
      </c>
      <c r="AM48" s="31">
        <v>0</v>
      </c>
      <c r="AN48" s="31">
        <v>4</v>
      </c>
      <c r="AO48" s="31">
        <v>0</v>
      </c>
      <c r="AP48" s="31">
        <v>0</v>
      </c>
      <c r="AQ48" s="31">
        <v>90</v>
      </c>
      <c r="AR48" s="31">
        <v>0</v>
      </c>
      <c r="AS48" s="31" t="s">
        <v>224</v>
      </c>
      <c r="AT48" s="31">
        <v>0</v>
      </c>
      <c r="AU48" s="31">
        <v>0</v>
      </c>
    </row>
    <row r="49" s="28" customFormat="1" spans="1:47">
      <c r="A49" s="36">
        <v>431002</v>
      </c>
      <c r="B49" s="36" t="s">
        <v>728</v>
      </c>
      <c r="C49" s="36">
        <v>11</v>
      </c>
      <c r="D49" s="36">
        <v>2</v>
      </c>
      <c r="E49" s="33" t="s">
        <v>714</v>
      </c>
      <c r="F49" s="36" t="s">
        <v>121</v>
      </c>
      <c r="G49" s="36">
        <v>3</v>
      </c>
      <c r="H49" s="36">
        <v>0</v>
      </c>
      <c r="I49" s="36">
        <v>0</v>
      </c>
      <c r="J49" s="36" t="s">
        <v>321</v>
      </c>
      <c r="K49" s="36" t="s">
        <v>321</v>
      </c>
      <c r="L49" s="36"/>
      <c r="M49" s="14">
        <f>士兵数据!L29</f>
        <v>1572</v>
      </c>
      <c r="N49" s="14">
        <v>0</v>
      </c>
      <c r="O49" s="14">
        <f>士兵数据!N29</f>
        <v>254</v>
      </c>
      <c r="P49" s="14">
        <v>0</v>
      </c>
      <c r="Q49" s="14">
        <f>士兵数据!P29</f>
        <v>104</v>
      </c>
      <c r="R49" s="14">
        <v>0</v>
      </c>
      <c r="S49" s="14">
        <f>士兵数据!R29</f>
        <v>138</v>
      </c>
      <c r="T49" s="14">
        <v>0</v>
      </c>
      <c r="U49" s="14">
        <f>士兵数据!T29</f>
        <v>90</v>
      </c>
      <c r="V49" s="14">
        <v>0</v>
      </c>
      <c r="W49" s="14">
        <f>士兵数据!V29</f>
        <v>12</v>
      </c>
      <c r="X49" s="14">
        <v>0</v>
      </c>
      <c r="Y49" s="14">
        <v>200</v>
      </c>
      <c r="Z49" s="41">
        <f t="shared" si="0"/>
        <v>600</v>
      </c>
      <c r="AA49" s="14">
        <v>400</v>
      </c>
      <c r="AB49" s="14">
        <v>8</v>
      </c>
      <c r="AC49" s="14">
        <f t="shared" si="2"/>
        <v>1</v>
      </c>
      <c r="AD49" s="14" t="s">
        <v>322</v>
      </c>
      <c r="AE49" s="14">
        <v>0</v>
      </c>
      <c r="AF49" s="14">
        <v>0</v>
      </c>
      <c r="AG49" s="14">
        <v>0</v>
      </c>
      <c r="AH49" s="14">
        <v>0</v>
      </c>
      <c r="AI49" s="14" t="s">
        <v>266</v>
      </c>
      <c r="AJ49" s="14">
        <f t="shared" si="3"/>
        <v>1</v>
      </c>
      <c r="AK49" s="14">
        <v>1</v>
      </c>
      <c r="AL49" s="28">
        <v>11</v>
      </c>
      <c r="AM49" s="28">
        <v>0</v>
      </c>
      <c r="AN49" s="28">
        <v>4</v>
      </c>
      <c r="AO49" s="28">
        <v>0</v>
      </c>
      <c r="AP49" s="28">
        <v>0</v>
      </c>
      <c r="AQ49" s="28">
        <v>90</v>
      </c>
      <c r="AR49" s="28">
        <v>0</v>
      </c>
      <c r="AS49" s="28" t="s">
        <v>224</v>
      </c>
      <c r="AT49" s="28">
        <v>0</v>
      </c>
      <c r="AU49" s="28">
        <v>0</v>
      </c>
    </row>
    <row r="50" s="28" customFormat="1" spans="1:47">
      <c r="A50" s="36">
        <v>431003</v>
      </c>
      <c r="B50" s="36" t="s">
        <v>729</v>
      </c>
      <c r="C50" s="36">
        <v>11</v>
      </c>
      <c r="D50" s="36">
        <v>2</v>
      </c>
      <c r="E50" s="33" t="s">
        <v>714</v>
      </c>
      <c r="F50" s="36" t="s">
        <v>121</v>
      </c>
      <c r="G50" s="36">
        <v>3</v>
      </c>
      <c r="H50" s="36">
        <v>0</v>
      </c>
      <c r="I50" s="36">
        <v>0</v>
      </c>
      <c r="J50" s="36" t="s">
        <v>325</v>
      </c>
      <c r="K50" s="36" t="s">
        <v>325</v>
      </c>
      <c r="L50" s="36"/>
      <c r="M50" s="14">
        <f>士兵数据!L30</f>
        <v>1921</v>
      </c>
      <c r="N50" s="14">
        <v>0</v>
      </c>
      <c r="O50" s="14">
        <f>士兵数据!N30</f>
        <v>282</v>
      </c>
      <c r="P50" s="14">
        <v>0</v>
      </c>
      <c r="Q50" s="14">
        <f>士兵数据!P30</f>
        <v>121</v>
      </c>
      <c r="R50" s="14">
        <v>0</v>
      </c>
      <c r="S50" s="14">
        <f>士兵数据!R30</f>
        <v>162</v>
      </c>
      <c r="T50" s="14">
        <v>0</v>
      </c>
      <c r="U50" s="14">
        <f>士兵数据!T30</f>
        <v>106</v>
      </c>
      <c r="V50" s="14">
        <v>0</v>
      </c>
      <c r="W50" s="14">
        <f>士兵数据!V30</f>
        <v>12</v>
      </c>
      <c r="X50" s="14">
        <v>0</v>
      </c>
      <c r="Y50" s="14">
        <v>200</v>
      </c>
      <c r="Z50" s="41">
        <f t="shared" si="0"/>
        <v>600</v>
      </c>
      <c r="AA50" s="14">
        <v>400</v>
      </c>
      <c r="AB50" s="14">
        <v>8</v>
      </c>
      <c r="AC50" s="14">
        <f t="shared" si="2"/>
        <v>1</v>
      </c>
      <c r="AD50" s="14" t="s">
        <v>326</v>
      </c>
      <c r="AE50" s="14">
        <v>0</v>
      </c>
      <c r="AF50" s="14">
        <v>0</v>
      </c>
      <c r="AG50" s="14">
        <v>0</v>
      </c>
      <c r="AH50" s="14">
        <v>0</v>
      </c>
      <c r="AI50" s="14" t="s">
        <v>266</v>
      </c>
      <c r="AJ50" s="14">
        <f t="shared" si="3"/>
        <v>1</v>
      </c>
      <c r="AK50" s="14">
        <v>1</v>
      </c>
      <c r="AL50" s="28">
        <v>11</v>
      </c>
      <c r="AM50" s="28">
        <v>0</v>
      </c>
      <c r="AN50" s="28">
        <v>4</v>
      </c>
      <c r="AO50" s="28">
        <v>0</v>
      </c>
      <c r="AP50" s="28">
        <v>0</v>
      </c>
      <c r="AQ50" s="28">
        <v>90</v>
      </c>
      <c r="AR50" s="28">
        <v>0</v>
      </c>
      <c r="AS50" s="28" t="s">
        <v>224</v>
      </c>
      <c r="AT50" s="28">
        <v>0</v>
      </c>
      <c r="AU50" s="28">
        <v>0</v>
      </c>
    </row>
    <row r="51" s="24" customFormat="1" spans="1:47">
      <c r="A51" s="15">
        <v>511001</v>
      </c>
      <c r="B51" s="15" t="s">
        <v>730</v>
      </c>
      <c r="C51" s="15">
        <v>11</v>
      </c>
      <c r="D51" s="15">
        <v>2</v>
      </c>
      <c r="E51" s="33" t="s">
        <v>331</v>
      </c>
      <c r="F51" s="15" t="s">
        <v>128</v>
      </c>
      <c r="G51" s="15">
        <v>1</v>
      </c>
      <c r="H51" s="15">
        <v>0</v>
      </c>
      <c r="I51" s="15">
        <v>0</v>
      </c>
      <c r="J51" s="15" t="s">
        <v>332</v>
      </c>
      <c r="K51" s="15" t="s">
        <v>332</v>
      </c>
      <c r="L51" s="15"/>
      <c r="M51" s="14">
        <f>士兵数据!L32</f>
        <v>474</v>
      </c>
      <c r="N51" s="14">
        <v>0</v>
      </c>
      <c r="O51" s="14">
        <v>34</v>
      </c>
      <c r="P51" s="14">
        <v>0</v>
      </c>
      <c r="Q51" s="14">
        <f>士兵数据!P32</f>
        <v>36</v>
      </c>
      <c r="R51" s="14">
        <v>0</v>
      </c>
      <c r="S51" s="14">
        <f>士兵数据!R32</f>
        <v>97</v>
      </c>
      <c r="T51" s="14">
        <v>0</v>
      </c>
      <c r="U51" s="14">
        <f>士兵数据!T32</f>
        <v>51</v>
      </c>
      <c r="V51" s="14">
        <v>0</v>
      </c>
      <c r="W51" s="14">
        <f>士兵数据!V32</f>
        <v>11</v>
      </c>
      <c r="X51" s="14">
        <v>0</v>
      </c>
      <c r="Y51" s="14">
        <v>1200</v>
      </c>
      <c r="Z51" s="41">
        <f t="shared" si="0"/>
        <v>1100</v>
      </c>
      <c r="AA51" s="14">
        <v>300</v>
      </c>
      <c r="AB51" s="14">
        <v>10</v>
      </c>
      <c r="AC51" s="14">
        <f t="shared" si="2"/>
        <v>1</v>
      </c>
      <c r="AD51" s="14" t="s">
        <v>333</v>
      </c>
      <c r="AE51" s="14">
        <v>0</v>
      </c>
      <c r="AF51" s="14">
        <v>0</v>
      </c>
      <c r="AG51" s="14">
        <v>0</v>
      </c>
      <c r="AH51" s="14">
        <v>0</v>
      </c>
      <c r="AI51" s="14" t="s">
        <v>266</v>
      </c>
      <c r="AJ51" s="14">
        <f t="shared" si="3"/>
        <v>1</v>
      </c>
      <c r="AK51" s="14">
        <v>1</v>
      </c>
      <c r="AL51" s="31">
        <v>11</v>
      </c>
      <c r="AM51" s="31">
        <v>0</v>
      </c>
      <c r="AN51" s="31">
        <v>4</v>
      </c>
      <c r="AO51" s="31">
        <v>0</v>
      </c>
      <c r="AP51" s="31">
        <v>0</v>
      </c>
      <c r="AQ51" s="31">
        <v>90</v>
      </c>
      <c r="AR51" s="31">
        <v>0</v>
      </c>
      <c r="AS51" s="31" t="s">
        <v>224</v>
      </c>
      <c r="AT51" s="31">
        <v>0</v>
      </c>
      <c r="AU51" s="31">
        <v>0</v>
      </c>
    </row>
    <row r="52" s="24" customFormat="1" spans="1:47">
      <c r="A52" s="15">
        <v>521001</v>
      </c>
      <c r="B52" s="15" t="s">
        <v>731</v>
      </c>
      <c r="C52" s="15">
        <v>11</v>
      </c>
      <c r="D52" s="15">
        <v>2</v>
      </c>
      <c r="E52" s="33" t="s">
        <v>409</v>
      </c>
      <c r="F52" s="15" t="s">
        <v>128</v>
      </c>
      <c r="G52" s="15">
        <v>2</v>
      </c>
      <c r="H52" s="15">
        <v>0</v>
      </c>
      <c r="I52" s="15">
        <v>0</v>
      </c>
      <c r="J52" s="15" t="s">
        <v>336</v>
      </c>
      <c r="K52" s="15" t="s">
        <v>336</v>
      </c>
      <c r="L52" s="15"/>
      <c r="M52" s="14">
        <f>士兵数据!L33</f>
        <v>797</v>
      </c>
      <c r="N52" s="14">
        <v>0</v>
      </c>
      <c r="O52" s="14">
        <v>47</v>
      </c>
      <c r="P52" s="14">
        <v>0</v>
      </c>
      <c r="Q52" s="14">
        <f>士兵数据!P33</f>
        <v>50</v>
      </c>
      <c r="R52" s="14">
        <v>0</v>
      </c>
      <c r="S52" s="14">
        <f>士兵数据!R33</f>
        <v>129</v>
      </c>
      <c r="T52" s="14">
        <v>0</v>
      </c>
      <c r="U52" s="14">
        <f>士兵数据!T33</f>
        <v>71</v>
      </c>
      <c r="V52" s="14">
        <v>0</v>
      </c>
      <c r="W52" s="14">
        <f>士兵数据!V33</f>
        <v>11</v>
      </c>
      <c r="X52" s="14">
        <v>0</v>
      </c>
      <c r="Y52" s="14">
        <v>1200</v>
      </c>
      <c r="Z52" s="41">
        <f t="shared" si="0"/>
        <v>1100</v>
      </c>
      <c r="AA52" s="14">
        <v>300</v>
      </c>
      <c r="AB52" s="14">
        <v>10</v>
      </c>
      <c r="AC52" s="14">
        <f t="shared" si="2"/>
        <v>1</v>
      </c>
      <c r="AD52" s="14" t="s">
        <v>337</v>
      </c>
      <c r="AE52" s="14">
        <v>0</v>
      </c>
      <c r="AF52" s="14">
        <v>0</v>
      </c>
      <c r="AG52" s="14">
        <v>0</v>
      </c>
      <c r="AH52" s="14">
        <v>0</v>
      </c>
      <c r="AI52" s="14" t="s">
        <v>266</v>
      </c>
      <c r="AJ52" s="14">
        <f t="shared" si="3"/>
        <v>1</v>
      </c>
      <c r="AK52" s="14">
        <v>1</v>
      </c>
      <c r="AL52" s="31">
        <v>11</v>
      </c>
      <c r="AM52" s="31">
        <v>0</v>
      </c>
      <c r="AN52" s="31">
        <v>4</v>
      </c>
      <c r="AO52" s="31">
        <v>0</v>
      </c>
      <c r="AP52" s="31">
        <v>0</v>
      </c>
      <c r="AQ52" s="31">
        <v>90</v>
      </c>
      <c r="AR52" s="31">
        <v>0</v>
      </c>
      <c r="AS52" s="31" t="s">
        <v>224</v>
      </c>
      <c r="AT52" s="31">
        <v>0</v>
      </c>
      <c r="AU52" s="31">
        <v>0</v>
      </c>
    </row>
    <row r="53" s="24" customFormat="1" spans="1:47">
      <c r="A53" s="15">
        <v>531001</v>
      </c>
      <c r="B53" s="15" t="s">
        <v>342</v>
      </c>
      <c r="C53" s="15">
        <v>11</v>
      </c>
      <c r="D53" s="15">
        <v>2</v>
      </c>
      <c r="E53" s="33" t="s">
        <v>732</v>
      </c>
      <c r="F53" s="15" t="s">
        <v>128</v>
      </c>
      <c r="G53" s="15">
        <v>3</v>
      </c>
      <c r="H53" s="15">
        <v>0</v>
      </c>
      <c r="I53" s="15">
        <v>0</v>
      </c>
      <c r="J53" s="15" t="s">
        <v>344</v>
      </c>
      <c r="K53" s="15" t="s">
        <v>344</v>
      </c>
      <c r="L53" s="15"/>
      <c r="M53" s="14">
        <f>士兵数据!L34</f>
        <v>869</v>
      </c>
      <c r="N53" s="14">
        <v>0</v>
      </c>
      <c r="O53" s="14">
        <v>56</v>
      </c>
      <c r="P53" s="14">
        <v>0</v>
      </c>
      <c r="Q53" s="14">
        <f>士兵数据!P34</f>
        <v>59</v>
      </c>
      <c r="R53" s="14">
        <v>0</v>
      </c>
      <c r="S53" s="14">
        <f>士兵数据!R34</f>
        <v>121</v>
      </c>
      <c r="T53" s="14">
        <v>0</v>
      </c>
      <c r="U53" s="14">
        <f>士兵数据!T34</f>
        <v>81</v>
      </c>
      <c r="V53" s="14">
        <v>0</v>
      </c>
      <c r="W53" s="14">
        <f>士兵数据!V34</f>
        <v>11</v>
      </c>
      <c r="X53" s="14">
        <v>0</v>
      </c>
      <c r="Y53" s="14">
        <v>1200</v>
      </c>
      <c r="Z53" s="41">
        <f t="shared" si="0"/>
        <v>1100</v>
      </c>
      <c r="AA53" s="14">
        <v>300</v>
      </c>
      <c r="AB53" s="14">
        <v>10</v>
      </c>
      <c r="AC53" s="14">
        <f t="shared" si="2"/>
        <v>1</v>
      </c>
      <c r="AD53" s="14" t="s">
        <v>341</v>
      </c>
      <c r="AE53" s="14">
        <v>0</v>
      </c>
      <c r="AF53" s="14">
        <v>0</v>
      </c>
      <c r="AG53" s="14">
        <v>0</v>
      </c>
      <c r="AH53" s="14">
        <v>0</v>
      </c>
      <c r="AI53" s="14" t="s">
        <v>266</v>
      </c>
      <c r="AJ53" s="14">
        <f t="shared" si="3"/>
        <v>1</v>
      </c>
      <c r="AK53" s="14">
        <v>1</v>
      </c>
      <c r="AL53" s="31">
        <v>11</v>
      </c>
      <c r="AM53" s="31">
        <v>0</v>
      </c>
      <c r="AN53" s="31">
        <v>4</v>
      </c>
      <c r="AO53" s="31">
        <v>0</v>
      </c>
      <c r="AP53" s="31">
        <v>0</v>
      </c>
      <c r="AQ53" s="31">
        <v>90</v>
      </c>
      <c r="AR53" s="31">
        <v>0</v>
      </c>
      <c r="AS53" s="31" t="s">
        <v>224</v>
      </c>
      <c r="AT53" s="31">
        <v>0</v>
      </c>
      <c r="AU53" s="31">
        <v>0</v>
      </c>
    </row>
    <row r="54" s="24" customFormat="1" spans="1:47">
      <c r="A54" s="15">
        <v>531002</v>
      </c>
      <c r="B54" s="15" t="s">
        <v>346</v>
      </c>
      <c r="C54" s="15">
        <v>11</v>
      </c>
      <c r="D54" s="15">
        <v>2</v>
      </c>
      <c r="E54" s="33" t="s">
        <v>732</v>
      </c>
      <c r="F54" s="15" t="s">
        <v>128</v>
      </c>
      <c r="G54" s="15">
        <v>3</v>
      </c>
      <c r="H54" s="15">
        <v>0</v>
      </c>
      <c r="I54" s="15">
        <v>0</v>
      </c>
      <c r="J54" s="15" t="s">
        <v>348</v>
      </c>
      <c r="K54" s="15" t="s">
        <v>348</v>
      </c>
      <c r="L54" s="15"/>
      <c r="M54" s="14">
        <f>士兵数据!L35</f>
        <v>1210</v>
      </c>
      <c r="N54" s="14">
        <v>0</v>
      </c>
      <c r="O54" s="14">
        <v>53</v>
      </c>
      <c r="P54" s="14">
        <v>0</v>
      </c>
      <c r="Q54" s="14">
        <f>士兵数据!P35</f>
        <v>72</v>
      </c>
      <c r="R54" s="14">
        <v>0</v>
      </c>
      <c r="S54" s="14">
        <f>士兵数据!R35</f>
        <v>171</v>
      </c>
      <c r="T54" s="14">
        <v>0</v>
      </c>
      <c r="U54" s="14">
        <f>士兵数据!T35</f>
        <v>100</v>
      </c>
      <c r="V54" s="14">
        <v>0</v>
      </c>
      <c r="W54" s="14">
        <f>士兵数据!V35</f>
        <v>12</v>
      </c>
      <c r="X54" s="14">
        <v>0</v>
      </c>
      <c r="Y54" s="14">
        <v>1200</v>
      </c>
      <c r="Z54" s="41">
        <f t="shared" si="0"/>
        <v>1100</v>
      </c>
      <c r="AA54" s="14">
        <v>300</v>
      </c>
      <c r="AB54" s="14">
        <v>10</v>
      </c>
      <c r="AC54" s="14">
        <f t="shared" si="2"/>
        <v>1</v>
      </c>
      <c r="AD54" s="14" t="s">
        <v>345</v>
      </c>
      <c r="AE54" s="14">
        <v>0</v>
      </c>
      <c r="AF54" s="14">
        <v>0</v>
      </c>
      <c r="AG54" s="14">
        <v>0</v>
      </c>
      <c r="AH54" s="14">
        <v>0</v>
      </c>
      <c r="AI54" s="14" t="s">
        <v>266</v>
      </c>
      <c r="AJ54" s="14">
        <f t="shared" si="3"/>
        <v>1</v>
      </c>
      <c r="AK54" s="14">
        <v>1</v>
      </c>
      <c r="AL54" s="31">
        <v>11</v>
      </c>
      <c r="AM54" s="31">
        <v>0</v>
      </c>
      <c r="AN54" s="31">
        <v>4</v>
      </c>
      <c r="AO54" s="31">
        <v>0</v>
      </c>
      <c r="AP54" s="31">
        <v>0</v>
      </c>
      <c r="AQ54" s="31">
        <v>90</v>
      </c>
      <c r="AR54" s="31">
        <v>0</v>
      </c>
      <c r="AS54" s="31" t="s">
        <v>224</v>
      </c>
      <c r="AT54" s="31">
        <v>0</v>
      </c>
      <c r="AU54" s="31">
        <v>0</v>
      </c>
    </row>
    <row r="55" s="28" customFormat="1" spans="1:47">
      <c r="A55" s="36">
        <v>531003</v>
      </c>
      <c r="B55" s="36" t="s">
        <v>733</v>
      </c>
      <c r="C55" s="36">
        <v>11</v>
      </c>
      <c r="D55" s="36">
        <v>2</v>
      </c>
      <c r="E55" s="33" t="s">
        <v>732</v>
      </c>
      <c r="F55" s="36" t="s">
        <v>128</v>
      </c>
      <c r="G55" s="36">
        <v>3</v>
      </c>
      <c r="H55" s="36">
        <v>0</v>
      </c>
      <c r="I55" s="36">
        <v>0</v>
      </c>
      <c r="J55" s="36" t="s">
        <v>340</v>
      </c>
      <c r="K55" s="36" t="s">
        <v>340</v>
      </c>
      <c r="L55" s="36"/>
      <c r="M55" s="14">
        <f>士兵数据!L36</f>
        <v>1460</v>
      </c>
      <c r="N55" s="14">
        <v>0</v>
      </c>
      <c r="O55" s="14">
        <v>47</v>
      </c>
      <c r="P55" s="14">
        <v>0</v>
      </c>
      <c r="Q55" s="14">
        <f>士兵数据!P36</f>
        <v>89</v>
      </c>
      <c r="R55" s="14">
        <v>0</v>
      </c>
      <c r="S55" s="14">
        <f>士兵数据!R36</f>
        <v>219</v>
      </c>
      <c r="T55" s="14">
        <v>0</v>
      </c>
      <c r="U55" s="14">
        <f>士兵数据!T36</f>
        <v>124</v>
      </c>
      <c r="V55" s="14">
        <v>0</v>
      </c>
      <c r="W55" s="14">
        <f>士兵数据!V36</f>
        <v>12</v>
      </c>
      <c r="X55" s="14">
        <v>0</v>
      </c>
      <c r="Y55" s="14">
        <v>1200</v>
      </c>
      <c r="Z55" s="41">
        <f t="shared" si="0"/>
        <v>1100</v>
      </c>
      <c r="AA55" s="14">
        <v>300</v>
      </c>
      <c r="AB55" s="14">
        <v>10</v>
      </c>
      <c r="AC55" s="14">
        <f t="shared" si="2"/>
        <v>1</v>
      </c>
      <c r="AD55" s="14" t="s">
        <v>349</v>
      </c>
      <c r="AE55" s="14">
        <v>0</v>
      </c>
      <c r="AF55" s="14">
        <v>0</v>
      </c>
      <c r="AG55" s="14">
        <v>0</v>
      </c>
      <c r="AH55" s="14">
        <v>0</v>
      </c>
      <c r="AI55" s="14" t="s">
        <v>266</v>
      </c>
      <c r="AJ55" s="14">
        <f t="shared" si="3"/>
        <v>1</v>
      </c>
      <c r="AK55" s="14">
        <v>1</v>
      </c>
      <c r="AL55" s="28">
        <v>11</v>
      </c>
      <c r="AM55" s="28">
        <v>0</v>
      </c>
      <c r="AN55" s="28">
        <v>4</v>
      </c>
      <c r="AO55" s="28">
        <v>0</v>
      </c>
      <c r="AP55" s="28">
        <v>0</v>
      </c>
      <c r="AQ55" s="28">
        <v>90</v>
      </c>
      <c r="AR55" s="28">
        <v>0</v>
      </c>
      <c r="AS55" s="28" t="s">
        <v>224</v>
      </c>
      <c r="AT55" s="28">
        <v>0</v>
      </c>
      <c r="AU55" s="28">
        <v>0</v>
      </c>
    </row>
    <row r="56" s="24" customFormat="1" spans="1:47">
      <c r="A56" s="15">
        <v>611001</v>
      </c>
      <c r="B56" s="15" t="s">
        <v>734</v>
      </c>
      <c r="C56" s="15">
        <v>11</v>
      </c>
      <c r="D56" s="15">
        <v>2</v>
      </c>
      <c r="E56" s="33" t="s">
        <v>226</v>
      </c>
      <c r="F56" s="15" t="s">
        <v>135</v>
      </c>
      <c r="G56" s="15">
        <v>1</v>
      </c>
      <c r="H56" s="15">
        <v>0</v>
      </c>
      <c r="I56" s="15">
        <v>0</v>
      </c>
      <c r="J56" s="15" t="s">
        <v>354</v>
      </c>
      <c r="K56" s="15" t="s">
        <v>354</v>
      </c>
      <c r="L56" s="15"/>
      <c r="M56" s="14">
        <f>士兵数据!L38</f>
        <v>433</v>
      </c>
      <c r="N56" s="14">
        <v>0</v>
      </c>
      <c r="O56" s="14">
        <v>28</v>
      </c>
      <c r="P56" s="14">
        <v>0</v>
      </c>
      <c r="Q56" s="14">
        <f>士兵数据!P38</f>
        <v>40</v>
      </c>
      <c r="R56" s="14">
        <v>0</v>
      </c>
      <c r="S56" s="14">
        <f>士兵数据!R38</f>
        <v>85</v>
      </c>
      <c r="T56" s="14">
        <v>0</v>
      </c>
      <c r="U56" s="14">
        <f>士兵数据!T38</f>
        <v>56</v>
      </c>
      <c r="V56" s="14">
        <v>0</v>
      </c>
      <c r="W56" s="14">
        <f>士兵数据!V38</f>
        <v>11</v>
      </c>
      <c r="X56" s="14">
        <v>0</v>
      </c>
      <c r="Y56" s="14">
        <v>1200</v>
      </c>
      <c r="Z56" s="41">
        <f t="shared" si="0"/>
        <v>1100</v>
      </c>
      <c r="AA56" s="14">
        <v>300</v>
      </c>
      <c r="AB56" s="14">
        <v>10</v>
      </c>
      <c r="AC56" s="14">
        <f t="shared" si="2"/>
        <v>1</v>
      </c>
      <c r="AD56" s="14" t="s">
        <v>357</v>
      </c>
      <c r="AE56" s="14">
        <v>0</v>
      </c>
      <c r="AF56" s="14">
        <v>0</v>
      </c>
      <c r="AG56" s="14">
        <v>0</v>
      </c>
      <c r="AH56" s="14">
        <v>0</v>
      </c>
      <c r="AI56" s="14" t="s">
        <v>266</v>
      </c>
      <c r="AJ56" s="14">
        <f t="shared" si="3"/>
        <v>1</v>
      </c>
      <c r="AK56" s="14">
        <v>1</v>
      </c>
      <c r="AL56" s="31">
        <v>11</v>
      </c>
      <c r="AM56" s="31">
        <v>0</v>
      </c>
      <c r="AN56" s="31">
        <v>4</v>
      </c>
      <c r="AO56" s="31">
        <v>0</v>
      </c>
      <c r="AP56" s="31">
        <v>0</v>
      </c>
      <c r="AQ56" s="31">
        <v>90</v>
      </c>
      <c r="AR56" s="31">
        <v>0</v>
      </c>
      <c r="AS56" s="31" t="s">
        <v>224</v>
      </c>
      <c r="AT56" s="31">
        <v>0</v>
      </c>
      <c r="AU56" s="31">
        <v>0</v>
      </c>
    </row>
    <row r="57" s="24" customFormat="1" spans="1:47">
      <c r="A57" s="15">
        <v>621001</v>
      </c>
      <c r="B57" s="15" t="s">
        <v>353</v>
      </c>
      <c r="C57" s="15">
        <v>11</v>
      </c>
      <c r="D57" s="15">
        <v>2</v>
      </c>
      <c r="E57" s="33" t="s">
        <v>310</v>
      </c>
      <c r="F57" s="15" t="s">
        <v>135</v>
      </c>
      <c r="G57" s="15">
        <v>2</v>
      </c>
      <c r="H57" s="15">
        <v>0</v>
      </c>
      <c r="I57" s="15">
        <v>0</v>
      </c>
      <c r="J57" s="15" t="s">
        <v>356</v>
      </c>
      <c r="K57" s="15" t="s">
        <v>356</v>
      </c>
      <c r="L57" s="15"/>
      <c r="M57" s="14">
        <f>士兵数据!L39</f>
        <v>747</v>
      </c>
      <c r="N57" s="14">
        <v>0</v>
      </c>
      <c r="O57" s="14">
        <v>36</v>
      </c>
      <c r="P57" s="14">
        <v>0</v>
      </c>
      <c r="Q57" s="14">
        <f>士兵数据!P39</f>
        <v>60</v>
      </c>
      <c r="R57" s="14">
        <v>0</v>
      </c>
      <c r="S57" s="14">
        <f>士兵数据!R39</f>
        <v>122</v>
      </c>
      <c r="T57" s="14">
        <v>0</v>
      </c>
      <c r="U57" s="14">
        <f>士兵数据!T39</f>
        <v>83</v>
      </c>
      <c r="V57" s="14">
        <v>0</v>
      </c>
      <c r="W57" s="14">
        <f>士兵数据!V39</f>
        <v>11</v>
      </c>
      <c r="X57" s="14">
        <v>0</v>
      </c>
      <c r="Y57" s="14">
        <v>1200</v>
      </c>
      <c r="Z57" s="41">
        <f t="shared" si="0"/>
        <v>1100</v>
      </c>
      <c r="AA57" s="14">
        <v>300</v>
      </c>
      <c r="AB57" s="14">
        <v>10</v>
      </c>
      <c r="AC57" s="14">
        <f t="shared" si="2"/>
        <v>1</v>
      </c>
      <c r="AD57" s="14" t="s">
        <v>360</v>
      </c>
      <c r="AE57" s="14">
        <v>0</v>
      </c>
      <c r="AF57" s="14">
        <v>0</v>
      </c>
      <c r="AG57" s="14">
        <v>0</v>
      </c>
      <c r="AH57" s="14">
        <v>0</v>
      </c>
      <c r="AI57" s="14" t="s">
        <v>266</v>
      </c>
      <c r="AJ57" s="14">
        <f t="shared" si="3"/>
        <v>1</v>
      </c>
      <c r="AK57" s="14">
        <v>1</v>
      </c>
      <c r="AL57" s="31">
        <v>11</v>
      </c>
      <c r="AM57" s="31">
        <v>0</v>
      </c>
      <c r="AN57" s="31">
        <v>4</v>
      </c>
      <c r="AO57" s="31">
        <v>0</v>
      </c>
      <c r="AP57" s="31">
        <v>0</v>
      </c>
      <c r="AQ57" s="31">
        <v>90</v>
      </c>
      <c r="AR57" s="31">
        <v>0</v>
      </c>
      <c r="AS57" s="31" t="s">
        <v>224</v>
      </c>
      <c r="AT57" s="31">
        <v>0</v>
      </c>
      <c r="AU57" s="31">
        <v>0</v>
      </c>
    </row>
    <row r="58" s="28" customFormat="1" spans="1:47">
      <c r="A58" s="36">
        <v>631001</v>
      </c>
      <c r="B58" s="36" t="s">
        <v>358</v>
      </c>
      <c r="C58" s="36">
        <v>11</v>
      </c>
      <c r="D58" s="36">
        <v>2</v>
      </c>
      <c r="E58" s="33" t="s">
        <v>726</v>
      </c>
      <c r="F58" s="36" t="s">
        <v>135</v>
      </c>
      <c r="G58" s="36">
        <v>3</v>
      </c>
      <c r="H58" s="36">
        <v>0</v>
      </c>
      <c r="I58" s="36">
        <v>0</v>
      </c>
      <c r="J58" s="36" t="s">
        <v>359</v>
      </c>
      <c r="K58" s="36" t="s">
        <v>359</v>
      </c>
      <c r="L58" s="36"/>
      <c r="M58" s="14">
        <f>士兵数据!L40</f>
        <v>1152</v>
      </c>
      <c r="N58" s="14">
        <v>0</v>
      </c>
      <c r="O58" s="14">
        <v>42</v>
      </c>
      <c r="P58" s="14">
        <v>0</v>
      </c>
      <c r="Q58" s="14">
        <f>士兵数据!P40</f>
        <v>72</v>
      </c>
      <c r="R58" s="14">
        <v>0</v>
      </c>
      <c r="S58" s="14">
        <f>士兵数据!R40</f>
        <v>163</v>
      </c>
      <c r="T58" s="14">
        <v>0</v>
      </c>
      <c r="U58" s="14">
        <f>士兵数据!T40</f>
        <v>100</v>
      </c>
      <c r="V58" s="14">
        <v>0</v>
      </c>
      <c r="W58" s="14">
        <f>士兵数据!V40</f>
        <v>11</v>
      </c>
      <c r="X58" s="14">
        <v>0</v>
      </c>
      <c r="Y58" s="14">
        <v>1200</v>
      </c>
      <c r="Z58" s="41">
        <f t="shared" si="0"/>
        <v>1100</v>
      </c>
      <c r="AA58" s="14">
        <v>300</v>
      </c>
      <c r="AB58" s="14">
        <v>10</v>
      </c>
      <c r="AC58" s="14">
        <f t="shared" si="2"/>
        <v>1</v>
      </c>
      <c r="AD58" s="14" t="s">
        <v>363</v>
      </c>
      <c r="AE58" s="14">
        <v>0</v>
      </c>
      <c r="AF58" s="14">
        <v>0</v>
      </c>
      <c r="AG58" s="14">
        <v>0</v>
      </c>
      <c r="AH58" s="14">
        <v>0</v>
      </c>
      <c r="AI58" s="14" t="s">
        <v>266</v>
      </c>
      <c r="AJ58" s="14">
        <f t="shared" si="3"/>
        <v>1</v>
      </c>
      <c r="AK58" s="14">
        <v>1</v>
      </c>
      <c r="AL58" s="28">
        <v>11</v>
      </c>
      <c r="AM58" s="28">
        <v>0</v>
      </c>
      <c r="AN58" s="28">
        <v>4</v>
      </c>
      <c r="AO58" s="28">
        <v>0</v>
      </c>
      <c r="AP58" s="28">
        <v>0</v>
      </c>
      <c r="AQ58" s="28">
        <v>90</v>
      </c>
      <c r="AR58" s="28">
        <v>0</v>
      </c>
      <c r="AS58" s="28" t="s">
        <v>224</v>
      </c>
      <c r="AT58" s="28">
        <v>0</v>
      </c>
      <c r="AU58" s="28">
        <v>0</v>
      </c>
    </row>
    <row r="59" s="24" customFormat="1" spans="1:47">
      <c r="A59" s="15">
        <v>631002</v>
      </c>
      <c r="B59" s="15" t="s">
        <v>735</v>
      </c>
      <c r="C59" s="15">
        <v>11</v>
      </c>
      <c r="D59" s="15">
        <v>2</v>
      </c>
      <c r="E59" s="33" t="s">
        <v>726</v>
      </c>
      <c r="F59" s="15" t="s">
        <v>135</v>
      </c>
      <c r="G59" s="15">
        <v>3</v>
      </c>
      <c r="H59" s="15">
        <v>0</v>
      </c>
      <c r="I59" s="15">
        <v>0</v>
      </c>
      <c r="J59" s="15" t="s">
        <v>362</v>
      </c>
      <c r="K59" s="15" t="s">
        <v>362</v>
      </c>
      <c r="L59" s="15"/>
      <c r="M59" s="14">
        <f>士兵数据!L41</f>
        <v>1161</v>
      </c>
      <c r="N59" s="14">
        <v>0</v>
      </c>
      <c r="O59" s="14">
        <v>40</v>
      </c>
      <c r="P59" s="14">
        <v>0</v>
      </c>
      <c r="Q59" s="14">
        <f>士兵数据!P41</f>
        <v>75</v>
      </c>
      <c r="R59" s="14">
        <v>0</v>
      </c>
      <c r="S59" s="14">
        <f>士兵数据!R41</f>
        <v>169</v>
      </c>
      <c r="T59" s="14">
        <v>0</v>
      </c>
      <c r="U59" s="14">
        <f>士兵数据!T41</f>
        <v>105</v>
      </c>
      <c r="V59" s="14">
        <v>0</v>
      </c>
      <c r="W59" s="14">
        <f>士兵数据!V41</f>
        <v>11</v>
      </c>
      <c r="X59" s="14">
        <v>0</v>
      </c>
      <c r="Y59" s="14">
        <v>1200</v>
      </c>
      <c r="Z59" s="41">
        <f t="shared" si="0"/>
        <v>1100</v>
      </c>
      <c r="AA59" s="14">
        <v>300</v>
      </c>
      <c r="AB59" s="14">
        <v>10</v>
      </c>
      <c r="AC59" s="14">
        <f t="shared" si="2"/>
        <v>1</v>
      </c>
      <c r="AD59" s="14" t="s">
        <v>366</v>
      </c>
      <c r="AE59" s="14">
        <v>0</v>
      </c>
      <c r="AF59" s="14">
        <v>0</v>
      </c>
      <c r="AG59" s="14">
        <v>0</v>
      </c>
      <c r="AH59" s="14">
        <v>0</v>
      </c>
      <c r="AI59" s="14" t="s">
        <v>266</v>
      </c>
      <c r="AJ59" s="14">
        <f t="shared" si="3"/>
        <v>1</v>
      </c>
      <c r="AK59" s="14">
        <v>1</v>
      </c>
      <c r="AL59" s="24">
        <v>11</v>
      </c>
      <c r="AM59" s="24">
        <v>0</v>
      </c>
      <c r="AN59" s="24">
        <v>4</v>
      </c>
      <c r="AO59" s="24">
        <v>0</v>
      </c>
      <c r="AP59" s="24">
        <v>0</v>
      </c>
      <c r="AQ59" s="24">
        <v>90</v>
      </c>
      <c r="AR59" s="24">
        <v>0</v>
      </c>
      <c r="AS59" s="24" t="s">
        <v>224</v>
      </c>
      <c r="AT59" s="24">
        <v>0</v>
      </c>
      <c r="AU59" s="24">
        <v>0</v>
      </c>
    </row>
    <row r="60" s="28" customFormat="1" spans="1:47">
      <c r="A60" s="36">
        <v>631003</v>
      </c>
      <c r="B60" s="36" t="s">
        <v>736</v>
      </c>
      <c r="C60" s="36">
        <v>11</v>
      </c>
      <c r="D60" s="36">
        <v>2</v>
      </c>
      <c r="E60" s="33" t="s">
        <v>726</v>
      </c>
      <c r="F60" s="36" t="s">
        <v>135</v>
      </c>
      <c r="G60" s="36">
        <v>3</v>
      </c>
      <c r="H60" s="36">
        <v>0</v>
      </c>
      <c r="I60" s="36">
        <v>0</v>
      </c>
      <c r="J60" s="36" t="s">
        <v>365</v>
      </c>
      <c r="K60" s="36" t="s">
        <v>365</v>
      </c>
      <c r="L60" s="36"/>
      <c r="M60" s="14">
        <f>士兵数据!L42</f>
        <v>1431</v>
      </c>
      <c r="N60" s="14">
        <v>0</v>
      </c>
      <c r="O60" s="14">
        <v>37</v>
      </c>
      <c r="P60" s="14">
        <v>0</v>
      </c>
      <c r="Q60" s="14">
        <f>士兵数据!P42</f>
        <v>88</v>
      </c>
      <c r="R60" s="14">
        <v>0</v>
      </c>
      <c r="S60" s="14">
        <f>士兵数据!R42</f>
        <v>211</v>
      </c>
      <c r="T60" s="14">
        <v>0</v>
      </c>
      <c r="U60" s="14">
        <f>士兵数据!T42</f>
        <v>123</v>
      </c>
      <c r="V60" s="14">
        <v>0</v>
      </c>
      <c r="W60" s="14">
        <f>士兵数据!V42</f>
        <v>12</v>
      </c>
      <c r="X60" s="14">
        <v>0</v>
      </c>
      <c r="Y60" s="14">
        <v>1200</v>
      </c>
      <c r="Z60" s="41">
        <f t="shared" si="0"/>
        <v>1100</v>
      </c>
      <c r="AA60" s="14">
        <v>300</v>
      </c>
      <c r="AB60" s="14">
        <v>10</v>
      </c>
      <c r="AC60" s="14">
        <f t="shared" si="2"/>
        <v>1</v>
      </c>
      <c r="AD60" s="14" t="s">
        <v>369</v>
      </c>
      <c r="AE60" s="14">
        <v>0</v>
      </c>
      <c r="AF60" s="14">
        <v>0</v>
      </c>
      <c r="AG60" s="14">
        <v>0</v>
      </c>
      <c r="AH60" s="14">
        <v>0</v>
      </c>
      <c r="AI60" s="14" t="s">
        <v>266</v>
      </c>
      <c r="AJ60" s="14">
        <f t="shared" si="3"/>
        <v>1</v>
      </c>
      <c r="AK60" s="14">
        <v>1</v>
      </c>
      <c r="AL60" s="28">
        <v>11</v>
      </c>
      <c r="AM60" s="28">
        <v>0</v>
      </c>
      <c r="AN60" s="28">
        <v>4</v>
      </c>
      <c r="AO60" s="28">
        <v>0</v>
      </c>
      <c r="AP60" s="28">
        <v>0</v>
      </c>
      <c r="AQ60" s="28">
        <v>90</v>
      </c>
      <c r="AR60" s="28">
        <v>0</v>
      </c>
      <c r="AS60" s="28" t="s">
        <v>224</v>
      </c>
      <c r="AT60" s="28">
        <v>0</v>
      </c>
      <c r="AU60" s="28">
        <v>0</v>
      </c>
    </row>
    <row r="61" s="24" customFormat="1" spans="1:47">
      <c r="A61" s="15">
        <v>711001</v>
      </c>
      <c r="B61" s="15" t="s">
        <v>373</v>
      </c>
      <c r="C61" s="15">
        <v>11</v>
      </c>
      <c r="D61" s="15">
        <v>2</v>
      </c>
      <c r="E61" s="33" t="s">
        <v>374</v>
      </c>
      <c r="F61" s="15" t="s">
        <v>434</v>
      </c>
      <c r="G61" s="15">
        <v>1</v>
      </c>
      <c r="H61" s="15">
        <v>0</v>
      </c>
      <c r="I61" s="15">
        <v>0</v>
      </c>
      <c r="J61" s="15" t="s">
        <v>375</v>
      </c>
      <c r="K61" s="15" t="s">
        <v>375</v>
      </c>
      <c r="L61" s="15"/>
      <c r="M61" s="14">
        <f>士兵数据!L45</f>
        <v>373</v>
      </c>
      <c r="N61" s="14">
        <v>0</v>
      </c>
      <c r="O61" s="14">
        <f>士兵数据!N45</f>
        <v>83</v>
      </c>
      <c r="P61" s="14">
        <v>0</v>
      </c>
      <c r="Q61" s="14">
        <f>士兵数据!P45</f>
        <v>43</v>
      </c>
      <c r="R61" s="14">
        <v>0</v>
      </c>
      <c r="S61" s="14">
        <f>士兵数据!R45</f>
        <v>70</v>
      </c>
      <c r="T61" s="14">
        <v>0</v>
      </c>
      <c r="U61" s="14">
        <f>士兵数据!T45</f>
        <v>38</v>
      </c>
      <c r="V61" s="14">
        <v>0</v>
      </c>
      <c r="W61" s="14">
        <f>士兵数据!V45</f>
        <v>11</v>
      </c>
      <c r="X61" s="14">
        <v>0</v>
      </c>
      <c r="Y61" s="14">
        <v>200</v>
      </c>
      <c r="Z61" s="41">
        <f t="shared" si="0"/>
        <v>600</v>
      </c>
      <c r="AA61" s="14">
        <v>300</v>
      </c>
      <c r="AB61" s="14">
        <v>8</v>
      </c>
      <c r="AC61" s="14">
        <f t="shared" si="2"/>
        <v>2</v>
      </c>
      <c r="AD61" s="14" t="s">
        <v>737</v>
      </c>
      <c r="AE61" s="14">
        <v>0</v>
      </c>
      <c r="AF61" s="14">
        <v>0</v>
      </c>
      <c r="AG61" s="14">
        <v>0</v>
      </c>
      <c r="AH61" s="14">
        <v>0</v>
      </c>
      <c r="AI61" s="14" t="s">
        <v>266</v>
      </c>
      <c r="AJ61" s="14">
        <f t="shared" si="3"/>
        <v>1</v>
      </c>
      <c r="AK61" s="14">
        <v>1</v>
      </c>
      <c r="AL61" s="31">
        <v>11</v>
      </c>
      <c r="AM61" s="31">
        <v>0</v>
      </c>
      <c r="AN61" s="31">
        <v>4</v>
      </c>
      <c r="AO61" s="31">
        <v>0</v>
      </c>
      <c r="AP61" s="31">
        <v>0</v>
      </c>
      <c r="AQ61" s="31">
        <v>90</v>
      </c>
      <c r="AR61" s="31">
        <v>0</v>
      </c>
      <c r="AS61" s="31" t="s">
        <v>224</v>
      </c>
      <c r="AT61" s="31">
        <v>0</v>
      </c>
      <c r="AU61" s="31">
        <v>0</v>
      </c>
    </row>
    <row r="62" s="24" customFormat="1" spans="1:47">
      <c r="A62" s="15">
        <v>721001</v>
      </c>
      <c r="B62" s="15" t="s">
        <v>377</v>
      </c>
      <c r="C62" s="15">
        <v>11</v>
      </c>
      <c r="D62" s="15">
        <v>2</v>
      </c>
      <c r="E62" s="33" t="s">
        <v>378</v>
      </c>
      <c r="F62" s="15" t="s">
        <v>434</v>
      </c>
      <c r="G62" s="15">
        <v>2</v>
      </c>
      <c r="H62" s="15">
        <v>0</v>
      </c>
      <c r="I62" s="15">
        <v>0</v>
      </c>
      <c r="J62" s="15" t="s">
        <v>379</v>
      </c>
      <c r="K62" s="15" t="s">
        <v>379</v>
      </c>
      <c r="L62" s="15"/>
      <c r="M62" s="14">
        <f>士兵数据!L46</f>
        <v>546</v>
      </c>
      <c r="N62" s="14">
        <v>0</v>
      </c>
      <c r="O62" s="14">
        <f>士兵数据!N46</f>
        <v>110</v>
      </c>
      <c r="P62" s="14">
        <v>0</v>
      </c>
      <c r="Q62" s="14">
        <f>士兵数据!P46</f>
        <v>60</v>
      </c>
      <c r="R62" s="14">
        <v>0</v>
      </c>
      <c r="S62" s="14">
        <f>士兵数据!R46</f>
        <v>88</v>
      </c>
      <c r="T62" s="14">
        <v>0</v>
      </c>
      <c r="U62" s="14">
        <f>士兵数据!T46</f>
        <v>53</v>
      </c>
      <c r="V62" s="14">
        <v>0</v>
      </c>
      <c r="W62" s="14">
        <f>士兵数据!V46</f>
        <v>11</v>
      </c>
      <c r="X62" s="14">
        <v>0</v>
      </c>
      <c r="Y62" s="14">
        <v>200</v>
      </c>
      <c r="Z62" s="41">
        <f t="shared" si="0"/>
        <v>600</v>
      </c>
      <c r="AA62" s="14">
        <v>300</v>
      </c>
      <c r="AB62" s="14">
        <v>8</v>
      </c>
      <c r="AC62" s="14">
        <f t="shared" si="2"/>
        <v>2</v>
      </c>
      <c r="AD62" s="14" t="s">
        <v>383</v>
      </c>
      <c r="AE62" s="14">
        <v>0</v>
      </c>
      <c r="AF62" s="14">
        <v>0</v>
      </c>
      <c r="AG62" s="14">
        <v>0</v>
      </c>
      <c r="AH62" s="14">
        <v>0</v>
      </c>
      <c r="AI62" s="14" t="s">
        <v>266</v>
      </c>
      <c r="AJ62" s="14">
        <f t="shared" si="3"/>
        <v>1</v>
      </c>
      <c r="AK62" s="14">
        <v>1</v>
      </c>
      <c r="AL62" s="31">
        <v>11</v>
      </c>
      <c r="AM62" s="31">
        <v>0</v>
      </c>
      <c r="AN62" s="31">
        <v>4</v>
      </c>
      <c r="AO62" s="31">
        <v>0</v>
      </c>
      <c r="AP62" s="31">
        <v>0</v>
      </c>
      <c r="AQ62" s="31">
        <v>90</v>
      </c>
      <c r="AR62" s="31">
        <v>0</v>
      </c>
      <c r="AS62" s="31" t="s">
        <v>224</v>
      </c>
      <c r="AT62" s="31">
        <v>0</v>
      </c>
      <c r="AU62" s="31">
        <v>0</v>
      </c>
    </row>
    <row r="63" s="24" customFormat="1" spans="1:47">
      <c r="A63" s="15">
        <v>731001</v>
      </c>
      <c r="B63" s="15" t="s">
        <v>634</v>
      </c>
      <c r="C63" s="15">
        <v>11</v>
      </c>
      <c r="D63" s="15">
        <v>2</v>
      </c>
      <c r="E63" s="33" t="s">
        <v>738</v>
      </c>
      <c r="F63" s="15" t="s">
        <v>434</v>
      </c>
      <c r="G63" s="15">
        <v>3</v>
      </c>
      <c r="H63" s="15">
        <v>0</v>
      </c>
      <c r="I63" s="15">
        <v>0</v>
      </c>
      <c r="J63" s="15" t="s">
        <v>386</v>
      </c>
      <c r="K63" s="15" t="s">
        <v>386</v>
      </c>
      <c r="L63" s="15"/>
      <c r="M63" s="14">
        <f>士兵数据!L47</f>
        <v>655</v>
      </c>
      <c r="N63" s="14">
        <v>0</v>
      </c>
      <c r="O63" s="14">
        <f>士兵数据!N47</f>
        <v>112</v>
      </c>
      <c r="P63" s="14">
        <v>0</v>
      </c>
      <c r="Q63" s="14">
        <f>士兵数据!P47</f>
        <v>40</v>
      </c>
      <c r="R63" s="14">
        <v>0</v>
      </c>
      <c r="S63" s="14">
        <f>士兵数据!R47</f>
        <v>82</v>
      </c>
      <c r="T63" s="14">
        <v>0</v>
      </c>
      <c r="U63" s="14">
        <f>士兵数据!T47</f>
        <v>34</v>
      </c>
      <c r="V63" s="14">
        <v>0</v>
      </c>
      <c r="W63" s="14">
        <f>士兵数据!V47</f>
        <v>11</v>
      </c>
      <c r="X63" s="14">
        <v>0</v>
      </c>
      <c r="Y63" s="14">
        <v>200</v>
      </c>
      <c r="Z63" s="41">
        <f t="shared" si="0"/>
        <v>600</v>
      </c>
      <c r="AA63" s="14">
        <v>400</v>
      </c>
      <c r="AB63" s="14">
        <v>8</v>
      </c>
      <c r="AC63" s="14">
        <f t="shared" si="2"/>
        <v>2</v>
      </c>
      <c r="AD63" s="14" t="s">
        <v>387</v>
      </c>
      <c r="AE63" s="14">
        <v>0</v>
      </c>
      <c r="AF63" s="14">
        <v>0</v>
      </c>
      <c r="AG63" s="14">
        <v>0</v>
      </c>
      <c r="AH63" s="14">
        <v>0</v>
      </c>
      <c r="AI63" s="14" t="s">
        <v>266</v>
      </c>
      <c r="AJ63" s="14">
        <f t="shared" si="3"/>
        <v>1</v>
      </c>
      <c r="AK63" s="14">
        <v>1</v>
      </c>
      <c r="AL63" s="31">
        <v>11</v>
      </c>
      <c r="AM63" s="31">
        <v>0</v>
      </c>
      <c r="AN63" s="31">
        <v>4</v>
      </c>
      <c r="AO63" s="31">
        <v>0</v>
      </c>
      <c r="AP63" s="31">
        <v>0</v>
      </c>
      <c r="AQ63" s="31">
        <v>90</v>
      </c>
      <c r="AR63" s="31">
        <v>0</v>
      </c>
      <c r="AS63" s="31" t="s">
        <v>224</v>
      </c>
      <c r="AT63" s="31">
        <v>0</v>
      </c>
      <c r="AU63" s="31">
        <v>0</v>
      </c>
    </row>
    <row r="64" s="28" customFormat="1" spans="1:47">
      <c r="A64" s="36">
        <v>731002</v>
      </c>
      <c r="B64" s="36" t="s">
        <v>739</v>
      </c>
      <c r="C64" s="36">
        <v>11</v>
      </c>
      <c r="D64" s="36">
        <v>2</v>
      </c>
      <c r="E64" s="33" t="s">
        <v>722</v>
      </c>
      <c r="F64" s="36" t="s">
        <v>434</v>
      </c>
      <c r="G64" s="36">
        <v>3</v>
      </c>
      <c r="H64" s="36">
        <v>0</v>
      </c>
      <c r="I64" s="36">
        <v>0</v>
      </c>
      <c r="J64" s="36" t="s">
        <v>400</v>
      </c>
      <c r="K64" s="36" t="s">
        <v>400</v>
      </c>
      <c r="L64" s="36"/>
      <c r="M64" s="14">
        <f>士兵数据!L48</f>
        <v>811</v>
      </c>
      <c r="N64" s="14">
        <v>0</v>
      </c>
      <c r="O64" s="14">
        <f>士兵数据!N48</f>
        <v>145</v>
      </c>
      <c r="P64" s="14">
        <v>0</v>
      </c>
      <c r="Q64" s="14">
        <f>士兵数据!P48</f>
        <v>69</v>
      </c>
      <c r="R64" s="14">
        <v>0</v>
      </c>
      <c r="S64" s="14">
        <f>士兵数据!R48</f>
        <v>108</v>
      </c>
      <c r="T64" s="14">
        <v>0</v>
      </c>
      <c r="U64" s="14">
        <f>士兵数据!T48</f>
        <v>60</v>
      </c>
      <c r="V64" s="14">
        <v>0</v>
      </c>
      <c r="W64" s="14">
        <f>士兵数据!V48</f>
        <v>11</v>
      </c>
      <c r="X64" s="14">
        <v>0</v>
      </c>
      <c r="Y64" s="14">
        <v>200</v>
      </c>
      <c r="Z64" s="41">
        <f t="shared" si="0"/>
        <v>600</v>
      </c>
      <c r="AA64" s="14">
        <v>300</v>
      </c>
      <c r="AB64" s="14">
        <v>8</v>
      </c>
      <c r="AC64" s="14">
        <f t="shared" si="2"/>
        <v>2</v>
      </c>
      <c r="AD64" s="14" t="s">
        <v>390</v>
      </c>
      <c r="AE64" s="14">
        <v>0</v>
      </c>
      <c r="AF64" s="14">
        <v>0</v>
      </c>
      <c r="AG64" s="14">
        <v>0</v>
      </c>
      <c r="AH64" s="14">
        <v>0</v>
      </c>
      <c r="AI64" s="14" t="s">
        <v>266</v>
      </c>
      <c r="AJ64" s="14">
        <f t="shared" si="3"/>
        <v>1</v>
      </c>
      <c r="AK64" s="14">
        <v>1</v>
      </c>
      <c r="AL64" s="28">
        <v>11</v>
      </c>
      <c r="AM64" s="28">
        <v>0</v>
      </c>
      <c r="AN64" s="28">
        <v>4</v>
      </c>
      <c r="AO64" s="28">
        <v>0</v>
      </c>
      <c r="AP64" s="28">
        <v>0</v>
      </c>
      <c r="AQ64" s="28">
        <v>90</v>
      </c>
      <c r="AR64" s="28">
        <v>0</v>
      </c>
      <c r="AS64" s="28" t="s">
        <v>224</v>
      </c>
      <c r="AT64" s="28">
        <v>0</v>
      </c>
      <c r="AU64" s="28">
        <v>0</v>
      </c>
    </row>
    <row r="65" s="24" customFormat="1" spans="1:47">
      <c r="A65" s="15">
        <v>731003</v>
      </c>
      <c r="B65" s="15" t="s">
        <v>391</v>
      </c>
      <c r="C65" s="15">
        <v>11</v>
      </c>
      <c r="D65" s="15">
        <v>2</v>
      </c>
      <c r="E65" s="33" t="s">
        <v>722</v>
      </c>
      <c r="F65" s="15" t="s">
        <v>434</v>
      </c>
      <c r="G65" s="15">
        <v>3</v>
      </c>
      <c r="H65" s="15">
        <v>0</v>
      </c>
      <c r="I65" s="15">
        <v>0</v>
      </c>
      <c r="J65" s="15" t="s">
        <v>393</v>
      </c>
      <c r="K65" s="15" t="s">
        <v>393</v>
      </c>
      <c r="L65" s="15"/>
      <c r="M65" s="14">
        <f>士兵数据!L49</f>
        <v>1019</v>
      </c>
      <c r="N65" s="14">
        <v>0</v>
      </c>
      <c r="O65" s="14">
        <v>48</v>
      </c>
      <c r="P65" s="14">
        <v>0</v>
      </c>
      <c r="Q65" s="14">
        <f>士兵数据!P49</f>
        <v>74</v>
      </c>
      <c r="R65" s="14">
        <v>0</v>
      </c>
      <c r="S65" s="14">
        <f>士兵数据!R49</f>
        <v>98</v>
      </c>
      <c r="T65" s="14">
        <v>0</v>
      </c>
      <c r="U65" s="14">
        <f>士兵数据!T49</f>
        <v>64</v>
      </c>
      <c r="V65" s="14">
        <v>0</v>
      </c>
      <c r="W65" s="14">
        <f>士兵数据!V49</f>
        <v>11</v>
      </c>
      <c r="X65" s="14">
        <v>0</v>
      </c>
      <c r="Y65" s="14">
        <v>1200</v>
      </c>
      <c r="Z65" s="41">
        <f t="shared" si="0"/>
        <v>1100</v>
      </c>
      <c r="AA65" s="14">
        <v>300</v>
      </c>
      <c r="AB65" s="14">
        <v>10</v>
      </c>
      <c r="AC65" s="14">
        <f t="shared" si="2"/>
        <v>2</v>
      </c>
      <c r="AD65" s="14" t="s">
        <v>394</v>
      </c>
      <c r="AE65" s="14">
        <v>0</v>
      </c>
      <c r="AF65" s="14">
        <v>0</v>
      </c>
      <c r="AG65" s="14">
        <v>0</v>
      </c>
      <c r="AH65" s="14">
        <v>0</v>
      </c>
      <c r="AI65" s="14" t="s">
        <v>266</v>
      </c>
      <c r="AJ65" s="14">
        <f t="shared" si="3"/>
        <v>1</v>
      </c>
      <c r="AK65" s="14">
        <v>1</v>
      </c>
      <c r="AL65" s="31">
        <v>11</v>
      </c>
      <c r="AM65" s="31">
        <v>0</v>
      </c>
      <c r="AN65" s="31">
        <v>4</v>
      </c>
      <c r="AO65" s="31">
        <v>0</v>
      </c>
      <c r="AP65" s="31">
        <v>0</v>
      </c>
      <c r="AQ65" s="31">
        <v>90</v>
      </c>
      <c r="AR65" s="31">
        <v>0</v>
      </c>
      <c r="AS65" s="31" t="s">
        <v>224</v>
      </c>
      <c r="AT65" s="31">
        <v>0</v>
      </c>
      <c r="AU65" s="31">
        <v>0</v>
      </c>
    </row>
    <row r="66" s="24" customFormat="1" spans="1:47">
      <c r="A66" s="15">
        <v>811001</v>
      </c>
      <c r="B66" s="15" t="s">
        <v>408</v>
      </c>
      <c r="C66" s="15">
        <v>11</v>
      </c>
      <c r="D66" s="15">
        <v>2</v>
      </c>
      <c r="E66" s="33" t="s">
        <v>409</v>
      </c>
      <c r="F66" s="15" t="s">
        <v>178</v>
      </c>
      <c r="G66" s="15">
        <v>1</v>
      </c>
      <c r="H66" s="15">
        <v>0</v>
      </c>
      <c r="I66" s="15">
        <v>0</v>
      </c>
      <c r="J66" s="15" t="s">
        <v>410</v>
      </c>
      <c r="K66" s="15" t="s">
        <v>410</v>
      </c>
      <c r="L66" s="15"/>
      <c r="M66" s="14">
        <f>士兵数据!L57</f>
        <v>589</v>
      </c>
      <c r="N66" s="14">
        <v>0</v>
      </c>
      <c r="O66" s="14">
        <f>士兵数据!N57</f>
        <v>85</v>
      </c>
      <c r="P66" s="14">
        <v>0</v>
      </c>
      <c r="Q66" s="14">
        <f>士兵数据!P57</f>
        <v>45</v>
      </c>
      <c r="R66" s="14">
        <v>0</v>
      </c>
      <c r="S66" s="14">
        <f>士兵数据!R57</f>
        <v>72</v>
      </c>
      <c r="T66" s="14">
        <v>0</v>
      </c>
      <c r="U66" s="14">
        <f>士兵数据!T57</f>
        <v>39</v>
      </c>
      <c r="V66" s="14">
        <v>0</v>
      </c>
      <c r="W66" s="14">
        <f>士兵数据!V57</f>
        <v>11</v>
      </c>
      <c r="X66" s="14">
        <v>0</v>
      </c>
      <c r="Y66" s="14">
        <v>200</v>
      </c>
      <c r="Z66" s="41">
        <f t="shared" si="0"/>
        <v>600</v>
      </c>
      <c r="AA66" s="14">
        <v>300</v>
      </c>
      <c r="AB66" s="14">
        <v>8</v>
      </c>
      <c r="AC66" s="14">
        <f t="shared" si="2"/>
        <v>2</v>
      </c>
      <c r="AD66" s="14" t="s">
        <v>414</v>
      </c>
      <c r="AE66" s="14">
        <v>0</v>
      </c>
      <c r="AF66" s="14">
        <v>0</v>
      </c>
      <c r="AG66" s="14">
        <v>0</v>
      </c>
      <c r="AH66" s="14">
        <v>0</v>
      </c>
      <c r="AI66" s="14" t="s">
        <v>266</v>
      </c>
      <c r="AJ66" s="14">
        <f t="shared" si="3"/>
        <v>1</v>
      </c>
      <c r="AK66" s="14">
        <v>1</v>
      </c>
      <c r="AL66" s="31">
        <v>11</v>
      </c>
      <c r="AM66" s="31">
        <v>0</v>
      </c>
      <c r="AN66" s="31">
        <v>4</v>
      </c>
      <c r="AO66" s="31">
        <v>0</v>
      </c>
      <c r="AP66" s="31">
        <v>0</v>
      </c>
      <c r="AQ66" s="31">
        <v>90</v>
      </c>
      <c r="AR66" s="31">
        <v>0</v>
      </c>
      <c r="AS66" s="31" t="s">
        <v>224</v>
      </c>
      <c r="AT66" s="31">
        <v>0</v>
      </c>
      <c r="AU66" s="31">
        <v>0</v>
      </c>
    </row>
    <row r="67" s="24" customFormat="1" spans="1:47">
      <c r="A67" s="15">
        <v>821001</v>
      </c>
      <c r="B67" s="15" t="s">
        <v>415</v>
      </c>
      <c r="C67" s="15">
        <v>11</v>
      </c>
      <c r="D67" s="15">
        <v>2</v>
      </c>
      <c r="E67" s="33" t="s">
        <v>412</v>
      </c>
      <c r="F67" s="15" t="s">
        <v>178</v>
      </c>
      <c r="G67" s="15">
        <v>2</v>
      </c>
      <c r="H67" s="15">
        <v>0</v>
      </c>
      <c r="I67" s="15">
        <v>0</v>
      </c>
      <c r="J67" s="15" t="s">
        <v>413</v>
      </c>
      <c r="K67" s="15" t="s">
        <v>413</v>
      </c>
      <c r="L67" s="15"/>
      <c r="M67" s="14">
        <f>士兵数据!L58</f>
        <v>783</v>
      </c>
      <c r="N67" s="14">
        <v>0</v>
      </c>
      <c r="O67" s="14">
        <f>士兵数据!N58</f>
        <v>121</v>
      </c>
      <c r="P67" s="14">
        <v>0</v>
      </c>
      <c r="Q67" s="14">
        <f>士兵数据!P58</f>
        <v>60</v>
      </c>
      <c r="R67" s="14">
        <v>0</v>
      </c>
      <c r="S67" s="14">
        <f>士兵数据!R58</f>
        <v>90</v>
      </c>
      <c r="T67" s="14">
        <v>0</v>
      </c>
      <c r="U67" s="14">
        <f>士兵数据!T58</f>
        <v>52</v>
      </c>
      <c r="V67" s="14">
        <v>0</v>
      </c>
      <c r="W67" s="14">
        <f>士兵数据!V58</f>
        <v>12</v>
      </c>
      <c r="X67" s="14">
        <v>0</v>
      </c>
      <c r="Y67" s="14">
        <v>200</v>
      </c>
      <c r="Z67" s="41">
        <f t="shared" si="0"/>
        <v>600</v>
      </c>
      <c r="AA67" s="14">
        <v>300</v>
      </c>
      <c r="AB67" s="14">
        <v>8</v>
      </c>
      <c r="AC67" s="14">
        <f t="shared" si="2"/>
        <v>2</v>
      </c>
      <c r="AD67" s="14" t="s">
        <v>418</v>
      </c>
      <c r="AE67" s="14">
        <v>0</v>
      </c>
      <c r="AF67" s="14">
        <v>0</v>
      </c>
      <c r="AG67" s="14">
        <v>0</v>
      </c>
      <c r="AH67" s="14">
        <v>0</v>
      </c>
      <c r="AI67" s="14" t="s">
        <v>266</v>
      </c>
      <c r="AJ67" s="14">
        <f t="shared" si="3"/>
        <v>1</v>
      </c>
      <c r="AK67" s="14">
        <v>1</v>
      </c>
      <c r="AL67" s="31">
        <v>11</v>
      </c>
      <c r="AM67" s="31">
        <v>0</v>
      </c>
      <c r="AN67" s="31">
        <v>4</v>
      </c>
      <c r="AO67" s="31">
        <v>0</v>
      </c>
      <c r="AP67" s="31">
        <v>0</v>
      </c>
      <c r="AQ67" s="31">
        <v>90</v>
      </c>
      <c r="AR67" s="31">
        <v>0</v>
      </c>
      <c r="AS67" s="31" t="s">
        <v>224</v>
      </c>
      <c r="AT67" s="31">
        <v>0</v>
      </c>
      <c r="AU67" s="31">
        <v>0</v>
      </c>
    </row>
    <row r="68" s="24" customFormat="1" spans="1:47">
      <c r="A68" s="15">
        <v>831001</v>
      </c>
      <c r="B68" s="15" t="s">
        <v>740</v>
      </c>
      <c r="C68" s="15">
        <v>11</v>
      </c>
      <c r="D68" s="15">
        <v>2</v>
      </c>
      <c r="E68" s="33" t="s">
        <v>741</v>
      </c>
      <c r="F68" s="15" t="s">
        <v>178</v>
      </c>
      <c r="G68" s="15">
        <v>3</v>
      </c>
      <c r="H68" s="15">
        <v>0</v>
      </c>
      <c r="I68" s="15">
        <v>0</v>
      </c>
      <c r="J68" s="15" t="s">
        <v>417</v>
      </c>
      <c r="K68" s="15" t="s">
        <v>417</v>
      </c>
      <c r="L68" s="15"/>
      <c r="M68" s="14">
        <f>士兵数据!L59</f>
        <v>1486</v>
      </c>
      <c r="N68" s="14">
        <v>0</v>
      </c>
      <c r="O68" s="14">
        <f>士兵数据!N59</f>
        <v>185</v>
      </c>
      <c r="P68" s="14">
        <v>0</v>
      </c>
      <c r="Q68" s="14">
        <f>士兵数据!P59</f>
        <v>80</v>
      </c>
      <c r="R68" s="14">
        <v>0</v>
      </c>
      <c r="S68" s="14">
        <f>士兵数据!R59</f>
        <v>108</v>
      </c>
      <c r="T68" s="14">
        <v>0</v>
      </c>
      <c r="U68" s="14">
        <f>士兵数据!T59</f>
        <v>69</v>
      </c>
      <c r="V68" s="14">
        <v>0</v>
      </c>
      <c r="W68" s="14">
        <f>士兵数据!V59</f>
        <v>12</v>
      </c>
      <c r="X68" s="14">
        <v>0</v>
      </c>
      <c r="Y68" s="14">
        <v>200</v>
      </c>
      <c r="Z68" s="41">
        <f t="shared" ref="Z68:Z73" si="4">MIN(Y68+400,1100)</f>
        <v>600</v>
      </c>
      <c r="AA68" s="14">
        <v>300</v>
      </c>
      <c r="AB68" s="14">
        <v>8</v>
      </c>
      <c r="AC68" s="14">
        <f t="shared" si="2"/>
        <v>2</v>
      </c>
      <c r="AD68" s="14" t="s">
        <v>422</v>
      </c>
      <c r="AE68" s="14">
        <v>0</v>
      </c>
      <c r="AF68" s="14">
        <v>0</v>
      </c>
      <c r="AG68" s="14">
        <v>0</v>
      </c>
      <c r="AH68" s="14">
        <v>0</v>
      </c>
      <c r="AI68" s="14" t="s">
        <v>266</v>
      </c>
      <c r="AJ68" s="14">
        <f t="shared" si="3"/>
        <v>1</v>
      </c>
      <c r="AK68" s="14">
        <v>1</v>
      </c>
      <c r="AL68" s="31">
        <v>11</v>
      </c>
      <c r="AM68" s="31">
        <v>0</v>
      </c>
      <c r="AN68" s="31">
        <v>4</v>
      </c>
      <c r="AO68" s="31">
        <v>0</v>
      </c>
      <c r="AP68" s="31">
        <v>0</v>
      </c>
      <c r="AQ68" s="31">
        <v>90</v>
      </c>
      <c r="AR68" s="31">
        <v>0</v>
      </c>
      <c r="AS68" s="31" t="s">
        <v>224</v>
      </c>
      <c r="AT68" s="31">
        <v>0</v>
      </c>
      <c r="AU68" s="31">
        <v>0</v>
      </c>
    </row>
    <row r="69" s="24" customFormat="1" spans="1:47">
      <c r="A69" s="15">
        <v>831002</v>
      </c>
      <c r="B69" s="15" t="s">
        <v>742</v>
      </c>
      <c r="C69" s="15">
        <v>11</v>
      </c>
      <c r="D69" s="15">
        <v>2</v>
      </c>
      <c r="E69" s="33" t="s">
        <v>743</v>
      </c>
      <c r="F69" s="15" t="s">
        <v>178</v>
      </c>
      <c r="G69" s="15">
        <v>3</v>
      </c>
      <c r="H69" s="15">
        <v>0</v>
      </c>
      <c r="I69" s="15">
        <v>0</v>
      </c>
      <c r="J69" s="15" t="s">
        <v>421</v>
      </c>
      <c r="K69" s="15" t="s">
        <v>421</v>
      </c>
      <c r="L69" s="15"/>
      <c r="M69" s="14">
        <f>士兵数据!L60</f>
        <v>1741</v>
      </c>
      <c r="N69" s="14">
        <v>0</v>
      </c>
      <c r="O69" s="14">
        <f>士兵数据!N60</f>
        <v>227</v>
      </c>
      <c r="P69" s="14">
        <v>0</v>
      </c>
      <c r="Q69" s="14">
        <f>士兵数据!P60</f>
        <v>79</v>
      </c>
      <c r="R69" s="14">
        <v>0</v>
      </c>
      <c r="S69" s="14">
        <f>士兵数据!R60</f>
        <v>130</v>
      </c>
      <c r="T69" s="14">
        <v>0</v>
      </c>
      <c r="U69" s="14">
        <f>士兵数据!T60</f>
        <v>68</v>
      </c>
      <c r="V69" s="14">
        <v>0</v>
      </c>
      <c r="W69" s="14">
        <f>士兵数据!V60</f>
        <v>12</v>
      </c>
      <c r="X69" s="14">
        <v>0</v>
      </c>
      <c r="Y69" s="14">
        <v>200</v>
      </c>
      <c r="Z69" s="41">
        <f t="shared" si="4"/>
        <v>600</v>
      </c>
      <c r="AA69" s="14">
        <v>400</v>
      </c>
      <c r="AB69" s="14">
        <v>10</v>
      </c>
      <c r="AC69" s="14">
        <f t="shared" si="2"/>
        <v>2</v>
      </c>
      <c r="AD69" s="14" t="s">
        <v>426</v>
      </c>
      <c r="AE69" s="14">
        <v>0</v>
      </c>
      <c r="AF69" s="14">
        <v>0</v>
      </c>
      <c r="AG69" s="14">
        <v>0</v>
      </c>
      <c r="AH69" s="14">
        <v>0</v>
      </c>
      <c r="AI69" s="14" t="s">
        <v>266</v>
      </c>
      <c r="AJ69" s="14">
        <f t="shared" si="3"/>
        <v>1</v>
      </c>
      <c r="AK69" s="14">
        <v>1</v>
      </c>
      <c r="AL69" s="31">
        <v>11</v>
      </c>
      <c r="AM69" s="31">
        <v>0</v>
      </c>
      <c r="AN69" s="31">
        <v>4</v>
      </c>
      <c r="AO69" s="31">
        <v>0</v>
      </c>
      <c r="AP69" s="31">
        <v>0</v>
      </c>
      <c r="AQ69" s="31">
        <v>90</v>
      </c>
      <c r="AR69" s="31">
        <v>0</v>
      </c>
      <c r="AS69" s="31" t="s">
        <v>224</v>
      </c>
      <c r="AT69" s="31">
        <v>0</v>
      </c>
      <c r="AU69" s="31">
        <v>0</v>
      </c>
    </row>
    <row r="70" s="28" customFormat="1" spans="1:47">
      <c r="A70" s="36">
        <v>831003</v>
      </c>
      <c r="B70" s="36" t="s">
        <v>423</v>
      </c>
      <c r="C70" s="36">
        <v>11</v>
      </c>
      <c r="D70" s="36">
        <v>2</v>
      </c>
      <c r="E70" s="33" t="s">
        <v>743</v>
      </c>
      <c r="F70" s="36" t="s">
        <v>178</v>
      </c>
      <c r="G70" s="36">
        <v>3</v>
      </c>
      <c r="H70" s="36">
        <v>0</v>
      </c>
      <c r="I70" s="36">
        <v>0</v>
      </c>
      <c r="J70" s="36" t="s">
        <v>425</v>
      </c>
      <c r="K70" s="36" t="s">
        <v>425</v>
      </c>
      <c r="L70" s="36"/>
      <c r="M70" s="14">
        <f>士兵数据!L61</f>
        <v>1960</v>
      </c>
      <c r="N70" s="14">
        <v>0</v>
      </c>
      <c r="O70" s="14">
        <f>士兵数据!N61</f>
        <v>266</v>
      </c>
      <c r="P70" s="14">
        <v>0</v>
      </c>
      <c r="Q70" s="14">
        <f>士兵数据!P61</f>
        <v>120</v>
      </c>
      <c r="R70" s="14">
        <v>0</v>
      </c>
      <c r="S70" s="14">
        <f>士兵数据!R61</f>
        <v>151</v>
      </c>
      <c r="T70" s="14">
        <v>0</v>
      </c>
      <c r="U70" s="14">
        <f>士兵数据!T61</f>
        <v>103</v>
      </c>
      <c r="V70" s="14">
        <v>0</v>
      </c>
      <c r="W70" s="14">
        <f>士兵数据!V61</f>
        <v>12</v>
      </c>
      <c r="X70" s="14">
        <v>0</v>
      </c>
      <c r="Y70" s="14">
        <v>200</v>
      </c>
      <c r="Z70" s="41">
        <f t="shared" si="4"/>
        <v>600</v>
      </c>
      <c r="AA70" s="14">
        <v>300</v>
      </c>
      <c r="AB70" s="14">
        <v>8</v>
      </c>
      <c r="AC70" s="14">
        <f t="shared" si="2"/>
        <v>2</v>
      </c>
      <c r="AD70" s="14" t="s">
        <v>429</v>
      </c>
      <c r="AE70" s="14">
        <v>0</v>
      </c>
      <c r="AF70" s="14">
        <v>0</v>
      </c>
      <c r="AG70" s="14">
        <v>0</v>
      </c>
      <c r="AH70" s="14">
        <v>0</v>
      </c>
      <c r="AI70" s="14" t="s">
        <v>266</v>
      </c>
      <c r="AJ70" s="14">
        <f t="shared" si="3"/>
        <v>1</v>
      </c>
      <c r="AK70" s="14">
        <v>1</v>
      </c>
      <c r="AL70" s="28">
        <v>11</v>
      </c>
      <c r="AM70" s="28">
        <v>0</v>
      </c>
      <c r="AN70" s="28">
        <v>4</v>
      </c>
      <c r="AO70" s="28">
        <v>0</v>
      </c>
      <c r="AP70" s="28">
        <v>0</v>
      </c>
      <c r="AQ70" s="28">
        <v>90</v>
      </c>
      <c r="AR70" s="28">
        <v>0</v>
      </c>
      <c r="AS70" s="28" t="s">
        <v>224</v>
      </c>
      <c r="AT70" s="28">
        <v>0</v>
      </c>
      <c r="AU70" s="28">
        <v>0</v>
      </c>
    </row>
    <row r="71" s="24" customFormat="1" spans="1:47">
      <c r="A71" s="15">
        <v>10000001</v>
      </c>
      <c r="B71" s="15" t="s">
        <v>433</v>
      </c>
      <c r="C71" s="15">
        <v>11</v>
      </c>
      <c r="D71" s="15">
        <v>2</v>
      </c>
      <c r="E71" s="14">
        <v>0</v>
      </c>
      <c r="F71" s="15" t="s">
        <v>434</v>
      </c>
      <c r="G71" s="15">
        <v>1</v>
      </c>
      <c r="H71" s="15">
        <v>0</v>
      </c>
      <c r="I71" s="15">
        <v>0</v>
      </c>
      <c r="J71" s="41" t="s">
        <v>435</v>
      </c>
      <c r="K71" s="41" t="str">
        <f t="shared" ref="K71:K73" si="5">J71</f>
        <v>monster013</v>
      </c>
      <c r="L71" s="15"/>
      <c r="M71" s="14">
        <v>1000</v>
      </c>
      <c r="N71" s="14">
        <v>0</v>
      </c>
      <c r="O71" s="14">
        <v>71</v>
      </c>
      <c r="P71" s="14">
        <v>0</v>
      </c>
      <c r="Q71" s="14">
        <v>71</v>
      </c>
      <c r="R71" s="14">
        <v>0</v>
      </c>
      <c r="S71" s="14">
        <v>59</v>
      </c>
      <c r="T71" s="14">
        <v>0</v>
      </c>
      <c r="U71" s="14">
        <v>51</v>
      </c>
      <c r="V71" s="14">
        <v>0</v>
      </c>
      <c r="W71" s="14">
        <v>12</v>
      </c>
      <c r="X71" s="14">
        <v>0</v>
      </c>
      <c r="Y71" s="14">
        <v>1200</v>
      </c>
      <c r="Z71" s="41">
        <f t="shared" si="4"/>
        <v>1100</v>
      </c>
      <c r="AA71" s="14">
        <v>300</v>
      </c>
      <c r="AB71" s="14">
        <v>10</v>
      </c>
      <c r="AC71" s="14">
        <f t="shared" si="2"/>
        <v>2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 t="s">
        <v>266</v>
      </c>
      <c r="AJ71" s="14">
        <f t="shared" si="3"/>
        <v>1</v>
      </c>
      <c r="AK71" s="14">
        <v>1</v>
      </c>
      <c r="AL71" s="31">
        <v>11</v>
      </c>
      <c r="AM71" s="31">
        <v>0</v>
      </c>
      <c r="AN71" s="31">
        <v>4</v>
      </c>
      <c r="AO71" s="31">
        <v>0</v>
      </c>
      <c r="AP71" s="31">
        <v>0</v>
      </c>
      <c r="AQ71" s="31">
        <v>90</v>
      </c>
      <c r="AR71" s="31">
        <v>0</v>
      </c>
      <c r="AS71" s="31" t="s">
        <v>224</v>
      </c>
      <c r="AT71" s="31">
        <v>0</v>
      </c>
      <c r="AU71" s="31">
        <v>0</v>
      </c>
    </row>
    <row r="72" s="24" customFormat="1" spans="1:47">
      <c r="A72" s="15">
        <v>10000002</v>
      </c>
      <c r="B72" s="15" t="s">
        <v>436</v>
      </c>
      <c r="C72" s="15">
        <v>11</v>
      </c>
      <c r="D72" s="15">
        <v>2</v>
      </c>
      <c r="E72" s="14">
        <v>0</v>
      </c>
      <c r="F72" s="15" t="s">
        <v>434</v>
      </c>
      <c r="G72" s="15">
        <v>1</v>
      </c>
      <c r="H72" s="15">
        <v>0</v>
      </c>
      <c r="I72" s="15">
        <v>0</v>
      </c>
      <c r="J72" s="41" t="s">
        <v>437</v>
      </c>
      <c r="K72" s="41" t="str">
        <f t="shared" si="5"/>
        <v>daxiong_1</v>
      </c>
      <c r="L72" s="15"/>
      <c r="M72" s="14">
        <v>1000</v>
      </c>
      <c r="N72" s="14">
        <v>0</v>
      </c>
      <c r="O72" s="14">
        <v>71</v>
      </c>
      <c r="P72" s="14">
        <v>0</v>
      </c>
      <c r="Q72" s="14">
        <v>71</v>
      </c>
      <c r="R72" s="14">
        <v>0</v>
      </c>
      <c r="S72" s="14">
        <v>59</v>
      </c>
      <c r="T72" s="14">
        <v>0</v>
      </c>
      <c r="U72" s="14">
        <v>51</v>
      </c>
      <c r="V72" s="14">
        <v>0</v>
      </c>
      <c r="W72" s="14">
        <v>12</v>
      </c>
      <c r="X72" s="14">
        <v>0</v>
      </c>
      <c r="Y72" s="14">
        <v>200</v>
      </c>
      <c r="Z72" s="41">
        <f t="shared" si="4"/>
        <v>600</v>
      </c>
      <c r="AA72" s="14">
        <v>300</v>
      </c>
      <c r="AB72" s="14">
        <v>8</v>
      </c>
      <c r="AC72" s="14">
        <f t="shared" si="2"/>
        <v>2</v>
      </c>
      <c r="AD72" s="49">
        <v>23004911</v>
      </c>
      <c r="AE72" s="14">
        <v>0</v>
      </c>
      <c r="AF72" s="14">
        <v>0</v>
      </c>
      <c r="AG72" s="14">
        <v>0</v>
      </c>
      <c r="AH72" s="14">
        <v>0</v>
      </c>
      <c r="AI72" s="14" t="s">
        <v>266</v>
      </c>
      <c r="AJ72" s="14">
        <f t="shared" si="3"/>
        <v>1</v>
      </c>
      <c r="AK72" s="14">
        <v>1</v>
      </c>
      <c r="AL72" s="31">
        <v>11</v>
      </c>
      <c r="AM72" s="31">
        <v>0</v>
      </c>
      <c r="AN72" s="31">
        <v>4</v>
      </c>
      <c r="AO72" s="31">
        <v>0</v>
      </c>
      <c r="AP72" s="31">
        <v>0</v>
      </c>
      <c r="AQ72" s="31">
        <v>90</v>
      </c>
      <c r="AR72" s="31">
        <v>0</v>
      </c>
      <c r="AS72" s="31" t="s">
        <v>224</v>
      </c>
      <c r="AT72" s="31">
        <v>0</v>
      </c>
      <c r="AU72" s="31">
        <v>0</v>
      </c>
    </row>
    <row r="73" s="24" customFormat="1" spans="1:47">
      <c r="A73" s="15">
        <v>10000003</v>
      </c>
      <c r="B73" s="15" t="s">
        <v>438</v>
      </c>
      <c r="C73" s="15">
        <v>11</v>
      </c>
      <c r="D73" s="15">
        <v>2</v>
      </c>
      <c r="E73" s="14">
        <v>0</v>
      </c>
      <c r="F73" s="15" t="s">
        <v>434</v>
      </c>
      <c r="G73" s="15">
        <v>1</v>
      </c>
      <c r="H73" s="15">
        <v>0</v>
      </c>
      <c r="I73" s="15">
        <v>0</v>
      </c>
      <c r="J73" s="41" t="s">
        <v>439</v>
      </c>
      <c r="K73" s="41" t="str">
        <f t="shared" si="5"/>
        <v>xiaoxiong_1</v>
      </c>
      <c r="L73" s="15"/>
      <c r="M73" s="14">
        <v>1000</v>
      </c>
      <c r="N73" s="14">
        <v>0</v>
      </c>
      <c r="O73" s="14">
        <v>71</v>
      </c>
      <c r="P73" s="14">
        <v>0</v>
      </c>
      <c r="Q73" s="14">
        <v>71</v>
      </c>
      <c r="R73" s="14">
        <v>0</v>
      </c>
      <c r="S73" s="14">
        <v>59</v>
      </c>
      <c r="T73" s="14">
        <v>0</v>
      </c>
      <c r="U73" s="14">
        <v>51</v>
      </c>
      <c r="V73" s="14">
        <v>0</v>
      </c>
      <c r="W73" s="14">
        <v>12</v>
      </c>
      <c r="X73" s="14">
        <v>0</v>
      </c>
      <c r="Y73" s="14">
        <v>200</v>
      </c>
      <c r="Z73" s="41">
        <f t="shared" si="4"/>
        <v>600</v>
      </c>
      <c r="AA73" s="14">
        <v>300</v>
      </c>
      <c r="AB73" s="14">
        <v>8</v>
      </c>
      <c r="AC73" s="14">
        <f t="shared" si="2"/>
        <v>2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 t="s">
        <v>266</v>
      </c>
      <c r="AJ73" s="14">
        <f t="shared" si="3"/>
        <v>1</v>
      </c>
      <c r="AK73" s="14">
        <v>1</v>
      </c>
      <c r="AL73" s="31">
        <v>11</v>
      </c>
      <c r="AM73" s="31">
        <v>0</v>
      </c>
      <c r="AN73" s="31">
        <v>4</v>
      </c>
      <c r="AO73" s="31">
        <v>0</v>
      </c>
      <c r="AP73" s="31">
        <v>0</v>
      </c>
      <c r="AQ73" s="31">
        <v>90</v>
      </c>
      <c r="AR73" s="31">
        <v>0</v>
      </c>
      <c r="AS73" s="31" t="s">
        <v>224</v>
      </c>
      <c r="AT73" s="31">
        <v>0</v>
      </c>
      <c r="AU73" s="31">
        <v>0</v>
      </c>
    </row>
    <row r="74" s="24" customFormat="1" spans="1:47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30"/>
      <c r="Z74" s="30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31"/>
      <c r="AM74" s="31"/>
      <c r="AN74" s="31"/>
      <c r="AO74" s="31"/>
      <c r="AP74" s="31"/>
      <c r="AQ74" s="31"/>
      <c r="AR74" s="31"/>
      <c r="AS74" s="31"/>
      <c r="AT74" s="31"/>
      <c r="AU74" s="31"/>
    </row>
    <row r="75" s="24" customFormat="1" spans="1:47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30"/>
      <c r="Z75" s="30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31"/>
      <c r="AM75" s="31"/>
      <c r="AN75" s="31"/>
      <c r="AO75" s="31"/>
      <c r="AP75" s="31"/>
      <c r="AQ75" s="31"/>
      <c r="AR75" s="31"/>
      <c r="AS75" s="31"/>
      <c r="AT75" s="31"/>
      <c r="AU75" s="31"/>
    </row>
    <row r="76" s="24" customFormat="1" spans="1:47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30"/>
      <c r="Z76" s="30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31"/>
      <c r="AM76" s="31"/>
      <c r="AN76" s="31"/>
      <c r="AO76" s="31"/>
      <c r="AP76" s="31"/>
      <c r="AQ76" s="31"/>
      <c r="AR76" s="31"/>
      <c r="AS76" s="31"/>
      <c r="AT76" s="31"/>
      <c r="AU76" s="31"/>
    </row>
    <row r="77" s="24" customFormat="1" spans="1:4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30"/>
      <c r="Z77" s="30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31"/>
      <c r="AM77" s="31"/>
      <c r="AN77" s="31"/>
      <c r="AO77" s="31"/>
      <c r="AP77" s="31"/>
      <c r="AQ77" s="31"/>
      <c r="AR77" s="31"/>
      <c r="AS77" s="31"/>
      <c r="AT77" s="31"/>
      <c r="AU77" s="31"/>
    </row>
    <row r="78" s="24" customFormat="1" spans="1:47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30"/>
      <c r="Z78" s="30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31"/>
      <c r="AM78" s="31"/>
      <c r="AN78" s="31"/>
      <c r="AO78" s="31"/>
      <c r="AP78" s="31"/>
      <c r="AQ78" s="31"/>
      <c r="AR78" s="31"/>
      <c r="AS78" s="31"/>
      <c r="AT78" s="31"/>
      <c r="AU78" s="31"/>
    </row>
    <row r="79" s="24" customFormat="1" spans="1:47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30"/>
      <c r="Z79" s="30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31"/>
      <c r="AM79" s="31"/>
      <c r="AN79" s="31"/>
      <c r="AO79" s="31"/>
      <c r="AP79" s="31"/>
      <c r="AQ79" s="31"/>
      <c r="AR79" s="31"/>
      <c r="AS79" s="31"/>
      <c r="AT79" s="31"/>
      <c r="AU79" s="31"/>
    </row>
    <row r="80" s="24" customFormat="1" spans="1:47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30"/>
      <c r="Z80" s="30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31"/>
      <c r="AM80" s="31"/>
      <c r="AN80" s="31"/>
      <c r="AO80" s="31"/>
      <c r="AP80" s="31"/>
      <c r="AQ80" s="31"/>
      <c r="AR80" s="31"/>
      <c r="AS80" s="31"/>
      <c r="AT80" s="31"/>
      <c r="AU80" s="31"/>
    </row>
    <row r="81" s="24" customFormat="1" spans="1:47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30"/>
      <c r="Z81" s="30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31"/>
      <c r="AM81" s="31"/>
      <c r="AN81" s="31"/>
      <c r="AO81" s="31"/>
      <c r="AP81" s="31"/>
      <c r="AQ81" s="31"/>
      <c r="AR81" s="31"/>
      <c r="AS81" s="31"/>
      <c r="AT81" s="31"/>
      <c r="AU81" s="31"/>
    </row>
    <row r="82" s="24" customFormat="1" spans="1:47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30"/>
      <c r="Z82" s="30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31"/>
      <c r="AM82" s="31"/>
      <c r="AN82" s="31"/>
      <c r="AO82" s="31"/>
      <c r="AP82" s="31"/>
      <c r="AQ82" s="31"/>
      <c r="AR82" s="31"/>
      <c r="AS82" s="31"/>
      <c r="AT82" s="31"/>
      <c r="AU82" s="31"/>
    </row>
    <row r="83" s="24" customFormat="1" spans="1:47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30"/>
      <c r="Z83" s="30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31"/>
      <c r="AM83" s="31"/>
      <c r="AN83" s="31"/>
      <c r="AO83" s="31"/>
      <c r="AP83" s="31"/>
      <c r="AQ83" s="31"/>
      <c r="AR83" s="31"/>
      <c r="AS83" s="31"/>
      <c r="AT83" s="31"/>
      <c r="AU83" s="31"/>
    </row>
    <row r="84" s="24" customFormat="1" spans="1:47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30"/>
      <c r="Z84" s="30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31"/>
      <c r="AM84" s="31"/>
      <c r="AN84" s="31"/>
      <c r="AO84" s="31"/>
      <c r="AP84" s="31"/>
      <c r="AQ84" s="31"/>
      <c r="AR84" s="31"/>
      <c r="AS84" s="31"/>
      <c r="AT84" s="31"/>
      <c r="AU84" s="31"/>
    </row>
    <row r="85" s="24" customFormat="1" spans="1:47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30"/>
      <c r="Z85" s="30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31"/>
      <c r="AM85" s="31"/>
      <c r="AN85" s="31"/>
      <c r="AO85" s="31"/>
      <c r="AP85" s="31"/>
      <c r="AQ85" s="31"/>
      <c r="AR85" s="31"/>
      <c r="AS85" s="31"/>
      <c r="AT85" s="31"/>
      <c r="AU85" s="31"/>
    </row>
    <row r="86" s="24" customFormat="1" spans="1:47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30"/>
      <c r="Z86" s="30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31"/>
      <c r="AM86" s="31"/>
      <c r="AN86" s="31"/>
      <c r="AO86" s="31"/>
      <c r="AP86" s="31"/>
      <c r="AQ86" s="31"/>
      <c r="AR86" s="31"/>
      <c r="AS86" s="31"/>
      <c r="AT86" s="31"/>
      <c r="AU86" s="31"/>
    </row>
    <row r="87" s="24" customFormat="1" spans="1:4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30"/>
      <c r="Z87" s="30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31"/>
      <c r="AM87" s="31"/>
      <c r="AN87" s="31"/>
      <c r="AO87" s="31"/>
      <c r="AP87" s="31"/>
      <c r="AQ87" s="31"/>
      <c r="AR87" s="31"/>
      <c r="AS87" s="31"/>
      <c r="AT87" s="31"/>
      <c r="AU87" s="31"/>
    </row>
    <row r="88" s="24" customFormat="1" spans="1:47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30"/>
      <c r="Z88" s="30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31"/>
      <c r="AM88" s="31"/>
      <c r="AN88" s="31"/>
      <c r="AO88" s="31"/>
      <c r="AP88" s="31"/>
      <c r="AQ88" s="31"/>
      <c r="AR88" s="31"/>
      <c r="AS88" s="31"/>
      <c r="AT88" s="31"/>
      <c r="AU88" s="31"/>
    </row>
    <row r="89" s="24" customFormat="1" spans="1:47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30"/>
      <c r="Z89" s="30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31"/>
      <c r="AM89" s="31"/>
      <c r="AN89" s="31"/>
      <c r="AO89" s="31"/>
      <c r="AP89" s="31"/>
      <c r="AQ89" s="31"/>
      <c r="AR89" s="31"/>
      <c r="AS89" s="31"/>
      <c r="AT89" s="31"/>
      <c r="AU89" s="31"/>
    </row>
    <row r="90" s="24" customFormat="1" spans="1:47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30"/>
      <c r="Z90" s="30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31"/>
      <c r="AM90" s="31"/>
      <c r="AN90" s="31"/>
      <c r="AO90" s="31"/>
      <c r="AP90" s="31"/>
      <c r="AQ90" s="31"/>
      <c r="AR90" s="31"/>
      <c r="AS90" s="31"/>
      <c r="AT90" s="31"/>
      <c r="AU90" s="31"/>
    </row>
    <row r="91" s="24" customFormat="1" spans="1:47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30"/>
      <c r="Z91" s="30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31"/>
      <c r="AM91" s="31"/>
      <c r="AN91" s="31"/>
      <c r="AO91" s="31"/>
      <c r="AP91" s="31"/>
      <c r="AQ91" s="31"/>
      <c r="AR91" s="31"/>
      <c r="AS91" s="31"/>
      <c r="AT91" s="31"/>
      <c r="AU91" s="31"/>
    </row>
    <row r="92" s="24" customFormat="1" spans="1:47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30"/>
      <c r="Z92" s="30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31"/>
      <c r="AM92" s="31"/>
      <c r="AN92" s="31"/>
      <c r="AO92" s="31"/>
      <c r="AP92" s="31"/>
      <c r="AQ92" s="31"/>
      <c r="AR92" s="31"/>
      <c r="AS92" s="31"/>
      <c r="AT92" s="31"/>
      <c r="AU92" s="31"/>
    </row>
    <row r="93" s="24" customFormat="1" spans="1:47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30"/>
      <c r="Z93" s="30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31"/>
      <c r="AM93" s="31"/>
      <c r="AN93" s="31"/>
      <c r="AO93" s="31"/>
      <c r="AP93" s="31"/>
      <c r="AQ93" s="31"/>
      <c r="AR93" s="31"/>
      <c r="AS93" s="31"/>
      <c r="AT93" s="31"/>
      <c r="AU93" s="31"/>
    </row>
    <row r="94" s="24" customFormat="1" spans="1:47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30"/>
      <c r="Z94" s="30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31"/>
      <c r="AM94" s="31"/>
      <c r="AN94" s="31"/>
      <c r="AO94" s="31"/>
      <c r="AP94" s="31"/>
      <c r="AQ94" s="31"/>
      <c r="AR94" s="31"/>
      <c r="AS94" s="31"/>
      <c r="AT94" s="31"/>
      <c r="AU94" s="31"/>
    </row>
    <row r="95" s="24" customFormat="1" spans="1:47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30"/>
      <c r="Z95" s="30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31"/>
      <c r="AM95" s="31"/>
      <c r="AN95" s="31"/>
      <c r="AO95" s="31"/>
      <c r="AP95" s="31"/>
      <c r="AQ95" s="31"/>
      <c r="AR95" s="31"/>
      <c r="AS95" s="31"/>
      <c r="AT95" s="31"/>
      <c r="AU95" s="31"/>
    </row>
    <row r="96" s="24" customFormat="1" spans="1:47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30"/>
      <c r="Z96" s="30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31"/>
      <c r="AM96" s="31"/>
      <c r="AN96" s="31"/>
      <c r="AO96" s="31"/>
      <c r="AP96" s="31"/>
      <c r="AQ96" s="31"/>
      <c r="AR96" s="31"/>
      <c r="AS96" s="31"/>
      <c r="AT96" s="31"/>
      <c r="AU96" s="31"/>
    </row>
    <row r="97" s="24" customFormat="1" spans="1:4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30"/>
      <c r="Z97" s="30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31"/>
      <c r="AM97" s="31"/>
      <c r="AN97" s="31"/>
      <c r="AO97" s="31"/>
      <c r="AP97" s="31"/>
      <c r="AQ97" s="31"/>
      <c r="AR97" s="31"/>
      <c r="AS97" s="31"/>
      <c r="AT97" s="31"/>
      <c r="AU97" s="31"/>
    </row>
    <row r="98" s="24" customFormat="1" spans="1:47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30"/>
      <c r="Z98" s="30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31"/>
      <c r="AM98" s="31"/>
      <c r="AN98" s="31"/>
      <c r="AO98" s="31"/>
      <c r="AP98" s="31"/>
      <c r="AQ98" s="31"/>
      <c r="AR98" s="31"/>
      <c r="AS98" s="31"/>
      <c r="AT98" s="31"/>
      <c r="AU98" s="31"/>
    </row>
    <row r="99" s="24" customFormat="1" spans="1:47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30"/>
      <c r="Z99" s="30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31"/>
      <c r="AM99" s="31"/>
      <c r="AN99" s="31"/>
      <c r="AO99" s="31"/>
      <c r="AP99" s="31"/>
      <c r="AQ99" s="31"/>
      <c r="AR99" s="31"/>
      <c r="AS99" s="31"/>
      <c r="AT99" s="31"/>
      <c r="AU99" s="31"/>
    </row>
    <row r="100" s="24" customFormat="1" spans="1:47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30"/>
      <c r="Z100" s="30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</row>
    <row r="101" s="24" customFormat="1" spans="1:47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30"/>
      <c r="Z101" s="30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</row>
    <row r="102" s="24" customFormat="1" spans="1:47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30"/>
      <c r="Z102" s="30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</row>
    <row r="103" s="24" customFormat="1" spans="1:47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30"/>
      <c r="Z103" s="30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</row>
    <row r="104" s="24" customFormat="1" spans="1:47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30"/>
      <c r="Z104" s="30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</row>
    <row r="105" s="24" customFormat="1" spans="1:47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30"/>
      <c r="Z105" s="30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</row>
    <row r="106" s="24" customFormat="1" spans="1:47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30"/>
      <c r="Z106" s="30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</row>
    <row r="107" s="24" customFormat="1" spans="1:4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30"/>
      <c r="Z107" s="30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</row>
    <row r="108" s="24" customFormat="1" spans="1:47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30"/>
      <c r="Z108" s="30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</row>
    <row r="109" s="24" customFormat="1" spans="1:47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30"/>
      <c r="Z109" s="30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</row>
    <row r="110" s="24" customFormat="1" spans="1:47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30"/>
      <c r="Z110" s="30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</row>
    <row r="111" s="24" customFormat="1" spans="1:47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30"/>
      <c r="Z111" s="30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</row>
    <row r="112" s="24" customFormat="1" spans="1:47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30"/>
      <c r="Z112" s="30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</row>
    <row r="113" s="24" customFormat="1" spans="1:47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30"/>
      <c r="Z113" s="30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</row>
    <row r="114" s="24" customFormat="1" spans="1:47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30"/>
      <c r="Z114" s="30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</row>
    <row r="115" s="24" customFormat="1" spans="1:47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30"/>
      <c r="Z115" s="30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</row>
    <row r="116" s="24" customFormat="1" spans="1:47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30"/>
      <c r="Z116" s="30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</row>
    <row r="117" s="24" customFormat="1" spans="1:4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30"/>
      <c r="Z117" s="30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</row>
    <row r="118" s="24" customFormat="1" spans="1:47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30"/>
      <c r="Z118" s="30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</row>
    <row r="119" s="24" customFormat="1" spans="1:47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30"/>
      <c r="Z119" s="30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</row>
    <row r="120" s="24" customFormat="1" spans="1:47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30"/>
      <c r="Z120" s="30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</row>
    <row r="121" s="24" customFormat="1" spans="1:47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30"/>
      <c r="Z121" s="30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</row>
    <row r="122" s="24" customFormat="1" spans="1:47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30"/>
      <c r="Z122" s="30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</row>
    <row r="123" s="24" customFormat="1" spans="1:47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30"/>
      <c r="Z123" s="30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</row>
    <row r="124" s="24" customFormat="1" spans="1:47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30"/>
      <c r="Z124" s="30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</row>
    <row r="125" s="24" customFormat="1" spans="1:47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30"/>
      <c r="Z125" s="30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</row>
    <row r="126" s="24" customFormat="1" spans="1:47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30"/>
      <c r="Z126" s="30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</row>
    <row r="127" s="24" customFormat="1" spans="1:4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30"/>
      <c r="Z127" s="30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</row>
    <row r="128" s="24" customFormat="1" spans="1:47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30"/>
      <c r="Z128" s="30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</row>
    <row r="129" s="24" customFormat="1" spans="1:47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30"/>
      <c r="Z129" s="30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</row>
    <row r="130" s="24" customFormat="1" spans="1:47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30"/>
      <c r="Z130" s="30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</row>
    <row r="131" s="24" customFormat="1" spans="1:47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30"/>
      <c r="Z131" s="30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</row>
    <row r="132" s="24" customFormat="1" spans="1:47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30"/>
      <c r="Z132" s="30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</row>
    <row r="133" s="24" customFormat="1" spans="1:47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30"/>
      <c r="Z133" s="30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</row>
    <row r="134" s="24" customFormat="1" spans="1:47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30"/>
      <c r="Z134" s="30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</row>
    <row r="135" s="24" customFormat="1" spans="1:47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30"/>
      <c r="Z135" s="30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</row>
    <row r="136" s="24" customFormat="1" spans="1:47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30"/>
      <c r="Z136" s="30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</row>
    <row r="137" s="24" customFormat="1" spans="1:4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30"/>
      <c r="Z137" s="30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</row>
    <row r="138" s="24" customFormat="1" spans="1:47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30"/>
      <c r="Z138" s="30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</row>
    <row r="139" s="24" customFormat="1" spans="1:47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30"/>
      <c r="Z139" s="30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</row>
    <row r="140" s="24" customFormat="1" spans="1:47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30"/>
      <c r="Z140" s="30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</row>
    <row r="141" s="24" customFormat="1" spans="1:47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30"/>
      <c r="Z141" s="30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</row>
    <row r="142" s="24" customFormat="1" spans="1:47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30"/>
      <c r="Z142" s="30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</row>
    <row r="143" s="24" customFormat="1" spans="1:47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30"/>
      <c r="Z143" s="30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</row>
    <row r="144" s="24" customFormat="1" spans="1:47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30"/>
      <c r="Z144" s="30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</row>
    <row r="145" s="24" customFormat="1" spans="1:47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30"/>
      <c r="Z145" s="30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</row>
    <row r="146" s="24" customFormat="1" spans="1:47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30"/>
      <c r="Z146" s="30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</row>
    <row r="147" s="24" customFormat="1" spans="1: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30"/>
      <c r="Z147" s="30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</row>
    <row r="148" s="24" customFormat="1" spans="1:47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30"/>
      <c r="Z148" s="30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</row>
    <row r="149" s="24" customFormat="1" spans="1:47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30"/>
      <c r="Z149" s="30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</row>
    <row r="150" s="24" customFormat="1" spans="1:47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30"/>
      <c r="Z150" s="30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</row>
    <row r="151" s="24" customFormat="1" spans="1:47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30"/>
      <c r="Z151" s="30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</row>
    <row r="152" s="24" customFormat="1" spans="1:47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30"/>
      <c r="Z152" s="30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</row>
    <row r="153" s="24" customFormat="1" spans="1:47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30"/>
      <c r="Z153" s="30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</row>
    <row r="154" s="24" customFormat="1" spans="1:47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30"/>
      <c r="Z154" s="30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</row>
    <row r="155" s="24" customFormat="1" spans="1:47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30"/>
      <c r="Z155" s="30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</row>
    <row r="156" s="24" customFormat="1" spans="1:47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30"/>
      <c r="Z156" s="30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</row>
    <row r="157" s="24" customFormat="1" spans="1:4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30"/>
      <c r="Z157" s="30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</row>
    <row r="158" s="24" customFormat="1" spans="1:47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30"/>
      <c r="Z158" s="30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</row>
    <row r="159" s="24" customFormat="1" spans="1:47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30"/>
      <c r="Z159" s="30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</row>
    <row r="160" s="24" customFormat="1" spans="1:47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30"/>
      <c r="Z160" s="30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</row>
    <row r="161" s="24" customFormat="1" spans="1:47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30"/>
      <c r="Z161" s="30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</row>
    <row r="162" s="24" customFormat="1" spans="1:47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30"/>
      <c r="Z162" s="30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</row>
    <row r="163" s="24" customFormat="1" spans="1:47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30"/>
      <c r="Z163" s="30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</row>
    <row r="164" s="24" customFormat="1" spans="1:47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30"/>
      <c r="Z164" s="30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</row>
    <row r="165" s="24" customFormat="1" spans="1:47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30"/>
      <c r="Z165" s="30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</row>
    <row r="166" s="24" customFormat="1" spans="1:47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30"/>
      <c r="Z166" s="30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</row>
    <row r="167" s="24" customFormat="1" spans="1:4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30"/>
      <c r="Z167" s="30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</row>
    <row r="168" s="24" customFormat="1" spans="1:47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30"/>
      <c r="Z168" s="30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</row>
    <row r="169" s="24" customFormat="1" spans="1:47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30"/>
      <c r="Z169" s="30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</row>
    <row r="170" s="24" customFormat="1" spans="1:47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30"/>
      <c r="Z170" s="30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</row>
    <row r="171" s="24" customFormat="1" spans="1:47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30"/>
      <c r="Z171" s="30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</row>
    <row r="172" s="24" customFormat="1" spans="1:47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30"/>
      <c r="Z172" s="30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</row>
    <row r="173" s="24" customFormat="1" spans="1:47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30"/>
      <c r="Z173" s="30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</row>
    <row r="174" s="24" customFormat="1" spans="1:47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30"/>
      <c r="Z174" s="30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</row>
    <row r="175" s="24" customFormat="1" spans="1:47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30"/>
      <c r="Z175" s="30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</row>
    <row r="176" s="24" customFormat="1" spans="1:47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30"/>
      <c r="Z176" s="30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</row>
    <row r="177" s="24" customFormat="1" spans="1:4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30"/>
      <c r="Z177" s="30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</row>
    <row r="178" s="24" customFormat="1" spans="1:47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30"/>
      <c r="Z178" s="30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</row>
    <row r="179" s="24" customFormat="1" spans="1:47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30"/>
      <c r="Z179" s="30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</row>
    <row r="180" s="24" customFormat="1" spans="1:47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30"/>
      <c r="Z180" s="30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</row>
    <row r="181" s="24" customFormat="1" spans="1:47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30"/>
      <c r="Z181" s="30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</row>
    <row r="182" s="24" customFormat="1" spans="1:47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30"/>
      <c r="Z182" s="30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</row>
    <row r="183" s="24" customFormat="1" spans="1:47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30"/>
      <c r="Z183" s="30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</row>
    <row r="184" s="24" customFormat="1" spans="1:47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30"/>
      <c r="Z184" s="30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</row>
    <row r="185" s="24" customFormat="1" spans="1:47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30"/>
      <c r="Z185" s="30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</row>
    <row r="186" s="29" customFormat="1" spans="1:47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30"/>
      <c r="Z186" s="30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</row>
    <row r="187" s="24" customFormat="1" spans="1:4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30"/>
      <c r="Z187" s="30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</row>
    <row r="188" s="24" customFormat="1" spans="1:47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30"/>
      <c r="Z188" s="30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</row>
    <row r="189" s="24" customFormat="1" spans="1:47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30"/>
      <c r="Z189" s="30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</row>
    <row r="190" s="24" customFormat="1" spans="1:47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30"/>
      <c r="Z190" s="30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</row>
    <row r="191" s="24" customFormat="1" spans="1:47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30"/>
      <c r="Z191" s="30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</row>
    <row r="192" s="29" customFormat="1" spans="1:47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30"/>
      <c r="Z192" s="30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</row>
    <row r="193" s="29" customFormat="1" spans="1:47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30"/>
      <c r="Z193" s="30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</row>
    <row r="194" s="29" customFormat="1" spans="1:47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30"/>
      <c r="Z194" s="30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</row>
    <row r="195" s="29" customFormat="1" spans="1:47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30"/>
      <c r="Z195" s="30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</row>
    <row r="196" s="29" customFormat="1" spans="1:47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30"/>
      <c r="Z196" s="30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</row>
    <row r="197" s="29" customFormat="1" spans="1:4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30"/>
      <c r="Z197" s="30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</row>
    <row r="198" s="29" customFormat="1" spans="1:47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30"/>
      <c r="Z198" s="30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</row>
    <row r="199" s="29" customFormat="1" spans="1:47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30"/>
      <c r="Z199" s="30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</row>
    <row r="200" s="29" customFormat="1" spans="1:47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30"/>
      <c r="Z200" s="30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</row>
    <row r="201" s="29" customFormat="1" spans="1:47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30"/>
      <c r="Z201" s="30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</row>
    <row r="202" s="29" customFormat="1" spans="1:47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30"/>
      <c r="Z202" s="30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</row>
    <row r="203" s="29" customFormat="1" spans="1:47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30"/>
      <c r="Z203" s="30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</row>
    <row r="204" s="29" customFormat="1" spans="1:47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30"/>
      <c r="Z204" s="30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</row>
    <row r="205" s="29" customFormat="1" spans="1:47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30"/>
      <c r="Z205" s="30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</row>
    <row r="206" s="29" customFormat="1" spans="1:47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30"/>
      <c r="Z206" s="30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</row>
    <row r="207" s="29" customFormat="1" spans="1:4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30"/>
      <c r="Z207" s="30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</row>
    <row r="208" s="29" customFormat="1" spans="1:47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30"/>
      <c r="Z208" s="30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</row>
    <row r="209" s="29" customFormat="1" spans="1:47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30"/>
      <c r="Z209" s="30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</row>
    <row r="210" s="29" customFormat="1" spans="1:47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30"/>
      <c r="Z210" s="30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</row>
    <row r="211" s="29" customFormat="1" spans="1:47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30"/>
      <c r="Z211" s="30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</row>
    <row r="212" s="29" customFormat="1" spans="1:47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30"/>
      <c r="Z212" s="30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</row>
    <row r="213" s="29" customFormat="1" spans="1:47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30"/>
      <c r="Z213" s="30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</row>
    <row r="214" s="29" customFormat="1" spans="1:47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30"/>
      <c r="Z214" s="30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</row>
    <row r="215" s="29" customFormat="1" spans="1:47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30"/>
      <c r="Z215" s="30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</row>
  </sheetData>
  <autoFilter ref="A3:BC73">
    <extLst/>
  </autoFilter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V30"/>
  <sheetViews>
    <sheetView topLeftCell="B1" workbookViewId="0">
      <selection activeCell="E5" sqref="E5:E28"/>
    </sheetView>
  </sheetViews>
  <sheetFormatPr defaultColWidth="9" defaultRowHeight="13.5"/>
  <cols>
    <col min="1" max="1" width="12" customWidth="1"/>
    <col min="6" max="6" width="12.625"/>
    <col min="8" max="8" width="12.625"/>
  </cols>
  <sheetData>
    <row r="5" spans="4:5">
      <c r="D5">
        <v>58.5</v>
      </c>
      <c r="E5">
        <f>INT(D5)</f>
        <v>58</v>
      </c>
    </row>
    <row r="6" spans="4:5">
      <c r="D6">
        <v>61.6</v>
      </c>
      <c r="E6">
        <f t="shared" ref="E6:E28" si="0">INT(D6)</f>
        <v>61</v>
      </c>
    </row>
    <row r="7" spans="4:5">
      <c r="D7">
        <v>42</v>
      </c>
      <c r="E7">
        <f t="shared" si="0"/>
        <v>42</v>
      </c>
    </row>
    <row r="8" spans="1:5">
      <c r="A8" t="s">
        <v>744</v>
      </c>
      <c r="D8">
        <v>56.7</v>
      </c>
      <c r="E8">
        <f t="shared" si="0"/>
        <v>56</v>
      </c>
    </row>
    <row r="9" spans="1:5">
      <c r="A9">
        <v>10</v>
      </c>
      <c r="D9">
        <v>15.75</v>
      </c>
      <c r="E9">
        <f t="shared" si="0"/>
        <v>15</v>
      </c>
    </row>
    <row r="10" spans="1:5">
      <c r="A10">
        <v>15</v>
      </c>
      <c r="D10">
        <v>19</v>
      </c>
      <c r="E10">
        <f t="shared" si="0"/>
        <v>19</v>
      </c>
    </row>
    <row r="11" spans="1:5">
      <c r="A11">
        <v>20</v>
      </c>
      <c r="D11">
        <v>64.4</v>
      </c>
      <c r="E11">
        <f t="shared" si="0"/>
        <v>64</v>
      </c>
    </row>
    <row r="12" spans="1:5">
      <c r="A12">
        <v>30</v>
      </c>
      <c r="D12">
        <v>67.8</v>
      </c>
      <c r="E12">
        <f t="shared" si="0"/>
        <v>67</v>
      </c>
    </row>
    <row r="13" spans="1:5">
      <c r="A13">
        <v>50</v>
      </c>
      <c r="D13">
        <v>46.2</v>
      </c>
      <c r="E13">
        <f t="shared" si="0"/>
        <v>46</v>
      </c>
    </row>
    <row r="14" spans="1:5">
      <c r="A14">
        <v>70</v>
      </c>
      <c r="D14">
        <v>62.4</v>
      </c>
      <c r="E14">
        <f t="shared" si="0"/>
        <v>62</v>
      </c>
    </row>
    <row r="15" spans="1:5">
      <c r="A15">
        <v>100</v>
      </c>
      <c r="D15">
        <v>17.3</v>
      </c>
      <c r="E15">
        <f t="shared" si="0"/>
        <v>17</v>
      </c>
    </row>
    <row r="16" spans="1:5">
      <c r="A16">
        <v>150</v>
      </c>
      <c r="D16">
        <v>20.9</v>
      </c>
      <c r="E16">
        <f t="shared" si="0"/>
        <v>20</v>
      </c>
    </row>
    <row r="17" spans="1:5">
      <c r="A17">
        <v>250</v>
      </c>
      <c r="D17">
        <v>80.4</v>
      </c>
      <c r="E17">
        <f t="shared" si="0"/>
        <v>80</v>
      </c>
    </row>
    <row r="18" spans="4:5">
      <c r="D18">
        <v>70.2</v>
      </c>
      <c r="E18">
        <f t="shared" si="0"/>
        <v>70</v>
      </c>
    </row>
    <row r="19" spans="4:5">
      <c r="D19">
        <v>73.9</v>
      </c>
      <c r="E19">
        <f t="shared" si="0"/>
        <v>73</v>
      </c>
    </row>
    <row r="20" spans="4:5">
      <c r="D20">
        <v>54.7</v>
      </c>
      <c r="E20">
        <f t="shared" si="0"/>
        <v>54</v>
      </c>
    </row>
    <row r="21" spans="4:5">
      <c r="D21">
        <v>51</v>
      </c>
      <c r="E21">
        <f t="shared" si="0"/>
        <v>51</v>
      </c>
    </row>
    <row r="22" spans="4:5">
      <c r="D22">
        <v>68</v>
      </c>
      <c r="E22">
        <f t="shared" si="0"/>
        <v>68</v>
      </c>
    </row>
    <row r="23" spans="4:5">
      <c r="D23">
        <v>18.9</v>
      </c>
      <c r="E23">
        <f t="shared" si="0"/>
        <v>18</v>
      </c>
    </row>
    <row r="24" spans="4:5">
      <c r="D24">
        <v>24</v>
      </c>
      <c r="E24">
        <f t="shared" si="0"/>
        <v>24</v>
      </c>
    </row>
    <row r="25" spans="4:22">
      <c r="D25">
        <v>66.2</v>
      </c>
      <c r="E25">
        <f t="shared" si="0"/>
        <v>66</v>
      </c>
      <c r="U25" s="18"/>
      <c r="V25" s="18"/>
    </row>
    <row r="26" spans="4:5">
      <c r="D26">
        <v>61.9</v>
      </c>
      <c r="E26">
        <f t="shared" si="0"/>
        <v>61</v>
      </c>
    </row>
    <row r="27" spans="4:5">
      <c r="D27">
        <v>18.9</v>
      </c>
      <c r="E27">
        <f t="shared" si="0"/>
        <v>18</v>
      </c>
    </row>
    <row r="28" spans="4:5">
      <c r="D28">
        <v>44</v>
      </c>
      <c r="E28">
        <f t="shared" si="0"/>
        <v>44</v>
      </c>
    </row>
    <row r="30" spans="21:22">
      <c r="U30" s="18"/>
      <c r="V30" s="18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R86"/>
  <sheetViews>
    <sheetView topLeftCell="E1" workbookViewId="0">
      <selection activeCell="E1" sqref="E$1:E$1048576"/>
    </sheetView>
  </sheetViews>
  <sheetFormatPr defaultColWidth="9" defaultRowHeight="16.5"/>
  <cols>
    <col min="5" max="5" width="13.75" style="17" customWidth="1"/>
    <col min="8" max="8" width="12.625" customWidth="1"/>
    <col min="10" max="10" width="24" customWidth="1"/>
    <col min="16" max="16" width="7.75" customWidth="1"/>
    <col min="17" max="17" width="32.75" customWidth="1"/>
    <col min="18" max="18" width="56.375" customWidth="1"/>
  </cols>
  <sheetData>
    <row r="1" spans="5:5">
      <c r="E1" s="9" t="s">
        <v>1</v>
      </c>
    </row>
    <row r="2" spans="5:5">
      <c r="E2" s="11" t="s">
        <v>48</v>
      </c>
    </row>
    <row r="3" spans="5:5">
      <c r="E3" s="12" t="s">
        <v>51</v>
      </c>
    </row>
    <row r="4" spans="5:5">
      <c r="E4" s="14" t="s">
        <v>96</v>
      </c>
    </row>
    <row r="5" spans="5:15">
      <c r="E5" s="14" t="s">
        <v>105</v>
      </c>
      <c r="H5" t="s">
        <v>745</v>
      </c>
      <c r="I5" t="s">
        <v>746</v>
      </c>
      <c r="J5" t="s">
        <v>747</v>
      </c>
      <c r="O5" t="s">
        <v>748</v>
      </c>
    </row>
    <row r="6" spans="5:18">
      <c r="E6" s="14" t="s">
        <v>113</v>
      </c>
      <c r="F6" t="s">
        <v>466</v>
      </c>
      <c r="H6" t="s">
        <v>749</v>
      </c>
      <c r="I6" t="s">
        <v>440</v>
      </c>
      <c r="J6" t="s">
        <v>750</v>
      </c>
      <c r="L6">
        <v>701</v>
      </c>
      <c r="M6">
        <v>174</v>
      </c>
      <c r="N6">
        <v>801</v>
      </c>
      <c r="Q6" s="23" t="s">
        <v>751</v>
      </c>
      <c r="R6" t="str">
        <f>""&amp;Q6&amp;"|"&amp;L6&amp;"+0|"&amp;M6&amp;"+0|-1+0|"&amp;N6&amp;"+0"</f>
        <v>514+1|-1+0|516+0|-1+0|-1+0|701+0|174+0|-1+0|801+0</v>
      </c>
    </row>
    <row r="7" spans="5:18">
      <c r="E7" s="14" t="s">
        <v>120</v>
      </c>
      <c r="F7" t="s">
        <v>479</v>
      </c>
      <c r="H7" t="s">
        <v>752</v>
      </c>
      <c r="I7" s="18" t="s">
        <v>442</v>
      </c>
      <c r="J7" t="s">
        <v>753</v>
      </c>
      <c r="L7">
        <v>702</v>
      </c>
      <c r="M7">
        <v>175</v>
      </c>
      <c r="N7">
        <v>802</v>
      </c>
      <c r="Q7" s="23" t="s">
        <v>754</v>
      </c>
      <c r="R7" t="str">
        <f t="shared" ref="R7:R21" si="0">""&amp;Q7&amp;"|"&amp;L7&amp;"+0|"&amp;M7&amp;"+0|-1+0|"&amp;N7&amp;"+0"</f>
        <v>505+1|-1+0|511+0|-1+0|-1+0|702+0|175+0|-1+0|802+0</v>
      </c>
    </row>
    <row r="8" spans="5:18">
      <c r="E8" s="14" t="s">
        <v>127</v>
      </c>
      <c r="F8" t="s">
        <v>755</v>
      </c>
      <c r="H8" t="s">
        <v>756</v>
      </c>
      <c r="I8" t="s">
        <v>440</v>
      </c>
      <c r="J8" t="s">
        <v>757</v>
      </c>
      <c r="L8">
        <v>703</v>
      </c>
      <c r="M8">
        <v>174</v>
      </c>
      <c r="N8">
        <v>803</v>
      </c>
      <c r="Q8" s="23" t="s">
        <v>758</v>
      </c>
      <c r="R8" t="str">
        <f t="shared" si="0"/>
        <v>510+1|-1+0|503+0|-1+0|-1+0|703+0|174+0|-1+0|803+0</v>
      </c>
    </row>
    <row r="9" spans="5:18">
      <c r="E9" s="14" t="s">
        <v>134</v>
      </c>
      <c r="F9" t="s">
        <v>759</v>
      </c>
      <c r="H9" t="s">
        <v>760</v>
      </c>
      <c r="I9" s="19" t="s">
        <v>553</v>
      </c>
      <c r="J9" t="s">
        <v>761</v>
      </c>
      <c r="L9">
        <v>704</v>
      </c>
      <c r="M9">
        <v>179</v>
      </c>
      <c r="N9">
        <v>804</v>
      </c>
      <c r="Q9" s="23" t="s">
        <v>762</v>
      </c>
      <c r="R9" t="str">
        <f t="shared" si="0"/>
        <v>560+1|-1+0|903+0|-1+0|-1+0|704+0|179+0|-1+0|804+0</v>
      </c>
    </row>
    <row r="10" spans="5:18">
      <c r="E10" s="14" t="s">
        <v>141</v>
      </c>
      <c r="F10" t="s">
        <v>763</v>
      </c>
      <c r="H10" t="s">
        <v>764</v>
      </c>
      <c r="I10" s="19" t="s">
        <v>553</v>
      </c>
      <c r="J10" t="s">
        <v>765</v>
      </c>
      <c r="L10">
        <v>705</v>
      </c>
      <c r="M10">
        <v>179</v>
      </c>
      <c r="N10">
        <v>805</v>
      </c>
      <c r="Q10" s="23" t="s">
        <v>766</v>
      </c>
      <c r="R10" t="str">
        <f t="shared" si="0"/>
        <v>529+1|-1+0|530+0|-1+0|-1+0|705+0|179+0|-1+0|805+0</v>
      </c>
    </row>
    <row r="11" spans="5:18">
      <c r="E11" s="14" t="s">
        <v>148</v>
      </c>
      <c r="F11" t="s">
        <v>767</v>
      </c>
      <c r="H11" t="s">
        <v>768</v>
      </c>
      <c r="I11" s="20" t="s">
        <v>441</v>
      </c>
      <c r="J11" t="s">
        <v>748</v>
      </c>
      <c r="L11">
        <v>706</v>
      </c>
      <c r="M11">
        <v>176</v>
      </c>
      <c r="N11">
        <v>806</v>
      </c>
      <c r="Q11" s="23" t="s">
        <v>769</v>
      </c>
      <c r="R11" t="str">
        <f t="shared" si="0"/>
        <v>523+1|-1+0|572+0|-1+0|-1+0|706+0|176+0|-1+0|806+0</v>
      </c>
    </row>
    <row r="12" spans="5:18">
      <c r="E12" s="14" t="s">
        <v>154</v>
      </c>
      <c r="F12" t="s">
        <v>505</v>
      </c>
      <c r="H12" t="s">
        <v>770</v>
      </c>
      <c r="I12" s="21" t="s">
        <v>551</v>
      </c>
      <c r="J12" t="s">
        <v>771</v>
      </c>
      <c r="L12">
        <v>707</v>
      </c>
      <c r="M12">
        <v>177</v>
      </c>
      <c r="N12">
        <v>807</v>
      </c>
      <c r="Q12" s="23" t="s">
        <v>772</v>
      </c>
      <c r="R12" t="str">
        <f t="shared" si="0"/>
        <v>527+1|-1+0|571+0|-1+0|-1+0|707+0|177+0|-1+0|807+0</v>
      </c>
    </row>
    <row r="13" spans="5:18">
      <c r="E13" s="14" t="s">
        <v>159</v>
      </c>
      <c r="F13" t="s">
        <v>773</v>
      </c>
      <c r="H13" t="s">
        <v>774</v>
      </c>
      <c r="I13" s="20" t="s">
        <v>441</v>
      </c>
      <c r="J13" t="s">
        <v>775</v>
      </c>
      <c r="L13">
        <v>708</v>
      </c>
      <c r="M13">
        <v>176</v>
      </c>
      <c r="N13">
        <v>808</v>
      </c>
      <c r="Q13" s="23" t="s">
        <v>776</v>
      </c>
      <c r="R13" t="str">
        <f t="shared" si="0"/>
        <v>520+1|-1+0|504+0|-1+0|-1+0|708+0|176+0|-1+0|808+0</v>
      </c>
    </row>
    <row r="14" spans="5:18">
      <c r="E14" s="14" t="s">
        <v>165</v>
      </c>
      <c r="F14" t="s">
        <v>492</v>
      </c>
      <c r="H14" t="s">
        <v>777</v>
      </c>
      <c r="I14" s="21" t="s">
        <v>551</v>
      </c>
      <c r="J14" t="s">
        <v>778</v>
      </c>
      <c r="L14">
        <v>709</v>
      </c>
      <c r="M14">
        <v>177</v>
      </c>
      <c r="N14">
        <v>809</v>
      </c>
      <c r="Q14" s="23" t="s">
        <v>779</v>
      </c>
      <c r="R14" t="str">
        <f t="shared" si="0"/>
        <v>509+1|-1+0|901+0|-1+0|-1+0|709+0|177+0|-1+0|809+0</v>
      </c>
    </row>
    <row r="15" spans="5:18">
      <c r="E15" s="14" t="s">
        <v>171</v>
      </c>
      <c r="F15" t="s">
        <v>780</v>
      </c>
      <c r="H15" t="s">
        <v>781</v>
      </c>
      <c r="I15" t="s">
        <v>440</v>
      </c>
      <c r="J15" t="s">
        <v>782</v>
      </c>
      <c r="L15">
        <v>710</v>
      </c>
      <c r="M15">
        <v>174</v>
      </c>
      <c r="N15">
        <v>810</v>
      </c>
      <c r="Q15" s="23" t="s">
        <v>783</v>
      </c>
      <c r="R15" t="str">
        <f t="shared" si="0"/>
        <v>507+1|-1+0|549+0|-1+0|-1+0|710+0|174+0|-1+0|810+0</v>
      </c>
    </row>
    <row r="16" spans="5:18">
      <c r="E16" s="14" t="s">
        <v>177</v>
      </c>
      <c r="F16" t="s">
        <v>784</v>
      </c>
      <c r="H16" t="s">
        <v>752</v>
      </c>
      <c r="I16" s="18" t="s">
        <v>442</v>
      </c>
      <c r="J16" t="s">
        <v>785</v>
      </c>
      <c r="L16">
        <v>711</v>
      </c>
      <c r="M16">
        <v>175</v>
      </c>
      <c r="N16">
        <v>811</v>
      </c>
      <c r="Q16" s="23" t="s">
        <v>786</v>
      </c>
      <c r="R16" t="str">
        <f t="shared" si="0"/>
        <v>569+1|-1+0|162+0|-1+0|-1+0|711+0|175+0|-1+0|811+0</v>
      </c>
    </row>
    <row r="17" spans="5:18">
      <c r="E17" s="14" t="s">
        <v>183</v>
      </c>
      <c r="F17" t="s">
        <v>787</v>
      </c>
      <c r="H17" t="s">
        <v>788</v>
      </c>
      <c r="I17" s="19" t="s">
        <v>553</v>
      </c>
      <c r="J17" t="s">
        <v>789</v>
      </c>
      <c r="L17">
        <v>712</v>
      </c>
      <c r="M17">
        <v>179</v>
      </c>
      <c r="N17">
        <v>812</v>
      </c>
      <c r="Q17" s="23" t="s">
        <v>790</v>
      </c>
      <c r="R17" t="str">
        <f t="shared" si="0"/>
        <v>570+1|-1+0|517+0|-1+0|-1+0|712+0|179+0|-1+0|812+0</v>
      </c>
    </row>
    <row r="18" spans="5:18">
      <c r="E18" s="14" t="s">
        <v>190</v>
      </c>
      <c r="F18" t="s">
        <v>791</v>
      </c>
      <c r="H18" t="s">
        <v>792</v>
      </c>
      <c r="I18" s="22" t="s">
        <v>552</v>
      </c>
      <c r="J18" t="s">
        <v>793</v>
      </c>
      <c r="L18">
        <v>713</v>
      </c>
      <c r="M18">
        <v>178</v>
      </c>
      <c r="N18">
        <v>813</v>
      </c>
      <c r="Q18" s="23" t="s">
        <v>794</v>
      </c>
      <c r="R18" t="str">
        <f t="shared" si="0"/>
        <v>567+1|-1+0|568+0|-1+0|-1+0|713+0|178+0|-1+0|813+0</v>
      </c>
    </row>
    <row r="19" spans="5:18">
      <c r="E19" s="14" t="s">
        <v>196</v>
      </c>
      <c r="F19" t="s">
        <v>795</v>
      </c>
      <c r="H19" t="s">
        <v>796</v>
      </c>
      <c r="I19" s="22" t="s">
        <v>552</v>
      </c>
      <c r="J19" t="s">
        <v>797</v>
      </c>
      <c r="L19">
        <v>714</v>
      </c>
      <c r="M19">
        <v>178</v>
      </c>
      <c r="N19">
        <v>814</v>
      </c>
      <c r="Q19" s="23" t="s">
        <v>798</v>
      </c>
      <c r="R19" t="str">
        <f t="shared" si="0"/>
        <v>565+1|-1+0|566+0|-1+0|-1+0|714+0|178+0|-1+0|814+0</v>
      </c>
    </row>
    <row r="20" spans="5:18">
      <c r="E20" s="14" t="s">
        <v>202</v>
      </c>
      <c r="F20" t="s">
        <v>799</v>
      </c>
      <c r="H20" t="s">
        <v>800</v>
      </c>
      <c r="I20" s="20" t="s">
        <v>441</v>
      </c>
      <c r="J20" t="s">
        <v>801</v>
      </c>
      <c r="L20">
        <v>715</v>
      </c>
      <c r="M20">
        <v>176</v>
      </c>
      <c r="N20">
        <v>815</v>
      </c>
      <c r="Q20" s="23" t="s">
        <v>802</v>
      </c>
      <c r="R20" t="str">
        <f t="shared" si="0"/>
        <v>506+1|-1+0|564+0|-1+0|-1+0|715+0|176+0|-1+0|815+0</v>
      </c>
    </row>
    <row r="21" spans="5:18">
      <c r="E21" s="14" t="s">
        <v>208</v>
      </c>
      <c r="F21" t="s">
        <v>803</v>
      </c>
      <c r="H21" t="s">
        <v>804</v>
      </c>
      <c r="I21" s="18" t="s">
        <v>442</v>
      </c>
      <c r="J21" t="s">
        <v>805</v>
      </c>
      <c r="L21">
        <v>716</v>
      </c>
      <c r="M21">
        <v>175</v>
      </c>
      <c r="N21">
        <v>816</v>
      </c>
      <c r="Q21" s="23" t="s">
        <v>806</v>
      </c>
      <c r="R21" t="str">
        <f t="shared" si="0"/>
        <v>562+1|-1+0|563+0|-1+0|-1+0|716+0|175+0|-1+0|816+0</v>
      </c>
    </row>
    <row r="22" spans="5:5">
      <c r="E22" s="14" t="s">
        <v>214</v>
      </c>
    </row>
    <row r="23" spans="5:5">
      <c r="E23" s="14" t="s">
        <v>220</v>
      </c>
    </row>
    <row r="24" spans="5:5">
      <c r="E24" s="14" t="s">
        <v>225</v>
      </c>
    </row>
    <row r="25" spans="5:5">
      <c r="E25" s="14" t="s">
        <v>230</v>
      </c>
    </row>
    <row r="26" spans="5:7">
      <c r="E26" s="14" t="s">
        <v>234</v>
      </c>
      <c r="G26">
        <v>40</v>
      </c>
    </row>
    <row r="27" spans="5:7">
      <c r="E27" s="14" t="s">
        <v>239</v>
      </c>
      <c r="F27" s="14">
        <v>96</v>
      </c>
      <c r="G27" t="e">
        <f>F27+E27*$G$26</f>
        <v>#VALUE!</v>
      </c>
    </row>
    <row r="28" spans="5:7">
      <c r="E28" s="14" t="s">
        <v>244</v>
      </c>
      <c r="F28" s="14">
        <v>104</v>
      </c>
      <c r="G28" t="e">
        <f t="shared" ref="G28:G69" si="1">F28+E28*$G$26</f>
        <v>#VALUE!</v>
      </c>
    </row>
    <row r="29" spans="5:7">
      <c r="E29" s="14" t="s">
        <v>249</v>
      </c>
      <c r="F29" s="14">
        <v>136</v>
      </c>
      <c r="G29" t="e">
        <f t="shared" si="1"/>
        <v>#VALUE!</v>
      </c>
    </row>
    <row r="30" spans="5:7">
      <c r="E30" s="14" t="s">
        <v>254</v>
      </c>
      <c r="F30" s="14">
        <v>152</v>
      </c>
      <c r="G30" t="e">
        <f t="shared" si="1"/>
        <v>#VALUE!</v>
      </c>
    </row>
    <row r="31" spans="5:7">
      <c r="E31" s="15" t="s">
        <v>257</v>
      </c>
      <c r="F31" s="14">
        <v>178</v>
      </c>
      <c r="G31" t="e">
        <f t="shared" si="1"/>
        <v>#VALUE!</v>
      </c>
    </row>
    <row r="32" spans="5:7">
      <c r="E32" s="15" t="s">
        <v>262</v>
      </c>
      <c r="F32" s="14">
        <v>158</v>
      </c>
      <c r="G32" t="e">
        <f t="shared" si="1"/>
        <v>#VALUE!</v>
      </c>
    </row>
    <row r="33" spans="5:7">
      <c r="E33" s="15" t="s">
        <v>267</v>
      </c>
      <c r="F33" s="14">
        <v>165</v>
      </c>
      <c r="G33" t="e">
        <f t="shared" si="1"/>
        <v>#VALUE!</v>
      </c>
    </row>
    <row r="34" spans="5:7">
      <c r="E34" s="15" t="s">
        <v>271</v>
      </c>
      <c r="F34" s="14">
        <v>202</v>
      </c>
      <c r="G34" t="e">
        <f t="shared" si="1"/>
        <v>#VALUE!</v>
      </c>
    </row>
    <row r="35" spans="5:13">
      <c r="E35" s="15" t="s">
        <v>275</v>
      </c>
      <c r="F35" s="14">
        <v>94</v>
      </c>
      <c r="G35" t="e">
        <f t="shared" si="1"/>
        <v>#VALUE!</v>
      </c>
      <c r="M35" s="14" t="s">
        <v>807</v>
      </c>
    </row>
    <row r="36" spans="5:13">
      <c r="E36" s="15" t="s">
        <v>278</v>
      </c>
      <c r="F36" s="14">
        <v>132</v>
      </c>
      <c r="G36" t="e">
        <f t="shared" si="1"/>
        <v>#VALUE!</v>
      </c>
      <c r="M36" s="14" t="s">
        <v>808</v>
      </c>
    </row>
    <row r="37" spans="5:13">
      <c r="E37" s="15" t="s">
        <v>281</v>
      </c>
      <c r="F37" s="14">
        <v>172</v>
      </c>
      <c r="G37" t="e">
        <f t="shared" si="1"/>
        <v>#VALUE!</v>
      </c>
      <c r="M37" s="14" t="s">
        <v>809</v>
      </c>
    </row>
    <row r="38" spans="5:13">
      <c r="E38" s="15" t="s">
        <v>284</v>
      </c>
      <c r="F38" s="14">
        <v>156</v>
      </c>
      <c r="G38" t="e">
        <f t="shared" si="1"/>
        <v>#VALUE!</v>
      </c>
      <c r="M38" s="14" t="s">
        <v>810</v>
      </c>
    </row>
    <row r="39" spans="5:13">
      <c r="E39" s="15" t="s">
        <v>288</v>
      </c>
      <c r="F39" s="14">
        <v>200</v>
      </c>
      <c r="G39" t="e">
        <f t="shared" si="1"/>
        <v>#VALUE!</v>
      </c>
      <c r="M39" s="14" t="s">
        <v>811</v>
      </c>
    </row>
    <row r="40" spans="5:13">
      <c r="E40" s="15" t="s">
        <v>292</v>
      </c>
      <c r="F40" s="14">
        <v>86</v>
      </c>
      <c r="G40" t="e">
        <f t="shared" si="1"/>
        <v>#VALUE!</v>
      </c>
      <c r="M40" s="14" t="s">
        <v>812</v>
      </c>
    </row>
    <row r="41" spans="5:13">
      <c r="E41" s="15" t="s">
        <v>296</v>
      </c>
      <c r="F41" s="14">
        <v>120</v>
      </c>
      <c r="G41" t="e">
        <f t="shared" si="1"/>
        <v>#VALUE!</v>
      </c>
      <c r="M41" s="14" t="s">
        <v>807</v>
      </c>
    </row>
    <row r="42" spans="5:13">
      <c r="E42" s="15" t="s">
        <v>300</v>
      </c>
      <c r="F42" s="14">
        <v>155</v>
      </c>
      <c r="G42" t="e">
        <f t="shared" si="1"/>
        <v>#VALUE!</v>
      </c>
      <c r="M42" s="14" t="s">
        <v>808</v>
      </c>
    </row>
    <row r="43" spans="5:13">
      <c r="E43" s="15" t="s">
        <v>303</v>
      </c>
      <c r="F43" s="14">
        <v>165</v>
      </c>
      <c r="G43" t="e">
        <f t="shared" si="1"/>
        <v>#VALUE!</v>
      </c>
      <c r="M43" s="14" t="s">
        <v>809</v>
      </c>
    </row>
    <row r="44" spans="5:13">
      <c r="E44" s="15" t="s">
        <v>305</v>
      </c>
      <c r="F44" s="14">
        <v>150</v>
      </c>
      <c r="G44" t="e">
        <f t="shared" si="1"/>
        <v>#VALUE!</v>
      </c>
      <c r="M44" s="14" t="s">
        <v>810</v>
      </c>
    </row>
    <row r="45" spans="5:13">
      <c r="E45" s="15" t="s">
        <v>307</v>
      </c>
      <c r="F45" s="14">
        <v>92</v>
      </c>
      <c r="G45" t="e">
        <f t="shared" si="1"/>
        <v>#VALUE!</v>
      </c>
      <c r="M45" s="14" t="s">
        <v>811</v>
      </c>
    </row>
    <row r="46" spans="5:13">
      <c r="E46" s="15" t="s">
        <v>309</v>
      </c>
      <c r="F46" s="14">
        <v>128</v>
      </c>
      <c r="G46" t="e">
        <f t="shared" si="1"/>
        <v>#VALUE!</v>
      </c>
      <c r="M46" s="14" t="s">
        <v>812</v>
      </c>
    </row>
    <row r="47" spans="5:13">
      <c r="E47" s="15" t="s">
        <v>313</v>
      </c>
      <c r="F47" s="14">
        <v>167</v>
      </c>
      <c r="G47" t="e">
        <f t="shared" si="1"/>
        <v>#VALUE!</v>
      </c>
      <c r="M47" s="14" t="s">
        <v>813</v>
      </c>
    </row>
    <row r="48" spans="5:13">
      <c r="E48" s="15" t="s">
        <v>316</v>
      </c>
      <c r="F48" s="14">
        <v>173</v>
      </c>
      <c r="G48" t="e">
        <f t="shared" si="1"/>
        <v>#VALUE!</v>
      </c>
      <c r="M48" s="14" t="s">
        <v>807</v>
      </c>
    </row>
    <row r="49" spans="5:13">
      <c r="E49" s="15" t="s">
        <v>319</v>
      </c>
      <c r="F49" s="14">
        <v>178</v>
      </c>
      <c r="G49" t="e">
        <f t="shared" si="1"/>
        <v>#VALUE!</v>
      </c>
      <c r="M49" s="14" t="s">
        <v>808</v>
      </c>
    </row>
    <row r="50" spans="5:13">
      <c r="E50" s="15" t="s">
        <v>323</v>
      </c>
      <c r="F50" s="14">
        <v>81</v>
      </c>
      <c r="G50" t="e">
        <f t="shared" si="1"/>
        <v>#VALUE!</v>
      </c>
      <c r="M50" s="14" t="s">
        <v>809</v>
      </c>
    </row>
    <row r="51" spans="5:13">
      <c r="E51" s="15" t="s">
        <v>327</v>
      </c>
      <c r="F51" s="14">
        <v>113</v>
      </c>
      <c r="G51" t="e">
        <f t="shared" si="1"/>
        <v>#VALUE!</v>
      </c>
      <c r="M51" s="14" t="s">
        <v>807</v>
      </c>
    </row>
    <row r="52" spans="5:13">
      <c r="E52" s="15" t="s">
        <v>330</v>
      </c>
      <c r="F52" s="14">
        <v>147</v>
      </c>
      <c r="G52" t="e">
        <f t="shared" si="1"/>
        <v>#VALUE!</v>
      </c>
      <c r="M52" s="14" t="s">
        <v>810</v>
      </c>
    </row>
    <row r="53" spans="5:13">
      <c r="E53" s="15" t="s">
        <v>334</v>
      </c>
      <c r="F53" s="14">
        <v>157</v>
      </c>
      <c r="G53" t="e">
        <f t="shared" si="1"/>
        <v>#VALUE!</v>
      </c>
      <c r="M53" s="14" t="s">
        <v>811</v>
      </c>
    </row>
    <row r="54" spans="5:13">
      <c r="E54" s="15" t="s">
        <v>338</v>
      </c>
      <c r="F54" s="14">
        <v>162</v>
      </c>
      <c r="G54" t="e">
        <f t="shared" si="1"/>
        <v>#VALUE!</v>
      </c>
      <c r="M54" s="14" t="s">
        <v>812</v>
      </c>
    </row>
    <row r="55" spans="5:13">
      <c r="E55" s="15" t="s">
        <v>342</v>
      </c>
      <c r="F55" s="14">
        <v>88</v>
      </c>
      <c r="G55" t="e">
        <f t="shared" si="1"/>
        <v>#VALUE!</v>
      </c>
      <c r="M55" s="14" t="s">
        <v>814</v>
      </c>
    </row>
    <row r="56" spans="5:13">
      <c r="E56" s="15" t="s">
        <v>346</v>
      </c>
      <c r="F56" s="14">
        <v>122</v>
      </c>
      <c r="G56" t="e">
        <f t="shared" si="1"/>
        <v>#VALUE!</v>
      </c>
      <c r="M56" s="14" t="s">
        <v>813</v>
      </c>
    </row>
    <row r="57" spans="5:13">
      <c r="E57" s="15" t="s">
        <v>350</v>
      </c>
      <c r="F57" s="14">
        <v>158</v>
      </c>
      <c r="G57" t="e">
        <f t="shared" si="1"/>
        <v>#VALUE!</v>
      </c>
      <c r="M57" s="14" t="s">
        <v>814</v>
      </c>
    </row>
    <row r="58" spans="5:13">
      <c r="E58" s="15" t="s">
        <v>353</v>
      </c>
      <c r="F58" s="14">
        <v>161</v>
      </c>
      <c r="G58" t="e">
        <f t="shared" si="1"/>
        <v>#VALUE!</v>
      </c>
      <c r="M58" s="14" t="s">
        <v>813</v>
      </c>
    </row>
    <row r="59" spans="5:7">
      <c r="E59" s="15" t="s">
        <v>355</v>
      </c>
      <c r="F59" s="14">
        <v>165</v>
      </c>
      <c r="G59" t="e">
        <f t="shared" si="1"/>
        <v>#VALUE!</v>
      </c>
    </row>
    <row r="60" spans="5:7">
      <c r="E60" s="15" t="s">
        <v>358</v>
      </c>
      <c r="F60" s="14">
        <v>98</v>
      </c>
      <c r="G60" t="e">
        <f t="shared" si="1"/>
        <v>#VALUE!</v>
      </c>
    </row>
    <row r="61" spans="5:7">
      <c r="E61" s="15" t="s">
        <v>361</v>
      </c>
      <c r="F61" s="14">
        <v>140</v>
      </c>
      <c r="G61" t="e">
        <f t="shared" si="1"/>
        <v>#VALUE!</v>
      </c>
    </row>
    <row r="62" spans="5:7">
      <c r="E62" s="15" t="s">
        <v>364</v>
      </c>
      <c r="F62" s="14">
        <v>184</v>
      </c>
      <c r="G62" t="e">
        <f t="shared" si="1"/>
        <v>#VALUE!</v>
      </c>
    </row>
    <row r="63" spans="5:7">
      <c r="E63" s="15" t="s">
        <v>367</v>
      </c>
      <c r="F63" s="14">
        <v>178</v>
      </c>
      <c r="G63" t="e">
        <f t="shared" si="1"/>
        <v>#VALUE!</v>
      </c>
    </row>
    <row r="64" spans="5:7">
      <c r="E64" s="15" t="s">
        <v>370</v>
      </c>
      <c r="F64" s="14">
        <v>170</v>
      </c>
      <c r="G64" t="e">
        <f t="shared" si="1"/>
        <v>#VALUE!</v>
      </c>
    </row>
    <row r="65" spans="5:7">
      <c r="E65" s="15" t="s">
        <v>373</v>
      </c>
      <c r="F65" s="14">
        <v>94</v>
      </c>
      <c r="G65" t="e">
        <f t="shared" si="1"/>
        <v>#VALUE!</v>
      </c>
    </row>
    <row r="66" spans="5:7">
      <c r="E66" s="15" t="s">
        <v>377</v>
      </c>
      <c r="F66" s="14">
        <v>140</v>
      </c>
      <c r="G66" t="e">
        <f t="shared" si="1"/>
        <v>#VALUE!</v>
      </c>
    </row>
    <row r="67" spans="5:7">
      <c r="E67" s="15" t="s">
        <v>380</v>
      </c>
      <c r="F67" s="14">
        <v>188</v>
      </c>
      <c r="G67" t="e">
        <f t="shared" si="1"/>
        <v>#VALUE!</v>
      </c>
    </row>
    <row r="68" spans="5:7">
      <c r="E68" s="15" t="s">
        <v>384</v>
      </c>
      <c r="F68" s="14">
        <v>195</v>
      </c>
      <c r="G68" t="e">
        <f t="shared" si="1"/>
        <v>#VALUE!</v>
      </c>
    </row>
    <row r="69" spans="5:7">
      <c r="E69" s="15" t="s">
        <v>388</v>
      </c>
      <c r="F69" s="14">
        <v>208</v>
      </c>
      <c r="G69" t="e">
        <f t="shared" si="1"/>
        <v>#VALUE!</v>
      </c>
    </row>
    <row r="70" spans="5:5">
      <c r="E70" s="15" t="s">
        <v>391</v>
      </c>
    </row>
    <row r="71" spans="5:5">
      <c r="E71" s="15" t="s">
        <v>395</v>
      </c>
    </row>
    <row r="72" spans="5:5">
      <c r="E72" s="15" t="s">
        <v>397</v>
      </c>
    </row>
    <row r="73" spans="5:5">
      <c r="E73" s="15" t="s">
        <v>399</v>
      </c>
    </row>
    <row r="74" spans="5:5">
      <c r="E74" s="15" t="s">
        <v>401</v>
      </c>
    </row>
    <row r="75" spans="5:5">
      <c r="E75" s="15" t="s">
        <v>403</v>
      </c>
    </row>
    <row r="76" spans="5:5">
      <c r="E76" s="15" t="s">
        <v>406</v>
      </c>
    </row>
    <row r="77" spans="5:5">
      <c r="E77" s="15" t="s">
        <v>408</v>
      </c>
    </row>
    <row r="78" spans="5:5">
      <c r="E78" s="15" t="s">
        <v>411</v>
      </c>
    </row>
    <row r="79" spans="5:5">
      <c r="E79" s="15" t="s">
        <v>415</v>
      </c>
    </row>
    <row r="80" spans="5:5">
      <c r="E80" s="15" t="s">
        <v>419</v>
      </c>
    </row>
    <row r="81" spans="5:5">
      <c r="E81" s="15" t="s">
        <v>423</v>
      </c>
    </row>
    <row r="82" spans="5:5">
      <c r="E82" s="15" t="s">
        <v>427</v>
      </c>
    </row>
    <row r="83" spans="5:5">
      <c r="E83" s="15" t="s">
        <v>430</v>
      </c>
    </row>
    <row r="84" spans="5:5">
      <c r="E84" s="15" t="s">
        <v>433</v>
      </c>
    </row>
    <row r="85" spans="5:5">
      <c r="E85" s="15" t="s">
        <v>436</v>
      </c>
    </row>
    <row r="86" spans="5:5">
      <c r="E86" s="15" t="s">
        <v>438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4"/>
  <sheetViews>
    <sheetView topLeftCell="D1" workbookViewId="0">
      <selection activeCell="I34" sqref="I34"/>
    </sheetView>
  </sheetViews>
  <sheetFormatPr defaultColWidth="9" defaultRowHeight="13.5"/>
  <cols>
    <col min="1" max="16384" width="9" style="8"/>
  </cols>
  <sheetData>
    <row r="1" ht="16.5" spans="1:25">
      <c r="A1" s="9" t="s">
        <v>0</v>
      </c>
      <c r="B1" s="9" t="s">
        <v>1</v>
      </c>
      <c r="C1" s="9" t="s">
        <v>2</v>
      </c>
      <c r="D1" s="9" t="s">
        <v>5</v>
      </c>
      <c r="E1" s="9" t="s">
        <v>7</v>
      </c>
      <c r="F1" s="9" t="s">
        <v>8</v>
      </c>
      <c r="G1" s="9"/>
      <c r="H1" s="10" t="s">
        <v>12</v>
      </c>
      <c r="I1" s="16" t="s">
        <v>13</v>
      </c>
      <c r="J1" s="16"/>
      <c r="K1" s="16"/>
      <c r="L1" s="10" t="s">
        <v>14</v>
      </c>
      <c r="M1" s="10" t="s">
        <v>15</v>
      </c>
      <c r="N1" s="10"/>
      <c r="O1" s="10"/>
      <c r="P1" s="10" t="s">
        <v>16</v>
      </c>
      <c r="Q1" s="10" t="s">
        <v>17</v>
      </c>
      <c r="R1" s="10"/>
      <c r="S1" s="10"/>
      <c r="T1" s="10" t="s">
        <v>18</v>
      </c>
      <c r="U1" s="10" t="s">
        <v>19</v>
      </c>
      <c r="V1" s="10"/>
      <c r="W1" s="10"/>
      <c r="X1" s="10" t="s">
        <v>20</v>
      </c>
      <c r="Y1" s="10" t="s">
        <v>21</v>
      </c>
    </row>
    <row r="2" ht="16.5" spans="1:25">
      <c r="A2" s="11" t="s">
        <v>47</v>
      </c>
      <c r="B2" s="11" t="s">
        <v>48</v>
      </c>
      <c r="C2" s="11" t="s">
        <v>47</v>
      </c>
      <c r="D2" s="11" t="s">
        <v>47</v>
      </c>
      <c r="E2" s="11" t="s">
        <v>47</v>
      </c>
      <c r="F2" s="11" t="s">
        <v>47</v>
      </c>
      <c r="G2" s="11"/>
      <c r="H2" s="11" t="s">
        <v>47</v>
      </c>
      <c r="I2" s="11" t="s">
        <v>49</v>
      </c>
      <c r="J2" s="11"/>
      <c r="K2" s="11"/>
      <c r="L2" s="11" t="s">
        <v>47</v>
      </c>
      <c r="M2" s="11" t="s">
        <v>49</v>
      </c>
      <c r="N2" s="11"/>
      <c r="O2" s="11"/>
      <c r="P2" s="11" t="s">
        <v>47</v>
      </c>
      <c r="Q2" s="11" t="s">
        <v>49</v>
      </c>
      <c r="R2" s="11"/>
      <c r="S2" s="11"/>
      <c r="T2" s="11" t="s">
        <v>47</v>
      </c>
      <c r="U2" s="11" t="s">
        <v>49</v>
      </c>
      <c r="V2" s="11"/>
      <c r="W2" s="11"/>
      <c r="X2" s="11" t="s">
        <v>47</v>
      </c>
      <c r="Y2" s="11" t="s">
        <v>49</v>
      </c>
    </row>
    <row r="3" ht="33" spans="1:25">
      <c r="A3" s="12" t="s">
        <v>50</v>
      </c>
      <c r="B3" s="12" t="s">
        <v>51</v>
      </c>
      <c r="C3" s="13" t="s">
        <v>52</v>
      </c>
      <c r="D3" s="13" t="s">
        <v>55</v>
      </c>
      <c r="E3" s="13" t="s">
        <v>57</v>
      </c>
      <c r="F3" s="13" t="s">
        <v>58</v>
      </c>
      <c r="G3" s="13" t="s">
        <v>815</v>
      </c>
      <c r="H3" s="12" t="s">
        <v>62</v>
      </c>
      <c r="I3" s="12" t="s">
        <v>63</v>
      </c>
      <c r="J3" s="12"/>
      <c r="K3" s="12"/>
      <c r="L3" s="12" t="s">
        <v>64</v>
      </c>
      <c r="M3" s="12" t="s">
        <v>65</v>
      </c>
      <c r="N3" s="12"/>
      <c r="O3" s="12"/>
      <c r="P3" s="12" t="s">
        <v>66</v>
      </c>
      <c r="Q3" s="12" t="s">
        <v>67</v>
      </c>
      <c r="R3" s="12"/>
      <c r="S3" s="12"/>
      <c r="T3" s="12" t="s">
        <v>68</v>
      </c>
      <c r="U3" s="12" t="s">
        <v>69</v>
      </c>
      <c r="V3" s="12"/>
      <c r="W3" s="12"/>
      <c r="X3" s="12" t="s">
        <v>70</v>
      </c>
      <c r="Y3" s="12" t="s">
        <v>71</v>
      </c>
    </row>
    <row r="4" ht="16.5" spans="1:27">
      <c r="A4" s="14">
        <v>11001</v>
      </c>
      <c r="B4" s="14" t="s">
        <v>96</v>
      </c>
      <c r="C4" s="14">
        <v>1</v>
      </c>
      <c r="D4" s="14" t="s">
        <v>98</v>
      </c>
      <c r="E4" s="14" t="s">
        <v>98</v>
      </c>
      <c r="F4" s="14" t="s">
        <v>98</v>
      </c>
      <c r="G4" s="14">
        <v>1.1</v>
      </c>
      <c r="H4" s="14">
        <v>600</v>
      </c>
      <c r="I4" s="14">
        <v>10</v>
      </c>
      <c r="J4" s="14">
        <f t="shared" ref="J4:O4" si="0">H4*$G4</f>
        <v>660</v>
      </c>
      <c r="K4" s="14">
        <f t="shared" si="0"/>
        <v>11</v>
      </c>
      <c r="L4" s="14">
        <v>68</v>
      </c>
      <c r="M4" s="14">
        <v>1.9</v>
      </c>
      <c r="N4" s="14">
        <f>INT(L4*$G4)</f>
        <v>74</v>
      </c>
      <c r="O4" s="14">
        <f t="shared" si="0"/>
        <v>2.09</v>
      </c>
      <c r="P4" s="14">
        <v>31</v>
      </c>
      <c r="Q4" s="14">
        <v>1.3</v>
      </c>
      <c r="R4" s="14">
        <f t="shared" ref="R4:R21" si="1">INT(P4*$G4)</f>
        <v>34</v>
      </c>
      <c r="S4" s="14">
        <f t="shared" ref="S4:S21" si="2">Q4*$G4</f>
        <v>1.43</v>
      </c>
      <c r="T4" s="14">
        <v>41</v>
      </c>
      <c r="U4" s="14">
        <v>1.1</v>
      </c>
      <c r="V4" s="14">
        <f t="shared" ref="V4:V21" si="3">INT(T4*$G4)</f>
        <v>45</v>
      </c>
      <c r="W4" s="14">
        <f t="shared" ref="W4:W21" si="4">U4*$G4</f>
        <v>1.21</v>
      </c>
      <c r="X4" s="14">
        <v>26</v>
      </c>
      <c r="Y4" s="14">
        <v>1.2</v>
      </c>
      <c r="Z4" s="14">
        <f t="shared" ref="Z4:Z21" si="5">INT(X4*$G4)</f>
        <v>28</v>
      </c>
      <c r="AA4" s="14">
        <f t="shared" ref="AA4:AA21" si="6">Y4*$G4</f>
        <v>1.32</v>
      </c>
    </row>
    <row r="5" ht="16.5" spans="1:27">
      <c r="A5" s="14">
        <v>12001</v>
      </c>
      <c r="B5" s="14" t="s">
        <v>105</v>
      </c>
      <c r="C5" s="14">
        <v>1</v>
      </c>
      <c r="D5" s="14" t="s">
        <v>106</v>
      </c>
      <c r="E5" s="14" t="s">
        <v>98</v>
      </c>
      <c r="F5" s="14" t="s">
        <v>98</v>
      </c>
      <c r="G5" s="14">
        <f>G4</f>
        <v>1.1</v>
      </c>
      <c r="H5" s="14">
        <v>590</v>
      </c>
      <c r="I5" s="14">
        <v>14</v>
      </c>
      <c r="J5" s="14">
        <f t="shared" ref="J5:J21" si="7">H5*$G5</f>
        <v>649</v>
      </c>
      <c r="K5" s="14">
        <f t="shared" ref="K5:O5" si="8">I5*$G5</f>
        <v>15.4</v>
      </c>
      <c r="L5" s="14">
        <v>71</v>
      </c>
      <c r="M5" s="14">
        <v>2</v>
      </c>
      <c r="N5" s="14">
        <f t="shared" ref="N5:N21" si="9">INT(L5*$G5)</f>
        <v>78</v>
      </c>
      <c r="O5" s="14">
        <f t="shared" si="8"/>
        <v>2.2</v>
      </c>
      <c r="P5" s="14">
        <v>28</v>
      </c>
      <c r="Q5" s="14">
        <v>1.2</v>
      </c>
      <c r="R5" s="14">
        <f t="shared" si="1"/>
        <v>30</v>
      </c>
      <c r="S5" s="14">
        <f t="shared" si="2"/>
        <v>1.32</v>
      </c>
      <c r="T5" s="14">
        <v>38</v>
      </c>
      <c r="U5" s="14">
        <v>1.1</v>
      </c>
      <c r="V5" s="14">
        <f t="shared" si="3"/>
        <v>41</v>
      </c>
      <c r="W5" s="14">
        <f t="shared" si="4"/>
        <v>1.21</v>
      </c>
      <c r="X5" s="14">
        <v>25</v>
      </c>
      <c r="Y5" s="14">
        <v>1.2</v>
      </c>
      <c r="Z5" s="14">
        <f t="shared" si="5"/>
        <v>27</v>
      </c>
      <c r="AA5" s="14">
        <f t="shared" si="6"/>
        <v>1.32</v>
      </c>
    </row>
    <row r="6" ht="16.5" spans="1:27">
      <c r="A6" s="14">
        <v>13001</v>
      </c>
      <c r="B6" s="14" t="s">
        <v>113</v>
      </c>
      <c r="C6" s="14">
        <v>1</v>
      </c>
      <c r="D6" s="14" t="s">
        <v>114</v>
      </c>
      <c r="E6" s="14" t="s">
        <v>98</v>
      </c>
      <c r="F6" s="14" t="s">
        <v>98</v>
      </c>
      <c r="G6" s="14">
        <f>G5</f>
        <v>1.1</v>
      </c>
      <c r="H6" s="14">
        <v>500</v>
      </c>
      <c r="I6" s="14">
        <v>12</v>
      </c>
      <c r="J6" s="14">
        <f t="shared" si="7"/>
        <v>550</v>
      </c>
      <c r="K6" s="14">
        <f t="shared" ref="K6:O6" si="10">I6*$G6</f>
        <v>13.2</v>
      </c>
      <c r="L6" s="14">
        <v>62</v>
      </c>
      <c r="M6" s="14">
        <v>1.7</v>
      </c>
      <c r="N6" s="14">
        <f t="shared" si="9"/>
        <v>68</v>
      </c>
      <c r="O6" s="14">
        <f t="shared" si="10"/>
        <v>1.87</v>
      </c>
      <c r="P6" s="14">
        <v>21</v>
      </c>
      <c r="Q6" s="14">
        <v>1</v>
      </c>
      <c r="R6" s="14">
        <f t="shared" si="1"/>
        <v>23</v>
      </c>
      <c r="S6" s="14">
        <f t="shared" si="2"/>
        <v>1.1</v>
      </c>
      <c r="T6" s="14">
        <v>34</v>
      </c>
      <c r="U6" s="14">
        <v>1.2</v>
      </c>
      <c r="V6" s="14">
        <f t="shared" si="3"/>
        <v>37</v>
      </c>
      <c r="W6" s="14">
        <f t="shared" si="4"/>
        <v>1.32</v>
      </c>
      <c r="X6" s="14">
        <v>23</v>
      </c>
      <c r="Y6" s="14">
        <v>1.3</v>
      </c>
      <c r="Z6" s="14">
        <f t="shared" si="5"/>
        <v>25</v>
      </c>
      <c r="AA6" s="14">
        <f t="shared" si="6"/>
        <v>1.43</v>
      </c>
    </row>
    <row r="7" ht="16.5" spans="1:27">
      <c r="A7" s="14">
        <v>14001</v>
      </c>
      <c r="B7" s="14" t="s">
        <v>120</v>
      </c>
      <c r="C7" s="14">
        <v>1</v>
      </c>
      <c r="D7" s="14" t="s">
        <v>121</v>
      </c>
      <c r="E7" s="14" t="s">
        <v>98</v>
      </c>
      <c r="F7" s="14" t="s">
        <v>98</v>
      </c>
      <c r="G7" s="14">
        <f>G6</f>
        <v>1.1</v>
      </c>
      <c r="H7" s="14">
        <v>570</v>
      </c>
      <c r="I7" s="14">
        <v>13.5</v>
      </c>
      <c r="J7" s="14">
        <f t="shared" si="7"/>
        <v>627</v>
      </c>
      <c r="K7" s="14">
        <f t="shared" ref="K7:O7" si="11">I7*$G7</f>
        <v>14.85</v>
      </c>
      <c r="L7" s="14">
        <v>66</v>
      </c>
      <c r="M7" s="14">
        <v>2</v>
      </c>
      <c r="N7" s="14">
        <f t="shared" si="9"/>
        <v>72</v>
      </c>
      <c r="O7" s="14">
        <f t="shared" si="11"/>
        <v>2.2</v>
      </c>
      <c r="P7" s="14">
        <v>26</v>
      </c>
      <c r="Q7" s="14">
        <v>1.2</v>
      </c>
      <c r="R7" s="14">
        <f t="shared" si="1"/>
        <v>28</v>
      </c>
      <c r="S7" s="14">
        <f t="shared" si="2"/>
        <v>1.32</v>
      </c>
      <c r="T7" s="14">
        <v>43</v>
      </c>
      <c r="U7" s="14">
        <v>1.2</v>
      </c>
      <c r="V7" s="14">
        <f t="shared" si="3"/>
        <v>47</v>
      </c>
      <c r="W7" s="14">
        <f t="shared" si="4"/>
        <v>1.32</v>
      </c>
      <c r="X7" s="14">
        <v>28</v>
      </c>
      <c r="Y7" s="14">
        <v>1.4</v>
      </c>
      <c r="Z7" s="14">
        <f t="shared" si="5"/>
        <v>30</v>
      </c>
      <c r="AA7" s="14">
        <f t="shared" si="6"/>
        <v>1.54</v>
      </c>
    </row>
    <row r="8" ht="16.5" spans="1:27">
      <c r="A8" s="14">
        <v>15001</v>
      </c>
      <c r="B8" s="14" t="s">
        <v>127</v>
      </c>
      <c r="C8" s="14">
        <v>2</v>
      </c>
      <c r="D8" s="14" t="s">
        <v>128</v>
      </c>
      <c r="E8" s="14" t="s">
        <v>98</v>
      </c>
      <c r="F8" s="14" t="s">
        <v>98</v>
      </c>
      <c r="G8" s="14">
        <f>G7</f>
        <v>1.1</v>
      </c>
      <c r="H8" s="14">
        <v>500</v>
      </c>
      <c r="I8" s="14">
        <v>11</v>
      </c>
      <c r="J8" s="14">
        <f t="shared" si="7"/>
        <v>550</v>
      </c>
      <c r="K8" s="14">
        <f t="shared" ref="K8:O8" si="12">I8*$G8</f>
        <v>12.1</v>
      </c>
      <c r="L8" s="14">
        <v>45</v>
      </c>
      <c r="M8" s="14">
        <v>2</v>
      </c>
      <c r="N8" s="14">
        <f t="shared" si="9"/>
        <v>49</v>
      </c>
      <c r="O8" s="14">
        <f t="shared" si="12"/>
        <v>2.2</v>
      </c>
      <c r="P8" s="14">
        <v>15</v>
      </c>
      <c r="Q8" s="14">
        <v>1</v>
      </c>
      <c r="R8" s="14">
        <f t="shared" si="1"/>
        <v>16</v>
      </c>
      <c r="S8" s="14">
        <f t="shared" si="2"/>
        <v>1.1</v>
      </c>
      <c r="T8" s="14">
        <v>63</v>
      </c>
      <c r="U8" s="14">
        <v>2</v>
      </c>
      <c r="V8" s="14">
        <f t="shared" si="3"/>
        <v>69</v>
      </c>
      <c r="W8" s="14">
        <f t="shared" si="4"/>
        <v>2.2</v>
      </c>
      <c r="X8" s="14">
        <v>30</v>
      </c>
      <c r="Y8" s="14">
        <v>1.6</v>
      </c>
      <c r="Z8" s="14">
        <f t="shared" si="5"/>
        <v>33</v>
      </c>
      <c r="AA8" s="14">
        <f t="shared" si="6"/>
        <v>1.76</v>
      </c>
    </row>
    <row r="9" ht="16.5" spans="1:27">
      <c r="A9" s="14">
        <v>16001</v>
      </c>
      <c r="B9" s="14" t="s">
        <v>134</v>
      </c>
      <c r="C9" s="14">
        <v>2</v>
      </c>
      <c r="D9" s="14" t="s">
        <v>135</v>
      </c>
      <c r="E9" s="14" t="s">
        <v>98</v>
      </c>
      <c r="F9" s="14" t="s">
        <v>98</v>
      </c>
      <c r="G9" s="14">
        <f>G8</f>
        <v>1.1</v>
      </c>
      <c r="H9" s="14">
        <v>530</v>
      </c>
      <c r="I9" s="14">
        <v>12</v>
      </c>
      <c r="J9" s="14">
        <f t="shared" si="7"/>
        <v>583</v>
      </c>
      <c r="K9" s="14">
        <f t="shared" ref="K9:O9" si="13">I9*$G9</f>
        <v>13.2</v>
      </c>
      <c r="L9" s="14">
        <v>50</v>
      </c>
      <c r="M9" s="14">
        <v>1.9</v>
      </c>
      <c r="N9" s="14">
        <f t="shared" si="9"/>
        <v>55</v>
      </c>
      <c r="O9" s="14">
        <f t="shared" si="13"/>
        <v>2.09</v>
      </c>
      <c r="P9" s="14">
        <v>21</v>
      </c>
      <c r="Q9" s="14">
        <v>1.1</v>
      </c>
      <c r="R9" s="14">
        <f t="shared" si="1"/>
        <v>23</v>
      </c>
      <c r="S9" s="14">
        <f t="shared" si="2"/>
        <v>1.21</v>
      </c>
      <c r="T9" s="14">
        <v>55</v>
      </c>
      <c r="U9" s="14">
        <v>1.9</v>
      </c>
      <c r="V9" s="14">
        <f t="shared" si="3"/>
        <v>60</v>
      </c>
      <c r="W9" s="14">
        <f t="shared" si="4"/>
        <v>2.09</v>
      </c>
      <c r="X9" s="14">
        <v>40</v>
      </c>
      <c r="Y9" s="14">
        <v>1.8</v>
      </c>
      <c r="Z9" s="14">
        <f t="shared" si="5"/>
        <v>44</v>
      </c>
      <c r="AA9" s="14">
        <f t="shared" si="6"/>
        <v>1.98</v>
      </c>
    </row>
    <row r="10" ht="16.5" spans="1:27">
      <c r="A10" s="14">
        <v>21001</v>
      </c>
      <c r="B10" s="14" t="s">
        <v>141</v>
      </c>
      <c r="C10" s="14">
        <v>1</v>
      </c>
      <c r="D10" s="14" t="s">
        <v>98</v>
      </c>
      <c r="E10" s="14" t="s">
        <v>106</v>
      </c>
      <c r="F10" s="14" t="s">
        <v>106</v>
      </c>
      <c r="G10" s="14">
        <v>1.3</v>
      </c>
      <c r="H10" s="14">
        <v>645</v>
      </c>
      <c r="I10" s="14">
        <v>16.5</v>
      </c>
      <c r="J10" s="14">
        <f t="shared" si="7"/>
        <v>838.5</v>
      </c>
      <c r="K10" s="14">
        <f t="shared" ref="K10:O10" si="14">I10*$G10</f>
        <v>21.45</v>
      </c>
      <c r="L10" s="14">
        <v>72</v>
      </c>
      <c r="M10" s="14">
        <v>2.1</v>
      </c>
      <c r="N10" s="14">
        <f t="shared" si="9"/>
        <v>93</v>
      </c>
      <c r="O10" s="14">
        <f t="shared" si="14"/>
        <v>2.73</v>
      </c>
      <c r="P10" s="14">
        <v>39</v>
      </c>
      <c r="Q10" s="14">
        <v>1.4</v>
      </c>
      <c r="R10" s="14">
        <f t="shared" si="1"/>
        <v>50</v>
      </c>
      <c r="S10" s="14">
        <f t="shared" si="2"/>
        <v>1.82</v>
      </c>
      <c r="T10" s="14">
        <v>44</v>
      </c>
      <c r="U10" s="14">
        <v>1.2</v>
      </c>
      <c r="V10" s="14">
        <f t="shared" si="3"/>
        <v>57</v>
      </c>
      <c r="W10" s="14">
        <f t="shared" si="4"/>
        <v>1.56</v>
      </c>
      <c r="X10" s="14">
        <v>29</v>
      </c>
      <c r="Y10" s="14">
        <v>1.3</v>
      </c>
      <c r="Z10" s="14">
        <f t="shared" si="5"/>
        <v>37</v>
      </c>
      <c r="AA10" s="14">
        <f t="shared" si="6"/>
        <v>1.69</v>
      </c>
    </row>
    <row r="11" ht="16.5" spans="1:27">
      <c r="A11" s="14">
        <v>22001</v>
      </c>
      <c r="B11" s="14" t="s">
        <v>148</v>
      </c>
      <c r="C11" s="14">
        <v>1</v>
      </c>
      <c r="D11" s="14" t="s">
        <v>106</v>
      </c>
      <c r="E11" s="14" t="s">
        <v>106</v>
      </c>
      <c r="F11" s="14" t="s">
        <v>106</v>
      </c>
      <c r="G11" s="14">
        <f t="shared" ref="G11:G16" si="15">G10</f>
        <v>1.3</v>
      </c>
      <c r="H11" s="14">
        <v>634</v>
      </c>
      <c r="I11" s="14">
        <v>10.4</v>
      </c>
      <c r="J11" s="14">
        <f t="shared" si="7"/>
        <v>824.2</v>
      </c>
      <c r="K11" s="14">
        <f t="shared" ref="K11:O11" si="16">I11*$G11</f>
        <v>13.52</v>
      </c>
      <c r="L11" s="14">
        <v>75</v>
      </c>
      <c r="M11" s="14">
        <v>2.2</v>
      </c>
      <c r="N11" s="14">
        <f t="shared" si="9"/>
        <v>97</v>
      </c>
      <c r="O11" s="14">
        <f t="shared" si="16"/>
        <v>2.86</v>
      </c>
      <c r="P11" s="14">
        <v>36</v>
      </c>
      <c r="Q11" s="14">
        <v>1.3</v>
      </c>
      <c r="R11" s="14">
        <f t="shared" si="1"/>
        <v>46</v>
      </c>
      <c r="S11" s="14">
        <f t="shared" si="2"/>
        <v>1.69</v>
      </c>
      <c r="T11" s="14">
        <v>41</v>
      </c>
      <c r="U11" s="14">
        <v>1.2</v>
      </c>
      <c r="V11" s="14">
        <f t="shared" si="3"/>
        <v>53</v>
      </c>
      <c r="W11" s="14">
        <f t="shared" si="4"/>
        <v>1.56</v>
      </c>
      <c r="X11" s="14">
        <v>28</v>
      </c>
      <c r="Y11" s="14">
        <v>1.3</v>
      </c>
      <c r="Z11" s="14">
        <f t="shared" si="5"/>
        <v>36</v>
      </c>
      <c r="AA11" s="14">
        <f t="shared" si="6"/>
        <v>1.69</v>
      </c>
    </row>
    <row r="12" ht="16.5" spans="1:27">
      <c r="A12" s="14">
        <v>23001</v>
      </c>
      <c r="B12" s="14" t="s">
        <v>154</v>
      </c>
      <c r="C12" s="14">
        <v>1</v>
      </c>
      <c r="D12" s="14" t="s">
        <v>114</v>
      </c>
      <c r="E12" s="14" t="s">
        <v>106</v>
      </c>
      <c r="F12" s="14" t="s">
        <v>106</v>
      </c>
      <c r="G12" s="14">
        <f t="shared" si="15"/>
        <v>1.3</v>
      </c>
      <c r="H12" s="14">
        <v>535</v>
      </c>
      <c r="I12" s="14">
        <v>13.2</v>
      </c>
      <c r="J12" s="14">
        <f t="shared" si="7"/>
        <v>695.5</v>
      </c>
      <c r="K12" s="14">
        <f t="shared" ref="K12:O12" si="17">I12*$G12</f>
        <v>17.16</v>
      </c>
      <c r="L12" s="14">
        <v>68</v>
      </c>
      <c r="M12" s="14">
        <v>2.1</v>
      </c>
      <c r="N12" s="14">
        <f t="shared" si="9"/>
        <v>88</v>
      </c>
      <c r="O12" s="14">
        <f t="shared" si="17"/>
        <v>2.73</v>
      </c>
      <c r="P12" s="14">
        <v>29</v>
      </c>
      <c r="Q12" s="14">
        <v>1.1</v>
      </c>
      <c r="R12" s="14">
        <f t="shared" si="1"/>
        <v>37</v>
      </c>
      <c r="S12" s="14">
        <f t="shared" si="2"/>
        <v>1.43</v>
      </c>
      <c r="T12" s="14">
        <v>37</v>
      </c>
      <c r="U12" s="14">
        <v>1.3</v>
      </c>
      <c r="V12" s="14">
        <f t="shared" si="3"/>
        <v>48</v>
      </c>
      <c r="W12" s="14">
        <f t="shared" si="4"/>
        <v>1.69</v>
      </c>
      <c r="X12" s="14">
        <v>25</v>
      </c>
      <c r="Y12" s="14">
        <v>1.4</v>
      </c>
      <c r="Z12" s="14">
        <f t="shared" si="5"/>
        <v>32</v>
      </c>
      <c r="AA12" s="14">
        <f t="shared" si="6"/>
        <v>1.82</v>
      </c>
    </row>
    <row r="13" ht="16.5" spans="1:27">
      <c r="A13" s="14">
        <v>24001</v>
      </c>
      <c r="B13" s="14" t="s">
        <v>159</v>
      </c>
      <c r="C13" s="14">
        <v>1</v>
      </c>
      <c r="D13" s="14" t="s">
        <v>121</v>
      </c>
      <c r="E13" s="14" t="s">
        <v>106</v>
      </c>
      <c r="F13" s="14" t="s">
        <v>106</v>
      </c>
      <c r="G13" s="14">
        <f t="shared" si="15"/>
        <v>1.3</v>
      </c>
      <c r="H13" s="14">
        <v>612</v>
      </c>
      <c r="I13" s="14">
        <v>14.9</v>
      </c>
      <c r="J13" s="14">
        <f t="shared" si="7"/>
        <v>795.6</v>
      </c>
      <c r="K13" s="14">
        <f t="shared" ref="K13:O13" si="18">I13*$G13</f>
        <v>19.37</v>
      </c>
      <c r="L13" s="14">
        <v>72</v>
      </c>
      <c r="M13" s="14">
        <v>2.2</v>
      </c>
      <c r="N13" s="14">
        <f t="shared" si="9"/>
        <v>93</v>
      </c>
      <c r="O13" s="14">
        <f t="shared" si="18"/>
        <v>2.86</v>
      </c>
      <c r="P13" s="14">
        <v>34</v>
      </c>
      <c r="Q13" s="14">
        <v>1.3</v>
      </c>
      <c r="R13" s="14">
        <f t="shared" si="1"/>
        <v>44</v>
      </c>
      <c r="S13" s="14">
        <f t="shared" si="2"/>
        <v>1.69</v>
      </c>
      <c r="T13" s="14">
        <v>47</v>
      </c>
      <c r="U13" s="14">
        <v>1.3</v>
      </c>
      <c r="V13" s="14">
        <f t="shared" si="3"/>
        <v>61</v>
      </c>
      <c r="W13" s="14">
        <f t="shared" si="4"/>
        <v>1.69</v>
      </c>
      <c r="X13" s="14">
        <v>32</v>
      </c>
      <c r="Y13" s="14">
        <v>1.5</v>
      </c>
      <c r="Z13" s="14">
        <f t="shared" si="5"/>
        <v>41</v>
      </c>
      <c r="AA13" s="14">
        <f t="shared" si="6"/>
        <v>1.95</v>
      </c>
    </row>
    <row r="14" ht="16.5" spans="1:27">
      <c r="A14" s="14">
        <v>25001</v>
      </c>
      <c r="B14" s="14" t="s">
        <v>165</v>
      </c>
      <c r="C14" s="14">
        <v>2</v>
      </c>
      <c r="D14" s="14" t="s">
        <v>128</v>
      </c>
      <c r="E14" s="14" t="s">
        <v>106</v>
      </c>
      <c r="F14" s="14" t="s">
        <v>106</v>
      </c>
      <c r="G14" s="14">
        <f t="shared" si="15"/>
        <v>1.3</v>
      </c>
      <c r="H14" s="14">
        <v>535</v>
      </c>
      <c r="I14" s="14">
        <v>12.1</v>
      </c>
      <c r="J14" s="14">
        <f t="shared" si="7"/>
        <v>695.5</v>
      </c>
      <c r="K14" s="14">
        <f t="shared" ref="K14:O14" si="19">I14*$G14</f>
        <v>15.73</v>
      </c>
      <c r="L14" s="14">
        <v>57</v>
      </c>
      <c r="M14" s="14">
        <v>2.5</v>
      </c>
      <c r="N14" s="14">
        <f t="shared" si="9"/>
        <v>74</v>
      </c>
      <c r="O14" s="14">
        <f t="shared" si="19"/>
        <v>3.25</v>
      </c>
      <c r="P14" s="14">
        <v>25</v>
      </c>
      <c r="Q14" s="14">
        <v>1.1</v>
      </c>
      <c r="R14" s="14">
        <f t="shared" si="1"/>
        <v>32</v>
      </c>
      <c r="S14" s="14">
        <f t="shared" si="2"/>
        <v>1.43</v>
      </c>
      <c r="T14" s="14">
        <v>71</v>
      </c>
      <c r="U14" s="14">
        <v>2.5</v>
      </c>
      <c r="V14" s="14">
        <f t="shared" si="3"/>
        <v>92</v>
      </c>
      <c r="W14" s="14">
        <f t="shared" si="4"/>
        <v>3.25</v>
      </c>
      <c r="X14" s="14">
        <v>33</v>
      </c>
      <c r="Y14" s="14">
        <v>1.8</v>
      </c>
      <c r="Z14" s="14">
        <f t="shared" si="5"/>
        <v>42</v>
      </c>
      <c r="AA14" s="14">
        <f t="shared" si="6"/>
        <v>2.34</v>
      </c>
    </row>
    <row r="15" ht="16.5" spans="1:27">
      <c r="A15" s="14">
        <v>26001</v>
      </c>
      <c r="B15" s="14" t="s">
        <v>171</v>
      </c>
      <c r="C15" s="14">
        <v>2</v>
      </c>
      <c r="D15" s="14" t="s">
        <v>135</v>
      </c>
      <c r="E15" s="14" t="s">
        <v>106</v>
      </c>
      <c r="F15" s="14" t="s">
        <v>106</v>
      </c>
      <c r="G15" s="14">
        <f t="shared" si="15"/>
        <v>1.3</v>
      </c>
      <c r="H15" s="14">
        <v>568</v>
      </c>
      <c r="I15" s="14">
        <v>13.2</v>
      </c>
      <c r="J15" s="14">
        <f t="shared" si="7"/>
        <v>738.4</v>
      </c>
      <c r="K15" s="14">
        <f t="shared" ref="K15:O15" si="20">I15*$G15</f>
        <v>17.16</v>
      </c>
      <c r="L15" s="14">
        <v>55</v>
      </c>
      <c r="M15" s="14">
        <v>2.3</v>
      </c>
      <c r="N15" s="14">
        <f t="shared" si="9"/>
        <v>71</v>
      </c>
      <c r="O15" s="14">
        <f t="shared" si="20"/>
        <v>2.99</v>
      </c>
      <c r="P15" s="14">
        <v>30</v>
      </c>
      <c r="Q15" s="14">
        <v>1.2</v>
      </c>
      <c r="R15" s="14">
        <f t="shared" si="1"/>
        <v>39</v>
      </c>
      <c r="S15" s="14">
        <f t="shared" si="2"/>
        <v>1.56</v>
      </c>
      <c r="T15" s="14">
        <v>64</v>
      </c>
      <c r="U15" s="14">
        <v>2.3</v>
      </c>
      <c r="V15" s="14">
        <f t="shared" si="3"/>
        <v>83</v>
      </c>
      <c r="W15" s="14">
        <f t="shared" si="4"/>
        <v>2.99</v>
      </c>
      <c r="X15" s="14">
        <v>45</v>
      </c>
      <c r="Y15" s="14">
        <v>2</v>
      </c>
      <c r="Z15" s="14">
        <f t="shared" si="5"/>
        <v>58</v>
      </c>
      <c r="AA15" s="14">
        <f t="shared" si="6"/>
        <v>2.6</v>
      </c>
    </row>
    <row r="16" ht="16.5" spans="1:27">
      <c r="A16" s="14">
        <v>28001</v>
      </c>
      <c r="B16" s="14" t="s">
        <v>177</v>
      </c>
      <c r="C16" s="14">
        <v>1</v>
      </c>
      <c r="D16" s="14" t="s">
        <v>178</v>
      </c>
      <c r="E16" s="14" t="s">
        <v>106</v>
      </c>
      <c r="F16" s="14" t="s">
        <v>106</v>
      </c>
      <c r="G16" s="14">
        <f t="shared" si="15"/>
        <v>1.3</v>
      </c>
      <c r="H16" s="14">
        <v>623</v>
      </c>
      <c r="I16" s="14">
        <v>19.8</v>
      </c>
      <c r="J16" s="14">
        <f t="shared" si="7"/>
        <v>809.9</v>
      </c>
      <c r="K16" s="14">
        <f t="shared" ref="K16:O16" si="21">I16*$G16</f>
        <v>25.74</v>
      </c>
      <c r="L16" s="14">
        <v>76</v>
      </c>
      <c r="M16" s="14">
        <v>2.1</v>
      </c>
      <c r="N16" s="14">
        <f t="shared" si="9"/>
        <v>98</v>
      </c>
      <c r="O16" s="14">
        <f t="shared" si="21"/>
        <v>2.73</v>
      </c>
      <c r="P16" s="14">
        <v>33</v>
      </c>
      <c r="Q16" s="14">
        <v>1.3</v>
      </c>
      <c r="R16" s="14">
        <f t="shared" si="1"/>
        <v>42</v>
      </c>
      <c r="S16" s="14">
        <f t="shared" si="2"/>
        <v>1.69</v>
      </c>
      <c r="T16" s="14">
        <v>38</v>
      </c>
      <c r="U16" s="14">
        <v>1.1</v>
      </c>
      <c r="V16" s="14">
        <f t="shared" si="3"/>
        <v>49</v>
      </c>
      <c r="W16" s="14">
        <f t="shared" si="4"/>
        <v>1.43</v>
      </c>
      <c r="X16" s="14">
        <v>18</v>
      </c>
      <c r="Y16" s="14">
        <v>1.1</v>
      </c>
      <c r="Z16" s="14">
        <f t="shared" si="5"/>
        <v>23</v>
      </c>
      <c r="AA16" s="14">
        <f t="shared" si="6"/>
        <v>1.43</v>
      </c>
    </row>
    <row r="17" ht="16.5" spans="1:27">
      <c r="A17" s="14">
        <v>31001</v>
      </c>
      <c r="B17" s="14" t="s">
        <v>183</v>
      </c>
      <c r="C17" s="14">
        <v>1</v>
      </c>
      <c r="D17" s="14" t="s">
        <v>98</v>
      </c>
      <c r="E17" s="14" t="s">
        <v>114</v>
      </c>
      <c r="F17" s="14" t="s">
        <v>114</v>
      </c>
      <c r="G17" s="14">
        <v>1.5</v>
      </c>
      <c r="H17" s="14">
        <v>690</v>
      </c>
      <c r="I17" s="14">
        <v>19.8</v>
      </c>
      <c r="J17" s="14">
        <f t="shared" si="7"/>
        <v>1035</v>
      </c>
      <c r="K17" s="14">
        <f t="shared" ref="K17:O17" si="22">I17*$G17</f>
        <v>29.7</v>
      </c>
      <c r="L17" s="14">
        <v>80</v>
      </c>
      <c r="M17" s="14">
        <v>2.5</v>
      </c>
      <c r="N17" s="14">
        <f t="shared" si="9"/>
        <v>120</v>
      </c>
      <c r="O17" s="14">
        <f t="shared" si="22"/>
        <v>3.75</v>
      </c>
      <c r="P17" s="14">
        <v>46</v>
      </c>
      <c r="Q17" s="14">
        <v>1.7</v>
      </c>
      <c r="R17" s="14">
        <f t="shared" si="1"/>
        <v>69</v>
      </c>
      <c r="S17" s="14">
        <f t="shared" si="2"/>
        <v>2.55</v>
      </c>
      <c r="T17" s="14">
        <v>47</v>
      </c>
      <c r="U17" s="14">
        <v>1.4</v>
      </c>
      <c r="V17" s="14">
        <f t="shared" si="3"/>
        <v>70</v>
      </c>
      <c r="W17" s="14">
        <f t="shared" si="4"/>
        <v>2.1</v>
      </c>
      <c r="X17" s="14">
        <v>32</v>
      </c>
      <c r="Y17" s="14">
        <v>1.6</v>
      </c>
      <c r="Z17" s="14">
        <f t="shared" si="5"/>
        <v>48</v>
      </c>
      <c r="AA17" s="14">
        <f t="shared" si="6"/>
        <v>2.4</v>
      </c>
    </row>
    <row r="18" ht="16.5" spans="1:27">
      <c r="A18" s="14">
        <v>32001</v>
      </c>
      <c r="B18" s="14" t="s">
        <v>190</v>
      </c>
      <c r="C18" s="14">
        <v>1</v>
      </c>
      <c r="D18" s="14" t="s">
        <v>114</v>
      </c>
      <c r="E18" s="14" t="s">
        <v>114</v>
      </c>
      <c r="F18" s="14" t="s">
        <v>114</v>
      </c>
      <c r="G18" s="14">
        <v>1.5</v>
      </c>
      <c r="H18" s="14">
        <v>606</v>
      </c>
      <c r="I18" s="14">
        <v>10.8</v>
      </c>
      <c r="J18" s="14">
        <f t="shared" si="7"/>
        <v>909</v>
      </c>
      <c r="K18" s="14">
        <f t="shared" ref="K18:O18" si="23">I18*$G18</f>
        <v>16.2</v>
      </c>
      <c r="L18" s="14">
        <v>64</v>
      </c>
      <c r="M18" s="14">
        <v>2.5</v>
      </c>
      <c r="N18" s="14">
        <f t="shared" si="9"/>
        <v>96</v>
      </c>
      <c r="O18" s="14">
        <f t="shared" si="23"/>
        <v>3.75</v>
      </c>
      <c r="P18" s="14">
        <v>28</v>
      </c>
      <c r="Q18" s="14">
        <v>1.3</v>
      </c>
      <c r="R18" s="14">
        <f t="shared" si="1"/>
        <v>42</v>
      </c>
      <c r="S18" s="14">
        <f t="shared" si="2"/>
        <v>1.95</v>
      </c>
      <c r="T18" s="14">
        <v>41</v>
      </c>
      <c r="U18" s="14">
        <v>1.6</v>
      </c>
      <c r="V18" s="14">
        <f t="shared" si="3"/>
        <v>61</v>
      </c>
      <c r="W18" s="14">
        <f t="shared" si="4"/>
        <v>2.4</v>
      </c>
      <c r="X18" s="14">
        <v>31</v>
      </c>
      <c r="Y18" s="14">
        <v>1.7</v>
      </c>
      <c r="Z18" s="14">
        <f t="shared" si="5"/>
        <v>46</v>
      </c>
      <c r="AA18" s="14">
        <f t="shared" si="6"/>
        <v>2.55</v>
      </c>
    </row>
    <row r="19" ht="16.5" spans="1:27">
      <c r="A19" s="14">
        <v>34001</v>
      </c>
      <c r="B19" s="14" t="s">
        <v>196</v>
      </c>
      <c r="C19" s="14">
        <v>1</v>
      </c>
      <c r="D19" s="14" t="s">
        <v>121</v>
      </c>
      <c r="E19" s="14" t="s">
        <v>114</v>
      </c>
      <c r="F19" s="14" t="s">
        <v>114</v>
      </c>
      <c r="G19" s="14">
        <v>1.5</v>
      </c>
      <c r="H19" s="14">
        <v>654</v>
      </c>
      <c r="I19" s="14">
        <v>17.9</v>
      </c>
      <c r="J19" s="14">
        <f t="shared" si="7"/>
        <v>981</v>
      </c>
      <c r="K19" s="14">
        <f t="shared" ref="K19:O19" si="24">I19*$G19</f>
        <v>26.85</v>
      </c>
      <c r="L19" s="14">
        <v>78</v>
      </c>
      <c r="M19" s="14">
        <v>2.6</v>
      </c>
      <c r="N19" s="14">
        <f t="shared" si="9"/>
        <v>117</v>
      </c>
      <c r="O19" s="14">
        <f t="shared" si="24"/>
        <v>3.9</v>
      </c>
      <c r="P19" s="14">
        <v>40</v>
      </c>
      <c r="Q19" s="14">
        <v>1.6</v>
      </c>
      <c r="R19" s="14">
        <f t="shared" si="1"/>
        <v>60</v>
      </c>
      <c r="S19" s="14">
        <f t="shared" si="2"/>
        <v>2.4</v>
      </c>
      <c r="T19" s="14">
        <v>50</v>
      </c>
      <c r="U19" s="14">
        <v>1.6</v>
      </c>
      <c r="V19" s="14">
        <f t="shared" si="3"/>
        <v>75</v>
      </c>
      <c r="W19" s="14">
        <f t="shared" si="4"/>
        <v>2.4</v>
      </c>
      <c r="X19" s="14">
        <v>35</v>
      </c>
      <c r="Y19" s="14">
        <v>1.8</v>
      </c>
      <c r="Z19" s="14">
        <f t="shared" si="5"/>
        <v>52</v>
      </c>
      <c r="AA19" s="14">
        <f t="shared" si="6"/>
        <v>2.7</v>
      </c>
    </row>
    <row r="20" ht="16.5" spans="1:27">
      <c r="A20" s="14">
        <v>35001</v>
      </c>
      <c r="B20" s="14" t="s">
        <v>202</v>
      </c>
      <c r="C20" s="14">
        <v>2</v>
      </c>
      <c r="D20" s="14" t="s">
        <v>128</v>
      </c>
      <c r="E20" s="14" t="s">
        <v>114</v>
      </c>
      <c r="F20" s="14" t="s">
        <v>114</v>
      </c>
      <c r="G20" s="14">
        <v>1.5</v>
      </c>
      <c r="H20" s="14">
        <v>570</v>
      </c>
      <c r="I20" s="14">
        <v>14.5</v>
      </c>
      <c r="J20" s="14">
        <f t="shared" si="7"/>
        <v>855</v>
      </c>
      <c r="K20" s="14">
        <f t="shared" ref="K20:O20" si="25">I20*$G20</f>
        <v>21.75</v>
      </c>
      <c r="L20" s="14">
        <v>51</v>
      </c>
      <c r="M20" s="14">
        <v>2.8</v>
      </c>
      <c r="N20" s="14">
        <f t="shared" si="9"/>
        <v>76</v>
      </c>
      <c r="O20" s="14">
        <f t="shared" si="25"/>
        <v>4.2</v>
      </c>
      <c r="P20" s="14">
        <v>33</v>
      </c>
      <c r="Q20" s="14">
        <v>1.3</v>
      </c>
      <c r="R20" s="14">
        <f t="shared" si="1"/>
        <v>49</v>
      </c>
      <c r="S20" s="14">
        <f t="shared" si="2"/>
        <v>1.95</v>
      </c>
      <c r="T20" s="14">
        <v>77</v>
      </c>
      <c r="U20" s="14">
        <v>2.8</v>
      </c>
      <c r="V20" s="14">
        <f t="shared" si="3"/>
        <v>115</v>
      </c>
      <c r="W20" s="14">
        <f t="shared" si="4"/>
        <v>4.2</v>
      </c>
      <c r="X20" s="14">
        <v>37</v>
      </c>
      <c r="Y20" s="14">
        <v>2.2</v>
      </c>
      <c r="Z20" s="14">
        <f t="shared" si="5"/>
        <v>55</v>
      </c>
      <c r="AA20" s="14">
        <f t="shared" si="6"/>
        <v>3.3</v>
      </c>
    </row>
    <row r="21" ht="16.5" spans="1:27">
      <c r="A21" s="14">
        <v>36001</v>
      </c>
      <c r="B21" s="14" t="s">
        <v>208</v>
      </c>
      <c r="C21" s="14">
        <v>2</v>
      </c>
      <c r="D21" s="14" t="s">
        <v>135</v>
      </c>
      <c r="E21" s="14" t="s">
        <v>114</v>
      </c>
      <c r="F21" s="14" t="s">
        <v>114</v>
      </c>
      <c r="G21" s="14">
        <v>1.5</v>
      </c>
      <c r="H21" s="14">
        <v>630</v>
      </c>
      <c r="I21" s="14">
        <v>10.8</v>
      </c>
      <c r="J21" s="14">
        <f t="shared" si="7"/>
        <v>945</v>
      </c>
      <c r="K21" s="14">
        <f t="shared" ref="K21:O21" si="26">I21*$G21</f>
        <v>16.2</v>
      </c>
      <c r="L21" s="14">
        <v>54</v>
      </c>
      <c r="M21" s="14">
        <v>2.6</v>
      </c>
      <c r="N21" s="14">
        <f t="shared" si="9"/>
        <v>81</v>
      </c>
      <c r="O21" s="14">
        <f t="shared" si="26"/>
        <v>3.9</v>
      </c>
      <c r="P21" s="14">
        <v>28</v>
      </c>
      <c r="Q21" s="14">
        <v>1.4</v>
      </c>
      <c r="R21" s="14">
        <f t="shared" si="1"/>
        <v>42</v>
      </c>
      <c r="S21" s="14">
        <f t="shared" si="2"/>
        <v>2.1</v>
      </c>
      <c r="T21" s="14">
        <v>72</v>
      </c>
      <c r="U21" s="14">
        <v>2.6</v>
      </c>
      <c r="V21" s="14">
        <f t="shared" si="3"/>
        <v>108</v>
      </c>
      <c r="W21" s="14">
        <f t="shared" si="4"/>
        <v>3.9</v>
      </c>
      <c r="X21" s="14">
        <v>48</v>
      </c>
      <c r="Y21" s="14">
        <v>2.4</v>
      </c>
      <c r="Z21" s="14">
        <f t="shared" si="5"/>
        <v>72</v>
      </c>
      <c r="AA21" s="14">
        <f t="shared" si="6"/>
        <v>3.6</v>
      </c>
    </row>
    <row r="22" ht="16.5" spans="3:3">
      <c r="C22" s="15"/>
    </row>
    <row r="23" ht="16.5" spans="3:3">
      <c r="C23" s="15"/>
    </row>
    <row r="24" ht="16.5" spans="3:3">
      <c r="C24" s="15"/>
    </row>
    <row r="25" ht="16.5" spans="3:3">
      <c r="C25" s="15"/>
    </row>
    <row r="26" ht="16.5" spans="3:3">
      <c r="C26" s="15"/>
    </row>
    <row r="27" ht="16.5" spans="3:3">
      <c r="C27" s="15"/>
    </row>
    <row r="28" ht="16.5" spans="3:3">
      <c r="C28" s="15"/>
    </row>
    <row r="29" ht="16.5" spans="3:3">
      <c r="C29" s="15"/>
    </row>
    <row r="30" ht="16.5" spans="3:3">
      <c r="C30" s="15"/>
    </row>
    <row r="31" ht="16.5" spans="3:3">
      <c r="C31" s="15"/>
    </row>
    <row r="32" ht="16.5" spans="3:3">
      <c r="C32" s="15"/>
    </row>
    <row r="33" ht="16.5" spans="3:3">
      <c r="C33" s="15"/>
    </row>
    <row r="34" ht="16.5" spans="3:3">
      <c r="C34" s="15"/>
    </row>
    <row r="35" ht="16.5" spans="3:3">
      <c r="C35" s="15"/>
    </row>
    <row r="36" ht="16.5" spans="3:3">
      <c r="C36" s="15"/>
    </row>
    <row r="37" ht="16.5" spans="3:3">
      <c r="C37" s="15"/>
    </row>
    <row r="38" ht="16.5" spans="3:3">
      <c r="C38" s="15"/>
    </row>
    <row r="39" ht="16.5" spans="3:3">
      <c r="C39" s="15"/>
    </row>
    <row r="40" ht="16.5" spans="3:3">
      <c r="C40" s="15"/>
    </row>
    <row r="41" ht="16.5" spans="3:3">
      <c r="C41" s="15"/>
    </row>
    <row r="42" ht="16.5" spans="3:3">
      <c r="C42" s="15"/>
    </row>
    <row r="43" ht="16.5" spans="3:3">
      <c r="C43" s="15"/>
    </row>
    <row r="44" ht="16.5" spans="3:3">
      <c r="C44" s="15"/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7"/>
  <sheetViews>
    <sheetView topLeftCell="A32" workbookViewId="0">
      <selection activeCell="L52" sqref="L52"/>
    </sheetView>
  </sheetViews>
  <sheetFormatPr defaultColWidth="9" defaultRowHeight="13.5"/>
  <cols>
    <col min="6" max="6" width="16.875" customWidth="1"/>
  </cols>
  <sheetData>
    <row r="1" s="2" customFormat="1" ht="42" customHeight="1" spans="1:26">
      <c r="A1" s="2" t="s">
        <v>50</v>
      </c>
      <c r="B1" s="2" t="s">
        <v>816</v>
      </c>
      <c r="C1" s="2" t="s">
        <v>51</v>
      </c>
      <c r="D1" s="4" t="s">
        <v>54</v>
      </c>
      <c r="E1" s="4"/>
      <c r="F1" s="4"/>
      <c r="G1" s="4" t="s">
        <v>817</v>
      </c>
      <c r="H1" s="4" t="s">
        <v>56</v>
      </c>
      <c r="I1" s="4" t="s">
        <v>818</v>
      </c>
      <c r="J1" s="4" t="s">
        <v>819</v>
      </c>
      <c r="K1" s="2" t="s">
        <v>62</v>
      </c>
      <c r="L1" s="2" t="s">
        <v>820</v>
      </c>
      <c r="M1" s="2" t="s">
        <v>64</v>
      </c>
      <c r="N1" s="2" t="s">
        <v>821</v>
      </c>
      <c r="O1" s="2" t="s">
        <v>66</v>
      </c>
      <c r="P1" s="2" t="s">
        <v>822</v>
      </c>
      <c r="Q1" s="2" t="s">
        <v>68</v>
      </c>
      <c r="R1" s="2" t="s">
        <v>823</v>
      </c>
      <c r="S1" s="2" t="s">
        <v>70</v>
      </c>
      <c r="T1" s="2" t="s">
        <v>824</v>
      </c>
      <c r="U1" s="2" t="s">
        <v>72</v>
      </c>
      <c r="V1" s="2" t="s">
        <v>72</v>
      </c>
      <c r="W1" s="2" t="s">
        <v>74</v>
      </c>
      <c r="X1" s="2" t="s">
        <v>75</v>
      </c>
      <c r="Y1" s="2" t="s">
        <v>76</v>
      </c>
      <c r="Z1" s="2" t="s">
        <v>77</v>
      </c>
    </row>
    <row r="2" s="3" customFormat="1" ht="15" customHeight="1" spans="1:26">
      <c r="A2" s="5">
        <f>100000*G2+H2*10000+1001</f>
        <v>111001</v>
      </c>
      <c r="B2" s="5" t="s">
        <v>214</v>
      </c>
      <c r="C2" s="5" t="s">
        <v>214</v>
      </c>
      <c r="D2" s="5">
        <v>70</v>
      </c>
      <c r="E2" s="5"/>
      <c r="F2" s="5" t="str">
        <f>"1:"&amp;D2&amp;IF(E2="","",",2:"&amp;E2)</f>
        <v>1:70</v>
      </c>
      <c r="G2" s="5">
        <v>1</v>
      </c>
      <c r="H2" s="5">
        <v>1</v>
      </c>
      <c r="I2" s="5">
        <f t="shared" ref="I2:I63" si="0">1+D2/1000</f>
        <v>1.07</v>
      </c>
      <c r="J2" s="5">
        <f t="shared" ref="J2:J63" si="1">D2/80</f>
        <v>0.875</v>
      </c>
      <c r="K2" s="5">
        <v>276</v>
      </c>
      <c r="L2" s="5">
        <f t="shared" ref="L2:L63" si="2">INT(K2*J2)+INT(K2*0.2*H2)</f>
        <v>296</v>
      </c>
      <c r="M2" s="5">
        <v>67</v>
      </c>
      <c r="N2" s="5">
        <f t="shared" ref="N2:N63" si="3">INT(M2*$I2)+INT(M2*0.15*H2)</f>
        <v>81</v>
      </c>
      <c r="O2" s="5">
        <v>32</v>
      </c>
      <c r="P2" s="5">
        <f t="shared" ref="P2:P63" si="4">INT(O2*$I2)+INT(O2*0.1*H2)</f>
        <v>37</v>
      </c>
      <c r="Q2" s="5">
        <v>50</v>
      </c>
      <c r="R2" s="5">
        <f t="shared" ref="R2:R63" si="5">INT(Q2*$I2)+INT(Q2*0.15*H2)</f>
        <v>60</v>
      </c>
      <c r="S2" s="5">
        <f t="shared" ref="S2:S7" si="6">INT(O2*0.88)</f>
        <v>28</v>
      </c>
      <c r="T2" s="5">
        <f t="shared" ref="T2:T63" si="7">INT(S2*$I2)+INT(S2*0.1*H2)</f>
        <v>31</v>
      </c>
      <c r="U2" s="5">
        <v>10</v>
      </c>
      <c r="V2" s="5">
        <f t="shared" ref="V2:V63" si="8">INT(U2*$I2)</f>
        <v>10</v>
      </c>
      <c r="W2" s="5">
        <v>100</v>
      </c>
      <c r="X2" s="7">
        <f t="shared" ref="X2:X63" si="9">MIN(W2+400,1100)</f>
        <v>500</v>
      </c>
      <c r="Y2" s="5">
        <v>300</v>
      </c>
      <c r="Z2" s="5">
        <v>8</v>
      </c>
    </row>
    <row r="3" s="3" customFormat="1" ht="16.5" spans="1:26">
      <c r="A3" s="5">
        <f t="shared" ref="A3:A22" si="10">IF((100000*G3+H3*10000+1001)=A2,(100000*G3+H3*10000+1001)+1,(100000*G3+H3*10000+1001))</f>
        <v>111002</v>
      </c>
      <c r="B3" s="5" t="s">
        <v>220</v>
      </c>
      <c r="C3" s="5" t="s">
        <v>220</v>
      </c>
      <c r="D3" s="5">
        <v>80</v>
      </c>
      <c r="E3" s="5"/>
      <c r="F3" s="5" t="str">
        <f t="shared" ref="F3:F34" si="11">"1:"&amp;D3&amp;IF(E3="","",",2:"&amp;E3)</f>
        <v>1:80</v>
      </c>
      <c r="G3" s="5">
        <v>1</v>
      </c>
      <c r="H3" s="5">
        <v>1</v>
      </c>
      <c r="I3" s="5">
        <f t="shared" si="0"/>
        <v>1.08</v>
      </c>
      <c r="J3" s="5">
        <f t="shared" si="1"/>
        <v>1</v>
      </c>
      <c r="K3" s="5">
        <v>290</v>
      </c>
      <c r="L3" s="5">
        <f t="shared" si="2"/>
        <v>348</v>
      </c>
      <c r="M3" s="5">
        <v>63</v>
      </c>
      <c r="N3" s="5">
        <f t="shared" si="3"/>
        <v>77</v>
      </c>
      <c r="O3" s="5">
        <v>54</v>
      </c>
      <c r="P3" s="5">
        <f t="shared" si="4"/>
        <v>63</v>
      </c>
      <c r="Q3" s="5">
        <v>50</v>
      </c>
      <c r="R3" s="5">
        <f t="shared" si="5"/>
        <v>61</v>
      </c>
      <c r="S3" s="5">
        <f t="shared" si="6"/>
        <v>47</v>
      </c>
      <c r="T3" s="5">
        <f t="shared" si="7"/>
        <v>54</v>
      </c>
      <c r="U3" s="5">
        <v>10</v>
      </c>
      <c r="V3" s="5">
        <f t="shared" si="8"/>
        <v>10</v>
      </c>
      <c r="W3" s="5">
        <v>100</v>
      </c>
      <c r="X3" s="7">
        <f t="shared" si="9"/>
        <v>500</v>
      </c>
      <c r="Y3" s="5">
        <v>300</v>
      </c>
      <c r="Z3" s="5">
        <v>8</v>
      </c>
    </row>
    <row r="4" s="3" customFormat="1" ht="16.5" spans="1:26">
      <c r="A4" s="5">
        <f t="shared" si="10"/>
        <v>121001</v>
      </c>
      <c r="B4" s="5" t="s">
        <v>225</v>
      </c>
      <c r="C4" s="5" t="s">
        <v>225</v>
      </c>
      <c r="D4" s="5">
        <v>120</v>
      </c>
      <c r="E4" s="5"/>
      <c r="F4" s="5" t="str">
        <f t="shared" si="11"/>
        <v>1:120</v>
      </c>
      <c r="G4" s="5">
        <v>1</v>
      </c>
      <c r="H4" s="5">
        <v>2</v>
      </c>
      <c r="I4" s="5">
        <f t="shared" si="0"/>
        <v>1.12</v>
      </c>
      <c r="J4" s="5">
        <f t="shared" si="1"/>
        <v>1.5</v>
      </c>
      <c r="K4" s="5">
        <v>356</v>
      </c>
      <c r="L4" s="5">
        <f t="shared" si="2"/>
        <v>676</v>
      </c>
      <c r="M4" s="5">
        <v>72</v>
      </c>
      <c r="N4" s="5">
        <f t="shared" si="3"/>
        <v>101</v>
      </c>
      <c r="O4" s="5">
        <v>56</v>
      </c>
      <c r="P4" s="5">
        <f t="shared" si="4"/>
        <v>73</v>
      </c>
      <c r="Q4" s="5">
        <v>60</v>
      </c>
      <c r="R4" s="5">
        <f t="shared" si="5"/>
        <v>85</v>
      </c>
      <c r="S4" s="5">
        <f t="shared" si="6"/>
        <v>49</v>
      </c>
      <c r="T4" s="5">
        <f t="shared" si="7"/>
        <v>63</v>
      </c>
      <c r="U4" s="5">
        <v>10</v>
      </c>
      <c r="V4" s="5">
        <f t="shared" si="8"/>
        <v>11</v>
      </c>
      <c r="W4" s="5">
        <v>100</v>
      </c>
      <c r="X4" s="7">
        <f t="shared" si="9"/>
        <v>500</v>
      </c>
      <c r="Y4" s="5">
        <v>300</v>
      </c>
      <c r="Z4" s="5">
        <v>8</v>
      </c>
    </row>
    <row r="5" s="3" customFormat="1" ht="16.5" spans="1:26">
      <c r="A5" s="5">
        <f t="shared" si="10"/>
        <v>131001</v>
      </c>
      <c r="B5" s="5" t="s">
        <v>230</v>
      </c>
      <c r="C5" s="5" t="s">
        <v>230</v>
      </c>
      <c r="D5" s="5">
        <v>130</v>
      </c>
      <c r="E5" s="5">
        <f t="shared" ref="E5:E10" si="12">D5-80+(H5*10)</f>
        <v>80</v>
      </c>
      <c r="F5" s="5" t="str">
        <f t="shared" si="11"/>
        <v>1:130,2:80</v>
      </c>
      <c r="G5" s="5">
        <v>1</v>
      </c>
      <c r="H5" s="5">
        <v>3</v>
      </c>
      <c r="I5" s="5">
        <f t="shared" si="0"/>
        <v>1.13</v>
      </c>
      <c r="J5" s="5">
        <f t="shared" si="1"/>
        <v>1.625</v>
      </c>
      <c r="K5" s="5">
        <v>372</v>
      </c>
      <c r="L5" s="5">
        <f t="shared" si="2"/>
        <v>827</v>
      </c>
      <c r="M5" s="5">
        <v>80</v>
      </c>
      <c r="N5" s="5">
        <f t="shared" si="3"/>
        <v>126</v>
      </c>
      <c r="O5" s="5">
        <v>64</v>
      </c>
      <c r="P5" s="5">
        <f t="shared" si="4"/>
        <v>91</v>
      </c>
      <c r="Q5" s="5">
        <v>65</v>
      </c>
      <c r="R5" s="5">
        <f t="shared" si="5"/>
        <v>102</v>
      </c>
      <c r="S5" s="5">
        <f t="shared" si="6"/>
        <v>56</v>
      </c>
      <c r="T5" s="5">
        <f t="shared" si="7"/>
        <v>79</v>
      </c>
      <c r="U5" s="5">
        <v>10</v>
      </c>
      <c r="V5" s="5">
        <f t="shared" si="8"/>
        <v>11</v>
      </c>
      <c r="W5" s="5">
        <v>100</v>
      </c>
      <c r="X5" s="7">
        <f t="shared" si="9"/>
        <v>500</v>
      </c>
      <c r="Y5" s="5">
        <v>300</v>
      </c>
      <c r="Z5" s="5">
        <v>8</v>
      </c>
    </row>
    <row r="6" s="3" customFormat="1" ht="16.5" spans="1:26">
      <c r="A6" s="5">
        <f t="shared" si="10"/>
        <v>141001</v>
      </c>
      <c r="B6" s="5" t="s">
        <v>234</v>
      </c>
      <c r="C6" s="5" t="s">
        <v>234</v>
      </c>
      <c r="D6" s="5">
        <v>160</v>
      </c>
      <c r="E6" s="5">
        <f t="shared" si="12"/>
        <v>120</v>
      </c>
      <c r="F6" s="5" t="str">
        <f t="shared" si="11"/>
        <v>1:160,2:120</v>
      </c>
      <c r="G6" s="5">
        <v>1</v>
      </c>
      <c r="H6" s="5">
        <v>4</v>
      </c>
      <c r="I6" s="5">
        <f t="shared" si="0"/>
        <v>1.16</v>
      </c>
      <c r="J6" s="5">
        <f t="shared" si="1"/>
        <v>2</v>
      </c>
      <c r="K6" s="5">
        <v>418</v>
      </c>
      <c r="L6" s="5">
        <f t="shared" si="2"/>
        <v>1170</v>
      </c>
      <c r="M6" s="5">
        <v>100</v>
      </c>
      <c r="N6" s="5">
        <f t="shared" si="3"/>
        <v>176</v>
      </c>
      <c r="O6" s="5">
        <v>72</v>
      </c>
      <c r="P6" s="5">
        <f t="shared" si="4"/>
        <v>111</v>
      </c>
      <c r="Q6" s="5">
        <v>70</v>
      </c>
      <c r="R6" s="5">
        <f t="shared" si="5"/>
        <v>123</v>
      </c>
      <c r="S6" s="5">
        <f t="shared" si="6"/>
        <v>63</v>
      </c>
      <c r="T6" s="5">
        <f t="shared" si="7"/>
        <v>98</v>
      </c>
      <c r="U6" s="5">
        <v>10</v>
      </c>
      <c r="V6" s="5">
        <f t="shared" si="8"/>
        <v>11</v>
      </c>
      <c r="W6" s="5">
        <v>100</v>
      </c>
      <c r="X6" s="7">
        <f t="shared" si="9"/>
        <v>500</v>
      </c>
      <c r="Y6" s="5">
        <v>300</v>
      </c>
      <c r="Z6" s="5">
        <v>8</v>
      </c>
    </row>
    <row r="7" s="3" customFormat="1" ht="16.5" spans="1:26">
      <c r="A7" s="5">
        <f t="shared" si="10"/>
        <v>141002</v>
      </c>
      <c r="B7" s="5" t="s">
        <v>239</v>
      </c>
      <c r="C7" s="5" t="s">
        <v>239</v>
      </c>
      <c r="D7" s="5">
        <v>150</v>
      </c>
      <c r="E7" s="5">
        <f t="shared" si="12"/>
        <v>110</v>
      </c>
      <c r="F7" s="5" t="str">
        <f t="shared" si="11"/>
        <v>1:150,2:110</v>
      </c>
      <c r="G7" s="5">
        <v>1</v>
      </c>
      <c r="H7" s="5">
        <v>4</v>
      </c>
      <c r="I7" s="5">
        <f t="shared" si="0"/>
        <v>1.15</v>
      </c>
      <c r="J7" s="5">
        <f t="shared" si="1"/>
        <v>1.875</v>
      </c>
      <c r="K7" s="5">
        <v>432</v>
      </c>
      <c r="L7" s="5">
        <f t="shared" si="2"/>
        <v>1155</v>
      </c>
      <c r="M7" s="5">
        <v>95</v>
      </c>
      <c r="N7" s="5">
        <f t="shared" si="3"/>
        <v>166</v>
      </c>
      <c r="O7" s="5">
        <v>77</v>
      </c>
      <c r="P7" s="5">
        <f t="shared" si="4"/>
        <v>118</v>
      </c>
      <c r="Q7" s="5">
        <v>72</v>
      </c>
      <c r="R7" s="5">
        <f t="shared" si="5"/>
        <v>125</v>
      </c>
      <c r="S7" s="5">
        <f t="shared" si="6"/>
        <v>67</v>
      </c>
      <c r="T7" s="5">
        <f t="shared" si="7"/>
        <v>103</v>
      </c>
      <c r="U7" s="5">
        <v>10</v>
      </c>
      <c r="V7" s="5">
        <f t="shared" si="8"/>
        <v>11</v>
      </c>
      <c r="W7" s="5">
        <v>100</v>
      </c>
      <c r="X7" s="7">
        <f t="shared" si="9"/>
        <v>500</v>
      </c>
      <c r="Y7" s="5">
        <v>300</v>
      </c>
      <c r="Z7" s="5">
        <v>8</v>
      </c>
    </row>
    <row r="8" s="3" customFormat="1" ht="16.5" spans="1:26">
      <c r="A8" s="5">
        <f t="shared" si="10"/>
        <v>151001</v>
      </c>
      <c r="B8" s="5" t="s">
        <v>244</v>
      </c>
      <c r="C8" s="5" t="s">
        <v>825</v>
      </c>
      <c r="D8" s="5">
        <v>180</v>
      </c>
      <c r="E8" s="5">
        <f t="shared" si="12"/>
        <v>150</v>
      </c>
      <c r="F8" s="5" t="str">
        <f t="shared" si="11"/>
        <v>1:180,2:150</v>
      </c>
      <c r="G8" s="5">
        <v>1</v>
      </c>
      <c r="H8" s="5">
        <v>5</v>
      </c>
      <c r="I8" s="5">
        <f t="shared" si="0"/>
        <v>1.18</v>
      </c>
      <c r="J8" s="5">
        <f t="shared" si="1"/>
        <v>2.25</v>
      </c>
      <c r="K8" s="5">
        <v>438</v>
      </c>
      <c r="L8" s="5">
        <f t="shared" si="2"/>
        <v>1423</v>
      </c>
      <c r="M8" s="5">
        <v>128</v>
      </c>
      <c r="N8" s="5">
        <f t="shared" si="3"/>
        <v>247</v>
      </c>
      <c r="O8" s="5">
        <v>78</v>
      </c>
      <c r="P8" s="5">
        <f t="shared" si="4"/>
        <v>131</v>
      </c>
      <c r="Q8" s="5">
        <v>75</v>
      </c>
      <c r="R8" s="5">
        <f t="shared" si="5"/>
        <v>144</v>
      </c>
      <c r="S8" s="5">
        <f>INT(O8*1.1)</f>
        <v>85</v>
      </c>
      <c r="T8" s="5">
        <f t="shared" si="7"/>
        <v>142</v>
      </c>
      <c r="U8" s="5">
        <v>10</v>
      </c>
      <c r="V8" s="5">
        <f t="shared" si="8"/>
        <v>11</v>
      </c>
      <c r="W8" s="5">
        <v>100</v>
      </c>
      <c r="X8" s="7">
        <f t="shared" si="9"/>
        <v>500</v>
      </c>
      <c r="Y8" s="5">
        <v>300</v>
      </c>
      <c r="Z8" s="5">
        <v>8</v>
      </c>
    </row>
    <row r="9" s="3" customFormat="1" ht="16.5" spans="1:26">
      <c r="A9" s="5">
        <f t="shared" si="10"/>
        <v>161001</v>
      </c>
      <c r="B9" s="5" t="s">
        <v>249</v>
      </c>
      <c r="C9" s="5" t="s">
        <v>249</v>
      </c>
      <c r="D9" s="5">
        <v>250</v>
      </c>
      <c r="E9" s="5">
        <f t="shared" si="12"/>
        <v>230</v>
      </c>
      <c r="F9" s="5" t="str">
        <f t="shared" si="11"/>
        <v>1:250,2:230</v>
      </c>
      <c r="G9" s="5">
        <v>1</v>
      </c>
      <c r="H9" s="5">
        <v>6</v>
      </c>
      <c r="I9" s="5">
        <f t="shared" si="0"/>
        <v>1.25</v>
      </c>
      <c r="J9" s="5">
        <f t="shared" si="1"/>
        <v>3.125</v>
      </c>
      <c r="K9" s="5">
        <v>450</v>
      </c>
      <c r="L9" s="5">
        <f t="shared" si="2"/>
        <v>1946</v>
      </c>
      <c r="M9" s="5">
        <v>138</v>
      </c>
      <c r="N9" s="5">
        <f t="shared" si="3"/>
        <v>296</v>
      </c>
      <c r="O9" s="5">
        <v>82</v>
      </c>
      <c r="P9" s="5">
        <f t="shared" si="4"/>
        <v>151</v>
      </c>
      <c r="Q9" s="5">
        <v>80</v>
      </c>
      <c r="R9" s="5">
        <f t="shared" si="5"/>
        <v>172</v>
      </c>
      <c r="S9" s="5">
        <f t="shared" ref="S9:S16" si="13">INT(O9*0.88)</f>
        <v>72</v>
      </c>
      <c r="T9" s="5">
        <f t="shared" si="7"/>
        <v>133</v>
      </c>
      <c r="U9" s="5">
        <v>10</v>
      </c>
      <c r="V9" s="5">
        <f t="shared" si="8"/>
        <v>12</v>
      </c>
      <c r="W9" s="5">
        <v>100</v>
      </c>
      <c r="X9" s="7">
        <f t="shared" si="9"/>
        <v>500</v>
      </c>
      <c r="Y9" s="5">
        <v>300</v>
      </c>
      <c r="Z9" s="5">
        <v>8</v>
      </c>
    </row>
    <row r="10" s="3" customFormat="1" ht="16.5" spans="1:26">
      <c r="A10" s="5">
        <f t="shared" si="10"/>
        <v>161002</v>
      </c>
      <c r="B10" s="5" t="s">
        <v>254</v>
      </c>
      <c r="C10" s="5" t="s">
        <v>254</v>
      </c>
      <c r="D10" s="1" t="s">
        <v>826</v>
      </c>
      <c r="E10" s="5">
        <f t="shared" si="12"/>
        <v>380</v>
      </c>
      <c r="F10" s="5" t="str">
        <f t="shared" si="11"/>
        <v>1:400,2:380</v>
      </c>
      <c r="G10" s="5">
        <v>1</v>
      </c>
      <c r="H10" s="6">
        <v>6</v>
      </c>
      <c r="I10" s="5">
        <f t="shared" si="0"/>
        <v>1.4</v>
      </c>
      <c r="J10" s="5">
        <f t="shared" si="1"/>
        <v>5</v>
      </c>
      <c r="K10" s="5">
        <v>500</v>
      </c>
      <c r="L10" s="5">
        <f t="shared" si="2"/>
        <v>3100</v>
      </c>
      <c r="M10" s="5">
        <v>145</v>
      </c>
      <c r="N10" s="5">
        <f t="shared" si="3"/>
        <v>333</v>
      </c>
      <c r="O10" s="5">
        <v>80</v>
      </c>
      <c r="P10" s="5">
        <f t="shared" si="4"/>
        <v>160</v>
      </c>
      <c r="Q10" s="5">
        <v>80</v>
      </c>
      <c r="R10" s="5">
        <f t="shared" si="5"/>
        <v>184</v>
      </c>
      <c r="S10" s="5">
        <f>INT(O10*1.1)</f>
        <v>88</v>
      </c>
      <c r="T10" s="5">
        <f t="shared" si="7"/>
        <v>175</v>
      </c>
      <c r="U10" s="5">
        <v>10</v>
      </c>
      <c r="V10" s="5">
        <f t="shared" si="8"/>
        <v>14</v>
      </c>
      <c r="W10" s="5">
        <v>100</v>
      </c>
      <c r="X10" s="7">
        <f t="shared" si="9"/>
        <v>500</v>
      </c>
      <c r="Y10" s="5">
        <v>300</v>
      </c>
      <c r="Z10" s="5">
        <v>8</v>
      </c>
    </row>
    <row r="11" s="3" customFormat="1" ht="16.5" spans="1:26">
      <c r="A11" s="5">
        <f t="shared" si="10"/>
        <v>221001</v>
      </c>
      <c r="B11" s="6" t="s">
        <v>257</v>
      </c>
      <c r="C11" s="6" t="s">
        <v>257</v>
      </c>
      <c r="D11" s="5">
        <v>180</v>
      </c>
      <c r="E11" s="5"/>
      <c r="F11" s="5" t="str">
        <f t="shared" si="11"/>
        <v>1:180</v>
      </c>
      <c r="G11" s="6">
        <v>2</v>
      </c>
      <c r="H11" s="6">
        <v>2</v>
      </c>
      <c r="I11" s="5">
        <f t="shared" si="0"/>
        <v>1.18</v>
      </c>
      <c r="J11" s="5">
        <f t="shared" si="1"/>
        <v>2.25</v>
      </c>
      <c r="K11" s="5">
        <v>234</v>
      </c>
      <c r="L11" s="5">
        <f t="shared" si="2"/>
        <v>619</v>
      </c>
      <c r="M11" s="5">
        <v>70</v>
      </c>
      <c r="N11" s="5">
        <f t="shared" si="3"/>
        <v>103</v>
      </c>
      <c r="O11" s="5">
        <v>36</v>
      </c>
      <c r="P11" s="5">
        <f t="shared" si="4"/>
        <v>49</v>
      </c>
      <c r="Q11" s="5">
        <v>62</v>
      </c>
      <c r="R11" s="5">
        <f t="shared" si="5"/>
        <v>91</v>
      </c>
      <c r="S11" s="5">
        <f t="shared" si="13"/>
        <v>31</v>
      </c>
      <c r="T11" s="5">
        <f t="shared" si="7"/>
        <v>42</v>
      </c>
      <c r="U11" s="5">
        <v>10</v>
      </c>
      <c r="V11" s="5">
        <f t="shared" si="8"/>
        <v>11</v>
      </c>
      <c r="W11" s="5">
        <v>100</v>
      </c>
      <c r="X11" s="7">
        <f t="shared" si="9"/>
        <v>500</v>
      </c>
      <c r="Y11" s="5">
        <v>400</v>
      </c>
      <c r="Z11" s="5">
        <v>8</v>
      </c>
    </row>
    <row r="12" s="3" customFormat="1" ht="16.5" spans="1:26">
      <c r="A12" s="5">
        <f t="shared" si="10"/>
        <v>231001</v>
      </c>
      <c r="B12" s="6" t="s">
        <v>262</v>
      </c>
      <c r="C12" s="6" t="s">
        <v>262</v>
      </c>
      <c r="D12" s="5">
        <v>200</v>
      </c>
      <c r="E12" s="5">
        <f t="shared" ref="E12:E16" si="14">D12-80+(H12*10)</f>
        <v>150</v>
      </c>
      <c r="F12" s="5" t="str">
        <f t="shared" si="11"/>
        <v>1:200,2:150</v>
      </c>
      <c r="G12" s="6">
        <v>2</v>
      </c>
      <c r="H12" s="6">
        <v>3</v>
      </c>
      <c r="I12" s="5">
        <f t="shared" si="0"/>
        <v>1.2</v>
      </c>
      <c r="J12" s="5">
        <f t="shared" si="1"/>
        <v>2.5</v>
      </c>
      <c r="K12" s="5">
        <v>312</v>
      </c>
      <c r="L12" s="5">
        <f t="shared" si="2"/>
        <v>967</v>
      </c>
      <c r="M12" s="5">
        <v>80</v>
      </c>
      <c r="N12" s="5">
        <f t="shared" si="3"/>
        <v>132</v>
      </c>
      <c r="O12" s="5">
        <v>46</v>
      </c>
      <c r="P12" s="5">
        <f t="shared" si="4"/>
        <v>68</v>
      </c>
      <c r="Q12" s="5">
        <v>67</v>
      </c>
      <c r="R12" s="5">
        <f t="shared" si="5"/>
        <v>110</v>
      </c>
      <c r="S12" s="5">
        <f t="shared" si="13"/>
        <v>40</v>
      </c>
      <c r="T12" s="5">
        <f t="shared" si="7"/>
        <v>60</v>
      </c>
      <c r="U12" s="5">
        <v>10</v>
      </c>
      <c r="V12" s="5">
        <f t="shared" si="8"/>
        <v>12</v>
      </c>
      <c r="W12" s="5">
        <v>100</v>
      </c>
      <c r="X12" s="7">
        <f t="shared" si="9"/>
        <v>500</v>
      </c>
      <c r="Y12" s="5">
        <v>400</v>
      </c>
      <c r="Z12" s="5">
        <v>8</v>
      </c>
    </row>
    <row r="13" s="3" customFormat="1" ht="16.5" spans="1:26">
      <c r="A13" s="5">
        <f t="shared" si="10"/>
        <v>241001</v>
      </c>
      <c r="B13" s="6" t="s">
        <v>267</v>
      </c>
      <c r="C13" s="6" t="s">
        <v>267</v>
      </c>
      <c r="D13" s="5">
        <v>220</v>
      </c>
      <c r="E13" s="5">
        <f t="shared" si="14"/>
        <v>180</v>
      </c>
      <c r="F13" s="5" t="str">
        <f t="shared" si="11"/>
        <v>1:220,2:180</v>
      </c>
      <c r="G13" s="6">
        <v>2</v>
      </c>
      <c r="H13" s="6">
        <v>4</v>
      </c>
      <c r="I13" s="5">
        <f t="shared" si="0"/>
        <v>1.22</v>
      </c>
      <c r="J13" s="5">
        <f t="shared" si="1"/>
        <v>2.75</v>
      </c>
      <c r="K13" s="5">
        <v>392</v>
      </c>
      <c r="L13" s="5">
        <f t="shared" si="2"/>
        <v>1391</v>
      </c>
      <c r="M13" s="5">
        <v>104</v>
      </c>
      <c r="N13" s="5">
        <f t="shared" si="3"/>
        <v>188</v>
      </c>
      <c r="O13" s="5">
        <v>55</v>
      </c>
      <c r="P13" s="5">
        <f t="shared" si="4"/>
        <v>89</v>
      </c>
      <c r="Q13" s="5">
        <v>72</v>
      </c>
      <c r="R13" s="5">
        <f t="shared" si="5"/>
        <v>130</v>
      </c>
      <c r="S13" s="5">
        <f t="shared" si="13"/>
        <v>48</v>
      </c>
      <c r="T13" s="5">
        <f t="shared" si="7"/>
        <v>77</v>
      </c>
      <c r="U13" s="5">
        <v>10</v>
      </c>
      <c r="V13" s="5">
        <f t="shared" si="8"/>
        <v>12</v>
      </c>
      <c r="W13" s="5">
        <v>100</v>
      </c>
      <c r="X13" s="7">
        <f t="shared" si="9"/>
        <v>500</v>
      </c>
      <c r="Y13" s="5">
        <v>400</v>
      </c>
      <c r="Z13" s="5">
        <v>8</v>
      </c>
    </row>
    <row r="14" s="3" customFormat="1" ht="16.5" spans="1:26">
      <c r="A14" s="5">
        <f t="shared" si="10"/>
        <v>251001</v>
      </c>
      <c r="B14" s="6" t="s">
        <v>271</v>
      </c>
      <c r="C14" s="6" t="s">
        <v>271</v>
      </c>
      <c r="D14" s="5">
        <v>250</v>
      </c>
      <c r="E14" s="5">
        <f t="shared" si="14"/>
        <v>220</v>
      </c>
      <c r="F14" s="5" t="str">
        <f t="shared" si="11"/>
        <v>1:250,2:220</v>
      </c>
      <c r="G14" s="6">
        <v>2</v>
      </c>
      <c r="H14" s="6">
        <v>5</v>
      </c>
      <c r="I14" s="5">
        <f t="shared" si="0"/>
        <v>1.25</v>
      </c>
      <c r="J14" s="5">
        <f t="shared" si="1"/>
        <v>3.125</v>
      </c>
      <c r="K14" s="5">
        <v>420</v>
      </c>
      <c r="L14" s="5">
        <f t="shared" si="2"/>
        <v>1732</v>
      </c>
      <c r="M14" s="5">
        <v>115</v>
      </c>
      <c r="N14" s="5">
        <f t="shared" si="3"/>
        <v>229</v>
      </c>
      <c r="O14" s="5">
        <v>60</v>
      </c>
      <c r="P14" s="5">
        <f t="shared" si="4"/>
        <v>105</v>
      </c>
      <c r="Q14" s="5">
        <v>68</v>
      </c>
      <c r="R14" s="5">
        <f t="shared" si="5"/>
        <v>136</v>
      </c>
      <c r="S14" s="5">
        <f t="shared" si="13"/>
        <v>52</v>
      </c>
      <c r="T14" s="5">
        <f t="shared" si="7"/>
        <v>91</v>
      </c>
      <c r="U14" s="5">
        <v>10</v>
      </c>
      <c r="V14" s="5">
        <f t="shared" si="8"/>
        <v>12</v>
      </c>
      <c r="W14" s="5">
        <v>100</v>
      </c>
      <c r="X14" s="7">
        <f t="shared" si="9"/>
        <v>500</v>
      </c>
      <c r="Y14" s="5">
        <v>400</v>
      </c>
      <c r="Z14" s="5">
        <v>8</v>
      </c>
    </row>
    <row r="15" s="3" customFormat="1" ht="16.5" spans="1:26">
      <c r="A15" s="5">
        <f t="shared" si="10"/>
        <v>251002</v>
      </c>
      <c r="B15" s="6" t="s">
        <v>275</v>
      </c>
      <c r="C15" s="6" t="s">
        <v>275</v>
      </c>
      <c r="D15" s="5">
        <v>250</v>
      </c>
      <c r="E15" s="5">
        <f t="shared" si="14"/>
        <v>220</v>
      </c>
      <c r="F15" s="5" t="str">
        <f t="shared" si="11"/>
        <v>1:250,2:220</v>
      </c>
      <c r="G15" s="6">
        <v>2</v>
      </c>
      <c r="H15" s="6">
        <v>5</v>
      </c>
      <c r="I15" s="5">
        <f t="shared" si="0"/>
        <v>1.25</v>
      </c>
      <c r="J15" s="5">
        <f t="shared" si="1"/>
        <v>3.125</v>
      </c>
      <c r="K15" s="5">
        <v>410</v>
      </c>
      <c r="L15" s="5">
        <f t="shared" si="2"/>
        <v>1691</v>
      </c>
      <c r="M15" s="5">
        <v>120</v>
      </c>
      <c r="N15" s="5">
        <f t="shared" si="3"/>
        <v>240</v>
      </c>
      <c r="O15" s="5">
        <v>58</v>
      </c>
      <c r="P15" s="5">
        <f t="shared" si="4"/>
        <v>101</v>
      </c>
      <c r="Q15" s="5">
        <v>70</v>
      </c>
      <c r="R15" s="5">
        <f t="shared" si="5"/>
        <v>139</v>
      </c>
      <c r="S15" s="5">
        <f t="shared" si="13"/>
        <v>51</v>
      </c>
      <c r="T15" s="5">
        <f t="shared" si="7"/>
        <v>88</v>
      </c>
      <c r="U15" s="5">
        <v>10</v>
      </c>
      <c r="V15" s="5">
        <f t="shared" si="8"/>
        <v>12</v>
      </c>
      <c r="W15" s="5">
        <v>100</v>
      </c>
      <c r="X15" s="7">
        <f t="shared" si="9"/>
        <v>500</v>
      </c>
      <c r="Y15" s="5">
        <v>400</v>
      </c>
      <c r="Z15" s="5">
        <v>8</v>
      </c>
    </row>
    <row r="16" s="3" customFormat="1" ht="16.5" spans="1:26">
      <c r="A16" s="5">
        <f t="shared" si="10"/>
        <v>261001</v>
      </c>
      <c r="B16" s="6" t="s">
        <v>278</v>
      </c>
      <c r="C16" s="6" t="s">
        <v>278</v>
      </c>
      <c r="D16" s="5">
        <v>300</v>
      </c>
      <c r="E16" s="5">
        <f t="shared" si="14"/>
        <v>280</v>
      </c>
      <c r="F16" s="5" t="str">
        <f t="shared" si="11"/>
        <v>1:300,2:280</v>
      </c>
      <c r="G16" s="6">
        <v>2</v>
      </c>
      <c r="H16" s="6">
        <v>6</v>
      </c>
      <c r="I16" s="5">
        <f t="shared" si="0"/>
        <v>1.3</v>
      </c>
      <c r="J16" s="5">
        <f t="shared" si="1"/>
        <v>3.75</v>
      </c>
      <c r="K16" s="5">
        <v>442</v>
      </c>
      <c r="L16" s="5">
        <f t="shared" si="2"/>
        <v>2187</v>
      </c>
      <c r="M16" s="5">
        <v>130</v>
      </c>
      <c r="N16" s="5">
        <f t="shared" si="3"/>
        <v>286</v>
      </c>
      <c r="O16" s="5">
        <v>70</v>
      </c>
      <c r="P16" s="5">
        <f t="shared" si="4"/>
        <v>133</v>
      </c>
      <c r="Q16" s="5">
        <v>75</v>
      </c>
      <c r="R16" s="5">
        <f t="shared" si="5"/>
        <v>164</v>
      </c>
      <c r="S16" s="5">
        <f t="shared" si="13"/>
        <v>61</v>
      </c>
      <c r="T16" s="5">
        <f t="shared" si="7"/>
        <v>115</v>
      </c>
      <c r="U16" s="5">
        <v>10</v>
      </c>
      <c r="V16" s="5">
        <f t="shared" si="8"/>
        <v>13</v>
      </c>
      <c r="W16" s="5">
        <v>100</v>
      </c>
      <c r="X16" s="7">
        <f t="shared" si="9"/>
        <v>500</v>
      </c>
      <c r="Y16" s="5">
        <v>400</v>
      </c>
      <c r="Z16" s="5">
        <v>8</v>
      </c>
    </row>
    <row r="17" s="3" customFormat="1" ht="16.5" spans="1:26">
      <c r="A17" s="5">
        <f t="shared" si="10"/>
        <v>321001</v>
      </c>
      <c r="B17" s="6" t="s">
        <v>281</v>
      </c>
      <c r="C17" s="6" t="s">
        <v>281</v>
      </c>
      <c r="D17" s="5">
        <v>120</v>
      </c>
      <c r="E17" s="5"/>
      <c r="F17" s="5" t="str">
        <f t="shared" si="11"/>
        <v>1:120</v>
      </c>
      <c r="G17" s="6">
        <v>3</v>
      </c>
      <c r="H17" s="6">
        <v>2</v>
      </c>
      <c r="I17" s="5">
        <f t="shared" si="0"/>
        <v>1.12</v>
      </c>
      <c r="J17" s="5">
        <f t="shared" si="1"/>
        <v>1.5</v>
      </c>
      <c r="K17" s="5">
        <v>210</v>
      </c>
      <c r="L17" s="5">
        <f t="shared" si="2"/>
        <v>399</v>
      </c>
      <c r="M17" s="5">
        <v>62</v>
      </c>
      <c r="N17" s="5">
        <f t="shared" si="3"/>
        <v>87</v>
      </c>
      <c r="O17" s="5">
        <v>27</v>
      </c>
      <c r="P17" s="5">
        <f t="shared" si="4"/>
        <v>35</v>
      </c>
      <c r="Q17" s="5">
        <v>52</v>
      </c>
      <c r="R17" s="5">
        <f t="shared" si="5"/>
        <v>73</v>
      </c>
      <c r="S17" s="5">
        <f t="shared" ref="S17:S20" si="15">INT(O17*1.1)</f>
        <v>29</v>
      </c>
      <c r="T17" s="5">
        <f t="shared" si="7"/>
        <v>37</v>
      </c>
      <c r="U17" s="5">
        <v>10</v>
      </c>
      <c r="V17" s="5">
        <f t="shared" si="8"/>
        <v>11</v>
      </c>
      <c r="W17" s="5">
        <v>1000</v>
      </c>
      <c r="X17" s="7">
        <f t="shared" si="9"/>
        <v>1100</v>
      </c>
      <c r="Y17" s="5">
        <v>300</v>
      </c>
      <c r="Z17" s="5">
        <v>10</v>
      </c>
    </row>
    <row r="18" s="3" customFormat="1" ht="16.5" spans="1:26">
      <c r="A18" s="5">
        <f t="shared" si="10"/>
        <v>331001</v>
      </c>
      <c r="B18" s="6" t="s">
        <v>284</v>
      </c>
      <c r="C18" s="6" t="s">
        <v>284</v>
      </c>
      <c r="D18" s="5">
        <v>150</v>
      </c>
      <c r="E18" s="5">
        <f t="shared" ref="E18:E25" si="16">D18-80+(H18*10)</f>
        <v>100</v>
      </c>
      <c r="F18" s="5" t="str">
        <f t="shared" si="11"/>
        <v>1:150,2:100</v>
      </c>
      <c r="G18" s="6">
        <v>3</v>
      </c>
      <c r="H18" s="6">
        <v>3</v>
      </c>
      <c r="I18" s="5">
        <f t="shared" si="0"/>
        <v>1.15</v>
      </c>
      <c r="J18" s="5">
        <f t="shared" si="1"/>
        <v>1.875</v>
      </c>
      <c r="K18" s="5">
        <v>300</v>
      </c>
      <c r="L18" s="5">
        <f t="shared" si="2"/>
        <v>742</v>
      </c>
      <c r="M18" s="5">
        <v>80</v>
      </c>
      <c r="N18" s="5">
        <f t="shared" si="3"/>
        <v>128</v>
      </c>
      <c r="O18" s="5">
        <v>32</v>
      </c>
      <c r="P18" s="5">
        <f t="shared" si="4"/>
        <v>45</v>
      </c>
      <c r="Q18" s="5">
        <v>61</v>
      </c>
      <c r="R18" s="5">
        <f t="shared" si="5"/>
        <v>97</v>
      </c>
      <c r="S18" s="5">
        <f t="shared" si="15"/>
        <v>35</v>
      </c>
      <c r="T18" s="5">
        <f t="shared" si="7"/>
        <v>50</v>
      </c>
      <c r="U18" s="5">
        <v>10</v>
      </c>
      <c r="V18" s="5">
        <f t="shared" si="8"/>
        <v>11</v>
      </c>
      <c r="W18" s="5">
        <v>1000</v>
      </c>
      <c r="X18" s="7">
        <f t="shared" si="9"/>
        <v>1100</v>
      </c>
      <c r="Y18" s="5">
        <v>300</v>
      </c>
      <c r="Z18" s="5">
        <v>10</v>
      </c>
    </row>
    <row r="19" s="3" customFormat="1" ht="16.5" spans="1:26">
      <c r="A19" s="5">
        <f t="shared" si="10"/>
        <v>341001</v>
      </c>
      <c r="B19" s="6" t="s">
        <v>288</v>
      </c>
      <c r="C19" s="6" t="s">
        <v>288</v>
      </c>
      <c r="D19" s="5">
        <v>180</v>
      </c>
      <c r="E19" s="5">
        <f t="shared" si="16"/>
        <v>140</v>
      </c>
      <c r="F19" s="5" t="str">
        <f t="shared" si="11"/>
        <v>1:180,2:140</v>
      </c>
      <c r="G19" s="6">
        <v>3</v>
      </c>
      <c r="H19" s="6">
        <v>4</v>
      </c>
      <c r="I19" s="5">
        <f t="shared" si="0"/>
        <v>1.18</v>
      </c>
      <c r="J19" s="5">
        <f t="shared" si="1"/>
        <v>2.25</v>
      </c>
      <c r="K19" s="5">
        <v>320</v>
      </c>
      <c r="L19" s="5">
        <f t="shared" si="2"/>
        <v>976</v>
      </c>
      <c r="M19" s="5">
        <v>100</v>
      </c>
      <c r="N19" s="5">
        <f t="shared" si="3"/>
        <v>178</v>
      </c>
      <c r="O19" s="5">
        <v>48</v>
      </c>
      <c r="P19" s="5">
        <f t="shared" si="4"/>
        <v>75</v>
      </c>
      <c r="Q19" s="5">
        <v>52</v>
      </c>
      <c r="R19" s="5">
        <f t="shared" si="5"/>
        <v>92</v>
      </c>
      <c r="S19" s="5">
        <f t="shared" ref="S19:S23" si="17">INT(O19*0.88)</f>
        <v>42</v>
      </c>
      <c r="T19" s="5">
        <f t="shared" si="7"/>
        <v>65</v>
      </c>
      <c r="U19" s="5">
        <v>10</v>
      </c>
      <c r="V19" s="5">
        <f t="shared" si="8"/>
        <v>11</v>
      </c>
      <c r="W19" s="5">
        <v>1000</v>
      </c>
      <c r="X19" s="7">
        <f t="shared" si="9"/>
        <v>1100</v>
      </c>
      <c r="Y19" s="5">
        <v>300</v>
      </c>
      <c r="Z19" s="5">
        <v>10</v>
      </c>
    </row>
    <row r="20" s="3" customFormat="1" ht="16.5" spans="1:26">
      <c r="A20" s="5">
        <f t="shared" si="10"/>
        <v>341002</v>
      </c>
      <c r="B20" s="6" t="s">
        <v>292</v>
      </c>
      <c r="C20" s="6" t="s">
        <v>292</v>
      </c>
      <c r="D20" s="5">
        <v>180</v>
      </c>
      <c r="E20" s="5">
        <f t="shared" si="16"/>
        <v>140</v>
      </c>
      <c r="F20" s="5" t="str">
        <f t="shared" si="11"/>
        <v>1:180,2:140</v>
      </c>
      <c r="G20" s="6">
        <v>3</v>
      </c>
      <c r="H20" s="6">
        <v>4</v>
      </c>
      <c r="I20" s="5">
        <f t="shared" si="0"/>
        <v>1.18</v>
      </c>
      <c r="J20" s="5">
        <f t="shared" si="1"/>
        <v>2.25</v>
      </c>
      <c r="K20" s="5">
        <v>375</v>
      </c>
      <c r="L20" s="5">
        <f t="shared" si="2"/>
        <v>1143</v>
      </c>
      <c r="M20" s="5">
        <v>105</v>
      </c>
      <c r="N20" s="5">
        <f t="shared" si="3"/>
        <v>186</v>
      </c>
      <c r="O20" s="5">
        <v>46</v>
      </c>
      <c r="P20" s="5">
        <f t="shared" si="4"/>
        <v>72</v>
      </c>
      <c r="Q20" s="5">
        <v>64</v>
      </c>
      <c r="R20" s="5">
        <f t="shared" si="5"/>
        <v>113</v>
      </c>
      <c r="S20" s="5">
        <f t="shared" si="15"/>
        <v>50</v>
      </c>
      <c r="T20" s="5">
        <f t="shared" si="7"/>
        <v>79</v>
      </c>
      <c r="U20" s="5">
        <v>10</v>
      </c>
      <c r="V20" s="5">
        <f t="shared" si="8"/>
        <v>11</v>
      </c>
      <c r="W20" s="5">
        <v>1000</v>
      </c>
      <c r="X20" s="7">
        <f t="shared" si="9"/>
        <v>1100</v>
      </c>
      <c r="Y20" s="5">
        <v>300</v>
      </c>
      <c r="Z20" s="5">
        <v>10</v>
      </c>
    </row>
    <row r="21" s="3" customFormat="1" ht="16.5" spans="1:26">
      <c r="A21" s="5">
        <f t="shared" si="10"/>
        <v>351001</v>
      </c>
      <c r="B21" s="6" t="s">
        <v>296</v>
      </c>
      <c r="C21" s="6" t="s">
        <v>296</v>
      </c>
      <c r="D21" s="5">
        <v>240</v>
      </c>
      <c r="E21" s="5">
        <f t="shared" si="16"/>
        <v>210</v>
      </c>
      <c r="F21" s="5" t="str">
        <f t="shared" si="11"/>
        <v>1:240,2:210</v>
      </c>
      <c r="G21" s="6">
        <v>3</v>
      </c>
      <c r="H21" s="6">
        <v>5</v>
      </c>
      <c r="I21" s="5">
        <f t="shared" si="0"/>
        <v>1.24</v>
      </c>
      <c r="J21" s="5">
        <f t="shared" si="1"/>
        <v>3</v>
      </c>
      <c r="K21" s="5">
        <v>380</v>
      </c>
      <c r="L21" s="5">
        <f t="shared" si="2"/>
        <v>1520</v>
      </c>
      <c r="M21" s="5">
        <v>111</v>
      </c>
      <c r="N21" s="5">
        <f t="shared" si="3"/>
        <v>220</v>
      </c>
      <c r="O21" s="5">
        <v>55</v>
      </c>
      <c r="P21" s="5">
        <f t="shared" si="4"/>
        <v>95</v>
      </c>
      <c r="Q21" s="5">
        <v>60</v>
      </c>
      <c r="R21" s="5">
        <f t="shared" si="5"/>
        <v>119</v>
      </c>
      <c r="S21" s="5">
        <f t="shared" si="17"/>
        <v>48</v>
      </c>
      <c r="T21" s="5">
        <f t="shared" si="7"/>
        <v>83</v>
      </c>
      <c r="U21" s="5">
        <v>10</v>
      </c>
      <c r="V21" s="5">
        <f t="shared" si="8"/>
        <v>12</v>
      </c>
      <c r="W21" s="5">
        <v>1000</v>
      </c>
      <c r="X21" s="7">
        <f t="shared" si="9"/>
        <v>1100</v>
      </c>
      <c r="Y21" s="5">
        <v>300</v>
      </c>
      <c r="Z21" s="5">
        <v>10</v>
      </c>
    </row>
    <row r="22" s="3" customFormat="1" ht="16.5" spans="1:26">
      <c r="A22" s="5">
        <f t="shared" si="10"/>
        <v>351002</v>
      </c>
      <c r="B22" s="6" t="s">
        <v>300</v>
      </c>
      <c r="C22" s="6" t="s">
        <v>300</v>
      </c>
      <c r="D22" s="5">
        <v>210</v>
      </c>
      <c r="E22" s="5">
        <f t="shared" si="16"/>
        <v>180</v>
      </c>
      <c r="F22" s="5" t="str">
        <f t="shared" si="11"/>
        <v>1:210,2:180</v>
      </c>
      <c r="G22" s="6">
        <v>3</v>
      </c>
      <c r="H22" s="6">
        <v>5</v>
      </c>
      <c r="I22" s="5">
        <f t="shared" si="0"/>
        <v>1.21</v>
      </c>
      <c r="J22" s="5">
        <f t="shared" si="1"/>
        <v>2.625</v>
      </c>
      <c r="K22" s="5">
        <v>385</v>
      </c>
      <c r="L22" s="5">
        <f t="shared" si="2"/>
        <v>1395</v>
      </c>
      <c r="M22" s="5">
        <v>117</v>
      </c>
      <c r="N22" s="5">
        <f t="shared" si="3"/>
        <v>228</v>
      </c>
      <c r="O22" s="5">
        <v>50</v>
      </c>
      <c r="P22" s="5">
        <f t="shared" si="4"/>
        <v>85</v>
      </c>
      <c r="Q22" s="5">
        <v>69</v>
      </c>
      <c r="R22" s="5">
        <f t="shared" si="5"/>
        <v>134</v>
      </c>
      <c r="S22" s="5">
        <f>INT(O22*1.1)</f>
        <v>55</v>
      </c>
      <c r="T22" s="5">
        <f t="shared" si="7"/>
        <v>93</v>
      </c>
      <c r="U22" s="5">
        <v>10</v>
      </c>
      <c r="V22" s="5">
        <f t="shared" si="8"/>
        <v>12</v>
      </c>
      <c r="W22" s="5">
        <v>1000</v>
      </c>
      <c r="X22" s="7">
        <f t="shared" si="9"/>
        <v>1100</v>
      </c>
      <c r="Y22" s="5">
        <v>400</v>
      </c>
      <c r="Z22" s="5">
        <v>10</v>
      </c>
    </row>
    <row r="23" s="3" customFormat="1" ht="16.5" spans="1:26">
      <c r="A23" s="5">
        <f>IF((100000*G23+H23*10000+1001)=(100000*G22+H22*10000+1001),A22+1,(100000*G23+H23*10000+1001))</f>
        <v>361001</v>
      </c>
      <c r="B23" s="6" t="s">
        <v>303</v>
      </c>
      <c r="C23" s="6" t="s">
        <v>303</v>
      </c>
      <c r="D23" s="5">
        <v>250</v>
      </c>
      <c r="E23" s="5">
        <f t="shared" si="16"/>
        <v>230</v>
      </c>
      <c r="F23" s="5" t="str">
        <f t="shared" si="11"/>
        <v>1:250,2:230</v>
      </c>
      <c r="G23" s="6">
        <v>3</v>
      </c>
      <c r="H23" s="6">
        <v>6</v>
      </c>
      <c r="I23" s="5">
        <f t="shared" si="0"/>
        <v>1.25</v>
      </c>
      <c r="J23" s="5">
        <f t="shared" si="1"/>
        <v>3.125</v>
      </c>
      <c r="K23" s="5">
        <v>415</v>
      </c>
      <c r="L23" s="5">
        <f t="shared" si="2"/>
        <v>1794</v>
      </c>
      <c r="M23" s="5">
        <v>122</v>
      </c>
      <c r="N23" s="5">
        <f t="shared" si="3"/>
        <v>261</v>
      </c>
      <c r="O23" s="5">
        <v>62</v>
      </c>
      <c r="P23" s="5">
        <f t="shared" si="4"/>
        <v>114</v>
      </c>
      <c r="Q23" s="5">
        <v>62</v>
      </c>
      <c r="R23" s="5">
        <f t="shared" si="5"/>
        <v>132</v>
      </c>
      <c r="S23" s="5">
        <f t="shared" si="17"/>
        <v>54</v>
      </c>
      <c r="T23" s="5">
        <f t="shared" si="7"/>
        <v>99</v>
      </c>
      <c r="U23" s="5">
        <v>10</v>
      </c>
      <c r="V23" s="5">
        <f t="shared" si="8"/>
        <v>12</v>
      </c>
      <c r="W23" s="5">
        <v>1000</v>
      </c>
      <c r="X23" s="7">
        <f t="shared" si="9"/>
        <v>1100</v>
      </c>
      <c r="Y23" s="5">
        <v>300</v>
      </c>
      <c r="Z23" s="5">
        <v>10</v>
      </c>
    </row>
    <row r="24" s="3" customFormat="1" ht="16.5" spans="1:26">
      <c r="A24" s="5">
        <f t="shared" ref="A24:A62" si="18">IF((100000*G24+H24*10000+1001)=(100000*G23+H23*10000+1001),A23+1,(100000*G24+H24*10000+1001))</f>
        <v>361002</v>
      </c>
      <c r="B24" s="6" t="s">
        <v>305</v>
      </c>
      <c r="C24" s="6" t="s">
        <v>305</v>
      </c>
      <c r="D24" s="5">
        <v>250</v>
      </c>
      <c r="E24" s="5">
        <f t="shared" si="16"/>
        <v>230</v>
      </c>
      <c r="F24" s="5" t="str">
        <f t="shared" si="11"/>
        <v>1:250,2:230</v>
      </c>
      <c r="G24" s="6">
        <v>3</v>
      </c>
      <c r="H24" s="6">
        <v>6</v>
      </c>
      <c r="I24" s="5">
        <f t="shared" si="0"/>
        <v>1.25</v>
      </c>
      <c r="J24" s="5">
        <f t="shared" si="1"/>
        <v>3.125</v>
      </c>
      <c r="K24" s="5">
        <v>370</v>
      </c>
      <c r="L24" s="5">
        <f t="shared" si="2"/>
        <v>1600</v>
      </c>
      <c r="M24" s="5">
        <v>128</v>
      </c>
      <c r="N24" s="5">
        <f t="shared" si="3"/>
        <v>275</v>
      </c>
      <c r="O24" s="5">
        <v>55</v>
      </c>
      <c r="P24" s="5">
        <f t="shared" si="4"/>
        <v>101</v>
      </c>
      <c r="Q24" s="5">
        <v>74</v>
      </c>
      <c r="R24" s="5">
        <f t="shared" si="5"/>
        <v>158</v>
      </c>
      <c r="S24" s="5">
        <f>INT(O24*1.1)</f>
        <v>60</v>
      </c>
      <c r="T24" s="5">
        <f t="shared" si="7"/>
        <v>111</v>
      </c>
      <c r="U24" s="5">
        <v>10</v>
      </c>
      <c r="V24" s="5">
        <f t="shared" si="8"/>
        <v>12</v>
      </c>
      <c r="W24" s="5">
        <v>1000</v>
      </c>
      <c r="X24" s="7">
        <f t="shared" si="9"/>
        <v>1100</v>
      </c>
      <c r="Y24" s="5">
        <v>300</v>
      </c>
      <c r="Z24" s="5">
        <v>10</v>
      </c>
    </row>
    <row r="25" s="3" customFormat="1" ht="16.5" spans="1:26">
      <c r="A25" s="5">
        <f t="shared" si="18"/>
        <v>361003</v>
      </c>
      <c r="B25" s="6" t="s">
        <v>307</v>
      </c>
      <c r="C25" s="6" t="s">
        <v>307</v>
      </c>
      <c r="D25" s="5">
        <v>300</v>
      </c>
      <c r="E25" s="5">
        <f t="shared" si="16"/>
        <v>280</v>
      </c>
      <c r="F25" s="5" t="str">
        <f t="shared" si="11"/>
        <v>1:300,2:280</v>
      </c>
      <c r="G25" s="6">
        <v>3</v>
      </c>
      <c r="H25" s="6">
        <v>6</v>
      </c>
      <c r="I25" s="5">
        <f t="shared" si="0"/>
        <v>1.3</v>
      </c>
      <c r="J25" s="5">
        <f t="shared" si="1"/>
        <v>3.75</v>
      </c>
      <c r="K25" s="5">
        <v>435</v>
      </c>
      <c r="L25" s="5">
        <f t="shared" si="2"/>
        <v>2153</v>
      </c>
      <c r="M25" s="5">
        <v>135</v>
      </c>
      <c r="N25" s="5">
        <f t="shared" si="3"/>
        <v>296</v>
      </c>
      <c r="O25" s="5">
        <v>62</v>
      </c>
      <c r="P25" s="5">
        <f t="shared" si="4"/>
        <v>117</v>
      </c>
      <c r="Q25" s="5">
        <v>66</v>
      </c>
      <c r="R25" s="5">
        <f t="shared" si="5"/>
        <v>144</v>
      </c>
      <c r="S25" s="5">
        <f t="shared" ref="S25:S30" si="19">INT(O25*0.88)</f>
        <v>54</v>
      </c>
      <c r="T25" s="5">
        <f t="shared" si="7"/>
        <v>102</v>
      </c>
      <c r="U25" s="5">
        <v>10</v>
      </c>
      <c r="V25" s="5">
        <f t="shared" si="8"/>
        <v>13</v>
      </c>
      <c r="W25" s="5">
        <v>1000</v>
      </c>
      <c r="X25" s="7">
        <f t="shared" si="9"/>
        <v>1100</v>
      </c>
      <c r="Y25" s="5">
        <v>300</v>
      </c>
      <c r="Z25" s="5">
        <v>10</v>
      </c>
    </row>
    <row r="26" s="3" customFormat="1" ht="16.5" spans="1:26">
      <c r="A26" s="5">
        <f t="shared" si="18"/>
        <v>411001</v>
      </c>
      <c r="B26" s="6" t="s">
        <v>309</v>
      </c>
      <c r="C26" s="6" t="s">
        <v>309</v>
      </c>
      <c r="D26" s="5">
        <v>150</v>
      </c>
      <c r="E26" s="5"/>
      <c r="F26" s="5" t="str">
        <f t="shared" si="11"/>
        <v>1:150</v>
      </c>
      <c r="G26" s="6">
        <v>4</v>
      </c>
      <c r="H26" s="6">
        <v>1</v>
      </c>
      <c r="I26" s="5">
        <f t="shared" si="0"/>
        <v>1.15</v>
      </c>
      <c r="J26" s="5">
        <f t="shared" si="1"/>
        <v>1.875</v>
      </c>
      <c r="K26" s="5">
        <v>232</v>
      </c>
      <c r="L26" s="5">
        <f t="shared" si="2"/>
        <v>481</v>
      </c>
      <c r="M26" s="5">
        <v>70</v>
      </c>
      <c r="N26" s="5">
        <f t="shared" si="3"/>
        <v>90</v>
      </c>
      <c r="O26" s="5">
        <v>32</v>
      </c>
      <c r="P26" s="5">
        <f t="shared" si="4"/>
        <v>39</v>
      </c>
      <c r="Q26" s="5">
        <v>50</v>
      </c>
      <c r="R26" s="5">
        <f t="shared" si="5"/>
        <v>64</v>
      </c>
      <c r="S26" s="5">
        <f t="shared" si="19"/>
        <v>28</v>
      </c>
      <c r="T26" s="5">
        <f t="shared" si="7"/>
        <v>34</v>
      </c>
      <c r="U26" s="5">
        <v>10</v>
      </c>
      <c r="V26" s="5">
        <f t="shared" si="8"/>
        <v>11</v>
      </c>
      <c r="W26" s="5">
        <v>100</v>
      </c>
      <c r="X26" s="7">
        <f t="shared" si="9"/>
        <v>500</v>
      </c>
      <c r="Y26" s="5">
        <v>400</v>
      </c>
      <c r="Z26" s="5">
        <v>8</v>
      </c>
    </row>
    <row r="27" s="3" customFormat="1" ht="16.5" spans="1:26">
      <c r="A27" s="5">
        <f t="shared" si="18"/>
        <v>431001</v>
      </c>
      <c r="B27" s="6" t="s">
        <v>313</v>
      </c>
      <c r="C27" s="6" t="s">
        <v>313</v>
      </c>
      <c r="D27" s="5">
        <v>180</v>
      </c>
      <c r="E27" s="5">
        <f t="shared" ref="E27:E31" si="20">D27-80+(H27*10)</f>
        <v>130</v>
      </c>
      <c r="F27" s="5" t="str">
        <f t="shared" si="11"/>
        <v>1:180,2:130</v>
      </c>
      <c r="G27" s="6">
        <v>4</v>
      </c>
      <c r="H27" s="6">
        <v>3</v>
      </c>
      <c r="I27" s="5">
        <f t="shared" si="0"/>
        <v>1.18</v>
      </c>
      <c r="J27" s="5">
        <f t="shared" si="1"/>
        <v>2.25</v>
      </c>
      <c r="K27" s="5">
        <v>308</v>
      </c>
      <c r="L27" s="5">
        <f t="shared" si="2"/>
        <v>877</v>
      </c>
      <c r="M27" s="5">
        <v>101</v>
      </c>
      <c r="N27" s="5">
        <f t="shared" si="3"/>
        <v>164</v>
      </c>
      <c r="O27" s="5">
        <v>45</v>
      </c>
      <c r="P27" s="5">
        <f t="shared" si="4"/>
        <v>66</v>
      </c>
      <c r="Q27" s="5">
        <v>60</v>
      </c>
      <c r="R27" s="5">
        <f t="shared" si="5"/>
        <v>97</v>
      </c>
      <c r="S27" s="5">
        <f t="shared" si="19"/>
        <v>39</v>
      </c>
      <c r="T27" s="5">
        <f t="shared" si="7"/>
        <v>57</v>
      </c>
      <c r="U27" s="5">
        <v>10</v>
      </c>
      <c r="V27" s="5">
        <f t="shared" si="8"/>
        <v>11</v>
      </c>
      <c r="W27" s="5">
        <v>100</v>
      </c>
      <c r="X27" s="7">
        <f t="shared" si="9"/>
        <v>500</v>
      </c>
      <c r="Y27" s="5">
        <v>400</v>
      </c>
      <c r="Z27" s="5">
        <v>8</v>
      </c>
    </row>
    <row r="28" s="3" customFormat="1" ht="16.5" spans="1:26">
      <c r="A28" s="5">
        <f t="shared" si="18"/>
        <v>441001</v>
      </c>
      <c r="B28" s="6" t="s">
        <v>316</v>
      </c>
      <c r="C28" s="6" t="s">
        <v>316</v>
      </c>
      <c r="D28" s="5">
        <v>210</v>
      </c>
      <c r="E28" s="5">
        <f t="shared" si="20"/>
        <v>170</v>
      </c>
      <c r="F28" s="5" t="str">
        <f t="shared" si="11"/>
        <v>1:210,2:170</v>
      </c>
      <c r="G28" s="6">
        <v>4</v>
      </c>
      <c r="H28" s="6">
        <v>4</v>
      </c>
      <c r="I28" s="5">
        <f t="shared" si="0"/>
        <v>1.21</v>
      </c>
      <c r="J28" s="5">
        <f t="shared" si="1"/>
        <v>2.625</v>
      </c>
      <c r="K28" s="5">
        <v>387</v>
      </c>
      <c r="L28" s="5">
        <f t="shared" si="2"/>
        <v>1324</v>
      </c>
      <c r="M28" s="5">
        <v>118</v>
      </c>
      <c r="N28" s="5">
        <f t="shared" si="3"/>
        <v>212</v>
      </c>
      <c r="O28" s="5">
        <v>54</v>
      </c>
      <c r="P28" s="5">
        <f t="shared" si="4"/>
        <v>86</v>
      </c>
      <c r="Q28" s="5">
        <v>65</v>
      </c>
      <c r="R28" s="5">
        <f t="shared" si="5"/>
        <v>117</v>
      </c>
      <c r="S28" s="5">
        <f t="shared" si="19"/>
        <v>47</v>
      </c>
      <c r="T28" s="5">
        <f t="shared" si="7"/>
        <v>74</v>
      </c>
      <c r="U28" s="5">
        <v>10</v>
      </c>
      <c r="V28" s="5">
        <f t="shared" si="8"/>
        <v>12</v>
      </c>
      <c r="W28" s="5">
        <v>100</v>
      </c>
      <c r="X28" s="7">
        <f t="shared" si="9"/>
        <v>500</v>
      </c>
      <c r="Y28" s="5">
        <v>400</v>
      </c>
      <c r="Z28" s="5">
        <v>8</v>
      </c>
    </row>
    <row r="29" s="3" customFormat="1" ht="16.5" spans="1:26">
      <c r="A29" s="5">
        <f t="shared" si="18"/>
        <v>451001</v>
      </c>
      <c r="B29" s="6" t="s">
        <v>319</v>
      </c>
      <c r="C29" s="6" t="s">
        <v>319</v>
      </c>
      <c r="D29" s="5">
        <v>240</v>
      </c>
      <c r="E29" s="5">
        <f t="shared" si="20"/>
        <v>210</v>
      </c>
      <c r="F29" s="5" t="str">
        <f t="shared" si="11"/>
        <v>1:240,2:210</v>
      </c>
      <c r="G29" s="6">
        <v>4</v>
      </c>
      <c r="H29" s="6">
        <v>5</v>
      </c>
      <c r="I29" s="5">
        <f t="shared" si="0"/>
        <v>1.24</v>
      </c>
      <c r="J29" s="5">
        <f t="shared" si="1"/>
        <v>3</v>
      </c>
      <c r="K29" s="5">
        <v>393</v>
      </c>
      <c r="L29" s="5">
        <f t="shared" si="2"/>
        <v>1572</v>
      </c>
      <c r="M29" s="5">
        <v>128</v>
      </c>
      <c r="N29" s="5">
        <f t="shared" si="3"/>
        <v>254</v>
      </c>
      <c r="O29" s="5">
        <v>60</v>
      </c>
      <c r="P29" s="5">
        <f t="shared" si="4"/>
        <v>104</v>
      </c>
      <c r="Q29" s="5">
        <v>70</v>
      </c>
      <c r="R29" s="5">
        <f t="shared" si="5"/>
        <v>138</v>
      </c>
      <c r="S29" s="5">
        <f t="shared" si="19"/>
        <v>52</v>
      </c>
      <c r="T29" s="5">
        <f t="shared" si="7"/>
        <v>90</v>
      </c>
      <c r="U29" s="5">
        <v>10</v>
      </c>
      <c r="V29" s="5">
        <f t="shared" si="8"/>
        <v>12</v>
      </c>
      <c r="W29" s="5">
        <v>100</v>
      </c>
      <c r="X29" s="7">
        <f t="shared" si="9"/>
        <v>500</v>
      </c>
      <c r="Y29" s="5">
        <v>400</v>
      </c>
      <c r="Z29" s="5">
        <v>8</v>
      </c>
    </row>
    <row r="30" s="3" customFormat="1" ht="16.5" spans="1:26">
      <c r="A30" s="5">
        <f t="shared" si="18"/>
        <v>461001</v>
      </c>
      <c r="B30" s="6" t="s">
        <v>323</v>
      </c>
      <c r="C30" s="6" t="s">
        <v>323</v>
      </c>
      <c r="D30" s="5">
        <v>270</v>
      </c>
      <c r="E30" s="5">
        <f t="shared" si="20"/>
        <v>250</v>
      </c>
      <c r="F30" s="5" t="str">
        <f t="shared" si="11"/>
        <v>1:270,2:250</v>
      </c>
      <c r="G30" s="6">
        <v>4</v>
      </c>
      <c r="H30" s="6">
        <v>6</v>
      </c>
      <c r="I30" s="5">
        <f t="shared" si="0"/>
        <v>1.27</v>
      </c>
      <c r="J30" s="5">
        <f t="shared" si="1"/>
        <v>3.375</v>
      </c>
      <c r="K30" s="5">
        <v>420</v>
      </c>
      <c r="L30" s="5">
        <f t="shared" si="2"/>
        <v>1921</v>
      </c>
      <c r="M30" s="5">
        <v>130</v>
      </c>
      <c r="N30" s="5">
        <f t="shared" si="3"/>
        <v>282</v>
      </c>
      <c r="O30" s="5">
        <v>65</v>
      </c>
      <c r="P30" s="5">
        <f t="shared" si="4"/>
        <v>121</v>
      </c>
      <c r="Q30" s="5">
        <v>75</v>
      </c>
      <c r="R30" s="5">
        <f t="shared" si="5"/>
        <v>162</v>
      </c>
      <c r="S30" s="5">
        <f t="shared" si="19"/>
        <v>57</v>
      </c>
      <c r="T30" s="5">
        <f t="shared" si="7"/>
        <v>106</v>
      </c>
      <c r="U30" s="5">
        <v>10</v>
      </c>
      <c r="V30" s="5">
        <f t="shared" si="8"/>
        <v>12</v>
      </c>
      <c r="W30" s="5">
        <v>100</v>
      </c>
      <c r="X30" s="7">
        <f t="shared" si="9"/>
        <v>500</v>
      </c>
      <c r="Y30" s="5">
        <v>400</v>
      </c>
      <c r="Z30" s="5">
        <v>8</v>
      </c>
    </row>
    <row r="31" s="3" customFormat="1" ht="16.5" spans="1:26">
      <c r="A31" s="5">
        <f t="shared" si="18"/>
        <v>461002</v>
      </c>
      <c r="B31" s="6" t="s">
        <v>327</v>
      </c>
      <c r="C31" s="6" t="s">
        <v>327</v>
      </c>
      <c r="D31" s="5">
        <v>320</v>
      </c>
      <c r="E31" s="5">
        <f t="shared" si="20"/>
        <v>300</v>
      </c>
      <c r="F31" s="5" t="str">
        <f t="shared" si="11"/>
        <v>1:320,2:300</v>
      </c>
      <c r="G31" s="6">
        <v>4</v>
      </c>
      <c r="H31" s="6">
        <v>6</v>
      </c>
      <c r="I31" s="5">
        <f t="shared" si="0"/>
        <v>1.32</v>
      </c>
      <c r="J31" s="5">
        <f t="shared" si="1"/>
        <v>4</v>
      </c>
      <c r="K31" s="5">
        <v>468</v>
      </c>
      <c r="L31" s="5">
        <f t="shared" si="2"/>
        <v>2433</v>
      </c>
      <c r="M31" s="5">
        <v>138</v>
      </c>
      <c r="N31" s="5">
        <f t="shared" si="3"/>
        <v>306</v>
      </c>
      <c r="O31" s="5">
        <v>68</v>
      </c>
      <c r="P31" s="5">
        <f t="shared" si="4"/>
        <v>129</v>
      </c>
      <c r="Q31" s="5">
        <v>88</v>
      </c>
      <c r="R31" s="5">
        <f t="shared" si="5"/>
        <v>195</v>
      </c>
      <c r="S31" s="5">
        <f>INT(O31*1.1)</f>
        <v>74</v>
      </c>
      <c r="T31" s="5">
        <f t="shared" si="7"/>
        <v>141</v>
      </c>
      <c r="U31" s="5">
        <v>10</v>
      </c>
      <c r="V31" s="5">
        <f t="shared" si="8"/>
        <v>13</v>
      </c>
      <c r="W31" s="5">
        <v>100</v>
      </c>
      <c r="X31" s="7">
        <f t="shared" si="9"/>
        <v>500</v>
      </c>
      <c r="Y31" s="5">
        <v>400</v>
      </c>
      <c r="Z31" s="5">
        <v>8</v>
      </c>
    </row>
    <row r="32" s="3" customFormat="1" ht="16.5" spans="1:26">
      <c r="A32" s="5">
        <f t="shared" si="18"/>
        <v>521001</v>
      </c>
      <c r="B32" s="6" t="s">
        <v>330</v>
      </c>
      <c r="C32" s="6" t="s">
        <v>330</v>
      </c>
      <c r="D32" s="5">
        <v>140</v>
      </c>
      <c r="E32" s="5"/>
      <c r="F32" s="5" t="str">
        <f t="shared" si="11"/>
        <v>1:140</v>
      </c>
      <c r="G32" s="6">
        <v>5</v>
      </c>
      <c r="H32" s="6">
        <v>2</v>
      </c>
      <c r="I32" s="5">
        <f t="shared" si="0"/>
        <v>1.14</v>
      </c>
      <c r="J32" s="5">
        <f t="shared" si="1"/>
        <v>1.75</v>
      </c>
      <c r="K32" s="5">
        <v>221</v>
      </c>
      <c r="L32" s="5">
        <f t="shared" si="2"/>
        <v>474</v>
      </c>
      <c r="M32" s="5">
        <v>18</v>
      </c>
      <c r="N32" s="5">
        <f t="shared" si="3"/>
        <v>25</v>
      </c>
      <c r="O32" s="5">
        <v>28</v>
      </c>
      <c r="P32" s="5">
        <f t="shared" si="4"/>
        <v>36</v>
      </c>
      <c r="Q32" s="5">
        <v>68</v>
      </c>
      <c r="R32" s="5">
        <f t="shared" si="5"/>
        <v>97</v>
      </c>
      <c r="S32" s="5">
        <f t="shared" ref="S32:S44" si="21">INT(O32*1.4)</f>
        <v>39</v>
      </c>
      <c r="T32" s="5">
        <f t="shared" si="7"/>
        <v>51</v>
      </c>
      <c r="U32" s="5">
        <v>10</v>
      </c>
      <c r="V32" s="5">
        <f t="shared" si="8"/>
        <v>11</v>
      </c>
      <c r="W32" s="5">
        <v>1000</v>
      </c>
      <c r="X32" s="7">
        <f t="shared" si="9"/>
        <v>1100</v>
      </c>
      <c r="Y32" s="5">
        <v>300</v>
      </c>
      <c r="Z32" s="5">
        <v>10</v>
      </c>
    </row>
    <row r="33" s="3" customFormat="1" ht="16.5" spans="1:26">
      <c r="A33" s="5">
        <f t="shared" si="18"/>
        <v>531001</v>
      </c>
      <c r="B33" s="6" t="s">
        <v>334</v>
      </c>
      <c r="C33" s="6" t="s">
        <v>334</v>
      </c>
      <c r="D33" s="5">
        <v>170</v>
      </c>
      <c r="E33" s="5">
        <f t="shared" ref="E33:E37" si="22">D33-80+(H33*10)</f>
        <v>120</v>
      </c>
      <c r="F33" s="5" t="str">
        <f t="shared" si="11"/>
        <v>1:170,2:120</v>
      </c>
      <c r="G33" s="6">
        <v>5</v>
      </c>
      <c r="H33" s="6">
        <v>3</v>
      </c>
      <c r="I33" s="5">
        <f t="shared" si="0"/>
        <v>1.17</v>
      </c>
      <c r="J33" s="5">
        <f t="shared" si="1"/>
        <v>2.125</v>
      </c>
      <c r="K33" s="5">
        <v>293</v>
      </c>
      <c r="L33" s="5">
        <f t="shared" si="2"/>
        <v>797</v>
      </c>
      <c r="M33" s="5">
        <v>56</v>
      </c>
      <c r="N33" s="5">
        <f t="shared" si="3"/>
        <v>90</v>
      </c>
      <c r="O33" s="5">
        <v>35</v>
      </c>
      <c r="P33" s="5">
        <f t="shared" si="4"/>
        <v>50</v>
      </c>
      <c r="Q33" s="5">
        <v>80</v>
      </c>
      <c r="R33" s="5">
        <f t="shared" si="5"/>
        <v>129</v>
      </c>
      <c r="S33" s="5">
        <f t="shared" si="21"/>
        <v>49</v>
      </c>
      <c r="T33" s="5">
        <f t="shared" si="7"/>
        <v>71</v>
      </c>
      <c r="U33" s="5">
        <v>10</v>
      </c>
      <c r="V33" s="5">
        <f t="shared" si="8"/>
        <v>11</v>
      </c>
      <c r="W33" s="5">
        <v>1000</v>
      </c>
      <c r="X33" s="7">
        <f t="shared" si="9"/>
        <v>1100</v>
      </c>
      <c r="Y33" s="5">
        <v>300</v>
      </c>
      <c r="Z33" s="5">
        <v>10</v>
      </c>
    </row>
    <row r="34" s="3" customFormat="1" ht="16.5" spans="1:26">
      <c r="A34" s="5">
        <f t="shared" si="18"/>
        <v>531002</v>
      </c>
      <c r="B34" s="6" t="s">
        <v>338</v>
      </c>
      <c r="C34" s="6" t="s">
        <v>338</v>
      </c>
      <c r="D34" s="5">
        <v>175</v>
      </c>
      <c r="E34" s="5">
        <f t="shared" si="22"/>
        <v>125</v>
      </c>
      <c r="F34" s="5" t="str">
        <f t="shared" si="11"/>
        <v>1:175,2:125</v>
      </c>
      <c r="G34" s="6">
        <v>5</v>
      </c>
      <c r="H34" s="6">
        <v>3</v>
      </c>
      <c r="I34" s="5">
        <f t="shared" si="0"/>
        <v>1.175</v>
      </c>
      <c r="J34" s="5">
        <f t="shared" si="1"/>
        <v>2.1875</v>
      </c>
      <c r="K34" s="5">
        <v>312</v>
      </c>
      <c r="L34" s="5">
        <f t="shared" si="2"/>
        <v>869</v>
      </c>
      <c r="M34" s="5">
        <v>85</v>
      </c>
      <c r="N34" s="5">
        <f t="shared" si="3"/>
        <v>137</v>
      </c>
      <c r="O34" s="5">
        <v>40</v>
      </c>
      <c r="P34" s="5">
        <f t="shared" si="4"/>
        <v>59</v>
      </c>
      <c r="Q34" s="5">
        <v>75</v>
      </c>
      <c r="R34" s="5">
        <f t="shared" si="5"/>
        <v>121</v>
      </c>
      <c r="S34" s="5">
        <f t="shared" si="21"/>
        <v>56</v>
      </c>
      <c r="T34" s="5">
        <f t="shared" si="7"/>
        <v>81</v>
      </c>
      <c r="U34" s="5">
        <v>10</v>
      </c>
      <c r="V34" s="5">
        <f t="shared" si="8"/>
        <v>11</v>
      </c>
      <c r="W34" s="5">
        <v>1000</v>
      </c>
      <c r="X34" s="7">
        <f t="shared" si="9"/>
        <v>1100</v>
      </c>
      <c r="Y34" s="5">
        <v>300</v>
      </c>
      <c r="Z34" s="5">
        <v>10</v>
      </c>
    </row>
    <row r="35" s="3" customFormat="1" ht="16.5" spans="1:26">
      <c r="A35" s="5">
        <f t="shared" si="18"/>
        <v>541001</v>
      </c>
      <c r="B35" s="6" t="s">
        <v>342</v>
      </c>
      <c r="C35" s="6" t="s">
        <v>342</v>
      </c>
      <c r="D35" s="5">
        <v>200</v>
      </c>
      <c r="E35" s="5">
        <f t="shared" si="22"/>
        <v>160</v>
      </c>
      <c r="F35" s="5" t="str">
        <f t="shared" ref="F35:F63" si="23">"1:"&amp;D35&amp;IF(E35="","",",2:"&amp;E35)</f>
        <v>1:200,2:160</v>
      </c>
      <c r="G35" s="6">
        <v>5</v>
      </c>
      <c r="H35" s="6">
        <v>4</v>
      </c>
      <c r="I35" s="5">
        <f t="shared" si="0"/>
        <v>1.2</v>
      </c>
      <c r="J35" s="5">
        <f t="shared" si="1"/>
        <v>2.5</v>
      </c>
      <c r="K35" s="5">
        <v>367</v>
      </c>
      <c r="L35" s="5">
        <f t="shared" si="2"/>
        <v>1210</v>
      </c>
      <c r="M35" s="5">
        <v>90</v>
      </c>
      <c r="N35" s="5">
        <f t="shared" si="3"/>
        <v>162</v>
      </c>
      <c r="O35" s="5">
        <v>45</v>
      </c>
      <c r="P35" s="5">
        <f t="shared" si="4"/>
        <v>72</v>
      </c>
      <c r="Q35" s="5">
        <v>95</v>
      </c>
      <c r="R35" s="5">
        <f t="shared" si="5"/>
        <v>171</v>
      </c>
      <c r="S35" s="5">
        <f t="shared" si="21"/>
        <v>63</v>
      </c>
      <c r="T35" s="5">
        <f t="shared" si="7"/>
        <v>100</v>
      </c>
      <c r="U35" s="5">
        <v>10</v>
      </c>
      <c r="V35" s="5">
        <f t="shared" si="8"/>
        <v>12</v>
      </c>
      <c r="W35" s="5">
        <v>1000</v>
      </c>
      <c r="X35" s="7">
        <f t="shared" si="9"/>
        <v>1100</v>
      </c>
      <c r="Y35" s="5">
        <v>300</v>
      </c>
      <c r="Z35" s="5">
        <v>10</v>
      </c>
    </row>
    <row r="36" s="3" customFormat="1" ht="16.5" spans="1:26">
      <c r="A36" s="5">
        <f t="shared" si="18"/>
        <v>551001</v>
      </c>
      <c r="B36" s="6" t="s">
        <v>346</v>
      </c>
      <c r="C36" s="6" t="s">
        <v>346</v>
      </c>
      <c r="D36" s="5">
        <v>230</v>
      </c>
      <c r="E36" s="5">
        <f t="shared" si="22"/>
        <v>200</v>
      </c>
      <c r="F36" s="5" t="str">
        <f t="shared" si="23"/>
        <v>1:230,2:200</v>
      </c>
      <c r="G36" s="6">
        <v>5</v>
      </c>
      <c r="H36" s="6">
        <v>5</v>
      </c>
      <c r="I36" s="5">
        <f t="shared" si="0"/>
        <v>1.23</v>
      </c>
      <c r="J36" s="5">
        <f t="shared" si="1"/>
        <v>2.875</v>
      </c>
      <c r="K36" s="5">
        <v>377</v>
      </c>
      <c r="L36" s="5">
        <f t="shared" si="2"/>
        <v>1460</v>
      </c>
      <c r="M36" s="5">
        <v>88</v>
      </c>
      <c r="N36" s="5">
        <f t="shared" si="3"/>
        <v>174</v>
      </c>
      <c r="O36" s="5">
        <v>52</v>
      </c>
      <c r="P36" s="5">
        <f t="shared" si="4"/>
        <v>89</v>
      </c>
      <c r="Q36" s="5">
        <v>111</v>
      </c>
      <c r="R36" s="5">
        <f t="shared" si="5"/>
        <v>219</v>
      </c>
      <c r="S36" s="5">
        <f t="shared" si="21"/>
        <v>72</v>
      </c>
      <c r="T36" s="5">
        <f t="shared" si="7"/>
        <v>124</v>
      </c>
      <c r="U36" s="5">
        <v>10</v>
      </c>
      <c r="V36" s="5">
        <f t="shared" si="8"/>
        <v>12</v>
      </c>
      <c r="W36" s="5">
        <v>1000</v>
      </c>
      <c r="X36" s="7">
        <f t="shared" si="9"/>
        <v>1100</v>
      </c>
      <c r="Y36" s="5">
        <v>300</v>
      </c>
      <c r="Z36" s="5">
        <v>10</v>
      </c>
    </row>
    <row r="37" s="3" customFormat="1" ht="16.5" spans="1:26">
      <c r="A37" s="5">
        <f t="shared" si="18"/>
        <v>561001</v>
      </c>
      <c r="B37" s="6" t="s">
        <v>350</v>
      </c>
      <c r="C37" s="6" t="s">
        <v>350</v>
      </c>
      <c r="D37" s="5">
        <v>360</v>
      </c>
      <c r="E37" s="5">
        <f t="shared" si="22"/>
        <v>340</v>
      </c>
      <c r="F37" s="5" t="str">
        <f t="shared" si="23"/>
        <v>1:360,2:340</v>
      </c>
      <c r="G37" s="6">
        <v>5</v>
      </c>
      <c r="H37" s="6">
        <v>6</v>
      </c>
      <c r="I37" s="5">
        <f t="shared" si="0"/>
        <v>1.36</v>
      </c>
      <c r="J37" s="5">
        <f t="shared" si="1"/>
        <v>4.5</v>
      </c>
      <c r="K37" s="5">
        <v>480</v>
      </c>
      <c r="L37" s="5">
        <f t="shared" si="2"/>
        <v>2736</v>
      </c>
      <c r="M37" s="5">
        <v>85</v>
      </c>
      <c r="N37" s="5">
        <f t="shared" si="3"/>
        <v>191</v>
      </c>
      <c r="O37" s="5">
        <v>68</v>
      </c>
      <c r="P37" s="5">
        <f t="shared" si="4"/>
        <v>132</v>
      </c>
      <c r="Q37" s="5">
        <v>148</v>
      </c>
      <c r="R37" s="5">
        <f t="shared" si="5"/>
        <v>334</v>
      </c>
      <c r="S37" s="5">
        <f t="shared" si="21"/>
        <v>95</v>
      </c>
      <c r="T37" s="5">
        <f t="shared" si="7"/>
        <v>186</v>
      </c>
      <c r="U37" s="5">
        <v>10</v>
      </c>
      <c r="V37" s="5">
        <f t="shared" si="8"/>
        <v>13</v>
      </c>
      <c r="W37" s="5">
        <v>1000</v>
      </c>
      <c r="X37" s="7">
        <f t="shared" si="9"/>
        <v>1100</v>
      </c>
      <c r="Y37" s="5">
        <v>300</v>
      </c>
      <c r="Z37" s="5">
        <v>10</v>
      </c>
    </row>
    <row r="38" s="3" customFormat="1" ht="16.5" spans="1:26">
      <c r="A38" s="5">
        <f t="shared" si="18"/>
        <v>621001</v>
      </c>
      <c r="B38" s="6" t="s">
        <v>353</v>
      </c>
      <c r="C38" s="6" t="s">
        <v>353</v>
      </c>
      <c r="D38" s="5">
        <v>120</v>
      </c>
      <c r="E38" s="5"/>
      <c r="F38" s="5" t="str">
        <f t="shared" si="23"/>
        <v>1:120</v>
      </c>
      <c r="G38" s="6">
        <v>6</v>
      </c>
      <c r="H38" s="6">
        <v>2</v>
      </c>
      <c r="I38" s="5">
        <f t="shared" si="0"/>
        <v>1.12</v>
      </c>
      <c r="J38" s="5">
        <f t="shared" si="1"/>
        <v>1.5</v>
      </c>
      <c r="K38" s="5">
        <v>228</v>
      </c>
      <c r="L38" s="5">
        <f t="shared" si="2"/>
        <v>433</v>
      </c>
      <c r="M38" s="5">
        <v>13</v>
      </c>
      <c r="N38" s="5">
        <f t="shared" si="3"/>
        <v>17</v>
      </c>
      <c r="O38" s="5">
        <v>31</v>
      </c>
      <c r="P38" s="5">
        <f t="shared" si="4"/>
        <v>40</v>
      </c>
      <c r="Q38" s="5">
        <v>60</v>
      </c>
      <c r="R38" s="5">
        <f t="shared" si="5"/>
        <v>85</v>
      </c>
      <c r="S38" s="5">
        <f t="shared" si="21"/>
        <v>43</v>
      </c>
      <c r="T38" s="5">
        <f t="shared" si="7"/>
        <v>56</v>
      </c>
      <c r="U38" s="5">
        <v>10</v>
      </c>
      <c r="V38" s="5">
        <f t="shared" si="8"/>
        <v>11</v>
      </c>
      <c r="W38" s="5">
        <v>1000</v>
      </c>
      <c r="X38" s="7">
        <f t="shared" si="9"/>
        <v>1100</v>
      </c>
      <c r="Y38" s="5">
        <v>300</v>
      </c>
      <c r="Z38" s="5">
        <v>10</v>
      </c>
    </row>
    <row r="39" s="3" customFormat="1" ht="16.5" spans="1:26">
      <c r="A39" s="5">
        <f t="shared" si="18"/>
        <v>631001</v>
      </c>
      <c r="B39" s="6" t="s">
        <v>355</v>
      </c>
      <c r="C39" s="6" t="s">
        <v>355</v>
      </c>
      <c r="D39" s="5">
        <v>150</v>
      </c>
      <c r="E39" s="5">
        <f t="shared" ref="E39:E44" si="24">D39-80+(H39*10)</f>
        <v>100</v>
      </c>
      <c r="F39" s="5" t="str">
        <f t="shared" si="23"/>
        <v>1:150,2:100</v>
      </c>
      <c r="G39" s="6">
        <v>6</v>
      </c>
      <c r="H39" s="6">
        <v>3</v>
      </c>
      <c r="I39" s="5">
        <f t="shared" si="0"/>
        <v>1.15</v>
      </c>
      <c r="J39" s="5">
        <f t="shared" si="1"/>
        <v>1.875</v>
      </c>
      <c r="K39" s="5">
        <v>302</v>
      </c>
      <c r="L39" s="5">
        <f t="shared" si="2"/>
        <v>747</v>
      </c>
      <c r="M39" s="5">
        <v>48</v>
      </c>
      <c r="N39" s="5">
        <f t="shared" si="3"/>
        <v>76</v>
      </c>
      <c r="O39" s="5">
        <v>42</v>
      </c>
      <c r="P39" s="5">
        <f t="shared" si="4"/>
        <v>60</v>
      </c>
      <c r="Q39" s="5">
        <v>77</v>
      </c>
      <c r="R39" s="5">
        <f t="shared" si="5"/>
        <v>122</v>
      </c>
      <c r="S39" s="5">
        <f t="shared" si="21"/>
        <v>58</v>
      </c>
      <c r="T39" s="5">
        <f t="shared" si="7"/>
        <v>83</v>
      </c>
      <c r="U39" s="5">
        <v>10</v>
      </c>
      <c r="V39" s="5">
        <f t="shared" si="8"/>
        <v>11</v>
      </c>
      <c r="W39" s="5">
        <v>1000</v>
      </c>
      <c r="X39" s="7">
        <f t="shared" si="9"/>
        <v>1100</v>
      </c>
      <c r="Y39" s="5">
        <v>300</v>
      </c>
      <c r="Z39" s="5">
        <v>10</v>
      </c>
    </row>
    <row r="40" s="3" customFormat="1" ht="16.5" spans="1:26">
      <c r="A40" s="5">
        <f t="shared" si="18"/>
        <v>641001</v>
      </c>
      <c r="B40" s="6" t="s">
        <v>358</v>
      </c>
      <c r="C40" s="6" t="s">
        <v>358</v>
      </c>
      <c r="D40" s="5">
        <v>180</v>
      </c>
      <c r="E40" s="5">
        <f t="shared" si="24"/>
        <v>140</v>
      </c>
      <c r="F40" s="5" t="str">
        <f t="shared" si="23"/>
        <v>1:180,2:140</v>
      </c>
      <c r="G40" s="6">
        <v>6</v>
      </c>
      <c r="H40" s="6">
        <v>4</v>
      </c>
      <c r="I40" s="5">
        <f t="shared" si="0"/>
        <v>1.18</v>
      </c>
      <c r="J40" s="5">
        <f t="shared" si="1"/>
        <v>2.25</v>
      </c>
      <c r="K40" s="5">
        <v>378</v>
      </c>
      <c r="L40" s="5">
        <f t="shared" si="2"/>
        <v>1152</v>
      </c>
      <c r="M40" s="5">
        <v>80</v>
      </c>
      <c r="N40" s="5">
        <f t="shared" si="3"/>
        <v>142</v>
      </c>
      <c r="O40" s="5">
        <v>46</v>
      </c>
      <c r="P40" s="5">
        <f t="shared" si="4"/>
        <v>72</v>
      </c>
      <c r="Q40" s="5">
        <v>92</v>
      </c>
      <c r="R40" s="5">
        <f t="shared" si="5"/>
        <v>163</v>
      </c>
      <c r="S40" s="5">
        <f t="shared" si="21"/>
        <v>64</v>
      </c>
      <c r="T40" s="5">
        <f t="shared" si="7"/>
        <v>100</v>
      </c>
      <c r="U40" s="5">
        <v>10</v>
      </c>
      <c r="V40" s="5">
        <f t="shared" si="8"/>
        <v>11</v>
      </c>
      <c r="W40" s="5">
        <v>1000</v>
      </c>
      <c r="X40" s="7">
        <f t="shared" si="9"/>
        <v>1100</v>
      </c>
      <c r="Y40" s="5">
        <v>300</v>
      </c>
      <c r="Z40" s="5">
        <v>10</v>
      </c>
    </row>
    <row r="41" s="3" customFormat="1" ht="16.5" spans="1:26">
      <c r="A41" s="5">
        <f t="shared" si="18"/>
        <v>641002</v>
      </c>
      <c r="B41" s="6" t="s">
        <v>361</v>
      </c>
      <c r="C41" s="6" t="s">
        <v>361</v>
      </c>
      <c r="D41" s="5">
        <v>180</v>
      </c>
      <c r="E41" s="5">
        <f t="shared" si="24"/>
        <v>140</v>
      </c>
      <c r="F41" s="5" t="str">
        <f t="shared" si="23"/>
        <v>1:180,2:140</v>
      </c>
      <c r="G41" s="6">
        <v>6</v>
      </c>
      <c r="H41" s="6">
        <v>4</v>
      </c>
      <c r="I41" s="5">
        <f t="shared" si="0"/>
        <v>1.18</v>
      </c>
      <c r="J41" s="5">
        <f t="shared" si="1"/>
        <v>2.25</v>
      </c>
      <c r="K41" s="5">
        <v>381</v>
      </c>
      <c r="L41" s="5">
        <f t="shared" si="2"/>
        <v>1161</v>
      </c>
      <c r="M41" s="5">
        <v>78</v>
      </c>
      <c r="N41" s="5">
        <f t="shared" si="3"/>
        <v>138</v>
      </c>
      <c r="O41" s="5">
        <v>48</v>
      </c>
      <c r="P41" s="5">
        <f t="shared" si="4"/>
        <v>75</v>
      </c>
      <c r="Q41" s="5">
        <v>95</v>
      </c>
      <c r="R41" s="5">
        <f t="shared" si="5"/>
        <v>169</v>
      </c>
      <c r="S41" s="5">
        <f t="shared" si="21"/>
        <v>67</v>
      </c>
      <c r="T41" s="5">
        <f t="shared" si="7"/>
        <v>105</v>
      </c>
      <c r="U41" s="5">
        <v>10</v>
      </c>
      <c r="V41" s="5">
        <f t="shared" si="8"/>
        <v>11</v>
      </c>
      <c r="W41" s="5">
        <v>1000</v>
      </c>
      <c r="X41" s="7">
        <f t="shared" si="9"/>
        <v>1100</v>
      </c>
      <c r="Y41" s="5">
        <v>300</v>
      </c>
      <c r="Z41" s="5">
        <v>10</v>
      </c>
    </row>
    <row r="42" s="3" customFormat="1" ht="16.5" spans="1:26">
      <c r="A42" s="5">
        <f t="shared" si="18"/>
        <v>651001</v>
      </c>
      <c r="B42" s="6" t="s">
        <v>364</v>
      </c>
      <c r="C42" s="6" t="s">
        <v>364</v>
      </c>
      <c r="D42" s="5">
        <v>210</v>
      </c>
      <c r="E42" s="5">
        <f t="shared" si="24"/>
        <v>180</v>
      </c>
      <c r="F42" s="5" t="str">
        <f t="shared" si="23"/>
        <v>1:210,2:180</v>
      </c>
      <c r="G42" s="6">
        <v>6</v>
      </c>
      <c r="H42" s="6">
        <v>5</v>
      </c>
      <c r="I42" s="5">
        <f t="shared" si="0"/>
        <v>1.21</v>
      </c>
      <c r="J42" s="5">
        <f t="shared" si="1"/>
        <v>2.625</v>
      </c>
      <c r="K42" s="5">
        <v>395</v>
      </c>
      <c r="L42" s="5">
        <f t="shared" si="2"/>
        <v>1431</v>
      </c>
      <c r="M42" s="5">
        <v>76</v>
      </c>
      <c r="N42" s="5">
        <f t="shared" si="3"/>
        <v>148</v>
      </c>
      <c r="O42" s="5">
        <v>52</v>
      </c>
      <c r="P42" s="5">
        <f t="shared" si="4"/>
        <v>88</v>
      </c>
      <c r="Q42" s="5">
        <v>108</v>
      </c>
      <c r="R42" s="5">
        <f t="shared" si="5"/>
        <v>211</v>
      </c>
      <c r="S42" s="5">
        <f t="shared" si="21"/>
        <v>72</v>
      </c>
      <c r="T42" s="5">
        <f t="shared" si="7"/>
        <v>123</v>
      </c>
      <c r="U42" s="5">
        <v>10</v>
      </c>
      <c r="V42" s="5">
        <f t="shared" si="8"/>
        <v>12</v>
      </c>
      <c r="W42" s="5">
        <v>1000</v>
      </c>
      <c r="X42" s="7">
        <f t="shared" si="9"/>
        <v>1100</v>
      </c>
      <c r="Y42" s="5">
        <v>300</v>
      </c>
      <c r="Z42" s="5">
        <v>10</v>
      </c>
    </row>
    <row r="43" s="3" customFormat="1" ht="16.5" spans="1:26">
      <c r="A43" s="5">
        <f t="shared" si="18"/>
        <v>651002</v>
      </c>
      <c r="B43" s="6" t="s">
        <v>367</v>
      </c>
      <c r="C43" s="6" t="s">
        <v>367</v>
      </c>
      <c r="D43" s="5">
        <v>210</v>
      </c>
      <c r="E43" s="5">
        <f t="shared" si="24"/>
        <v>180</v>
      </c>
      <c r="F43" s="5" t="str">
        <f t="shared" si="23"/>
        <v>1:210,2:180</v>
      </c>
      <c r="G43" s="6">
        <v>6</v>
      </c>
      <c r="H43" s="6">
        <v>5</v>
      </c>
      <c r="I43" s="5">
        <f t="shared" si="0"/>
        <v>1.21</v>
      </c>
      <c r="J43" s="5">
        <f t="shared" si="1"/>
        <v>2.625</v>
      </c>
      <c r="K43" s="5">
        <v>398</v>
      </c>
      <c r="L43" s="5">
        <f t="shared" si="2"/>
        <v>1442</v>
      </c>
      <c r="M43" s="5">
        <v>76</v>
      </c>
      <c r="N43" s="5">
        <f t="shared" si="3"/>
        <v>148</v>
      </c>
      <c r="O43" s="5">
        <v>55</v>
      </c>
      <c r="P43" s="5">
        <f t="shared" si="4"/>
        <v>93</v>
      </c>
      <c r="Q43" s="5">
        <v>110</v>
      </c>
      <c r="R43" s="5">
        <f t="shared" si="5"/>
        <v>215</v>
      </c>
      <c r="S43" s="5">
        <f t="shared" si="21"/>
        <v>77</v>
      </c>
      <c r="T43" s="5">
        <f t="shared" si="7"/>
        <v>131</v>
      </c>
      <c r="U43" s="5">
        <v>10</v>
      </c>
      <c r="V43" s="5">
        <f t="shared" si="8"/>
        <v>12</v>
      </c>
      <c r="W43" s="5">
        <v>1000</v>
      </c>
      <c r="X43" s="7">
        <f t="shared" si="9"/>
        <v>1100</v>
      </c>
      <c r="Y43" s="5">
        <v>300</v>
      </c>
      <c r="Z43" s="5">
        <v>10</v>
      </c>
    </row>
    <row r="44" s="3" customFormat="1" ht="16.5" spans="1:26">
      <c r="A44" s="5">
        <f t="shared" si="18"/>
        <v>661001</v>
      </c>
      <c r="B44" s="6" t="s">
        <v>370</v>
      </c>
      <c r="C44" s="6" t="s">
        <v>370</v>
      </c>
      <c r="D44" s="5">
        <v>240</v>
      </c>
      <c r="E44" s="5">
        <f t="shared" si="24"/>
        <v>220</v>
      </c>
      <c r="F44" s="5" t="str">
        <f t="shared" si="23"/>
        <v>1:240,2:220</v>
      </c>
      <c r="G44" s="6">
        <v>6</v>
      </c>
      <c r="H44" s="6">
        <v>6</v>
      </c>
      <c r="I44" s="5">
        <f t="shared" si="0"/>
        <v>1.24</v>
      </c>
      <c r="J44" s="5">
        <f t="shared" si="1"/>
        <v>3</v>
      </c>
      <c r="K44" s="5">
        <v>412</v>
      </c>
      <c r="L44" s="5">
        <f t="shared" si="2"/>
        <v>1730</v>
      </c>
      <c r="M44" s="5">
        <v>76</v>
      </c>
      <c r="N44" s="5">
        <f t="shared" si="3"/>
        <v>162</v>
      </c>
      <c r="O44" s="5">
        <v>60</v>
      </c>
      <c r="P44" s="5">
        <f t="shared" si="4"/>
        <v>110</v>
      </c>
      <c r="Q44" s="5">
        <v>116</v>
      </c>
      <c r="R44" s="5">
        <f t="shared" si="5"/>
        <v>247</v>
      </c>
      <c r="S44" s="5">
        <f t="shared" si="21"/>
        <v>84</v>
      </c>
      <c r="T44" s="5">
        <f t="shared" si="7"/>
        <v>154</v>
      </c>
      <c r="U44" s="5">
        <v>10</v>
      </c>
      <c r="V44" s="5">
        <f t="shared" si="8"/>
        <v>12</v>
      </c>
      <c r="W44" s="5">
        <v>1000</v>
      </c>
      <c r="X44" s="7">
        <f t="shared" si="9"/>
        <v>1100</v>
      </c>
      <c r="Y44" s="5">
        <v>300</v>
      </c>
      <c r="Z44" s="5">
        <v>10</v>
      </c>
    </row>
    <row r="45" s="3" customFormat="1" ht="16.5" spans="1:26">
      <c r="A45" s="5">
        <f t="shared" si="18"/>
        <v>711001</v>
      </c>
      <c r="B45" s="6" t="s">
        <v>373</v>
      </c>
      <c r="C45" s="6" t="s">
        <v>373</v>
      </c>
      <c r="D45" s="5">
        <v>100</v>
      </c>
      <c r="E45" s="5"/>
      <c r="F45" s="5" t="str">
        <f t="shared" si="23"/>
        <v>1:100</v>
      </c>
      <c r="G45" s="6">
        <v>7</v>
      </c>
      <c r="H45" s="6">
        <v>1</v>
      </c>
      <c r="I45" s="5">
        <f t="shared" si="0"/>
        <v>1.1</v>
      </c>
      <c r="J45" s="5">
        <f t="shared" si="1"/>
        <v>1.25</v>
      </c>
      <c r="K45" s="5">
        <v>258</v>
      </c>
      <c r="L45" s="5">
        <f t="shared" si="2"/>
        <v>373</v>
      </c>
      <c r="M45" s="5">
        <v>67</v>
      </c>
      <c r="N45" s="5">
        <f t="shared" si="3"/>
        <v>83</v>
      </c>
      <c r="O45" s="5">
        <v>37</v>
      </c>
      <c r="P45" s="5">
        <f t="shared" si="4"/>
        <v>43</v>
      </c>
      <c r="Q45" s="5">
        <v>57</v>
      </c>
      <c r="R45" s="5">
        <f t="shared" si="5"/>
        <v>70</v>
      </c>
      <c r="S45" s="5">
        <f t="shared" ref="S45:S49" si="25">INT(O45*0.88)</f>
        <v>32</v>
      </c>
      <c r="T45" s="5">
        <f t="shared" si="7"/>
        <v>38</v>
      </c>
      <c r="U45" s="5">
        <v>10</v>
      </c>
      <c r="V45" s="5">
        <f t="shared" si="8"/>
        <v>11</v>
      </c>
      <c r="W45" s="5">
        <v>100</v>
      </c>
      <c r="X45" s="7">
        <f t="shared" si="9"/>
        <v>500</v>
      </c>
      <c r="Y45" s="5">
        <v>300</v>
      </c>
      <c r="Z45" s="5">
        <v>8</v>
      </c>
    </row>
    <row r="46" s="3" customFormat="1" ht="16.5" spans="1:26">
      <c r="A46" s="5">
        <f t="shared" si="18"/>
        <v>721001</v>
      </c>
      <c r="B46" s="6" t="s">
        <v>377</v>
      </c>
      <c r="C46" s="6" t="s">
        <v>377</v>
      </c>
      <c r="D46" s="5">
        <v>130</v>
      </c>
      <c r="E46" s="5"/>
      <c r="F46" s="5" t="str">
        <f t="shared" si="23"/>
        <v>1:130</v>
      </c>
      <c r="G46" s="6">
        <v>7</v>
      </c>
      <c r="H46" s="6">
        <v>2</v>
      </c>
      <c r="I46" s="5">
        <f t="shared" si="0"/>
        <v>1.13</v>
      </c>
      <c r="J46" s="5">
        <f t="shared" si="1"/>
        <v>1.625</v>
      </c>
      <c r="K46" s="5">
        <v>270</v>
      </c>
      <c r="L46" s="5">
        <f t="shared" si="2"/>
        <v>546</v>
      </c>
      <c r="M46" s="5">
        <v>77</v>
      </c>
      <c r="N46" s="5">
        <f t="shared" si="3"/>
        <v>110</v>
      </c>
      <c r="O46" s="5">
        <v>46</v>
      </c>
      <c r="P46" s="5">
        <f t="shared" si="4"/>
        <v>60</v>
      </c>
      <c r="Q46" s="5">
        <v>62</v>
      </c>
      <c r="R46" s="5">
        <f t="shared" si="5"/>
        <v>88</v>
      </c>
      <c r="S46" s="5">
        <f t="shared" si="25"/>
        <v>40</v>
      </c>
      <c r="T46" s="5">
        <f t="shared" si="7"/>
        <v>53</v>
      </c>
      <c r="U46" s="5">
        <v>10</v>
      </c>
      <c r="V46" s="5">
        <f t="shared" si="8"/>
        <v>11</v>
      </c>
      <c r="W46" s="5">
        <v>100</v>
      </c>
      <c r="X46" s="7">
        <f t="shared" si="9"/>
        <v>500</v>
      </c>
      <c r="Y46" s="5">
        <v>300</v>
      </c>
      <c r="Z46" s="5">
        <v>8</v>
      </c>
    </row>
    <row r="47" s="3" customFormat="1" ht="16.5" spans="1:26">
      <c r="A47" s="5">
        <f t="shared" si="18"/>
        <v>721002</v>
      </c>
      <c r="B47" s="6" t="s">
        <v>380</v>
      </c>
      <c r="C47" s="6" t="s">
        <v>380</v>
      </c>
      <c r="D47" s="5">
        <v>150</v>
      </c>
      <c r="E47" s="5">
        <v>0</v>
      </c>
      <c r="F47" s="5" t="str">
        <f t="shared" si="23"/>
        <v>1:150,2:0</v>
      </c>
      <c r="G47" s="6">
        <v>7</v>
      </c>
      <c r="H47" s="6">
        <v>2</v>
      </c>
      <c r="I47" s="5">
        <f t="shared" si="0"/>
        <v>1.15</v>
      </c>
      <c r="J47" s="5">
        <f t="shared" si="1"/>
        <v>1.875</v>
      </c>
      <c r="K47" s="5">
        <v>288</v>
      </c>
      <c r="L47" s="5">
        <f t="shared" si="2"/>
        <v>655</v>
      </c>
      <c r="M47" s="5">
        <v>78</v>
      </c>
      <c r="N47" s="5">
        <f t="shared" si="3"/>
        <v>112</v>
      </c>
      <c r="O47" s="5">
        <v>30</v>
      </c>
      <c r="P47" s="5">
        <f t="shared" si="4"/>
        <v>40</v>
      </c>
      <c r="Q47" s="5">
        <v>57</v>
      </c>
      <c r="R47" s="5">
        <f t="shared" si="5"/>
        <v>82</v>
      </c>
      <c r="S47" s="5">
        <f t="shared" si="25"/>
        <v>26</v>
      </c>
      <c r="T47" s="5">
        <f t="shared" si="7"/>
        <v>34</v>
      </c>
      <c r="U47" s="5">
        <v>10</v>
      </c>
      <c r="V47" s="5">
        <f t="shared" si="8"/>
        <v>11</v>
      </c>
      <c r="W47" s="5">
        <v>1000</v>
      </c>
      <c r="X47" s="7">
        <f t="shared" si="9"/>
        <v>1100</v>
      </c>
      <c r="Y47" s="5">
        <v>300</v>
      </c>
      <c r="Z47" s="5">
        <v>10</v>
      </c>
    </row>
    <row r="48" s="3" customFormat="1" ht="16.5" spans="1:26">
      <c r="A48" s="5">
        <f t="shared" si="18"/>
        <v>731001</v>
      </c>
      <c r="B48" s="6" t="s">
        <v>384</v>
      </c>
      <c r="C48" s="6" t="s">
        <v>384</v>
      </c>
      <c r="D48" s="5">
        <v>160</v>
      </c>
      <c r="E48" s="5">
        <f t="shared" ref="E48:E56" si="26">D48-80+(H48*10)</f>
        <v>110</v>
      </c>
      <c r="F48" s="5" t="str">
        <f t="shared" si="23"/>
        <v>1:160,2:110</v>
      </c>
      <c r="G48" s="6">
        <v>7</v>
      </c>
      <c r="H48" s="6">
        <v>3</v>
      </c>
      <c r="I48" s="5">
        <f t="shared" si="0"/>
        <v>1.16</v>
      </c>
      <c r="J48" s="5">
        <f t="shared" si="1"/>
        <v>2</v>
      </c>
      <c r="K48" s="5">
        <v>312</v>
      </c>
      <c r="L48" s="5">
        <f t="shared" si="2"/>
        <v>811</v>
      </c>
      <c r="M48" s="5">
        <v>91</v>
      </c>
      <c r="N48" s="5">
        <f t="shared" si="3"/>
        <v>145</v>
      </c>
      <c r="O48" s="5">
        <v>48</v>
      </c>
      <c r="P48" s="5">
        <f t="shared" si="4"/>
        <v>69</v>
      </c>
      <c r="Q48" s="5">
        <v>68</v>
      </c>
      <c r="R48" s="5">
        <f t="shared" si="5"/>
        <v>108</v>
      </c>
      <c r="S48" s="5">
        <f t="shared" si="25"/>
        <v>42</v>
      </c>
      <c r="T48" s="5">
        <f t="shared" si="7"/>
        <v>60</v>
      </c>
      <c r="U48" s="5">
        <v>10</v>
      </c>
      <c r="V48" s="5">
        <f t="shared" si="8"/>
        <v>11</v>
      </c>
      <c r="W48" s="5">
        <v>100</v>
      </c>
      <c r="X48" s="7">
        <f t="shared" si="9"/>
        <v>500</v>
      </c>
      <c r="Y48" s="5">
        <v>400</v>
      </c>
      <c r="Z48" s="5">
        <v>8</v>
      </c>
    </row>
    <row r="49" s="3" customFormat="1" ht="16.5" spans="1:26">
      <c r="A49" s="5">
        <f t="shared" si="18"/>
        <v>731002</v>
      </c>
      <c r="B49" s="6" t="s">
        <v>388</v>
      </c>
      <c r="C49" s="6" t="s">
        <v>388</v>
      </c>
      <c r="D49" s="5">
        <v>180</v>
      </c>
      <c r="E49" s="5">
        <f t="shared" si="26"/>
        <v>130</v>
      </c>
      <c r="F49" s="5" t="str">
        <f t="shared" si="23"/>
        <v>1:180,2:130</v>
      </c>
      <c r="G49" s="6">
        <v>7</v>
      </c>
      <c r="H49" s="6">
        <v>3</v>
      </c>
      <c r="I49" s="5">
        <f t="shared" si="0"/>
        <v>1.18</v>
      </c>
      <c r="J49" s="5">
        <f t="shared" si="1"/>
        <v>2.25</v>
      </c>
      <c r="K49" s="5">
        <v>358</v>
      </c>
      <c r="L49" s="5">
        <f t="shared" si="2"/>
        <v>1019</v>
      </c>
      <c r="M49" s="5">
        <v>88</v>
      </c>
      <c r="N49" s="5">
        <f t="shared" si="3"/>
        <v>142</v>
      </c>
      <c r="O49" s="5">
        <v>50</v>
      </c>
      <c r="P49" s="5">
        <f t="shared" si="4"/>
        <v>74</v>
      </c>
      <c r="Q49" s="5">
        <v>61</v>
      </c>
      <c r="R49" s="5">
        <f t="shared" si="5"/>
        <v>98</v>
      </c>
      <c r="S49" s="5">
        <f t="shared" si="25"/>
        <v>44</v>
      </c>
      <c r="T49" s="5">
        <f t="shared" si="7"/>
        <v>64</v>
      </c>
      <c r="U49" s="5">
        <v>10</v>
      </c>
      <c r="V49" s="5">
        <f t="shared" si="8"/>
        <v>11</v>
      </c>
      <c r="W49" s="5">
        <v>1000</v>
      </c>
      <c r="X49" s="7">
        <f t="shared" si="9"/>
        <v>1100</v>
      </c>
      <c r="Y49" s="5">
        <v>300</v>
      </c>
      <c r="Z49" s="5">
        <v>10</v>
      </c>
    </row>
    <row r="50" s="3" customFormat="1" ht="16.5" spans="1:26">
      <c r="A50" s="5">
        <f t="shared" si="18"/>
        <v>741001</v>
      </c>
      <c r="B50" s="6" t="s">
        <v>391</v>
      </c>
      <c r="C50" s="6" t="s">
        <v>391</v>
      </c>
      <c r="D50" s="5">
        <v>190</v>
      </c>
      <c r="E50" s="5">
        <f t="shared" si="26"/>
        <v>150</v>
      </c>
      <c r="F50" s="5" t="str">
        <f t="shared" si="23"/>
        <v>1:190,2:150</v>
      </c>
      <c r="G50" s="6">
        <v>7</v>
      </c>
      <c r="H50" s="6">
        <v>4</v>
      </c>
      <c r="I50" s="5">
        <f t="shared" si="0"/>
        <v>1.19</v>
      </c>
      <c r="J50" s="5">
        <f t="shared" si="1"/>
        <v>2.375</v>
      </c>
      <c r="K50" s="5">
        <v>338</v>
      </c>
      <c r="L50" s="5">
        <f t="shared" si="2"/>
        <v>1072</v>
      </c>
      <c r="M50" s="5">
        <v>75</v>
      </c>
      <c r="N50" s="5">
        <f t="shared" si="3"/>
        <v>134</v>
      </c>
      <c r="O50" s="5">
        <v>44</v>
      </c>
      <c r="P50" s="5">
        <f t="shared" si="4"/>
        <v>69</v>
      </c>
      <c r="Q50" s="5">
        <v>98</v>
      </c>
      <c r="R50" s="5">
        <f t="shared" si="5"/>
        <v>174</v>
      </c>
      <c r="S50" s="5">
        <f>INT(O50*1.4)</f>
        <v>61</v>
      </c>
      <c r="T50" s="5">
        <f t="shared" si="7"/>
        <v>96</v>
      </c>
      <c r="U50" s="5">
        <v>10</v>
      </c>
      <c r="V50" s="5">
        <f t="shared" si="8"/>
        <v>11</v>
      </c>
      <c r="W50" s="5">
        <v>1000</v>
      </c>
      <c r="X50" s="7">
        <f t="shared" si="9"/>
        <v>1100</v>
      </c>
      <c r="Y50" s="5">
        <v>300</v>
      </c>
      <c r="Z50" s="5">
        <v>10</v>
      </c>
    </row>
    <row r="51" s="3" customFormat="1" ht="16.5" spans="1:26">
      <c r="A51" s="5">
        <f t="shared" si="18"/>
        <v>741002</v>
      </c>
      <c r="B51" s="6" t="s">
        <v>395</v>
      </c>
      <c r="C51" s="6" t="s">
        <v>395</v>
      </c>
      <c r="D51" s="5">
        <v>220</v>
      </c>
      <c r="E51" s="5">
        <f t="shared" si="26"/>
        <v>180</v>
      </c>
      <c r="F51" s="5" t="str">
        <f t="shared" si="23"/>
        <v>1:220,2:180</v>
      </c>
      <c r="G51" s="6">
        <v>7</v>
      </c>
      <c r="H51" s="6">
        <v>4</v>
      </c>
      <c r="I51" s="5">
        <f t="shared" si="0"/>
        <v>1.22</v>
      </c>
      <c r="J51" s="5">
        <f t="shared" si="1"/>
        <v>2.75</v>
      </c>
      <c r="K51" s="5">
        <v>400</v>
      </c>
      <c r="L51" s="5">
        <f t="shared" si="2"/>
        <v>1420</v>
      </c>
      <c r="M51" s="5">
        <v>100</v>
      </c>
      <c r="N51" s="5">
        <f t="shared" si="3"/>
        <v>182</v>
      </c>
      <c r="O51" s="5">
        <v>55</v>
      </c>
      <c r="P51" s="5">
        <f t="shared" si="4"/>
        <v>89</v>
      </c>
      <c r="Q51" s="5">
        <v>71</v>
      </c>
      <c r="R51" s="5">
        <f t="shared" si="5"/>
        <v>128</v>
      </c>
      <c r="S51" s="5">
        <f>INT(O51*0.88)</f>
        <v>48</v>
      </c>
      <c r="T51" s="5">
        <f t="shared" si="7"/>
        <v>77</v>
      </c>
      <c r="U51" s="5">
        <v>10</v>
      </c>
      <c r="V51" s="5">
        <f t="shared" si="8"/>
        <v>12</v>
      </c>
      <c r="W51" s="5">
        <v>1000</v>
      </c>
      <c r="X51" s="7">
        <f t="shared" si="9"/>
        <v>1100</v>
      </c>
      <c r="Y51" s="5">
        <v>300</v>
      </c>
      <c r="Z51" s="5">
        <v>10</v>
      </c>
    </row>
    <row r="52" s="3" customFormat="1" ht="16.5" spans="1:26">
      <c r="A52" s="5">
        <f t="shared" si="18"/>
        <v>741003</v>
      </c>
      <c r="B52" s="6" t="s">
        <v>397</v>
      </c>
      <c r="C52" s="6" t="s">
        <v>397</v>
      </c>
      <c r="D52" s="5">
        <v>220</v>
      </c>
      <c r="E52" s="5">
        <f t="shared" si="26"/>
        <v>180</v>
      </c>
      <c r="F52" s="5" t="str">
        <f t="shared" si="23"/>
        <v>1:220,2:180</v>
      </c>
      <c r="G52" s="6">
        <v>7</v>
      </c>
      <c r="H52" s="6">
        <v>4</v>
      </c>
      <c r="I52" s="5">
        <f t="shared" si="0"/>
        <v>1.22</v>
      </c>
      <c r="J52" s="5">
        <f t="shared" si="1"/>
        <v>2.75</v>
      </c>
      <c r="K52" s="5">
        <v>400</v>
      </c>
      <c r="L52" s="5">
        <f t="shared" si="2"/>
        <v>1420</v>
      </c>
      <c r="M52" s="5">
        <v>100</v>
      </c>
      <c r="N52" s="5">
        <f t="shared" si="3"/>
        <v>182</v>
      </c>
      <c r="O52" s="5">
        <v>55</v>
      </c>
      <c r="P52" s="5">
        <f t="shared" si="4"/>
        <v>89</v>
      </c>
      <c r="Q52" s="5">
        <v>71</v>
      </c>
      <c r="R52" s="5">
        <f t="shared" si="5"/>
        <v>128</v>
      </c>
      <c r="S52" s="5">
        <f>INT(O52*0.88)</f>
        <v>48</v>
      </c>
      <c r="T52" s="5">
        <f t="shared" si="7"/>
        <v>77</v>
      </c>
      <c r="U52" s="5">
        <v>10</v>
      </c>
      <c r="V52" s="5">
        <f t="shared" si="8"/>
        <v>12</v>
      </c>
      <c r="W52" s="5">
        <v>1000</v>
      </c>
      <c r="X52" s="7">
        <f t="shared" si="9"/>
        <v>1100</v>
      </c>
      <c r="Y52" s="5">
        <v>300</v>
      </c>
      <c r="Z52" s="5">
        <v>10</v>
      </c>
    </row>
    <row r="53" s="3" customFormat="1" ht="16.5" spans="1:26">
      <c r="A53" s="5">
        <f>IF((100000*G53+H53*10000+1001)=(100000*G51+H51*10000+1001),A51+1,(100000*G53+H53*10000+1001))</f>
        <v>751001</v>
      </c>
      <c r="B53" s="6" t="s">
        <v>399</v>
      </c>
      <c r="C53" s="6" t="s">
        <v>399</v>
      </c>
      <c r="D53" s="5">
        <v>230</v>
      </c>
      <c r="E53" s="5">
        <f t="shared" si="26"/>
        <v>200</v>
      </c>
      <c r="F53" s="5" t="str">
        <f t="shared" si="23"/>
        <v>1:230,2:200</v>
      </c>
      <c r="G53" s="6">
        <v>7</v>
      </c>
      <c r="H53" s="6">
        <v>5</v>
      </c>
      <c r="I53" s="5">
        <f t="shared" si="0"/>
        <v>1.23</v>
      </c>
      <c r="J53" s="5">
        <f t="shared" si="1"/>
        <v>2.875</v>
      </c>
      <c r="K53" s="5">
        <v>368</v>
      </c>
      <c r="L53" s="5">
        <f t="shared" si="2"/>
        <v>1426</v>
      </c>
      <c r="M53" s="5">
        <v>130</v>
      </c>
      <c r="N53" s="5">
        <f t="shared" si="3"/>
        <v>256</v>
      </c>
      <c r="O53" s="5">
        <v>55</v>
      </c>
      <c r="P53" s="5">
        <f t="shared" si="4"/>
        <v>94</v>
      </c>
      <c r="Q53" s="5">
        <v>72</v>
      </c>
      <c r="R53" s="5">
        <f t="shared" si="5"/>
        <v>142</v>
      </c>
      <c r="S53" s="5">
        <f t="shared" ref="S53:S61" si="27">INT(O53*0.88)</f>
        <v>48</v>
      </c>
      <c r="T53" s="5">
        <f t="shared" si="7"/>
        <v>83</v>
      </c>
      <c r="U53" s="5">
        <v>10</v>
      </c>
      <c r="V53" s="5">
        <f t="shared" si="8"/>
        <v>12</v>
      </c>
      <c r="W53" s="5">
        <v>100</v>
      </c>
      <c r="X53" s="7">
        <f t="shared" si="9"/>
        <v>500</v>
      </c>
      <c r="Y53" s="5">
        <v>300</v>
      </c>
      <c r="Z53" s="5">
        <v>8</v>
      </c>
    </row>
    <row r="54" s="3" customFormat="1" ht="16.5" spans="1:26">
      <c r="A54" s="5">
        <f t="shared" ref="A54:A63" si="28">IF((100000*G54+H54*10000+1001)=(100000*G53+H53*10000+1001),A53+1,(100000*G54+H54*10000+1001))</f>
        <v>751002</v>
      </c>
      <c r="B54" s="6" t="s">
        <v>401</v>
      </c>
      <c r="C54" s="6" t="s">
        <v>401</v>
      </c>
      <c r="D54" s="5">
        <v>250</v>
      </c>
      <c r="E54" s="5">
        <f t="shared" si="26"/>
        <v>220</v>
      </c>
      <c r="F54" s="5" t="str">
        <f t="shared" si="23"/>
        <v>1:250,2:220</v>
      </c>
      <c r="G54" s="6">
        <v>7</v>
      </c>
      <c r="H54" s="6">
        <v>5</v>
      </c>
      <c r="I54" s="5">
        <f t="shared" si="0"/>
        <v>1.25</v>
      </c>
      <c r="J54" s="5">
        <f t="shared" si="1"/>
        <v>3.125</v>
      </c>
      <c r="K54" s="5">
        <v>410</v>
      </c>
      <c r="L54" s="5">
        <f t="shared" si="2"/>
        <v>1691</v>
      </c>
      <c r="M54" s="5">
        <v>136</v>
      </c>
      <c r="N54" s="5">
        <f t="shared" si="3"/>
        <v>272</v>
      </c>
      <c r="O54" s="5">
        <v>55</v>
      </c>
      <c r="P54" s="5">
        <f t="shared" si="4"/>
        <v>95</v>
      </c>
      <c r="Q54" s="5">
        <v>73</v>
      </c>
      <c r="R54" s="5">
        <f t="shared" si="5"/>
        <v>145</v>
      </c>
      <c r="S54" s="5">
        <f t="shared" ref="S54:S56" si="29">INT(O54*1.1)</f>
        <v>60</v>
      </c>
      <c r="T54" s="5">
        <f t="shared" si="7"/>
        <v>105</v>
      </c>
      <c r="U54" s="5">
        <v>10</v>
      </c>
      <c r="V54" s="5">
        <f t="shared" si="8"/>
        <v>12</v>
      </c>
      <c r="W54" s="5">
        <v>1000</v>
      </c>
      <c r="X54" s="7">
        <f t="shared" si="9"/>
        <v>1100</v>
      </c>
      <c r="Y54" s="5">
        <v>300</v>
      </c>
      <c r="Z54" s="5">
        <v>10</v>
      </c>
    </row>
    <row r="55" s="3" customFormat="1" ht="16.5" spans="1:26">
      <c r="A55" s="5">
        <f t="shared" si="28"/>
        <v>761001</v>
      </c>
      <c r="B55" s="6" t="s">
        <v>403</v>
      </c>
      <c r="C55" s="6" t="s">
        <v>403</v>
      </c>
      <c r="D55" s="5">
        <v>390</v>
      </c>
      <c r="E55" s="5">
        <f t="shared" si="26"/>
        <v>370</v>
      </c>
      <c r="F55" s="5" t="str">
        <f t="shared" si="23"/>
        <v>1:390,2:370</v>
      </c>
      <c r="G55" s="6">
        <v>7</v>
      </c>
      <c r="H55" s="6">
        <v>6</v>
      </c>
      <c r="I55" s="5">
        <f t="shared" si="0"/>
        <v>1.39</v>
      </c>
      <c r="J55" s="5">
        <f t="shared" si="1"/>
        <v>4.875</v>
      </c>
      <c r="K55" s="5">
        <v>480</v>
      </c>
      <c r="L55" s="5">
        <f t="shared" si="2"/>
        <v>2916</v>
      </c>
      <c r="M55" s="5">
        <v>150</v>
      </c>
      <c r="N55" s="5">
        <f t="shared" si="3"/>
        <v>343</v>
      </c>
      <c r="O55" s="5">
        <v>78</v>
      </c>
      <c r="P55" s="5">
        <f t="shared" si="4"/>
        <v>154</v>
      </c>
      <c r="Q55" s="5">
        <v>73</v>
      </c>
      <c r="R55" s="5">
        <f t="shared" si="5"/>
        <v>166</v>
      </c>
      <c r="S55" s="5">
        <f t="shared" si="29"/>
        <v>85</v>
      </c>
      <c r="T55" s="5">
        <f t="shared" si="7"/>
        <v>169</v>
      </c>
      <c r="U55" s="5">
        <v>10</v>
      </c>
      <c r="V55" s="5">
        <f t="shared" si="8"/>
        <v>13</v>
      </c>
      <c r="W55" s="5">
        <v>1000</v>
      </c>
      <c r="X55" s="7">
        <f t="shared" si="9"/>
        <v>1100</v>
      </c>
      <c r="Y55" s="5">
        <v>300</v>
      </c>
      <c r="Z55" s="5">
        <v>10</v>
      </c>
    </row>
    <row r="56" s="3" customFormat="1" ht="16.5" spans="1:26">
      <c r="A56" s="5">
        <f t="shared" si="28"/>
        <v>761002</v>
      </c>
      <c r="B56" s="6" t="s">
        <v>406</v>
      </c>
      <c r="C56" s="6" t="s">
        <v>406</v>
      </c>
      <c r="D56" s="5">
        <v>300</v>
      </c>
      <c r="E56" s="5">
        <f t="shared" si="26"/>
        <v>280</v>
      </c>
      <c r="F56" s="5" t="str">
        <f t="shared" si="23"/>
        <v>1:300,2:280</v>
      </c>
      <c r="G56" s="6">
        <v>7</v>
      </c>
      <c r="H56" s="6">
        <v>6</v>
      </c>
      <c r="I56" s="5">
        <f t="shared" si="0"/>
        <v>1.3</v>
      </c>
      <c r="J56" s="5">
        <f t="shared" si="1"/>
        <v>3.75</v>
      </c>
      <c r="K56" s="5">
        <v>465</v>
      </c>
      <c r="L56" s="5">
        <f t="shared" si="2"/>
        <v>2301</v>
      </c>
      <c r="M56" s="5">
        <v>136</v>
      </c>
      <c r="N56" s="5">
        <f t="shared" si="3"/>
        <v>298</v>
      </c>
      <c r="O56" s="5">
        <v>68</v>
      </c>
      <c r="P56" s="5">
        <f t="shared" si="4"/>
        <v>128</v>
      </c>
      <c r="Q56" s="5">
        <v>72</v>
      </c>
      <c r="R56" s="5">
        <f t="shared" si="5"/>
        <v>157</v>
      </c>
      <c r="S56" s="5">
        <f t="shared" si="29"/>
        <v>74</v>
      </c>
      <c r="T56" s="5">
        <f t="shared" si="7"/>
        <v>140</v>
      </c>
      <c r="U56" s="5">
        <v>10</v>
      </c>
      <c r="V56" s="5">
        <f t="shared" si="8"/>
        <v>13</v>
      </c>
      <c r="W56" s="5">
        <v>1000</v>
      </c>
      <c r="X56" s="7">
        <f t="shared" si="9"/>
        <v>1100</v>
      </c>
      <c r="Y56" s="5">
        <v>300</v>
      </c>
      <c r="Z56" s="5">
        <v>10</v>
      </c>
    </row>
    <row r="57" s="3" customFormat="1" ht="16.5" spans="1:26">
      <c r="A57" s="5">
        <f t="shared" si="28"/>
        <v>811001</v>
      </c>
      <c r="B57" s="6" t="s">
        <v>408</v>
      </c>
      <c r="C57" s="6" t="s">
        <v>408</v>
      </c>
      <c r="D57" s="5">
        <v>170</v>
      </c>
      <c r="E57" s="5"/>
      <c r="F57" s="5" t="str">
        <f t="shared" si="23"/>
        <v>1:170</v>
      </c>
      <c r="G57" s="6">
        <v>8</v>
      </c>
      <c r="H57" s="6">
        <v>1</v>
      </c>
      <c r="I57" s="5">
        <f t="shared" si="0"/>
        <v>1.17</v>
      </c>
      <c r="J57" s="5">
        <f t="shared" si="1"/>
        <v>2.125</v>
      </c>
      <c r="K57" s="5">
        <v>254</v>
      </c>
      <c r="L57" s="5">
        <f t="shared" si="2"/>
        <v>589</v>
      </c>
      <c r="M57" s="5">
        <v>65</v>
      </c>
      <c r="N57" s="5">
        <f t="shared" si="3"/>
        <v>85</v>
      </c>
      <c r="O57" s="5">
        <v>36</v>
      </c>
      <c r="P57" s="5">
        <f t="shared" si="4"/>
        <v>45</v>
      </c>
      <c r="Q57" s="5">
        <v>55</v>
      </c>
      <c r="R57" s="5">
        <f t="shared" si="5"/>
        <v>72</v>
      </c>
      <c r="S57" s="5">
        <f t="shared" si="27"/>
        <v>31</v>
      </c>
      <c r="T57" s="5">
        <f t="shared" si="7"/>
        <v>39</v>
      </c>
      <c r="U57" s="5">
        <v>10</v>
      </c>
      <c r="V57" s="5">
        <f t="shared" si="8"/>
        <v>11</v>
      </c>
      <c r="W57" s="5">
        <v>100</v>
      </c>
      <c r="X57" s="7">
        <f t="shared" si="9"/>
        <v>500</v>
      </c>
      <c r="Y57" s="5">
        <v>300</v>
      </c>
      <c r="Z57" s="5">
        <v>8</v>
      </c>
    </row>
    <row r="58" s="3" customFormat="1" ht="16.5" spans="1:26">
      <c r="A58" s="5">
        <f t="shared" si="28"/>
        <v>821001</v>
      </c>
      <c r="B58" s="6" t="s">
        <v>411</v>
      </c>
      <c r="C58" s="6" t="s">
        <v>411</v>
      </c>
      <c r="D58" s="5">
        <v>200</v>
      </c>
      <c r="E58" s="5"/>
      <c r="F58" s="5" t="str">
        <f t="shared" si="23"/>
        <v>1:200</v>
      </c>
      <c r="G58" s="6">
        <v>8</v>
      </c>
      <c r="H58" s="6">
        <v>2</v>
      </c>
      <c r="I58" s="5">
        <f t="shared" si="0"/>
        <v>1.2</v>
      </c>
      <c r="J58" s="5">
        <f t="shared" si="1"/>
        <v>2.5</v>
      </c>
      <c r="K58" s="5">
        <v>270</v>
      </c>
      <c r="L58" s="5">
        <f t="shared" si="2"/>
        <v>783</v>
      </c>
      <c r="M58" s="5">
        <v>81</v>
      </c>
      <c r="N58" s="5">
        <f t="shared" si="3"/>
        <v>121</v>
      </c>
      <c r="O58" s="5">
        <v>44</v>
      </c>
      <c r="P58" s="5">
        <f t="shared" si="4"/>
        <v>60</v>
      </c>
      <c r="Q58" s="5">
        <v>60</v>
      </c>
      <c r="R58" s="5">
        <f t="shared" si="5"/>
        <v>90</v>
      </c>
      <c r="S58" s="5">
        <f t="shared" si="27"/>
        <v>38</v>
      </c>
      <c r="T58" s="5">
        <f t="shared" si="7"/>
        <v>52</v>
      </c>
      <c r="U58" s="5">
        <v>10</v>
      </c>
      <c r="V58" s="5">
        <f t="shared" si="8"/>
        <v>12</v>
      </c>
      <c r="W58" s="5">
        <v>100</v>
      </c>
      <c r="X58" s="7">
        <f t="shared" si="9"/>
        <v>500</v>
      </c>
      <c r="Y58" s="5">
        <v>300</v>
      </c>
      <c r="Z58" s="5">
        <v>8</v>
      </c>
    </row>
    <row r="59" s="3" customFormat="1" ht="16.5" spans="1:26">
      <c r="A59" s="5">
        <f t="shared" si="28"/>
        <v>831001</v>
      </c>
      <c r="B59" s="6" t="s">
        <v>415</v>
      </c>
      <c r="C59" s="6" t="s">
        <v>415</v>
      </c>
      <c r="D59" s="5">
        <v>230</v>
      </c>
      <c r="E59" s="5">
        <f t="shared" ref="E59:E63" si="30">D59-80+(H59*10)</f>
        <v>180</v>
      </c>
      <c r="F59" s="5" t="str">
        <f t="shared" si="23"/>
        <v>1:230,2:180</v>
      </c>
      <c r="G59" s="6">
        <v>8</v>
      </c>
      <c r="H59" s="6">
        <v>3</v>
      </c>
      <c r="I59" s="5">
        <f t="shared" si="0"/>
        <v>1.23</v>
      </c>
      <c r="J59" s="5">
        <f t="shared" si="1"/>
        <v>2.875</v>
      </c>
      <c r="K59" s="5">
        <v>428</v>
      </c>
      <c r="L59" s="5">
        <f t="shared" si="2"/>
        <v>1486</v>
      </c>
      <c r="M59" s="5">
        <v>111</v>
      </c>
      <c r="N59" s="5">
        <f t="shared" si="3"/>
        <v>185</v>
      </c>
      <c r="O59" s="5">
        <v>53</v>
      </c>
      <c r="P59" s="5">
        <f t="shared" si="4"/>
        <v>80</v>
      </c>
      <c r="Q59" s="5">
        <v>65</v>
      </c>
      <c r="R59" s="5">
        <f t="shared" si="5"/>
        <v>108</v>
      </c>
      <c r="S59" s="5">
        <f t="shared" si="27"/>
        <v>46</v>
      </c>
      <c r="T59" s="5">
        <f t="shared" si="7"/>
        <v>69</v>
      </c>
      <c r="U59" s="5">
        <v>10</v>
      </c>
      <c r="V59" s="5">
        <f t="shared" si="8"/>
        <v>12</v>
      </c>
      <c r="W59" s="5">
        <v>100</v>
      </c>
      <c r="X59" s="7">
        <f t="shared" si="9"/>
        <v>500</v>
      </c>
      <c r="Y59" s="5">
        <v>300</v>
      </c>
      <c r="Z59" s="5">
        <v>8</v>
      </c>
    </row>
    <row r="60" s="3" customFormat="1" ht="16.5" spans="1:26">
      <c r="A60" s="5">
        <f t="shared" si="28"/>
        <v>841001</v>
      </c>
      <c r="B60" s="6" t="s">
        <v>419</v>
      </c>
      <c r="C60" s="6" t="s">
        <v>419</v>
      </c>
      <c r="D60" s="5">
        <v>260</v>
      </c>
      <c r="E60" s="5">
        <f t="shared" si="30"/>
        <v>220</v>
      </c>
      <c r="F60" s="5" t="str">
        <f t="shared" si="23"/>
        <v>1:260,2:220</v>
      </c>
      <c r="G60" s="6">
        <v>8</v>
      </c>
      <c r="H60" s="6">
        <v>4</v>
      </c>
      <c r="I60" s="5">
        <f t="shared" si="0"/>
        <v>1.26</v>
      </c>
      <c r="J60" s="5">
        <f t="shared" si="1"/>
        <v>3.25</v>
      </c>
      <c r="K60" s="5">
        <v>430</v>
      </c>
      <c r="L60" s="5">
        <f t="shared" si="2"/>
        <v>1741</v>
      </c>
      <c r="M60" s="5">
        <v>123</v>
      </c>
      <c r="N60" s="5">
        <f t="shared" si="3"/>
        <v>227</v>
      </c>
      <c r="O60" s="5">
        <v>48</v>
      </c>
      <c r="P60" s="5">
        <f t="shared" si="4"/>
        <v>79</v>
      </c>
      <c r="Q60" s="5">
        <v>70</v>
      </c>
      <c r="R60" s="5">
        <f t="shared" si="5"/>
        <v>130</v>
      </c>
      <c r="S60" s="5">
        <f t="shared" si="27"/>
        <v>42</v>
      </c>
      <c r="T60" s="5">
        <f t="shared" si="7"/>
        <v>68</v>
      </c>
      <c r="U60" s="5">
        <v>10</v>
      </c>
      <c r="V60" s="5">
        <f t="shared" si="8"/>
        <v>12</v>
      </c>
      <c r="W60" s="5">
        <v>1000</v>
      </c>
      <c r="X60" s="7">
        <f t="shared" si="9"/>
        <v>1100</v>
      </c>
      <c r="Y60" s="5">
        <v>400</v>
      </c>
      <c r="Z60" s="5">
        <v>10</v>
      </c>
    </row>
    <row r="61" s="3" customFormat="1" ht="16.5" spans="1:26">
      <c r="A61" s="5">
        <f t="shared" si="28"/>
        <v>851001</v>
      </c>
      <c r="B61" s="6" t="s">
        <v>423</v>
      </c>
      <c r="C61" s="6" t="s">
        <v>423</v>
      </c>
      <c r="D61" s="5">
        <v>270</v>
      </c>
      <c r="E61" s="5">
        <f t="shared" si="30"/>
        <v>240</v>
      </c>
      <c r="F61" s="5" t="str">
        <f t="shared" si="23"/>
        <v>1:270,2:240</v>
      </c>
      <c r="G61" s="6">
        <v>8</v>
      </c>
      <c r="H61" s="6">
        <v>5</v>
      </c>
      <c r="I61" s="5">
        <f t="shared" si="0"/>
        <v>1.27</v>
      </c>
      <c r="J61" s="5">
        <f t="shared" si="1"/>
        <v>3.375</v>
      </c>
      <c r="K61" s="5">
        <v>448</v>
      </c>
      <c r="L61" s="5">
        <f t="shared" si="2"/>
        <v>1960</v>
      </c>
      <c r="M61" s="5">
        <v>132</v>
      </c>
      <c r="N61" s="5">
        <f t="shared" si="3"/>
        <v>266</v>
      </c>
      <c r="O61" s="5">
        <v>68</v>
      </c>
      <c r="P61" s="5">
        <f t="shared" si="4"/>
        <v>120</v>
      </c>
      <c r="Q61" s="5">
        <v>75</v>
      </c>
      <c r="R61" s="5">
        <f t="shared" si="5"/>
        <v>151</v>
      </c>
      <c r="S61" s="5">
        <f t="shared" si="27"/>
        <v>59</v>
      </c>
      <c r="T61" s="5">
        <f t="shared" si="7"/>
        <v>103</v>
      </c>
      <c r="U61" s="5">
        <v>10</v>
      </c>
      <c r="V61" s="5">
        <f t="shared" si="8"/>
        <v>12</v>
      </c>
      <c r="W61" s="5">
        <v>100</v>
      </c>
      <c r="X61" s="7">
        <f t="shared" si="9"/>
        <v>500</v>
      </c>
      <c r="Y61" s="5">
        <v>300</v>
      </c>
      <c r="Z61" s="5">
        <v>8</v>
      </c>
    </row>
    <row r="62" s="3" customFormat="1" ht="16.5" spans="1:26">
      <c r="A62" s="5">
        <f t="shared" si="28"/>
        <v>861001</v>
      </c>
      <c r="B62" s="6" t="s">
        <v>427</v>
      </c>
      <c r="C62" s="6" t="s">
        <v>427</v>
      </c>
      <c r="D62" s="5">
        <v>400</v>
      </c>
      <c r="E62" s="5">
        <f t="shared" si="30"/>
        <v>380</v>
      </c>
      <c r="F62" s="5" t="str">
        <f t="shared" si="23"/>
        <v>1:400,2:380</v>
      </c>
      <c r="G62" s="6">
        <v>8</v>
      </c>
      <c r="H62" s="6">
        <v>6</v>
      </c>
      <c r="I62" s="5">
        <f t="shared" si="0"/>
        <v>1.4</v>
      </c>
      <c r="J62" s="5">
        <f t="shared" si="1"/>
        <v>5</v>
      </c>
      <c r="K62" s="5">
        <v>430</v>
      </c>
      <c r="L62" s="5">
        <f t="shared" si="2"/>
        <v>2666</v>
      </c>
      <c r="M62" s="5">
        <v>148</v>
      </c>
      <c r="N62" s="5">
        <f t="shared" si="3"/>
        <v>340</v>
      </c>
      <c r="O62" s="5">
        <v>80</v>
      </c>
      <c r="P62" s="5">
        <f t="shared" si="4"/>
        <v>160</v>
      </c>
      <c r="Q62" s="5">
        <v>88</v>
      </c>
      <c r="R62" s="5">
        <f t="shared" si="5"/>
        <v>202</v>
      </c>
      <c r="S62" s="5">
        <f>INT(O62*1.2)</f>
        <v>96</v>
      </c>
      <c r="T62" s="5">
        <f t="shared" si="7"/>
        <v>191</v>
      </c>
      <c r="U62" s="5">
        <v>10</v>
      </c>
      <c r="V62" s="5">
        <f t="shared" si="8"/>
        <v>14</v>
      </c>
      <c r="W62" s="5">
        <v>1000</v>
      </c>
      <c r="X62" s="7">
        <f t="shared" si="9"/>
        <v>1100</v>
      </c>
      <c r="Y62" s="5">
        <v>400</v>
      </c>
      <c r="Z62" s="5">
        <v>10</v>
      </c>
    </row>
    <row r="63" s="3" customFormat="1" ht="16.5" spans="1:26">
      <c r="A63" s="5">
        <f t="shared" si="28"/>
        <v>861002</v>
      </c>
      <c r="B63" s="6" t="s">
        <v>430</v>
      </c>
      <c r="C63" s="6" t="s">
        <v>430</v>
      </c>
      <c r="D63" s="5">
        <v>380</v>
      </c>
      <c r="E63" s="5">
        <f t="shared" si="30"/>
        <v>360</v>
      </c>
      <c r="F63" s="5" t="str">
        <f t="shared" si="23"/>
        <v>1:380,2:360</v>
      </c>
      <c r="G63" s="6">
        <v>8</v>
      </c>
      <c r="H63" s="6">
        <v>6</v>
      </c>
      <c r="I63" s="5">
        <f t="shared" si="0"/>
        <v>1.38</v>
      </c>
      <c r="J63" s="5">
        <f t="shared" si="1"/>
        <v>4.75</v>
      </c>
      <c r="K63" s="5">
        <v>448</v>
      </c>
      <c r="L63" s="5">
        <f t="shared" si="2"/>
        <v>2665</v>
      </c>
      <c r="M63" s="5">
        <v>138</v>
      </c>
      <c r="N63" s="5">
        <f t="shared" si="3"/>
        <v>314</v>
      </c>
      <c r="O63" s="5">
        <v>75</v>
      </c>
      <c r="P63" s="5">
        <f t="shared" si="4"/>
        <v>148</v>
      </c>
      <c r="Q63" s="5">
        <v>85</v>
      </c>
      <c r="R63" s="5">
        <f t="shared" si="5"/>
        <v>193</v>
      </c>
      <c r="S63" s="5">
        <f>INT(O63*1.2)</f>
        <v>90</v>
      </c>
      <c r="T63" s="5">
        <f t="shared" si="7"/>
        <v>178</v>
      </c>
      <c r="U63" s="5">
        <v>10</v>
      </c>
      <c r="V63" s="5">
        <f t="shared" si="8"/>
        <v>13</v>
      </c>
      <c r="W63" s="5">
        <v>100</v>
      </c>
      <c r="X63" s="7">
        <f t="shared" si="9"/>
        <v>500</v>
      </c>
      <c r="Y63" s="5">
        <v>300</v>
      </c>
      <c r="Z63" s="5">
        <v>8</v>
      </c>
    </row>
    <row r="67" ht="16.5" spans="4:5">
      <c r="D67" s="5"/>
      <c r="E67" s="5"/>
    </row>
    <row r="68" ht="16.5" spans="4:5">
      <c r="D68" s="5"/>
      <c r="E68" s="5"/>
    </row>
    <row r="69" ht="16.5" spans="4:5">
      <c r="D69" s="5"/>
      <c r="E69" s="5"/>
    </row>
    <row r="70" ht="16.5" spans="4:5">
      <c r="D70" s="5"/>
      <c r="E70" s="5"/>
    </row>
    <row r="71" ht="16.5" spans="4:5">
      <c r="D71" s="5"/>
      <c r="E71" s="5"/>
    </row>
    <row r="72" ht="16.5" spans="4:5">
      <c r="D72" s="5"/>
      <c r="E72" s="5"/>
    </row>
    <row r="73" ht="16.5" spans="4:5">
      <c r="D73" s="5"/>
      <c r="E73" s="5"/>
    </row>
    <row r="74" ht="16.5" spans="4:5">
      <c r="D74" s="5"/>
      <c r="E74" s="5"/>
    </row>
    <row r="75" ht="16.5" spans="4:5">
      <c r="D75" s="1"/>
      <c r="E75" s="5"/>
    </row>
    <row r="76" ht="16.5" spans="4:5">
      <c r="D76" s="5"/>
      <c r="E76" s="5"/>
    </row>
    <row r="77" ht="16.5" spans="4:5">
      <c r="D77" s="5"/>
      <c r="E77" s="5"/>
    </row>
    <row r="78" ht="16.5" spans="4:5">
      <c r="D78" s="5"/>
      <c r="E78" s="5"/>
    </row>
    <row r="79" ht="16.5" spans="4:5">
      <c r="D79" s="5"/>
      <c r="E79" s="5"/>
    </row>
    <row r="80" ht="16.5" spans="4:5">
      <c r="D80" s="5"/>
      <c r="E80" s="5"/>
    </row>
    <row r="81" ht="16.5" spans="4:5">
      <c r="D81" s="5"/>
      <c r="E81" s="5"/>
    </row>
    <row r="82" ht="16.5" spans="4:5">
      <c r="D82" s="5"/>
      <c r="E82" s="5"/>
    </row>
    <row r="83" ht="16.5" spans="4:5">
      <c r="D83" s="5"/>
      <c r="E83" s="5"/>
    </row>
    <row r="84" ht="16.5" spans="4:5">
      <c r="D84" s="5"/>
      <c r="E84" s="5"/>
    </row>
    <row r="85" ht="16.5" spans="4:5">
      <c r="D85" s="5"/>
      <c r="E85" s="5"/>
    </row>
    <row r="86" ht="16.5" spans="4:5">
      <c r="D86" s="5"/>
      <c r="E86" s="5"/>
    </row>
    <row r="87" ht="16.5" spans="4:5">
      <c r="D87" s="5"/>
      <c r="E87" s="5"/>
    </row>
    <row r="88" ht="16.5" spans="4:5">
      <c r="D88" s="5"/>
      <c r="E88" s="5"/>
    </row>
    <row r="89" ht="16.5" spans="4:5">
      <c r="D89" s="5"/>
      <c r="E89" s="5"/>
    </row>
    <row r="90" ht="16.5" spans="4:5">
      <c r="D90" s="5"/>
      <c r="E90" s="5"/>
    </row>
    <row r="91" ht="16.5" spans="4:5">
      <c r="D91" s="5"/>
      <c r="E91" s="5"/>
    </row>
    <row r="92" ht="16.5" spans="4:5">
      <c r="D92" s="5"/>
      <c r="E92" s="5"/>
    </row>
    <row r="93" ht="16.5" spans="4:5">
      <c r="D93" s="5"/>
      <c r="E93" s="5"/>
    </row>
    <row r="94" ht="16.5" spans="4:5">
      <c r="D94" s="5"/>
      <c r="E94" s="5"/>
    </row>
    <row r="95" ht="16.5" spans="4:5">
      <c r="D95" s="5"/>
      <c r="E95" s="5"/>
    </row>
    <row r="96" ht="16.5" spans="4:5">
      <c r="D96" s="5"/>
      <c r="E96" s="5"/>
    </row>
    <row r="97" ht="16.5" spans="4:5">
      <c r="D97" s="5"/>
      <c r="E97" s="5"/>
    </row>
    <row r="98" ht="16.5" spans="4:5">
      <c r="D98" s="5"/>
      <c r="E98" s="5"/>
    </row>
    <row r="99" ht="16.5" spans="4:5">
      <c r="D99" s="5"/>
      <c r="E99" s="5"/>
    </row>
    <row r="100" ht="16.5" spans="4:5">
      <c r="D100" s="5"/>
      <c r="E100" s="5"/>
    </row>
    <row r="101" ht="16.5" spans="4:5">
      <c r="D101" s="5"/>
      <c r="E101" s="5"/>
    </row>
    <row r="102" ht="16.5" spans="4:5">
      <c r="D102" s="5"/>
      <c r="E102" s="5"/>
    </row>
    <row r="103" ht="16.5" spans="4:5">
      <c r="D103" s="5"/>
      <c r="E103" s="5"/>
    </row>
    <row r="104" ht="16.5" spans="4:5">
      <c r="D104" s="5"/>
      <c r="E104" s="5"/>
    </row>
    <row r="105" ht="16.5" spans="4:5">
      <c r="D105" s="5"/>
      <c r="E105" s="5"/>
    </row>
    <row r="106" ht="16.5" spans="4:5">
      <c r="D106" s="5"/>
      <c r="E106" s="5"/>
    </row>
    <row r="107" ht="16.5" spans="4:5">
      <c r="D107" s="5"/>
      <c r="E107" s="5"/>
    </row>
    <row r="108" ht="16.5" spans="4:5">
      <c r="D108" s="5"/>
      <c r="E108" s="5"/>
    </row>
    <row r="109" ht="16.5" spans="4:5">
      <c r="D109" s="5"/>
      <c r="E109" s="5"/>
    </row>
    <row r="110" ht="16.5" spans="4:5">
      <c r="D110" s="5"/>
      <c r="E110" s="5"/>
    </row>
    <row r="111" ht="16.5" spans="4:5">
      <c r="D111" s="5"/>
      <c r="E111" s="5"/>
    </row>
    <row r="112" ht="16.5" spans="4:5">
      <c r="D112" s="5"/>
      <c r="E112" s="5"/>
    </row>
    <row r="113" ht="16.5" spans="4:5">
      <c r="D113" s="5"/>
      <c r="E113" s="5"/>
    </row>
    <row r="114" ht="16.5" spans="4:5">
      <c r="D114" s="5"/>
      <c r="E114" s="5"/>
    </row>
    <row r="115" ht="16.5" spans="4:5">
      <c r="D115" s="5"/>
      <c r="E115" s="5"/>
    </row>
    <row r="116" ht="16.5" spans="4:5">
      <c r="D116" s="5"/>
      <c r="E116" s="5"/>
    </row>
    <row r="117" ht="16.5" spans="4:5">
      <c r="D117" s="5"/>
      <c r="E117" s="5"/>
    </row>
    <row r="118" ht="16.5" spans="4:5">
      <c r="D118" s="5"/>
      <c r="E118" s="5"/>
    </row>
    <row r="119" ht="16.5" spans="4:5">
      <c r="D119" s="5"/>
      <c r="E119" s="5"/>
    </row>
    <row r="120" ht="16.5" spans="4:5">
      <c r="D120" s="5"/>
      <c r="E120" s="5"/>
    </row>
    <row r="121" ht="16.5" spans="4:5">
      <c r="D121" s="5"/>
      <c r="E121" s="5"/>
    </row>
    <row r="122" ht="16.5" spans="4:5">
      <c r="D122" s="5"/>
      <c r="E122" s="5"/>
    </row>
    <row r="123" ht="16.5" spans="4:5">
      <c r="D123" s="5"/>
      <c r="E123" s="5"/>
    </row>
    <row r="124" ht="16.5" spans="4:5">
      <c r="D124" s="5"/>
      <c r="E124" s="5"/>
    </row>
    <row r="125" ht="16.5" spans="4:5">
      <c r="D125" s="5"/>
      <c r="E125" s="5"/>
    </row>
    <row r="126" ht="16.5" spans="4:5">
      <c r="D126" s="5"/>
      <c r="E126" s="5"/>
    </row>
    <row r="127" ht="16.5" spans="4:5">
      <c r="D127" s="5"/>
      <c r="E127" s="5"/>
    </row>
  </sheetData>
  <autoFilter ref="A1:Z116">
    <sortState ref="A1:Z116">
      <sortCondition ref="H1"/>
    </sortState>
    <extLst/>
  </autoFilter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61"/>
  <sheetViews>
    <sheetView workbookViewId="0">
      <selection activeCell="E19" sqref="E19"/>
    </sheetView>
  </sheetViews>
  <sheetFormatPr defaultColWidth="9" defaultRowHeight="13.5"/>
  <cols>
    <col min="5" max="5" width="14.125"/>
    <col min="10" max="11" width="16" customWidth="1"/>
  </cols>
  <sheetData>
    <row r="1" ht="16.5" spans="1:48">
      <c r="A1">
        <v>111001</v>
      </c>
      <c r="B1" t="s">
        <v>214</v>
      </c>
      <c r="C1">
        <v>11</v>
      </c>
      <c r="D1">
        <v>2</v>
      </c>
      <c r="E1" s="1" t="s">
        <v>221</v>
      </c>
      <c r="F1">
        <v>1</v>
      </c>
      <c r="G1">
        <v>1</v>
      </c>
      <c r="H1">
        <v>0</v>
      </c>
      <c r="I1">
        <v>0</v>
      </c>
      <c r="J1" t="str">
        <f>VLOOKUP(B1,Creature!B:J,9,FALSE)</f>
        <v>bubing01_Lv1</v>
      </c>
      <c r="K1" t="str">
        <f>J1</f>
        <v>bubing01_Lv1</v>
      </c>
      <c r="M1">
        <v>331</v>
      </c>
      <c r="N1">
        <v>0</v>
      </c>
      <c r="O1">
        <v>82</v>
      </c>
      <c r="P1">
        <v>0</v>
      </c>
      <c r="Q1">
        <v>37</v>
      </c>
      <c r="R1">
        <v>0</v>
      </c>
      <c r="S1">
        <v>61</v>
      </c>
      <c r="T1">
        <v>0</v>
      </c>
      <c r="U1">
        <v>32</v>
      </c>
      <c r="V1">
        <v>0</v>
      </c>
      <c r="W1">
        <v>10</v>
      </c>
      <c r="X1">
        <v>0</v>
      </c>
      <c r="Y1">
        <v>200</v>
      </c>
      <c r="Z1">
        <v>1300</v>
      </c>
      <c r="AA1">
        <v>400</v>
      </c>
      <c r="AB1">
        <v>8</v>
      </c>
      <c r="AC1">
        <v>2</v>
      </c>
      <c r="AD1" t="s">
        <v>217</v>
      </c>
      <c r="AE1">
        <v>0</v>
      </c>
      <c r="AF1">
        <v>0</v>
      </c>
      <c r="AG1">
        <v>0</v>
      </c>
      <c r="AH1">
        <v>0</v>
      </c>
      <c r="AI1" t="s">
        <v>218</v>
      </c>
      <c r="AJ1">
        <v>1.5</v>
      </c>
      <c r="AK1">
        <v>1.7</v>
      </c>
      <c r="AL1">
        <v>100</v>
      </c>
      <c r="AM1">
        <v>11</v>
      </c>
      <c r="AN1">
        <v>0</v>
      </c>
      <c r="AO1">
        <v>2</v>
      </c>
      <c r="AP1">
        <v>0</v>
      </c>
      <c r="AQ1">
        <v>0</v>
      </c>
      <c r="AR1">
        <v>20</v>
      </c>
      <c r="AS1">
        <v>0</v>
      </c>
      <c r="AT1" t="s">
        <v>219</v>
      </c>
      <c r="AU1">
        <v>0</v>
      </c>
      <c r="AV1">
        <v>0</v>
      </c>
    </row>
    <row r="2" ht="16.5" spans="1:48">
      <c r="A2">
        <v>111002</v>
      </c>
      <c r="B2" t="s">
        <v>220</v>
      </c>
      <c r="C2">
        <v>11</v>
      </c>
      <c r="D2">
        <v>2</v>
      </c>
      <c r="E2" s="1" t="s">
        <v>827</v>
      </c>
      <c r="F2">
        <v>1</v>
      </c>
      <c r="G2">
        <v>1</v>
      </c>
      <c r="H2">
        <v>0</v>
      </c>
      <c r="I2">
        <v>0</v>
      </c>
      <c r="J2" t="str">
        <f>VLOOKUP(B2,Creature!B:J,9,FALSE)</f>
        <v>bubing02_Lv2</v>
      </c>
      <c r="K2" t="str">
        <f t="shared" ref="K2:K33" si="0">J2</f>
        <v>bubing02_Lv2</v>
      </c>
      <c r="M2">
        <v>375</v>
      </c>
      <c r="N2">
        <v>0</v>
      </c>
      <c r="O2">
        <v>74</v>
      </c>
      <c r="P2">
        <v>0</v>
      </c>
      <c r="Q2">
        <v>60</v>
      </c>
      <c r="R2">
        <v>0</v>
      </c>
      <c r="S2">
        <v>61</v>
      </c>
      <c r="T2">
        <v>0</v>
      </c>
      <c r="U2">
        <v>51</v>
      </c>
      <c r="V2">
        <v>0</v>
      </c>
      <c r="W2">
        <v>10</v>
      </c>
      <c r="X2">
        <v>0</v>
      </c>
      <c r="Y2">
        <v>200</v>
      </c>
      <c r="Z2">
        <v>1300</v>
      </c>
      <c r="AA2">
        <v>400</v>
      </c>
      <c r="AB2">
        <v>8</v>
      </c>
      <c r="AC2">
        <v>2</v>
      </c>
      <c r="AD2" t="s">
        <v>708</v>
      </c>
      <c r="AE2">
        <v>0</v>
      </c>
      <c r="AF2">
        <v>0</v>
      </c>
      <c r="AG2">
        <v>0</v>
      </c>
      <c r="AH2">
        <v>0</v>
      </c>
      <c r="AI2" t="s">
        <v>218</v>
      </c>
      <c r="AJ2">
        <v>1.5</v>
      </c>
      <c r="AK2">
        <v>1.7</v>
      </c>
      <c r="AL2">
        <v>100</v>
      </c>
      <c r="AM2">
        <v>11</v>
      </c>
      <c r="AN2">
        <v>0</v>
      </c>
      <c r="AO2">
        <v>4</v>
      </c>
      <c r="AP2">
        <v>0</v>
      </c>
      <c r="AQ2">
        <v>0</v>
      </c>
      <c r="AR2">
        <v>90</v>
      </c>
      <c r="AS2">
        <v>0</v>
      </c>
      <c r="AT2" t="s">
        <v>224</v>
      </c>
      <c r="AU2">
        <v>0</v>
      </c>
      <c r="AV2">
        <v>0</v>
      </c>
    </row>
    <row r="3" ht="16.5" spans="1:48">
      <c r="A3">
        <v>121001</v>
      </c>
      <c r="B3" t="s">
        <v>225</v>
      </c>
      <c r="C3">
        <v>11</v>
      </c>
      <c r="D3">
        <v>2</v>
      </c>
      <c r="E3" s="1" t="s">
        <v>374</v>
      </c>
      <c r="F3">
        <v>1</v>
      </c>
      <c r="G3">
        <v>2</v>
      </c>
      <c r="H3">
        <v>0</v>
      </c>
      <c r="I3">
        <v>0</v>
      </c>
      <c r="J3" t="str">
        <f>VLOOKUP(B3,Creature!B:J,9,FALSE)</f>
        <v>bubing01_Lv2</v>
      </c>
      <c r="K3" t="str">
        <f t="shared" si="0"/>
        <v>bubing01_Lv2</v>
      </c>
      <c r="M3">
        <v>587</v>
      </c>
      <c r="N3">
        <v>0</v>
      </c>
      <c r="O3">
        <v>140</v>
      </c>
      <c r="P3">
        <v>0</v>
      </c>
      <c r="Q3">
        <v>61</v>
      </c>
      <c r="R3">
        <v>0</v>
      </c>
      <c r="S3">
        <v>84</v>
      </c>
      <c r="T3">
        <v>0</v>
      </c>
      <c r="U3">
        <v>54</v>
      </c>
      <c r="V3">
        <v>0</v>
      </c>
      <c r="W3">
        <v>11</v>
      </c>
      <c r="X3">
        <v>0</v>
      </c>
      <c r="Y3">
        <v>200</v>
      </c>
      <c r="Z3">
        <v>1300</v>
      </c>
      <c r="AA3">
        <v>400</v>
      </c>
      <c r="AB3">
        <v>8</v>
      </c>
      <c r="AC3">
        <v>2</v>
      </c>
      <c r="AD3" t="s">
        <v>228</v>
      </c>
      <c r="AE3">
        <v>0</v>
      </c>
      <c r="AF3">
        <v>0</v>
      </c>
      <c r="AG3">
        <v>0</v>
      </c>
      <c r="AH3">
        <v>0</v>
      </c>
      <c r="AI3" t="s">
        <v>229</v>
      </c>
      <c r="AJ3">
        <v>1.5</v>
      </c>
      <c r="AK3">
        <v>1.7</v>
      </c>
      <c r="AL3">
        <v>100</v>
      </c>
      <c r="AM3">
        <v>11</v>
      </c>
      <c r="AN3">
        <v>0</v>
      </c>
      <c r="AO3">
        <v>4</v>
      </c>
      <c r="AP3">
        <v>0</v>
      </c>
      <c r="AQ3">
        <v>0</v>
      </c>
      <c r="AR3">
        <v>90</v>
      </c>
      <c r="AS3">
        <v>0</v>
      </c>
      <c r="AT3" t="s">
        <v>224</v>
      </c>
      <c r="AU3">
        <v>0</v>
      </c>
      <c r="AV3">
        <v>0</v>
      </c>
    </row>
    <row r="4" ht="16.5" spans="1:48">
      <c r="A4">
        <v>131001</v>
      </c>
      <c r="B4" t="s">
        <v>230</v>
      </c>
      <c r="C4">
        <v>11</v>
      </c>
      <c r="D4">
        <v>2</v>
      </c>
      <c r="E4" s="1" t="s">
        <v>828</v>
      </c>
      <c r="F4">
        <v>1</v>
      </c>
      <c r="G4">
        <v>3</v>
      </c>
      <c r="H4">
        <v>0</v>
      </c>
      <c r="I4">
        <v>0</v>
      </c>
      <c r="J4" t="str">
        <f>VLOOKUP(B4,Creature!B:J,9,FALSE)</f>
        <v>bubing02_Lv1</v>
      </c>
      <c r="K4" t="str">
        <f t="shared" si="0"/>
        <v>bubing02_Lv1</v>
      </c>
      <c r="M4">
        <v>734</v>
      </c>
      <c r="N4">
        <v>0</v>
      </c>
      <c r="O4">
        <v>147</v>
      </c>
      <c r="P4">
        <v>0</v>
      </c>
      <c r="Q4">
        <v>90</v>
      </c>
      <c r="R4">
        <v>0</v>
      </c>
      <c r="S4">
        <v>101</v>
      </c>
      <c r="T4">
        <v>0</v>
      </c>
      <c r="U4">
        <v>78</v>
      </c>
      <c r="V4">
        <v>0</v>
      </c>
      <c r="W4">
        <v>11</v>
      </c>
      <c r="X4">
        <v>0</v>
      </c>
      <c r="Y4">
        <v>200</v>
      </c>
      <c r="Z4">
        <v>1300</v>
      </c>
      <c r="AA4">
        <v>400</v>
      </c>
      <c r="AB4">
        <v>8</v>
      </c>
      <c r="AC4">
        <v>2</v>
      </c>
      <c r="AD4" t="s">
        <v>710</v>
      </c>
      <c r="AE4">
        <v>0</v>
      </c>
      <c r="AF4">
        <v>0</v>
      </c>
      <c r="AG4">
        <v>0</v>
      </c>
      <c r="AH4">
        <v>0</v>
      </c>
      <c r="AI4" t="s">
        <v>218</v>
      </c>
      <c r="AJ4">
        <v>1.5</v>
      </c>
      <c r="AK4">
        <v>1.7</v>
      </c>
      <c r="AL4">
        <v>100</v>
      </c>
      <c r="AM4">
        <v>11</v>
      </c>
      <c r="AN4">
        <v>0</v>
      </c>
      <c r="AO4">
        <v>4</v>
      </c>
      <c r="AP4">
        <v>0</v>
      </c>
      <c r="AQ4">
        <v>0</v>
      </c>
      <c r="AR4">
        <v>90</v>
      </c>
      <c r="AS4">
        <v>0</v>
      </c>
      <c r="AT4" t="s">
        <v>224</v>
      </c>
      <c r="AU4">
        <v>0</v>
      </c>
      <c r="AV4">
        <v>0</v>
      </c>
    </row>
    <row r="5" ht="16.5" spans="1:48">
      <c r="A5">
        <v>141001</v>
      </c>
      <c r="B5" t="s">
        <v>234</v>
      </c>
      <c r="C5">
        <v>11</v>
      </c>
      <c r="D5">
        <v>2</v>
      </c>
      <c r="E5" s="1" t="s">
        <v>235</v>
      </c>
      <c r="F5">
        <v>1</v>
      </c>
      <c r="G5">
        <v>4</v>
      </c>
      <c r="H5">
        <v>0</v>
      </c>
      <c r="I5">
        <v>0</v>
      </c>
      <c r="J5" t="str">
        <f>VLOOKUP(B5,Creature!B:J,9,FALSE)</f>
        <v>bubing01_Lv3</v>
      </c>
      <c r="K5" t="str">
        <f t="shared" si="0"/>
        <v>bubing01_Lv3</v>
      </c>
      <c r="M5">
        <v>1170</v>
      </c>
      <c r="N5">
        <v>0</v>
      </c>
      <c r="O5">
        <v>196</v>
      </c>
      <c r="P5">
        <v>0</v>
      </c>
      <c r="Q5">
        <v>111</v>
      </c>
      <c r="R5">
        <v>0</v>
      </c>
      <c r="S5">
        <v>123</v>
      </c>
      <c r="T5">
        <v>0</v>
      </c>
      <c r="U5">
        <v>98</v>
      </c>
      <c r="V5">
        <v>0</v>
      </c>
      <c r="W5">
        <v>11</v>
      </c>
      <c r="X5">
        <v>0</v>
      </c>
      <c r="Y5">
        <v>200</v>
      </c>
      <c r="Z5">
        <v>1300</v>
      </c>
      <c r="AA5">
        <v>400</v>
      </c>
      <c r="AB5">
        <v>8</v>
      </c>
      <c r="AC5">
        <v>2</v>
      </c>
      <c r="AD5" t="s">
        <v>237</v>
      </c>
      <c r="AE5">
        <v>0</v>
      </c>
      <c r="AF5">
        <v>0</v>
      </c>
      <c r="AG5">
        <v>0</v>
      </c>
      <c r="AH5">
        <v>0</v>
      </c>
      <c r="AI5" t="s">
        <v>238</v>
      </c>
      <c r="AJ5">
        <v>1.5</v>
      </c>
      <c r="AK5">
        <v>1.7</v>
      </c>
      <c r="AL5">
        <v>100</v>
      </c>
      <c r="AM5">
        <v>11</v>
      </c>
      <c r="AN5">
        <v>0</v>
      </c>
      <c r="AO5">
        <v>4</v>
      </c>
      <c r="AP5">
        <v>0</v>
      </c>
      <c r="AQ5">
        <v>0</v>
      </c>
      <c r="AR5">
        <v>90</v>
      </c>
      <c r="AS5">
        <v>0</v>
      </c>
      <c r="AT5" t="s">
        <v>224</v>
      </c>
      <c r="AU5">
        <v>0</v>
      </c>
      <c r="AV5">
        <v>0</v>
      </c>
    </row>
    <row r="6" ht="16.5" spans="1:48">
      <c r="A6">
        <v>141002</v>
      </c>
      <c r="B6" t="s">
        <v>239</v>
      </c>
      <c r="C6">
        <v>11</v>
      </c>
      <c r="D6">
        <v>2</v>
      </c>
      <c r="E6" s="1" t="s">
        <v>829</v>
      </c>
      <c r="F6">
        <v>1</v>
      </c>
      <c r="G6">
        <v>4</v>
      </c>
      <c r="H6">
        <v>0</v>
      </c>
      <c r="I6">
        <v>0</v>
      </c>
      <c r="J6" t="str">
        <f>VLOOKUP(B6,Creature!B:J,9,FALSE)</f>
        <v>bubing04_Lv3</v>
      </c>
      <c r="K6" t="str">
        <f t="shared" si="0"/>
        <v>bubing04_Lv3</v>
      </c>
      <c r="M6">
        <v>1101</v>
      </c>
      <c r="N6">
        <v>0</v>
      </c>
      <c r="O6">
        <v>203</v>
      </c>
      <c r="P6">
        <v>0</v>
      </c>
      <c r="Q6">
        <v>117</v>
      </c>
      <c r="R6">
        <v>0</v>
      </c>
      <c r="S6">
        <v>125</v>
      </c>
      <c r="T6">
        <v>0</v>
      </c>
      <c r="U6">
        <v>102</v>
      </c>
      <c r="V6">
        <v>0</v>
      </c>
      <c r="W6">
        <v>11</v>
      </c>
      <c r="X6">
        <v>0</v>
      </c>
      <c r="Y6">
        <v>200</v>
      </c>
      <c r="Z6">
        <v>1300</v>
      </c>
      <c r="AA6">
        <v>400</v>
      </c>
      <c r="AB6">
        <v>8</v>
      </c>
      <c r="AC6">
        <v>2</v>
      </c>
      <c r="AD6" t="s">
        <v>242</v>
      </c>
      <c r="AE6">
        <v>0</v>
      </c>
      <c r="AF6">
        <v>0</v>
      </c>
      <c r="AG6">
        <v>0</v>
      </c>
      <c r="AH6">
        <v>0</v>
      </c>
      <c r="AI6" t="s">
        <v>243</v>
      </c>
      <c r="AJ6">
        <v>1.5</v>
      </c>
      <c r="AK6">
        <v>1.7</v>
      </c>
      <c r="AL6">
        <v>100</v>
      </c>
      <c r="AM6">
        <v>11</v>
      </c>
      <c r="AN6">
        <v>0</v>
      </c>
      <c r="AO6">
        <v>4</v>
      </c>
      <c r="AP6">
        <v>0</v>
      </c>
      <c r="AQ6">
        <v>0</v>
      </c>
      <c r="AR6">
        <v>90</v>
      </c>
      <c r="AS6">
        <v>0</v>
      </c>
      <c r="AT6" t="s">
        <v>224</v>
      </c>
      <c r="AU6">
        <v>0</v>
      </c>
      <c r="AV6">
        <v>0</v>
      </c>
    </row>
    <row r="7" ht="16.5" spans="1:48">
      <c r="A7">
        <v>151001</v>
      </c>
      <c r="B7" t="s">
        <v>244</v>
      </c>
      <c r="C7">
        <v>11</v>
      </c>
      <c r="D7">
        <v>2</v>
      </c>
      <c r="E7" s="1" t="s">
        <v>245</v>
      </c>
      <c r="F7">
        <v>1</v>
      </c>
      <c r="G7">
        <v>5</v>
      </c>
      <c r="H7">
        <v>0</v>
      </c>
      <c r="I7">
        <v>0</v>
      </c>
      <c r="J7" t="str">
        <f>VLOOKUP(B7,Creature!B:J,9,FALSE)</f>
        <v>bubing02_Lv3</v>
      </c>
      <c r="K7" t="str">
        <f t="shared" si="0"/>
        <v>bubing02_Lv3</v>
      </c>
      <c r="M7">
        <v>1423</v>
      </c>
      <c r="N7">
        <v>0</v>
      </c>
      <c r="O7">
        <v>247</v>
      </c>
      <c r="P7">
        <v>0</v>
      </c>
      <c r="Q7">
        <v>131</v>
      </c>
      <c r="R7">
        <v>0</v>
      </c>
      <c r="S7">
        <v>144</v>
      </c>
      <c r="T7">
        <v>0</v>
      </c>
      <c r="U7">
        <v>142</v>
      </c>
      <c r="V7">
        <v>0</v>
      </c>
      <c r="W7">
        <v>11</v>
      </c>
      <c r="X7">
        <v>0</v>
      </c>
      <c r="Y7">
        <v>200</v>
      </c>
      <c r="Z7">
        <v>1300</v>
      </c>
      <c r="AA7">
        <v>400</v>
      </c>
      <c r="AB7">
        <v>8</v>
      </c>
      <c r="AC7">
        <v>2</v>
      </c>
      <c r="AD7" t="s">
        <v>247</v>
      </c>
      <c r="AE7">
        <v>0</v>
      </c>
      <c r="AF7">
        <v>0</v>
      </c>
      <c r="AG7">
        <v>0</v>
      </c>
      <c r="AH7">
        <v>0</v>
      </c>
      <c r="AI7" t="s">
        <v>248</v>
      </c>
      <c r="AJ7">
        <v>1.5</v>
      </c>
      <c r="AK7">
        <v>1.7</v>
      </c>
      <c r="AL7">
        <v>100</v>
      </c>
      <c r="AM7">
        <v>11</v>
      </c>
      <c r="AN7">
        <v>0</v>
      </c>
      <c r="AO7">
        <v>4</v>
      </c>
      <c r="AP7">
        <v>0</v>
      </c>
      <c r="AQ7">
        <v>0</v>
      </c>
      <c r="AR7">
        <v>90</v>
      </c>
      <c r="AS7">
        <v>0</v>
      </c>
      <c r="AT7" t="s">
        <v>224</v>
      </c>
      <c r="AU7">
        <v>0</v>
      </c>
      <c r="AV7">
        <v>0</v>
      </c>
    </row>
    <row r="8" ht="16.5" spans="1:48">
      <c r="A8">
        <v>161001</v>
      </c>
      <c r="B8" t="s">
        <v>249</v>
      </c>
      <c r="C8">
        <v>11</v>
      </c>
      <c r="D8">
        <v>2</v>
      </c>
      <c r="E8" s="1" t="s">
        <v>250</v>
      </c>
      <c r="F8">
        <v>1</v>
      </c>
      <c r="G8">
        <v>6</v>
      </c>
      <c r="H8">
        <v>0</v>
      </c>
      <c r="I8">
        <v>0</v>
      </c>
      <c r="J8" t="str">
        <f>VLOOKUP(B8,Creature!B:J,9,FALSE)</f>
        <v>bubing03_Lv3</v>
      </c>
      <c r="K8" t="str">
        <f t="shared" si="0"/>
        <v>bubing03_Lv3</v>
      </c>
      <c r="M8">
        <v>1946</v>
      </c>
      <c r="N8">
        <v>0</v>
      </c>
      <c r="O8">
        <v>296</v>
      </c>
      <c r="P8">
        <v>0</v>
      </c>
      <c r="Q8">
        <v>151</v>
      </c>
      <c r="R8">
        <v>0</v>
      </c>
      <c r="S8">
        <v>172</v>
      </c>
      <c r="T8">
        <v>0</v>
      </c>
      <c r="U8">
        <v>133</v>
      </c>
      <c r="V8">
        <v>0</v>
      </c>
      <c r="W8">
        <v>12</v>
      </c>
      <c r="X8">
        <v>0</v>
      </c>
      <c r="Y8">
        <v>200</v>
      </c>
      <c r="Z8">
        <v>1300</v>
      </c>
      <c r="AA8">
        <v>400</v>
      </c>
      <c r="AB8">
        <v>8</v>
      </c>
      <c r="AC8">
        <v>2</v>
      </c>
      <c r="AD8" t="s">
        <v>252</v>
      </c>
      <c r="AE8">
        <v>0</v>
      </c>
      <c r="AF8">
        <v>0</v>
      </c>
      <c r="AG8">
        <v>0</v>
      </c>
      <c r="AH8">
        <v>0</v>
      </c>
      <c r="AI8" t="s">
        <v>253</v>
      </c>
      <c r="AJ8">
        <v>1.5</v>
      </c>
      <c r="AK8">
        <v>1.7</v>
      </c>
      <c r="AL8">
        <v>100</v>
      </c>
      <c r="AM8">
        <v>11</v>
      </c>
      <c r="AN8">
        <v>0</v>
      </c>
      <c r="AO8">
        <v>4</v>
      </c>
      <c r="AP8">
        <v>0</v>
      </c>
      <c r="AQ8">
        <v>0</v>
      </c>
      <c r="AR8">
        <v>90</v>
      </c>
      <c r="AS8">
        <v>0</v>
      </c>
      <c r="AT8" t="s">
        <v>224</v>
      </c>
      <c r="AU8">
        <v>0</v>
      </c>
      <c r="AV8">
        <v>0</v>
      </c>
    </row>
    <row r="9" ht="16.5" spans="1:48">
      <c r="A9">
        <v>161002</v>
      </c>
      <c r="B9" t="s">
        <v>254</v>
      </c>
      <c r="C9">
        <v>11</v>
      </c>
      <c r="D9">
        <v>2</v>
      </c>
      <c r="E9" s="1" t="s">
        <v>255</v>
      </c>
      <c r="F9">
        <v>1</v>
      </c>
      <c r="G9">
        <v>6</v>
      </c>
      <c r="H9">
        <v>0</v>
      </c>
      <c r="I9">
        <v>0</v>
      </c>
      <c r="J9" t="str">
        <f>VLOOKUP(B9,Creature!B:J,9,FALSE)</f>
        <v>bubing05_Lv3</v>
      </c>
      <c r="K9" t="str">
        <f t="shared" si="0"/>
        <v>bubing05_Lv3</v>
      </c>
      <c r="M9">
        <v>619</v>
      </c>
      <c r="N9">
        <v>0</v>
      </c>
      <c r="O9">
        <v>99</v>
      </c>
      <c r="P9">
        <v>0</v>
      </c>
      <c r="Q9">
        <v>49</v>
      </c>
      <c r="R9">
        <v>0</v>
      </c>
      <c r="S9">
        <v>91</v>
      </c>
      <c r="T9">
        <v>0</v>
      </c>
      <c r="U9">
        <v>42</v>
      </c>
      <c r="V9">
        <v>0</v>
      </c>
      <c r="W9">
        <v>11</v>
      </c>
      <c r="X9">
        <v>0</v>
      </c>
      <c r="Y9">
        <v>200</v>
      </c>
      <c r="Z9">
        <v>1300</v>
      </c>
      <c r="AA9">
        <v>400</v>
      </c>
      <c r="AB9">
        <v>8</v>
      </c>
      <c r="AC9">
        <v>2</v>
      </c>
      <c r="AD9" t="s">
        <v>252</v>
      </c>
      <c r="AE9">
        <v>0</v>
      </c>
      <c r="AF9">
        <v>0</v>
      </c>
      <c r="AG9">
        <v>0</v>
      </c>
      <c r="AH9">
        <v>0</v>
      </c>
      <c r="AI9" t="s">
        <v>253</v>
      </c>
      <c r="AJ9">
        <v>1.5</v>
      </c>
      <c r="AK9">
        <v>1.7</v>
      </c>
      <c r="AL9">
        <v>100</v>
      </c>
      <c r="AM9">
        <v>11</v>
      </c>
      <c r="AN9">
        <v>0</v>
      </c>
      <c r="AO9">
        <v>4</v>
      </c>
      <c r="AP9">
        <v>0</v>
      </c>
      <c r="AQ9">
        <v>0</v>
      </c>
      <c r="AR9">
        <v>90</v>
      </c>
      <c r="AS9">
        <v>0</v>
      </c>
      <c r="AT9" t="s">
        <v>224</v>
      </c>
      <c r="AU9">
        <v>0</v>
      </c>
      <c r="AV9">
        <v>0</v>
      </c>
    </row>
    <row r="10" ht="16.5" spans="1:48">
      <c r="A10">
        <v>221001</v>
      </c>
      <c r="B10" t="s">
        <v>257</v>
      </c>
      <c r="C10">
        <v>11</v>
      </c>
      <c r="D10">
        <v>2</v>
      </c>
      <c r="E10" s="1" t="s">
        <v>258</v>
      </c>
      <c r="F10">
        <v>2</v>
      </c>
      <c r="G10">
        <v>2</v>
      </c>
      <c r="H10">
        <v>0</v>
      </c>
      <c r="I10">
        <v>0</v>
      </c>
      <c r="J10" t="str">
        <f>VLOOKUP(B10,Creature!B:J,9,FALSE)</f>
        <v>qibing01_Lv1</v>
      </c>
      <c r="K10" t="str">
        <f t="shared" si="0"/>
        <v>qibing01_Lv1</v>
      </c>
      <c r="M10">
        <v>619</v>
      </c>
      <c r="N10">
        <v>0</v>
      </c>
      <c r="O10">
        <v>99</v>
      </c>
      <c r="P10">
        <v>0</v>
      </c>
      <c r="Q10">
        <v>49</v>
      </c>
      <c r="R10">
        <v>0</v>
      </c>
      <c r="S10">
        <v>91</v>
      </c>
      <c r="T10">
        <v>0</v>
      </c>
      <c r="U10">
        <v>42</v>
      </c>
      <c r="V10">
        <v>0</v>
      </c>
      <c r="W10">
        <v>11</v>
      </c>
      <c r="X10">
        <v>0</v>
      </c>
      <c r="Y10">
        <v>200</v>
      </c>
      <c r="Z10">
        <v>1300</v>
      </c>
      <c r="AA10">
        <v>500</v>
      </c>
      <c r="AB10">
        <v>8</v>
      </c>
      <c r="AC10">
        <v>2</v>
      </c>
      <c r="AD10" t="s">
        <v>260</v>
      </c>
      <c r="AE10">
        <v>0</v>
      </c>
      <c r="AF10">
        <v>0</v>
      </c>
      <c r="AG10">
        <v>0</v>
      </c>
      <c r="AH10">
        <v>0</v>
      </c>
      <c r="AI10" t="s">
        <v>261</v>
      </c>
      <c r="AJ10">
        <v>1.5</v>
      </c>
      <c r="AK10">
        <v>1.7</v>
      </c>
      <c r="AL10">
        <v>100</v>
      </c>
      <c r="AM10">
        <v>11</v>
      </c>
      <c r="AN10">
        <v>0</v>
      </c>
      <c r="AO10">
        <v>4</v>
      </c>
      <c r="AP10">
        <v>0</v>
      </c>
      <c r="AQ10">
        <v>0</v>
      </c>
      <c r="AR10">
        <v>90</v>
      </c>
      <c r="AS10">
        <v>0</v>
      </c>
      <c r="AT10" t="s">
        <v>224</v>
      </c>
      <c r="AU10">
        <v>0</v>
      </c>
      <c r="AV10">
        <v>0</v>
      </c>
    </row>
    <row r="11" ht="16.5" spans="1:48">
      <c r="A11">
        <v>231001</v>
      </c>
      <c r="B11" t="s">
        <v>262</v>
      </c>
      <c r="C11">
        <v>11</v>
      </c>
      <c r="D11">
        <v>2</v>
      </c>
      <c r="E11" s="1" t="s">
        <v>263</v>
      </c>
      <c r="F11">
        <v>2</v>
      </c>
      <c r="G11">
        <v>3</v>
      </c>
      <c r="H11">
        <v>0</v>
      </c>
      <c r="I11">
        <v>0</v>
      </c>
      <c r="J11" t="str">
        <f>VLOOKUP(B11,Creature!B:J,9,FALSE)</f>
        <v>qibing01_Lv2</v>
      </c>
      <c r="K11" t="str">
        <f t="shared" si="0"/>
        <v>qibing01_Lv2</v>
      </c>
      <c r="M11">
        <v>967</v>
      </c>
      <c r="N11">
        <v>0</v>
      </c>
      <c r="O11">
        <v>126</v>
      </c>
      <c r="P11">
        <v>0</v>
      </c>
      <c r="Q11">
        <v>68</v>
      </c>
      <c r="R11">
        <v>0</v>
      </c>
      <c r="S11">
        <v>110</v>
      </c>
      <c r="T11">
        <v>0</v>
      </c>
      <c r="U11">
        <v>60</v>
      </c>
      <c r="V11">
        <v>0</v>
      </c>
      <c r="W11">
        <v>12</v>
      </c>
      <c r="X11">
        <v>0</v>
      </c>
      <c r="Y11">
        <v>200</v>
      </c>
      <c r="Z11">
        <v>1300</v>
      </c>
      <c r="AA11">
        <v>500</v>
      </c>
      <c r="AB11">
        <v>8</v>
      </c>
      <c r="AC11">
        <v>2</v>
      </c>
      <c r="AD11" t="s">
        <v>265</v>
      </c>
      <c r="AE11">
        <v>0</v>
      </c>
      <c r="AF11">
        <v>0</v>
      </c>
      <c r="AG11">
        <v>0</v>
      </c>
      <c r="AH11">
        <v>0</v>
      </c>
      <c r="AI11" t="s">
        <v>266</v>
      </c>
      <c r="AJ11">
        <v>1.5</v>
      </c>
      <c r="AK11">
        <v>1.7</v>
      </c>
      <c r="AL11">
        <v>100</v>
      </c>
      <c r="AM11">
        <v>11</v>
      </c>
      <c r="AN11">
        <v>0</v>
      </c>
      <c r="AO11">
        <v>4</v>
      </c>
      <c r="AP11">
        <v>0</v>
      </c>
      <c r="AQ11">
        <v>0</v>
      </c>
      <c r="AR11">
        <v>90</v>
      </c>
      <c r="AS11">
        <v>0</v>
      </c>
      <c r="AT11" t="s">
        <v>224</v>
      </c>
      <c r="AU11">
        <v>0</v>
      </c>
      <c r="AV11">
        <v>0</v>
      </c>
    </row>
    <row r="12" ht="16.5" spans="1:48">
      <c r="A12">
        <v>241001</v>
      </c>
      <c r="B12" t="s">
        <v>267</v>
      </c>
      <c r="C12">
        <v>11</v>
      </c>
      <c r="D12">
        <v>2</v>
      </c>
      <c r="E12" s="1" t="s">
        <v>268</v>
      </c>
      <c r="F12">
        <v>2</v>
      </c>
      <c r="G12">
        <v>4</v>
      </c>
      <c r="H12">
        <v>0</v>
      </c>
      <c r="I12">
        <v>0</v>
      </c>
      <c r="J12" t="str">
        <f>VLOOKUP(B12,Creature!B:J,9,FALSE)</f>
        <v>qibing02_Lv3</v>
      </c>
      <c r="K12" t="str">
        <f t="shared" si="0"/>
        <v>qibing02_Lv3</v>
      </c>
      <c r="M12">
        <v>1391</v>
      </c>
      <c r="N12">
        <v>0</v>
      </c>
      <c r="O12">
        <v>188</v>
      </c>
      <c r="P12">
        <v>0</v>
      </c>
      <c r="Q12">
        <v>89</v>
      </c>
      <c r="R12">
        <v>0</v>
      </c>
      <c r="S12">
        <v>130</v>
      </c>
      <c r="T12">
        <v>0</v>
      </c>
      <c r="U12">
        <v>77</v>
      </c>
      <c r="V12">
        <v>0</v>
      </c>
      <c r="W12">
        <v>12</v>
      </c>
      <c r="X12">
        <v>0</v>
      </c>
      <c r="Y12">
        <v>200</v>
      </c>
      <c r="Z12">
        <v>1300</v>
      </c>
      <c r="AA12">
        <v>500</v>
      </c>
      <c r="AB12">
        <v>8</v>
      </c>
      <c r="AC12">
        <v>2</v>
      </c>
      <c r="AD12" t="s">
        <v>270</v>
      </c>
      <c r="AE12">
        <v>0</v>
      </c>
      <c r="AF12">
        <v>0</v>
      </c>
      <c r="AG12">
        <v>0</v>
      </c>
      <c r="AH12">
        <v>0</v>
      </c>
      <c r="AI12" t="s">
        <v>266</v>
      </c>
      <c r="AJ12">
        <v>1.5</v>
      </c>
      <c r="AK12">
        <v>1.7</v>
      </c>
      <c r="AL12">
        <v>100</v>
      </c>
      <c r="AM12">
        <v>11</v>
      </c>
      <c r="AN12">
        <v>0</v>
      </c>
      <c r="AO12">
        <v>4</v>
      </c>
      <c r="AP12">
        <v>0</v>
      </c>
      <c r="AQ12">
        <v>0</v>
      </c>
      <c r="AR12">
        <v>90</v>
      </c>
      <c r="AS12">
        <v>0</v>
      </c>
      <c r="AT12" t="s">
        <v>224</v>
      </c>
      <c r="AU12">
        <v>0</v>
      </c>
      <c r="AV12">
        <v>0</v>
      </c>
    </row>
    <row r="13" ht="16.5" spans="1:48">
      <c r="A13">
        <v>251001</v>
      </c>
      <c r="B13" t="s">
        <v>271</v>
      </c>
      <c r="C13">
        <v>11</v>
      </c>
      <c r="D13">
        <v>2</v>
      </c>
      <c r="E13" s="1" t="s">
        <v>272</v>
      </c>
      <c r="F13">
        <v>2</v>
      </c>
      <c r="G13">
        <v>5</v>
      </c>
      <c r="H13">
        <v>0</v>
      </c>
      <c r="I13">
        <v>0</v>
      </c>
      <c r="J13" t="str">
        <f>VLOOKUP(B13,Creature!B:J,9,FALSE)</f>
        <v>qibing03_Lv3</v>
      </c>
      <c r="K13" t="str">
        <f t="shared" si="0"/>
        <v>qibing03_Lv3</v>
      </c>
      <c r="M13">
        <v>1732</v>
      </c>
      <c r="N13">
        <v>0</v>
      </c>
      <c r="O13">
        <v>229</v>
      </c>
      <c r="P13">
        <v>0</v>
      </c>
      <c r="Q13">
        <v>105</v>
      </c>
      <c r="R13">
        <v>0</v>
      </c>
      <c r="S13">
        <v>136</v>
      </c>
      <c r="T13">
        <v>0</v>
      </c>
      <c r="U13">
        <v>91</v>
      </c>
      <c r="V13">
        <v>0</v>
      </c>
      <c r="W13">
        <v>12</v>
      </c>
      <c r="X13">
        <v>0</v>
      </c>
      <c r="Y13">
        <v>200</v>
      </c>
      <c r="Z13">
        <v>1300</v>
      </c>
      <c r="AA13">
        <v>500</v>
      </c>
      <c r="AB13">
        <v>8</v>
      </c>
      <c r="AC13">
        <v>2</v>
      </c>
      <c r="AD13" t="s">
        <v>274</v>
      </c>
      <c r="AE13">
        <v>0</v>
      </c>
      <c r="AF13">
        <v>0</v>
      </c>
      <c r="AG13">
        <v>0</v>
      </c>
      <c r="AH13">
        <v>0</v>
      </c>
      <c r="AI13" t="s">
        <v>266</v>
      </c>
      <c r="AJ13">
        <v>1.5</v>
      </c>
      <c r="AK13">
        <v>1.7</v>
      </c>
      <c r="AL13">
        <v>100</v>
      </c>
      <c r="AM13">
        <v>11</v>
      </c>
      <c r="AN13">
        <v>0</v>
      </c>
      <c r="AO13">
        <v>4</v>
      </c>
      <c r="AP13">
        <v>0</v>
      </c>
      <c r="AQ13">
        <v>0</v>
      </c>
      <c r="AR13">
        <v>90</v>
      </c>
      <c r="AS13">
        <v>0</v>
      </c>
      <c r="AT13" t="s">
        <v>224</v>
      </c>
      <c r="AU13">
        <v>0</v>
      </c>
      <c r="AV13">
        <v>0</v>
      </c>
    </row>
    <row r="14" ht="16.5" spans="1:48">
      <c r="A14">
        <v>251002</v>
      </c>
      <c r="B14" t="s">
        <v>275</v>
      </c>
      <c r="C14">
        <v>11</v>
      </c>
      <c r="D14">
        <v>2</v>
      </c>
      <c r="E14" s="1" t="s">
        <v>272</v>
      </c>
      <c r="F14">
        <v>2</v>
      </c>
      <c r="G14">
        <v>5</v>
      </c>
      <c r="H14">
        <v>0</v>
      </c>
      <c r="I14">
        <v>0</v>
      </c>
      <c r="J14" t="str">
        <f>VLOOKUP(B14,Creature!B:J,9,FALSE)</f>
        <v>qibing04_Lv3</v>
      </c>
      <c r="K14" t="str">
        <f t="shared" si="0"/>
        <v>qibing04_Lv3</v>
      </c>
      <c r="M14">
        <v>1691</v>
      </c>
      <c r="N14">
        <v>0</v>
      </c>
      <c r="O14">
        <v>240</v>
      </c>
      <c r="P14">
        <v>0</v>
      </c>
      <c r="Q14">
        <v>101</v>
      </c>
      <c r="R14">
        <v>0</v>
      </c>
      <c r="S14">
        <v>139</v>
      </c>
      <c r="T14">
        <v>0</v>
      </c>
      <c r="U14">
        <v>88</v>
      </c>
      <c r="V14">
        <v>0</v>
      </c>
      <c r="W14">
        <v>12</v>
      </c>
      <c r="X14">
        <v>0</v>
      </c>
      <c r="Y14">
        <v>200</v>
      </c>
      <c r="Z14">
        <v>1300</v>
      </c>
      <c r="AA14">
        <v>500</v>
      </c>
      <c r="AB14">
        <v>8</v>
      </c>
      <c r="AC14">
        <v>2</v>
      </c>
      <c r="AD14" t="s">
        <v>277</v>
      </c>
      <c r="AE14">
        <v>0</v>
      </c>
      <c r="AF14">
        <v>0</v>
      </c>
      <c r="AG14">
        <v>0</v>
      </c>
      <c r="AH14">
        <v>0</v>
      </c>
      <c r="AI14" t="s">
        <v>266</v>
      </c>
      <c r="AJ14">
        <v>1.5</v>
      </c>
      <c r="AK14">
        <v>1.7</v>
      </c>
      <c r="AL14">
        <v>100</v>
      </c>
      <c r="AM14">
        <v>11</v>
      </c>
      <c r="AN14">
        <v>0</v>
      </c>
      <c r="AO14">
        <v>4</v>
      </c>
      <c r="AP14">
        <v>0</v>
      </c>
      <c r="AQ14">
        <v>0</v>
      </c>
      <c r="AR14">
        <v>90</v>
      </c>
      <c r="AS14">
        <v>0</v>
      </c>
      <c r="AT14" t="s">
        <v>224</v>
      </c>
      <c r="AU14">
        <v>0</v>
      </c>
      <c r="AV14">
        <v>0</v>
      </c>
    </row>
    <row r="15" ht="16.5" spans="1:48">
      <c r="A15">
        <v>261001</v>
      </c>
      <c r="B15" t="s">
        <v>278</v>
      </c>
      <c r="C15">
        <v>11</v>
      </c>
      <c r="D15">
        <v>2</v>
      </c>
      <c r="E15" s="1" t="s">
        <v>279</v>
      </c>
      <c r="F15">
        <v>2</v>
      </c>
      <c r="G15">
        <v>6</v>
      </c>
      <c r="H15">
        <v>0</v>
      </c>
      <c r="I15">
        <v>0</v>
      </c>
      <c r="J15" t="str">
        <f>VLOOKUP(B15,Creature!B:J,9,FALSE)</f>
        <v>qibing01_Lv3</v>
      </c>
      <c r="K15" t="str">
        <f t="shared" si="0"/>
        <v>qibing01_Lv3</v>
      </c>
      <c r="M15">
        <v>399</v>
      </c>
      <c r="N15">
        <v>0</v>
      </c>
      <c r="O15">
        <v>87</v>
      </c>
      <c r="P15">
        <v>0</v>
      </c>
      <c r="Q15">
        <v>35</v>
      </c>
      <c r="R15">
        <v>0</v>
      </c>
      <c r="S15">
        <v>73</v>
      </c>
      <c r="T15">
        <v>0</v>
      </c>
      <c r="U15">
        <v>37</v>
      </c>
      <c r="V15">
        <v>0</v>
      </c>
      <c r="W15">
        <v>11</v>
      </c>
      <c r="X15">
        <v>0</v>
      </c>
      <c r="Y15">
        <v>200</v>
      </c>
      <c r="Z15">
        <v>1300</v>
      </c>
      <c r="AA15">
        <v>500</v>
      </c>
      <c r="AB15">
        <v>8</v>
      </c>
      <c r="AC15">
        <v>2</v>
      </c>
      <c r="AD15" t="s">
        <v>277</v>
      </c>
      <c r="AE15">
        <v>0</v>
      </c>
      <c r="AF15">
        <v>0</v>
      </c>
      <c r="AG15">
        <v>0</v>
      </c>
      <c r="AH15">
        <v>0</v>
      </c>
      <c r="AI15" t="s">
        <v>266</v>
      </c>
      <c r="AJ15">
        <v>1.5</v>
      </c>
      <c r="AK15">
        <v>1.7</v>
      </c>
      <c r="AL15">
        <v>100</v>
      </c>
      <c r="AM15">
        <v>11</v>
      </c>
      <c r="AN15">
        <v>0</v>
      </c>
      <c r="AO15">
        <v>4</v>
      </c>
      <c r="AP15">
        <v>0</v>
      </c>
      <c r="AQ15">
        <v>0</v>
      </c>
      <c r="AR15">
        <v>90</v>
      </c>
      <c r="AS15">
        <v>0</v>
      </c>
      <c r="AT15" t="s">
        <v>224</v>
      </c>
      <c r="AU15">
        <v>0</v>
      </c>
      <c r="AV15">
        <v>0</v>
      </c>
    </row>
    <row r="16" ht="16.5" spans="1:48">
      <c r="A16">
        <v>321001</v>
      </c>
      <c r="B16" t="s">
        <v>281</v>
      </c>
      <c r="C16">
        <v>11</v>
      </c>
      <c r="D16">
        <v>2</v>
      </c>
      <c r="E16" s="1" t="s">
        <v>226</v>
      </c>
      <c r="F16">
        <v>3</v>
      </c>
      <c r="G16">
        <v>2</v>
      </c>
      <c r="H16">
        <v>0</v>
      </c>
      <c r="I16">
        <v>0</v>
      </c>
      <c r="J16" t="str">
        <f>VLOOKUP(B16,Creature!B:J,9,FALSE)</f>
        <v>gongbing01_Lv1</v>
      </c>
      <c r="K16" t="str">
        <f t="shared" si="0"/>
        <v>gongbing01_Lv1</v>
      </c>
      <c r="M16">
        <v>399</v>
      </c>
      <c r="N16">
        <v>0</v>
      </c>
      <c r="O16">
        <v>87</v>
      </c>
      <c r="P16">
        <v>0</v>
      </c>
      <c r="Q16">
        <v>35</v>
      </c>
      <c r="R16">
        <v>0</v>
      </c>
      <c r="S16">
        <v>73</v>
      </c>
      <c r="T16">
        <v>0</v>
      </c>
      <c r="U16">
        <v>37</v>
      </c>
      <c r="V16">
        <v>0</v>
      </c>
      <c r="W16">
        <v>11</v>
      </c>
      <c r="X16">
        <v>0</v>
      </c>
      <c r="Y16">
        <v>1200</v>
      </c>
      <c r="Z16">
        <v>1300</v>
      </c>
      <c r="AA16">
        <v>400</v>
      </c>
      <c r="AB16">
        <v>10</v>
      </c>
      <c r="AC16">
        <v>1</v>
      </c>
      <c r="AD16" t="s">
        <v>718</v>
      </c>
      <c r="AE16">
        <v>0</v>
      </c>
      <c r="AF16">
        <v>0</v>
      </c>
      <c r="AG16">
        <v>0</v>
      </c>
      <c r="AH16">
        <v>0</v>
      </c>
      <c r="AI16" t="s">
        <v>266</v>
      </c>
      <c r="AJ16">
        <v>1.5</v>
      </c>
      <c r="AK16">
        <v>1.7</v>
      </c>
      <c r="AL16">
        <v>100</v>
      </c>
      <c r="AM16">
        <v>11</v>
      </c>
      <c r="AN16">
        <v>0</v>
      </c>
      <c r="AO16">
        <v>4</v>
      </c>
      <c r="AP16">
        <v>0</v>
      </c>
      <c r="AQ16">
        <v>0</v>
      </c>
      <c r="AR16">
        <v>90</v>
      </c>
      <c r="AS16">
        <v>0</v>
      </c>
      <c r="AT16" t="s">
        <v>224</v>
      </c>
      <c r="AU16">
        <v>0</v>
      </c>
      <c r="AV16">
        <v>0</v>
      </c>
    </row>
    <row r="17" ht="16.5" spans="1:48">
      <c r="A17">
        <v>331001</v>
      </c>
      <c r="B17" t="s">
        <v>284</v>
      </c>
      <c r="C17">
        <v>11</v>
      </c>
      <c r="D17">
        <v>2</v>
      </c>
      <c r="E17" s="1" t="s">
        <v>285</v>
      </c>
      <c r="F17">
        <v>3</v>
      </c>
      <c r="G17">
        <v>3</v>
      </c>
      <c r="H17">
        <v>0</v>
      </c>
      <c r="I17">
        <v>0</v>
      </c>
      <c r="J17" t="str">
        <f>VLOOKUP(B17,Creature!B:J,9,FALSE)</f>
        <v>gongbing01_Lv2</v>
      </c>
      <c r="K17" t="str">
        <f t="shared" si="0"/>
        <v>gongbing01_Lv2</v>
      </c>
      <c r="M17">
        <v>742</v>
      </c>
      <c r="N17">
        <v>0</v>
      </c>
      <c r="O17">
        <v>128</v>
      </c>
      <c r="P17">
        <v>0</v>
      </c>
      <c r="Q17">
        <v>45</v>
      </c>
      <c r="R17">
        <v>0</v>
      </c>
      <c r="S17">
        <v>97</v>
      </c>
      <c r="T17">
        <v>0</v>
      </c>
      <c r="U17">
        <v>50</v>
      </c>
      <c r="V17">
        <v>0</v>
      </c>
      <c r="W17">
        <v>11</v>
      </c>
      <c r="X17">
        <v>0</v>
      </c>
      <c r="Y17">
        <v>1200</v>
      </c>
      <c r="Z17">
        <v>1300</v>
      </c>
      <c r="AA17">
        <v>400</v>
      </c>
      <c r="AB17">
        <v>10</v>
      </c>
      <c r="AC17">
        <v>1</v>
      </c>
      <c r="AD17" t="s">
        <v>720</v>
      </c>
      <c r="AE17">
        <v>0</v>
      </c>
      <c r="AF17">
        <v>0</v>
      </c>
      <c r="AG17">
        <v>0</v>
      </c>
      <c r="AH17">
        <v>0</v>
      </c>
      <c r="AI17" t="s">
        <v>266</v>
      </c>
      <c r="AJ17">
        <v>1.5</v>
      </c>
      <c r="AK17">
        <v>1.7</v>
      </c>
      <c r="AL17">
        <v>100</v>
      </c>
      <c r="AM17">
        <v>11</v>
      </c>
      <c r="AN17">
        <v>0</v>
      </c>
      <c r="AO17">
        <v>4</v>
      </c>
      <c r="AP17">
        <v>0</v>
      </c>
      <c r="AQ17">
        <v>0</v>
      </c>
      <c r="AR17">
        <v>90</v>
      </c>
      <c r="AS17">
        <v>0</v>
      </c>
      <c r="AT17" t="s">
        <v>224</v>
      </c>
      <c r="AU17">
        <v>0</v>
      </c>
      <c r="AV17">
        <v>0</v>
      </c>
    </row>
    <row r="18" ht="16.5" spans="1:48">
      <c r="A18">
        <v>331002</v>
      </c>
      <c r="B18" t="s">
        <v>288</v>
      </c>
      <c r="C18">
        <v>11</v>
      </c>
      <c r="D18">
        <v>2</v>
      </c>
      <c r="E18" s="1" t="s">
        <v>289</v>
      </c>
      <c r="F18">
        <v>3</v>
      </c>
      <c r="G18">
        <v>3</v>
      </c>
      <c r="H18">
        <v>0</v>
      </c>
      <c r="I18">
        <v>0</v>
      </c>
      <c r="J18" t="str">
        <f>VLOOKUP(B18,Creature!B:J,9,FALSE)</f>
        <v>gongbing04_Lv3</v>
      </c>
      <c r="K18" t="str">
        <f t="shared" si="0"/>
        <v>gongbing04_Lv3</v>
      </c>
      <c r="M18">
        <v>912</v>
      </c>
      <c r="N18">
        <v>0</v>
      </c>
      <c r="O18">
        <v>163</v>
      </c>
      <c r="P18">
        <v>0</v>
      </c>
      <c r="Q18">
        <v>70</v>
      </c>
      <c r="R18">
        <v>0</v>
      </c>
      <c r="S18">
        <v>84</v>
      </c>
      <c r="T18">
        <v>0</v>
      </c>
      <c r="U18">
        <v>61</v>
      </c>
      <c r="V18">
        <v>0</v>
      </c>
      <c r="W18">
        <v>11</v>
      </c>
      <c r="X18">
        <v>0</v>
      </c>
      <c r="Y18">
        <v>1200</v>
      </c>
      <c r="Z18">
        <v>1300</v>
      </c>
      <c r="AA18">
        <v>400</v>
      </c>
      <c r="AB18">
        <v>10</v>
      </c>
      <c r="AC18">
        <v>1</v>
      </c>
      <c r="AD18" t="s">
        <v>291</v>
      </c>
      <c r="AE18">
        <v>0</v>
      </c>
      <c r="AF18">
        <v>0</v>
      </c>
      <c r="AG18">
        <v>0</v>
      </c>
      <c r="AH18">
        <v>0</v>
      </c>
      <c r="AI18" t="s">
        <v>266</v>
      </c>
      <c r="AJ18">
        <v>1.5</v>
      </c>
      <c r="AK18">
        <v>1.7</v>
      </c>
      <c r="AL18">
        <v>100</v>
      </c>
      <c r="AM18">
        <v>11</v>
      </c>
      <c r="AN18">
        <v>0</v>
      </c>
      <c r="AO18">
        <v>4</v>
      </c>
      <c r="AP18">
        <v>0</v>
      </c>
      <c r="AQ18">
        <v>0</v>
      </c>
      <c r="AR18">
        <v>90</v>
      </c>
      <c r="AS18">
        <v>0</v>
      </c>
      <c r="AT18" t="s">
        <v>224</v>
      </c>
      <c r="AU18">
        <v>0</v>
      </c>
      <c r="AV18">
        <v>0</v>
      </c>
    </row>
    <row r="19" ht="16.5" spans="1:48">
      <c r="A19">
        <v>341001</v>
      </c>
      <c r="B19" t="s">
        <v>292</v>
      </c>
      <c r="C19">
        <v>11</v>
      </c>
      <c r="D19">
        <v>2</v>
      </c>
      <c r="E19" s="1" t="s">
        <v>293</v>
      </c>
      <c r="F19">
        <v>3</v>
      </c>
      <c r="G19">
        <v>4</v>
      </c>
      <c r="H19">
        <v>0</v>
      </c>
      <c r="I19">
        <v>0</v>
      </c>
      <c r="J19" t="str">
        <f>VLOOKUP(B19,Creature!B:J,9,FALSE)</f>
        <v>gongbing01_Lv3</v>
      </c>
      <c r="K19" t="str">
        <f t="shared" si="0"/>
        <v>gongbing01_Lv3</v>
      </c>
      <c r="M19">
        <v>1143</v>
      </c>
      <c r="N19">
        <v>0</v>
      </c>
      <c r="O19">
        <v>186</v>
      </c>
      <c r="P19">
        <v>0</v>
      </c>
      <c r="Q19">
        <v>72</v>
      </c>
      <c r="R19">
        <v>0</v>
      </c>
      <c r="S19">
        <v>113</v>
      </c>
      <c r="T19">
        <v>0</v>
      </c>
      <c r="U19">
        <v>79</v>
      </c>
      <c r="V19">
        <v>0</v>
      </c>
      <c r="W19">
        <v>11</v>
      </c>
      <c r="X19">
        <v>0</v>
      </c>
      <c r="Y19">
        <v>1200</v>
      </c>
      <c r="Z19">
        <v>1300</v>
      </c>
      <c r="AA19">
        <v>500</v>
      </c>
      <c r="AB19">
        <v>10</v>
      </c>
      <c r="AC19">
        <v>1</v>
      </c>
      <c r="AD19" t="s">
        <v>295</v>
      </c>
      <c r="AE19">
        <v>0</v>
      </c>
      <c r="AF19">
        <v>0</v>
      </c>
      <c r="AG19">
        <v>0</v>
      </c>
      <c r="AH19">
        <v>0</v>
      </c>
      <c r="AI19" t="s">
        <v>266</v>
      </c>
      <c r="AJ19">
        <v>1.5</v>
      </c>
      <c r="AK19">
        <v>1.7</v>
      </c>
      <c r="AL19">
        <v>100</v>
      </c>
      <c r="AM19">
        <v>11</v>
      </c>
      <c r="AN19">
        <v>0</v>
      </c>
      <c r="AO19">
        <v>4</v>
      </c>
      <c r="AP19">
        <v>0</v>
      </c>
      <c r="AQ19">
        <v>0</v>
      </c>
      <c r="AR19">
        <v>90</v>
      </c>
      <c r="AS19">
        <v>0</v>
      </c>
      <c r="AT19" t="s">
        <v>224</v>
      </c>
      <c r="AU19">
        <v>0</v>
      </c>
      <c r="AV19">
        <v>0</v>
      </c>
    </row>
    <row r="20" ht="16.5" spans="1:48">
      <c r="A20">
        <v>341002</v>
      </c>
      <c r="B20" t="s">
        <v>296</v>
      </c>
      <c r="C20">
        <v>11</v>
      </c>
      <c r="D20">
        <v>2</v>
      </c>
      <c r="E20" s="1" t="s">
        <v>297</v>
      </c>
      <c r="F20">
        <v>3</v>
      </c>
      <c r="G20">
        <v>4</v>
      </c>
      <c r="H20">
        <v>0</v>
      </c>
      <c r="I20">
        <v>0</v>
      </c>
      <c r="J20" t="str">
        <f>VLOOKUP(B20,Creature!B:J,9,FALSE)</f>
        <v>gongbing05_Lv3</v>
      </c>
      <c r="K20" t="str">
        <f t="shared" si="0"/>
        <v>gongbing05_Lv3</v>
      </c>
      <c r="M20">
        <v>1301</v>
      </c>
      <c r="N20">
        <v>0</v>
      </c>
      <c r="O20">
        <v>200</v>
      </c>
      <c r="P20">
        <v>0</v>
      </c>
      <c r="Q20">
        <v>88</v>
      </c>
      <c r="R20">
        <v>0</v>
      </c>
      <c r="S20">
        <v>108</v>
      </c>
      <c r="T20">
        <v>0</v>
      </c>
      <c r="U20">
        <v>77</v>
      </c>
      <c r="V20">
        <v>0</v>
      </c>
      <c r="W20">
        <v>12</v>
      </c>
      <c r="X20">
        <v>0</v>
      </c>
      <c r="Y20">
        <v>1200</v>
      </c>
      <c r="Z20">
        <v>1300</v>
      </c>
      <c r="AA20">
        <v>400</v>
      </c>
      <c r="AB20">
        <v>10</v>
      </c>
      <c r="AC20">
        <v>1</v>
      </c>
      <c r="AD20" t="s">
        <v>299</v>
      </c>
      <c r="AE20">
        <v>0</v>
      </c>
      <c r="AF20">
        <v>0</v>
      </c>
      <c r="AG20">
        <v>0</v>
      </c>
      <c r="AH20">
        <v>0</v>
      </c>
      <c r="AI20" t="s">
        <v>266</v>
      </c>
      <c r="AJ20">
        <v>1.5</v>
      </c>
      <c r="AK20">
        <v>1.7</v>
      </c>
      <c r="AL20">
        <v>100</v>
      </c>
      <c r="AM20">
        <v>11</v>
      </c>
      <c r="AN20">
        <v>0</v>
      </c>
      <c r="AO20">
        <v>4</v>
      </c>
      <c r="AP20">
        <v>0</v>
      </c>
      <c r="AQ20">
        <v>0</v>
      </c>
      <c r="AR20">
        <v>90</v>
      </c>
      <c r="AS20">
        <v>0</v>
      </c>
      <c r="AT20" t="s">
        <v>224</v>
      </c>
      <c r="AU20">
        <v>0</v>
      </c>
      <c r="AV20">
        <v>0</v>
      </c>
    </row>
    <row r="21" ht="16.5" spans="1:48">
      <c r="A21">
        <v>351001</v>
      </c>
      <c r="B21" t="s">
        <v>300</v>
      </c>
      <c r="C21">
        <v>11</v>
      </c>
      <c r="D21">
        <v>2</v>
      </c>
      <c r="E21" s="1" t="s">
        <v>301</v>
      </c>
      <c r="F21">
        <v>3</v>
      </c>
      <c r="G21">
        <v>5</v>
      </c>
      <c r="H21">
        <v>0</v>
      </c>
      <c r="I21">
        <v>0</v>
      </c>
      <c r="J21" t="str">
        <f>VLOOKUP(B21,Creature!B:J,9,FALSE)</f>
        <v>gongbing02_Lv3</v>
      </c>
      <c r="K21" t="str">
        <f t="shared" si="0"/>
        <v>gongbing02_Lv3</v>
      </c>
      <c r="M21">
        <v>527</v>
      </c>
      <c r="N21">
        <v>0</v>
      </c>
      <c r="O21">
        <v>101</v>
      </c>
      <c r="P21">
        <v>0</v>
      </c>
      <c r="Q21">
        <v>42</v>
      </c>
      <c r="R21">
        <v>0</v>
      </c>
      <c r="S21">
        <v>72</v>
      </c>
      <c r="T21">
        <v>0</v>
      </c>
      <c r="U21">
        <v>37</v>
      </c>
      <c r="V21">
        <v>0</v>
      </c>
      <c r="W21">
        <v>11</v>
      </c>
      <c r="X21">
        <v>0</v>
      </c>
      <c r="Y21">
        <v>1200</v>
      </c>
      <c r="Z21">
        <v>1300</v>
      </c>
      <c r="AA21">
        <v>400</v>
      </c>
      <c r="AB21">
        <v>10</v>
      </c>
      <c r="AC21">
        <v>1</v>
      </c>
      <c r="AD21" t="s">
        <v>299</v>
      </c>
      <c r="AE21">
        <v>0</v>
      </c>
      <c r="AF21">
        <v>0</v>
      </c>
      <c r="AG21">
        <v>0</v>
      </c>
      <c r="AH21">
        <v>0</v>
      </c>
      <c r="AI21" t="s">
        <v>266</v>
      </c>
      <c r="AJ21">
        <v>1.5</v>
      </c>
      <c r="AK21">
        <v>1.7</v>
      </c>
      <c r="AL21">
        <v>100</v>
      </c>
      <c r="AM21">
        <v>11</v>
      </c>
      <c r="AN21">
        <v>0</v>
      </c>
      <c r="AO21">
        <v>4</v>
      </c>
      <c r="AP21">
        <v>0</v>
      </c>
      <c r="AQ21">
        <v>0</v>
      </c>
      <c r="AR21">
        <v>90</v>
      </c>
      <c r="AS21">
        <v>0</v>
      </c>
      <c r="AT21" t="s">
        <v>224</v>
      </c>
      <c r="AU21">
        <v>0</v>
      </c>
      <c r="AV21">
        <v>0</v>
      </c>
    </row>
    <row r="22" ht="16.5" spans="1:48">
      <c r="A22">
        <v>351002</v>
      </c>
      <c r="B22" t="s">
        <v>303</v>
      </c>
      <c r="C22">
        <v>11</v>
      </c>
      <c r="D22">
        <v>2</v>
      </c>
      <c r="E22" s="1" t="s">
        <v>272</v>
      </c>
      <c r="F22">
        <v>3</v>
      </c>
      <c r="G22">
        <v>5</v>
      </c>
      <c r="H22">
        <v>0</v>
      </c>
      <c r="I22">
        <v>0</v>
      </c>
      <c r="J22" t="str">
        <f>VLOOKUP(B22,Creature!B:J,9,FALSE)</f>
        <v>gongbing06_Lv3</v>
      </c>
      <c r="K22" t="str">
        <f t="shared" si="0"/>
        <v>gongbing06_Lv3</v>
      </c>
      <c r="M22">
        <v>877</v>
      </c>
      <c r="N22">
        <v>0</v>
      </c>
      <c r="O22">
        <v>164</v>
      </c>
      <c r="P22">
        <v>0</v>
      </c>
      <c r="Q22">
        <v>66</v>
      </c>
      <c r="R22">
        <v>0</v>
      </c>
      <c r="S22">
        <v>97</v>
      </c>
      <c r="T22">
        <v>0</v>
      </c>
      <c r="U22">
        <v>57</v>
      </c>
      <c r="V22">
        <v>0</v>
      </c>
      <c r="W22">
        <v>11</v>
      </c>
      <c r="X22">
        <v>0</v>
      </c>
      <c r="Y22">
        <v>1200</v>
      </c>
      <c r="Z22">
        <v>1300</v>
      </c>
      <c r="AA22">
        <v>400</v>
      </c>
      <c r="AB22">
        <v>10</v>
      </c>
      <c r="AC22">
        <v>1</v>
      </c>
      <c r="AD22" t="s">
        <v>299</v>
      </c>
      <c r="AE22">
        <v>0</v>
      </c>
      <c r="AF22">
        <v>0</v>
      </c>
      <c r="AG22">
        <v>0</v>
      </c>
      <c r="AH22">
        <v>0</v>
      </c>
      <c r="AI22" t="s">
        <v>266</v>
      </c>
      <c r="AJ22">
        <v>1.5</v>
      </c>
      <c r="AK22">
        <v>1.7</v>
      </c>
      <c r="AL22">
        <v>100</v>
      </c>
      <c r="AM22">
        <v>11</v>
      </c>
      <c r="AN22">
        <v>0</v>
      </c>
      <c r="AO22">
        <v>4</v>
      </c>
      <c r="AP22">
        <v>0</v>
      </c>
      <c r="AQ22">
        <v>0</v>
      </c>
      <c r="AR22">
        <v>90</v>
      </c>
      <c r="AS22">
        <v>0</v>
      </c>
      <c r="AT22" t="s">
        <v>224</v>
      </c>
      <c r="AU22">
        <v>0</v>
      </c>
      <c r="AV22">
        <v>0</v>
      </c>
    </row>
    <row r="23" ht="16.5" spans="1:48">
      <c r="A23">
        <v>361001</v>
      </c>
      <c r="B23" t="s">
        <v>305</v>
      </c>
      <c r="C23">
        <v>11</v>
      </c>
      <c r="D23">
        <v>2</v>
      </c>
      <c r="E23" s="1" t="s">
        <v>250</v>
      </c>
      <c r="F23">
        <v>3</v>
      </c>
      <c r="G23">
        <v>6</v>
      </c>
      <c r="H23">
        <v>0</v>
      </c>
      <c r="I23">
        <v>0</v>
      </c>
      <c r="J23" t="str">
        <f>VLOOKUP(B23,Creature!B:J,9,FALSE)</f>
        <v>gongbing03_Lv3</v>
      </c>
      <c r="K23" t="str">
        <f t="shared" si="0"/>
        <v>gongbing03_Lv3</v>
      </c>
      <c r="M23">
        <v>1324</v>
      </c>
      <c r="N23">
        <v>0</v>
      </c>
      <c r="O23">
        <v>212</v>
      </c>
      <c r="P23">
        <v>0</v>
      </c>
      <c r="Q23">
        <v>86</v>
      </c>
      <c r="R23">
        <v>0</v>
      </c>
      <c r="S23">
        <v>117</v>
      </c>
      <c r="T23">
        <v>0</v>
      </c>
      <c r="U23">
        <v>74</v>
      </c>
      <c r="V23">
        <v>0</v>
      </c>
      <c r="W23">
        <v>12</v>
      </c>
      <c r="X23">
        <v>0</v>
      </c>
      <c r="Y23">
        <v>1200</v>
      </c>
      <c r="Z23">
        <v>1300</v>
      </c>
      <c r="AA23">
        <v>400</v>
      </c>
      <c r="AB23">
        <v>10</v>
      </c>
      <c r="AC23">
        <v>1</v>
      </c>
      <c r="AD23" t="s">
        <v>299</v>
      </c>
      <c r="AE23">
        <v>0</v>
      </c>
      <c r="AF23">
        <v>0</v>
      </c>
      <c r="AG23">
        <v>0</v>
      </c>
      <c r="AH23">
        <v>0</v>
      </c>
      <c r="AI23" t="s">
        <v>266</v>
      </c>
      <c r="AJ23">
        <v>1.5</v>
      </c>
      <c r="AK23">
        <v>1.7</v>
      </c>
      <c r="AL23">
        <v>100</v>
      </c>
      <c r="AM23">
        <v>11</v>
      </c>
      <c r="AN23">
        <v>0</v>
      </c>
      <c r="AO23">
        <v>4</v>
      </c>
      <c r="AP23">
        <v>0</v>
      </c>
      <c r="AQ23">
        <v>0</v>
      </c>
      <c r="AR23">
        <v>90</v>
      </c>
      <c r="AS23">
        <v>0</v>
      </c>
      <c r="AT23" t="s">
        <v>224</v>
      </c>
      <c r="AU23">
        <v>0</v>
      </c>
      <c r="AV23">
        <v>0</v>
      </c>
    </row>
    <row r="24" ht="16.5" spans="1:48">
      <c r="A24">
        <v>361002</v>
      </c>
      <c r="B24" t="s">
        <v>307</v>
      </c>
      <c r="C24">
        <v>11</v>
      </c>
      <c r="D24">
        <v>2</v>
      </c>
      <c r="E24" s="1" t="s">
        <v>279</v>
      </c>
      <c r="F24">
        <v>3</v>
      </c>
      <c r="G24">
        <v>6</v>
      </c>
      <c r="H24">
        <v>0</v>
      </c>
      <c r="I24">
        <v>0</v>
      </c>
      <c r="J24" t="str">
        <f>VLOOKUP(B24,Creature!B:J,9,FALSE)</f>
        <v>gongbing07_Lv3</v>
      </c>
      <c r="K24" t="str">
        <f t="shared" si="0"/>
        <v>gongbing07_Lv3</v>
      </c>
      <c r="M24">
        <v>1572</v>
      </c>
      <c r="N24">
        <v>0</v>
      </c>
      <c r="O24">
        <v>254</v>
      </c>
      <c r="P24">
        <v>0</v>
      </c>
      <c r="Q24">
        <v>104</v>
      </c>
      <c r="R24">
        <v>0</v>
      </c>
      <c r="S24">
        <v>138</v>
      </c>
      <c r="T24">
        <v>0</v>
      </c>
      <c r="U24">
        <v>90</v>
      </c>
      <c r="V24">
        <v>0</v>
      </c>
      <c r="W24">
        <v>12</v>
      </c>
      <c r="X24">
        <v>0</v>
      </c>
      <c r="Y24">
        <v>1200</v>
      </c>
      <c r="Z24">
        <v>1300</v>
      </c>
      <c r="AA24">
        <v>400</v>
      </c>
      <c r="AB24">
        <v>10</v>
      </c>
      <c r="AC24">
        <v>1</v>
      </c>
      <c r="AD24" t="s">
        <v>299</v>
      </c>
      <c r="AE24">
        <v>0</v>
      </c>
      <c r="AF24">
        <v>0</v>
      </c>
      <c r="AG24">
        <v>0</v>
      </c>
      <c r="AH24">
        <v>0</v>
      </c>
      <c r="AI24" t="s">
        <v>266</v>
      </c>
      <c r="AJ24">
        <v>1.5</v>
      </c>
      <c r="AK24">
        <v>1.7</v>
      </c>
      <c r="AL24">
        <v>100</v>
      </c>
      <c r="AM24">
        <v>11</v>
      </c>
      <c r="AN24">
        <v>0</v>
      </c>
      <c r="AO24">
        <v>4</v>
      </c>
      <c r="AP24">
        <v>0</v>
      </c>
      <c r="AQ24">
        <v>0</v>
      </c>
      <c r="AR24">
        <v>90</v>
      </c>
      <c r="AS24">
        <v>0</v>
      </c>
      <c r="AT24" t="s">
        <v>224</v>
      </c>
      <c r="AU24">
        <v>0</v>
      </c>
      <c r="AV24">
        <v>0</v>
      </c>
    </row>
    <row r="25" ht="16.5" spans="1:48">
      <c r="A25">
        <v>421001</v>
      </c>
      <c r="B25" t="s">
        <v>309</v>
      </c>
      <c r="C25">
        <v>11</v>
      </c>
      <c r="D25">
        <v>2</v>
      </c>
      <c r="E25" s="1" t="s">
        <v>310</v>
      </c>
      <c r="F25">
        <v>4</v>
      </c>
      <c r="G25">
        <v>2</v>
      </c>
      <c r="H25">
        <v>0</v>
      </c>
      <c r="I25">
        <v>0</v>
      </c>
      <c r="J25" t="str">
        <f>VLOOKUP(B25,Creature!B:J,9,FALSE)</f>
        <v>feibing01_Lv1</v>
      </c>
      <c r="K25" t="str">
        <f t="shared" si="0"/>
        <v>feibing01_Lv1</v>
      </c>
      <c r="M25">
        <v>527</v>
      </c>
      <c r="N25">
        <v>0</v>
      </c>
      <c r="O25">
        <v>101</v>
      </c>
      <c r="P25">
        <v>0</v>
      </c>
      <c r="Q25">
        <v>42</v>
      </c>
      <c r="R25">
        <v>0</v>
      </c>
      <c r="S25">
        <v>72</v>
      </c>
      <c r="T25">
        <v>0</v>
      </c>
      <c r="U25">
        <v>37</v>
      </c>
      <c r="V25">
        <v>0</v>
      </c>
      <c r="W25">
        <v>11</v>
      </c>
      <c r="X25">
        <v>0</v>
      </c>
      <c r="Y25">
        <v>200</v>
      </c>
      <c r="Z25">
        <v>1300</v>
      </c>
      <c r="AA25">
        <v>500</v>
      </c>
      <c r="AB25">
        <v>8</v>
      </c>
      <c r="AC25">
        <v>1</v>
      </c>
      <c r="AD25" t="s">
        <v>312</v>
      </c>
      <c r="AE25">
        <v>0</v>
      </c>
      <c r="AF25">
        <v>0</v>
      </c>
      <c r="AG25">
        <v>0</v>
      </c>
      <c r="AH25">
        <v>0</v>
      </c>
      <c r="AI25" t="s">
        <v>266</v>
      </c>
      <c r="AJ25">
        <v>1.5</v>
      </c>
      <c r="AK25">
        <v>1.7</v>
      </c>
      <c r="AL25">
        <v>100</v>
      </c>
      <c r="AM25">
        <v>11</v>
      </c>
      <c r="AN25">
        <v>0</v>
      </c>
      <c r="AO25">
        <v>4</v>
      </c>
      <c r="AP25">
        <v>0</v>
      </c>
      <c r="AQ25">
        <v>0</v>
      </c>
      <c r="AR25">
        <v>90</v>
      </c>
      <c r="AS25">
        <v>0</v>
      </c>
      <c r="AT25" t="s">
        <v>224</v>
      </c>
      <c r="AU25">
        <v>0</v>
      </c>
      <c r="AV25">
        <v>0</v>
      </c>
    </row>
    <row r="26" ht="16.5" spans="1:48">
      <c r="A26">
        <v>431001</v>
      </c>
      <c r="B26" t="s">
        <v>313</v>
      </c>
      <c r="C26">
        <v>11</v>
      </c>
      <c r="D26">
        <v>2</v>
      </c>
      <c r="E26" s="1" t="s">
        <v>289</v>
      </c>
      <c r="F26">
        <v>4</v>
      </c>
      <c r="G26">
        <v>3</v>
      </c>
      <c r="H26">
        <v>0</v>
      </c>
      <c r="I26">
        <v>0</v>
      </c>
      <c r="J26" t="str">
        <f>VLOOKUP(B26,Creature!B:J,9,FALSE)</f>
        <v>feibing01_Lv2</v>
      </c>
      <c r="K26" t="str">
        <f t="shared" si="0"/>
        <v>feibing01_Lv2</v>
      </c>
      <c r="M26">
        <v>877</v>
      </c>
      <c r="N26">
        <v>0</v>
      </c>
      <c r="O26">
        <v>164</v>
      </c>
      <c r="P26">
        <v>0</v>
      </c>
      <c r="Q26">
        <v>66</v>
      </c>
      <c r="R26">
        <v>0</v>
      </c>
      <c r="S26">
        <v>97</v>
      </c>
      <c r="T26">
        <v>0</v>
      </c>
      <c r="U26">
        <v>57</v>
      </c>
      <c r="V26">
        <v>0</v>
      </c>
      <c r="W26">
        <v>11</v>
      </c>
      <c r="X26">
        <v>0</v>
      </c>
      <c r="Y26">
        <v>200</v>
      </c>
      <c r="Z26">
        <v>1300</v>
      </c>
      <c r="AA26">
        <v>500</v>
      </c>
      <c r="AB26">
        <v>8</v>
      </c>
      <c r="AC26">
        <v>1</v>
      </c>
      <c r="AD26" t="s">
        <v>315</v>
      </c>
      <c r="AE26">
        <v>0</v>
      </c>
      <c r="AF26">
        <v>0</v>
      </c>
      <c r="AG26">
        <v>0</v>
      </c>
      <c r="AH26">
        <v>0</v>
      </c>
      <c r="AI26" t="s">
        <v>266</v>
      </c>
      <c r="AJ26">
        <v>1.5</v>
      </c>
      <c r="AK26">
        <v>1.7</v>
      </c>
      <c r="AL26">
        <v>100</v>
      </c>
      <c r="AM26">
        <v>11</v>
      </c>
      <c r="AN26">
        <v>0</v>
      </c>
      <c r="AO26">
        <v>4</v>
      </c>
      <c r="AP26">
        <v>0</v>
      </c>
      <c r="AQ26">
        <v>0</v>
      </c>
      <c r="AR26">
        <v>90</v>
      </c>
      <c r="AS26">
        <v>0</v>
      </c>
      <c r="AT26" t="s">
        <v>224</v>
      </c>
      <c r="AU26">
        <v>0</v>
      </c>
      <c r="AV26">
        <v>0</v>
      </c>
    </row>
    <row r="27" ht="16.5" spans="1:48">
      <c r="A27">
        <v>441001</v>
      </c>
      <c r="B27" t="s">
        <v>316</v>
      </c>
      <c r="C27">
        <v>11</v>
      </c>
      <c r="D27">
        <v>2</v>
      </c>
      <c r="E27" s="1" t="s">
        <v>297</v>
      </c>
      <c r="F27">
        <v>4</v>
      </c>
      <c r="G27">
        <v>4</v>
      </c>
      <c r="H27">
        <v>0</v>
      </c>
      <c r="I27">
        <v>0</v>
      </c>
      <c r="J27" t="str">
        <f>VLOOKUP(B27,Creature!B:J,9,FALSE)</f>
        <v>feibing01_Lv3</v>
      </c>
      <c r="K27" t="str">
        <f t="shared" si="0"/>
        <v>feibing01_Lv3</v>
      </c>
      <c r="M27">
        <v>1324</v>
      </c>
      <c r="N27">
        <v>0</v>
      </c>
      <c r="O27">
        <v>212</v>
      </c>
      <c r="P27">
        <v>0</v>
      </c>
      <c r="Q27">
        <v>86</v>
      </c>
      <c r="R27">
        <v>0</v>
      </c>
      <c r="S27">
        <v>117</v>
      </c>
      <c r="T27">
        <v>0</v>
      </c>
      <c r="U27">
        <v>74</v>
      </c>
      <c r="V27">
        <v>0</v>
      </c>
      <c r="W27">
        <v>12</v>
      </c>
      <c r="X27">
        <v>0</v>
      </c>
      <c r="Y27">
        <v>200</v>
      </c>
      <c r="Z27">
        <v>1300</v>
      </c>
      <c r="AA27">
        <v>500</v>
      </c>
      <c r="AB27">
        <v>8</v>
      </c>
      <c r="AC27">
        <v>1</v>
      </c>
      <c r="AD27" t="s">
        <v>318</v>
      </c>
      <c r="AE27">
        <v>0</v>
      </c>
      <c r="AF27">
        <v>0</v>
      </c>
      <c r="AG27">
        <v>0</v>
      </c>
      <c r="AH27">
        <v>0</v>
      </c>
      <c r="AI27" t="s">
        <v>266</v>
      </c>
      <c r="AJ27">
        <v>1.5</v>
      </c>
      <c r="AK27">
        <v>1.7</v>
      </c>
      <c r="AL27">
        <v>100</v>
      </c>
      <c r="AM27">
        <v>11</v>
      </c>
      <c r="AN27">
        <v>0</v>
      </c>
      <c r="AO27">
        <v>4</v>
      </c>
      <c r="AP27">
        <v>0</v>
      </c>
      <c r="AQ27">
        <v>0</v>
      </c>
      <c r="AR27">
        <v>90</v>
      </c>
      <c r="AS27">
        <v>0</v>
      </c>
      <c r="AT27" t="s">
        <v>224</v>
      </c>
      <c r="AU27">
        <v>0</v>
      </c>
      <c r="AV27">
        <v>0</v>
      </c>
    </row>
    <row r="28" ht="16.5" spans="1:48">
      <c r="A28">
        <v>451001</v>
      </c>
      <c r="B28" t="s">
        <v>319</v>
      </c>
      <c r="C28">
        <v>11</v>
      </c>
      <c r="D28">
        <v>2</v>
      </c>
      <c r="E28" s="1" t="s">
        <v>320</v>
      </c>
      <c r="F28">
        <v>4</v>
      </c>
      <c r="G28">
        <v>5</v>
      </c>
      <c r="H28">
        <v>0</v>
      </c>
      <c r="I28">
        <v>0</v>
      </c>
      <c r="J28" t="str">
        <f>VLOOKUP(B28,Creature!B:J,9,FALSE)</f>
        <v>feibing02_Lv3</v>
      </c>
      <c r="K28" t="str">
        <f t="shared" si="0"/>
        <v>feibing02_Lv3</v>
      </c>
      <c r="M28">
        <v>1572</v>
      </c>
      <c r="N28">
        <v>0</v>
      </c>
      <c r="O28">
        <v>254</v>
      </c>
      <c r="P28">
        <v>0</v>
      </c>
      <c r="Q28">
        <v>104</v>
      </c>
      <c r="R28">
        <v>0</v>
      </c>
      <c r="S28">
        <v>138</v>
      </c>
      <c r="T28">
        <v>0</v>
      </c>
      <c r="U28">
        <v>90</v>
      </c>
      <c r="V28">
        <v>0</v>
      </c>
      <c r="W28">
        <v>12</v>
      </c>
      <c r="X28">
        <v>0</v>
      </c>
      <c r="Y28">
        <v>200</v>
      </c>
      <c r="Z28">
        <v>1300</v>
      </c>
      <c r="AA28">
        <v>500</v>
      </c>
      <c r="AB28">
        <v>8</v>
      </c>
      <c r="AC28">
        <v>1</v>
      </c>
      <c r="AD28" t="s">
        <v>322</v>
      </c>
      <c r="AE28">
        <v>0</v>
      </c>
      <c r="AF28">
        <v>0</v>
      </c>
      <c r="AG28">
        <v>0</v>
      </c>
      <c r="AH28">
        <v>0</v>
      </c>
      <c r="AI28" t="s">
        <v>266</v>
      </c>
      <c r="AJ28">
        <v>1.5</v>
      </c>
      <c r="AK28">
        <v>1.7</v>
      </c>
      <c r="AL28">
        <v>100</v>
      </c>
      <c r="AM28">
        <v>11</v>
      </c>
      <c r="AN28">
        <v>0</v>
      </c>
      <c r="AO28">
        <v>4</v>
      </c>
      <c r="AP28">
        <v>0</v>
      </c>
      <c r="AQ28">
        <v>0</v>
      </c>
      <c r="AR28">
        <v>90</v>
      </c>
      <c r="AS28">
        <v>0</v>
      </c>
      <c r="AT28" t="s">
        <v>224</v>
      </c>
      <c r="AU28">
        <v>0</v>
      </c>
      <c r="AV28">
        <v>0</v>
      </c>
    </row>
    <row r="29" ht="16.5" spans="1:48">
      <c r="A29">
        <v>461001</v>
      </c>
      <c r="B29" t="s">
        <v>323</v>
      </c>
      <c r="C29">
        <v>11</v>
      </c>
      <c r="D29">
        <v>2</v>
      </c>
      <c r="E29" s="1" t="s">
        <v>324</v>
      </c>
      <c r="F29">
        <v>4</v>
      </c>
      <c r="G29">
        <v>6</v>
      </c>
      <c r="H29">
        <v>0</v>
      </c>
      <c r="I29">
        <v>0</v>
      </c>
      <c r="J29" t="str">
        <f>VLOOKUP(B29,Creature!B:J,9,FALSE)</f>
        <v>feibing03_Lv3</v>
      </c>
      <c r="K29" t="str">
        <f t="shared" si="0"/>
        <v>feibing03_Lv3</v>
      </c>
      <c r="M29">
        <v>1921</v>
      </c>
      <c r="N29">
        <v>0</v>
      </c>
      <c r="O29">
        <v>282</v>
      </c>
      <c r="P29">
        <v>0</v>
      </c>
      <c r="Q29">
        <v>121</v>
      </c>
      <c r="R29">
        <v>0</v>
      </c>
      <c r="S29">
        <v>162</v>
      </c>
      <c r="T29">
        <v>0</v>
      </c>
      <c r="U29">
        <v>106</v>
      </c>
      <c r="V29">
        <v>0</v>
      </c>
      <c r="W29">
        <v>12</v>
      </c>
      <c r="X29">
        <v>0</v>
      </c>
      <c r="Y29">
        <v>200</v>
      </c>
      <c r="Z29">
        <v>1300</v>
      </c>
      <c r="AA29">
        <v>500</v>
      </c>
      <c r="AB29">
        <v>8</v>
      </c>
      <c r="AC29">
        <v>1</v>
      </c>
      <c r="AD29" t="s">
        <v>326</v>
      </c>
      <c r="AE29">
        <v>0</v>
      </c>
      <c r="AF29">
        <v>0</v>
      </c>
      <c r="AG29">
        <v>0</v>
      </c>
      <c r="AH29">
        <v>0</v>
      </c>
      <c r="AI29" t="s">
        <v>266</v>
      </c>
      <c r="AJ29">
        <v>1.5</v>
      </c>
      <c r="AK29">
        <v>1.7</v>
      </c>
      <c r="AL29">
        <v>100</v>
      </c>
      <c r="AM29">
        <v>11</v>
      </c>
      <c r="AN29">
        <v>0</v>
      </c>
      <c r="AO29">
        <v>4</v>
      </c>
      <c r="AP29">
        <v>0</v>
      </c>
      <c r="AQ29">
        <v>0</v>
      </c>
      <c r="AR29">
        <v>90</v>
      </c>
      <c r="AS29">
        <v>0</v>
      </c>
      <c r="AT29" t="s">
        <v>224</v>
      </c>
      <c r="AU29">
        <v>0</v>
      </c>
      <c r="AV29">
        <v>0</v>
      </c>
    </row>
    <row r="30" ht="16.5" spans="1:48">
      <c r="A30">
        <v>461002</v>
      </c>
      <c r="B30" t="s">
        <v>327</v>
      </c>
      <c r="C30">
        <v>11</v>
      </c>
      <c r="D30">
        <v>2</v>
      </c>
      <c r="E30" s="1" t="s">
        <v>328</v>
      </c>
      <c r="F30">
        <v>4</v>
      </c>
      <c r="G30">
        <v>6</v>
      </c>
      <c r="H30">
        <v>0</v>
      </c>
      <c r="I30">
        <v>0</v>
      </c>
      <c r="J30" t="str">
        <f>VLOOKUP(B30,Creature!B:J,9,FALSE)</f>
        <v>feibing04_Lv3</v>
      </c>
      <c r="K30" t="str">
        <f t="shared" si="0"/>
        <v>feibing04_Lv3</v>
      </c>
      <c r="M30">
        <v>474</v>
      </c>
      <c r="N30">
        <v>0</v>
      </c>
      <c r="O30">
        <v>25</v>
      </c>
      <c r="P30">
        <v>0</v>
      </c>
      <c r="Q30">
        <v>36</v>
      </c>
      <c r="R30">
        <v>0</v>
      </c>
      <c r="S30">
        <v>97</v>
      </c>
      <c r="T30">
        <v>0</v>
      </c>
      <c r="U30">
        <v>51</v>
      </c>
      <c r="V30">
        <v>0</v>
      </c>
      <c r="W30">
        <v>11</v>
      </c>
      <c r="X30">
        <v>0</v>
      </c>
      <c r="Y30">
        <v>200</v>
      </c>
      <c r="Z30">
        <v>1300</v>
      </c>
      <c r="AA30">
        <v>500</v>
      </c>
      <c r="AB30">
        <v>8</v>
      </c>
      <c r="AC30">
        <v>1</v>
      </c>
      <c r="AD30" t="s">
        <v>326</v>
      </c>
      <c r="AE30">
        <v>0</v>
      </c>
      <c r="AF30">
        <v>0</v>
      </c>
      <c r="AG30">
        <v>0</v>
      </c>
      <c r="AH30">
        <v>0</v>
      </c>
      <c r="AI30" t="s">
        <v>266</v>
      </c>
      <c r="AJ30">
        <v>1.5</v>
      </c>
      <c r="AK30">
        <v>1.7</v>
      </c>
      <c r="AL30">
        <v>100</v>
      </c>
      <c r="AM30">
        <v>11</v>
      </c>
      <c r="AN30">
        <v>0</v>
      </c>
      <c r="AO30">
        <v>4</v>
      </c>
      <c r="AP30">
        <v>0</v>
      </c>
      <c r="AQ30">
        <v>0</v>
      </c>
      <c r="AR30">
        <v>90</v>
      </c>
      <c r="AS30">
        <v>0</v>
      </c>
      <c r="AT30" t="s">
        <v>224</v>
      </c>
      <c r="AU30">
        <v>0</v>
      </c>
      <c r="AV30">
        <v>0</v>
      </c>
    </row>
    <row r="31" ht="16.5" spans="1:48">
      <c r="A31">
        <v>521001</v>
      </c>
      <c r="B31" t="s">
        <v>330</v>
      </c>
      <c r="C31">
        <v>11</v>
      </c>
      <c r="D31">
        <v>2</v>
      </c>
      <c r="E31" s="1" t="s">
        <v>331</v>
      </c>
      <c r="F31">
        <v>5</v>
      </c>
      <c r="G31">
        <v>2</v>
      </c>
      <c r="H31">
        <v>0</v>
      </c>
      <c r="I31">
        <v>0</v>
      </c>
      <c r="J31" t="str">
        <f>VLOOKUP(B31,Creature!B:J,9,FALSE)</f>
        <v>fashi01_Lv1</v>
      </c>
      <c r="K31" t="str">
        <f t="shared" si="0"/>
        <v>fashi01_Lv1</v>
      </c>
      <c r="M31">
        <v>474</v>
      </c>
      <c r="N31">
        <v>0</v>
      </c>
      <c r="O31">
        <v>34</v>
      </c>
      <c r="P31">
        <v>0</v>
      </c>
      <c r="Q31">
        <v>36</v>
      </c>
      <c r="R31">
        <v>0</v>
      </c>
      <c r="S31">
        <v>97</v>
      </c>
      <c r="T31">
        <v>0</v>
      </c>
      <c r="U31">
        <v>51</v>
      </c>
      <c r="V31">
        <v>0</v>
      </c>
      <c r="W31">
        <v>11</v>
      </c>
      <c r="X31">
        <v>0</v>
      </c>
      <c r="Y31">
        <v>1200</v>
      </c>
      <c r="Z31">
        <v>1300</v>
      </c>
      <c r="AA31">
        <v>400</v>
      </c>
      <c r="AB31">
        <v>10</v>
      </c>
      <c r="AC31">
        <v>1</v>
      </c>
      <c r="AD31" t="s">
        <v>333</v>
      </c>
      <c r="AE31">
        <v>0</v>
      </c>
      <c r="AF31">
        <v>0</v>
      </c>
      <c r="AG31">
        <v>0</v>
      </c>
      <c r="AH31">
        <v>0</v>
      </c>
      <c r="AI31" t="s">
        <v>266</v>
      </c>
      <c r="AJ31">
        <v>1.5</v>
      </c>
      <c r="AK31">
        <v>1.7</v>
      </c>
      <c r="AL31">
        <v>100</v>
      </c>
      <c r="AM31">
        <v>11</v>
      </c>
      <c r="AN31">
        <v>0</v>
      </c>
      <c r="AO31">
        <v>4</v>
      </c>
      <c r="AP31">
        <v>0</v>
      </c>
      <c r="AQ31">
        <v>0</v>
      </c>
      <c r="AR31">
        <v>90</v>
      </c>
      <c r="AS31">
        <v>0</v>
      </c>
      <c r="AT31" t="s">
        <v>224</v>
      </c>
      <c r="AU31">
        <v>0</v>
      </c>
      <c r="AV31">
        <v>0</v>
      </c>
    </row>
    <row r="32" ht="16.5" spans="1:48">
      <c r="A32">
        <v>531001</v>
      </c>
      <c r="B32" t="s">
        <v>334</v>
      </c>
      <c r="C32">
        <v>11</v>
      </c>
      <c r="D32">
        <v>2</v>
      </c>
      <c r="E32" s="1" t="s">
        <v>335</v>
      </c>
      <c r="F32">
        <v>5</v>
      </c>
      <c r="G32">
        <v>3</v>
      </c>
      <c r="H32">
        <v>0</v>
      </c>
      <c r="I32">
        <v>0</v>
      </c>
      <c r="J32" t="str">
        <f>VLOOKUP(B32,Creature!B:J,9,FALSE)</f>
        <v>fashi01_Lv2</v>
      </c>
      <c r="K32" t="str">
        <f t="shared" si="0"/>
        <v>fashi01_Lv2</v>
      </c>
      <c r="M32">
        <v>797</v>
      </c>
      <c r="N32">
        <v>0</v>
      </c>
      <c r="O32">
        <v>47</v>
      </c>
      <c r="P32">
        <v>0</v>
      </c>
      <c r="Q32">
        <v>50</v>
      </c>
      <c r="R32">
        <v>0</v>
      </c>
      <c r="S32">
        <v>129</v>
      </c>
      <c r="T32">
        <v>0</v>
      </c>
      <c r="U32">
        <v>71</v>
      </c>
      <c r="V32">
        <v>0</v>
      </c>
      <c r="W32">
        <v>11</v>
      </c>
      <c r="X32">
        <v>0</v>
      </c>
      <c r="Y32">
        <v>1200</v>
      </c>
      <c r="Z32">
        <v>1300</v>
      </c>
      <c r="AA32">
        <v>400</v>
      </c>
      <c r="AB32">
        <v>10</v>
      </c>
      <c r="AC32">
        <v>1</v>
      </c>
      <c r="AD32" t="s">
        <v>337</v>
      </c>
      <c r="AE32">
        <v>0</v>
      </c>
      <c r="AF32">
        <v>0</v>
      </c>
      <c r="AG32">
        <v>0</v>
      </c>
      <c r="AH32">
        <v>0</v>
      </c>
      <c r="AI32" t="s">
        <v>266</v>
      </c>
      <c r="AJ32">
        <v>1.5</v>
      </c>
      <c r="AK32">
        <v>1.7</v>
      </c>
      <c r="AL32">
        <v>100</v>
      </c>
      <c r="AM32">
        <v>11</v>
      </c>
      <c r="AN32">
        <v>0</v>
      </c>
      <c r="AO32">
        <v>4</v>
      </c>
      <c r="AP32">
        <v>0</v>
      </c>
      <c r="AQ32">
        <v>0</v>
      </c>
      <c r="AR32">
        <v>90</v>
      </c>
      <c r="AS32">
        <v>0</v>
      </c>
      <c r="AT32" t="s">
        <v>224</v>
      </c>
      <c r="AU32">
        <v>0</v>
      </c>
      <c r="AV32">
        <v>0</v>
      </c>
    </row>
    <row r="33" ht="16.5" spans="1:48">
      <c r="A33">
        <v>531002</v>
      </c>
      <c r="B33" t="s">
        <v>338</v>
      </c>
      <c r="C33">
        <v>11</v>
      </c>
      <c r="D33">
        <v>2</v>
      </c>
      <c r="E33" s="1" t="s">
        <v>339</v>
      </c>
      <c r="F33">
        <v>5</v>
      </c>
      <c r="G33">
        <v>3</v>
      </c>
      <c r="H33">
        <v>0</v>
      </c>
      <c r="I33">
        <v>0</v>
      </c>
      <c r="J33" t="str">
        <f>VLOOKUP(B33,Creature!B:J,9,FALSE)</f>
        <v>fashi03_Lv3</v>
      </c>
      <c r="K33" t="str">
        <f t="shared" si="0"/>
        <v>fashi03_Lv3</v>
      </c>
      <c r="M33">
        <v>869</v>
      </c>
      <c r="N33">
        <v>0</v>
      </c>
      <c r="O33">
        <v>56</v>
      </c>
      <c r="P33">
        <v>0</v>
      </c>
      <c r="Q33">
        <v>59</v>
      </c>
      <c r="R33">
        <v>0</v>
      </c>
      <c r="S33">
        <v>121</v>
      </c>
      <c r="T33">
        <v>0</v>
      </c>
      <c r="U33">
        <v>81</v>
      </c>
      <c r="V33">
        <v>0</v>
      </c>
      <c r="W33">
        <v>11</v>
      </c>
      <c r="X33">
        <v>0</v>
      </c>
      <c r="Y33">
        <v>1200</v>
      </c>
      <c r="Z33">
        <v>1300</v>
      </c>
      <c r="AA33">
        <v>400</v>
      </c>
      <c r="AB33">
        <v>10</v>
      </c>
      <c r="AC33">
        <v>1</v>
      </c>
      <c r="AD33" t="s">
        <v>341</v>
      </c>
      <c r="AE33">
        <v>0</v>
      </c>
      <c r="AF33">
        <v>0</v>
      </c>
      <c r="AG33">
        <v>0</v>
      </c>
      <c r="AH33">
        <v>0</v>
      </c>
      <c r="AI33" t="s">
        <v>266</v>
      </c>
      <c r="AJ33">
        <v>1.5</v>
      </c>
      <c r="AK33">
        <v>1.7</v>
      </c>
      <c r="AL33">
        <v>100</v>
      </c>
      <c r="AM33">
        <v>11</v>
      </c>
      <c r="AN33">
        <v>0</v>
      </c>
      <c r="AO33">
        <v>4</v>
      </c>
      <c r="AP33">
        <v>0</v>
      </c>
      <c r="AQ33">
        <v>0</v>
      </c>
      <c r="AR33">
        <v>90</v>
      </c>
      <c r="AS33">
        <v>0</v>
      </c>
      <c r="AT33" t="s">
        <v>224</v>
      </c>
      <c r="AU33">
        <v>0</v>
      </c>
      <c r="AV33">
        <v>0</v>
      </c>
    </row>
    <row r="34" ht="16.5" spans="1:48">
      <c r="A34">
        <v>541001</v>
      </c>
      <c r="B34" t="s">
        <v>342</v>
      </c>
      <c r="C34">
        <v>11</v>
      </c>
      <c r="D34">
        <v>2</v>
      </c>
      <c r="E34" s="1" t="s">
        <v>343</v>
      </c>
      <c r="F34">
        <v>5</v>
      </c>
      <c r="G34">
        <v>4</v>
      </c>
      <c r="H34">
        <v>0</v>
      </c>
      <c r="I34">
        <v>0</v>
      </c>
      <c r="J34" t="str">
        <f>VLOOKUP(B34,Creature!B:J,9,FALSE)</f>
        <v>fashi01_Lv3</v>
      </c>
      <c r="K34" t="str">
        <f t="shared" ref="K34:K61" si="1">J34</f>
        <v>fashi01_Lv3</v>
      </c>
      <c r="M34">
        <v>1210</v>
      </c>
      <c r="N34">
        <v>0</v>
      </c>
      <c r="O34">
        <v>53</v>
      </c>
      <c r="P34">
        <v>0</v>
      </c>
      <c r="Q34">
        <v>72</v>
      </c>
      <c r="R34">
        <v>0</v>
      </c>
      <c r="S34">
        <v>171</v>
      </c>
      <c r="T34">
        <v>0</v>
      </c>
      <c r="U34">
        <v>100</v>
      </c>
      <c r="V34">
        <v>0</v>
      </c>
      <c r="W34">
        <v>12</v>
      </c>
      <c r="X34">
        <v>0</v>
      </c>
      <c r="Y34">
        <v>1200</v>
      </c>
      <c r="Z34">
        <v>1300</v>
      </c>
      <c r="AA34">
        <v>400</v>
      </c>
      <c r="AB34">
        <v>10</v>
      </c>
      <c r="AC34">
        <v>1</v>
      </c>
      <c r="AD34" t="s">
        <v>345</v>
      </c>
      <c r="AE34">
        <v>0</v>
      </c>
      <c r="AF34">
        <v>0</v>
      </c>
      <c r="AG34">
        <v>0</v>
      </c>
      <c r="AH34">
        <v>0</v>
      </c>
      <c r="AI34" t="s">
        <v>266</v>
      </c>
      <c r="AJ34">
        <v>1.5</v>
      </c>
      <c r="AK34">
        <v>1.7</v>
      </c>
      <c r="AL34">
        <v>100</v>
      </c>
      <c r="AM34">
        <v>11</v>
      </c>
      <c r="AN34">
        <v>0</v>
      </c>
      <c r="AO34">
        <v>4</v>
      </c>
      <c r="AP34">
        <v>0</v>
      </c>
      <c r="AQ34">
        <v>0</v>
      </c>
      <c r="AR34">
        <v>90</v>
      </c>
      <c r="AS34">
        <v>0</v>
      </c>
      <c r="AT34" t="s">
        <v>224</v>
      </c>
      <c r="AU34">
        <v>0</v>
      </c>
      <c r="AV34">
        <v>0</v>
      </c>
    </row>
    <row r="35" ht="16.5" spans="1:48">
      <c r="A35">
        <v>551001</v>
      </c>
      <c r="B35" t="s">
        <v>346</v>
      </c>
      <c r="C35">
        <v>11</v>
      </c>
      <c r="D35">
        <v>2</v>
      </c>
      <c r="E35" s="1" t="s">
        <v>347</v>
      </c>
      <c r="F35">
        <v>5</v>
      </c>
      <c r="G35">
        <v>5</v>
      </c>
      <c r="H35">
        <v>0</v>
      </c>
      <c r="I35">
        <v>0</v>
      </c>
      <c r="J35" t="str">
        <f>VLOOKUP(B35,Creature!B:J,9,FALSE)</f>
        <v>fashi02_Lv3</v>
      </c>
      <c r="K35" t="str">
        <f t="shared" si="1"/>
        <v>fashi02_Lv3</v>
      </c>
      <c r="M35">
        <v>1460</v>
      </c>
      <c r="N35">
        <v>0</v>
      </c>
      <c r="O35">
        <v>47</v>
      </c>
      <c r="P35">
        <v>0</v>
      </c>
      <c r="Q35">
        <v>89</v>
      </c>
      <c r="R35">
        <v>0</v>
      </c>
      <c r="S35">
        <v>219</v>
      </c>
      <c r="T35">
        <v>0</v>
      </c>
      <c r="U35">
        <v>124</v>
      </c>
      <c r="V35">
        <v>0</v>
      </c>
      <c r="W35">
        <v>12</v>
      </c>
      <c r="X35">
        <v>0</v>
      </c>
      <c r="Y35">
        <v>1200</v>
      </c>
      <c r="Z35">
        <v>1300</v>
      </c>
      <c r="AA35">
        <v>400</v>
      </c>
      <c r="AB35">
        <v>10</v>
      </c>
      <c r="AC35">
        <v>1</v>
      </c>
      <c r="AD35" t="s">
        <v>349</v>
      </c>
      <c r="AE35">
        <v>0</v>
      </c>
      <c r="AF35">
        <v>0</v>
      </c>
      <c r="AG35">
        <v>0</v>
      </c>
      <c r="AH35">
        <v>0</v>
      </c>
      <c r="AI35" t="s">
        <v>266</v>
      </c>
      <c r="AJ35">
        <v>1.5</v>
      </c>
      <c r="AK35">
        <v>1.7</v>
      </c>
      <c r="AL35">
        <v>100</v>
      </c>
      <c r="AM35">
        <v>11</v>
      </c>
      <c r="AN35">
        <v>0</v>
      </c>
      <c r="AO35">
        <v>4</v>
      </c>
      <c r="AP35">
        <v>0</v>
      </c>
      <c r="AQ35">
        <v>0</v>
      </c>
      <c r="AR35">
        <v>90</v>
      </c>
      <c r="AS35">
        <v>0</v>
      </c>
      <c r="AT35" t="s">
        <v>224</v>
      </c>
      <c r="AU35">
        <v>0</v>
      </c>
      <c r="AV35">
        <v>0</v>
      </c>
    </row>
    <row r="36" ht="16.5" spans="1:48">
      <c r="A36">
        <v>561001</v>
      </c>
      <c r="B36" t="s">
        <v>350</v>
      </c>
      <c r="C36">
        <v>11</v>
      </c>
      <c r="D36">
        <v>2</v>
      </c>
      <c r="E36" s="1" t="s">
        <v>351</v>
      </c>
      <c r="F36">
        <v>5</v>
      </c>
      <c r="G36">
        <v>6</v>
      </c>
      <c r="H36">
        <v>0</v>
      </c>
      <c r="I36">
        <v>0</v>
      </c>
      <c r="J36" t="str">
        <f>VLOOKUP(B36,Creature!B:J,9,FALSE)</f>
        <v>fashi05_Lv3</v>
      </c>
      <c r="K36" t="str">
        <f t="shared" si="1"/>
        <v>fashi05_Lv3</v>
      </c>
      <c r="M36">
        <v>433</v>
      </c>
      <c r="N36">
        <v>0</v>
      </c>
      <c r="O36">
        <v>47</v>
      </c>
      <c r="P36">
        <v>0</v>
      </c>
      <c r="Q36">
        <v>40</v>
      </c>
      <c r="R36">
        <v>0</v>
      </c>
      <c r="S36">
        <v>85</v>
      </c>
      <c r="T36">
        <v>0</v>
      </c>
      <c r="U36">
        <v>56</v>
      </c>
      <c r="V36">
        <v>0</v>
      </c>
      <c r="W36">
        <v>11</v>
      </c>
      <c r="X36">
        <v>0</v>
      </c>
      <c r="Y36">
        <v>1200</v>
      </c>
      <c r="Z36">
        <v>1300</v>
      </c>
      <c r="AA36">
        <v>400</v>
      </c>
      <c r="AB36">
        <v>10</v>
      </c>
      <c r="AC36">
        <v>1</v>
      </c>
      <c r="AD36" t="s">
        <v>349</v>
      </c>
      <c r="AE36">
        <v>0</v>
      </c>
      <c r="AF36">
        <v>0</v>
      </c>
      <c r="AG36">
        <v>0</v>
      </c>
      <c r="AH36">
        <v>0</v>
      </c>
      <c r="AI36" t="s">
        <v>266</v>
      </c>
      <c r="AJ36">
        <v>1.5</v>
      </c>
      <c r="AK36">
        <v>1.7</v>
      </c>
      <c r="AL36">
        <v>100</v>
      </c>
      <c r="AM36">
        <v>11</v>
      </c>
      <c r="AN36">
        <v>0</v>
      </c>
      <c r="AO36">
        <v>4</v>
      </c>
      <c r="AP36">
        <v>0</v>
      </c>
      <c r="AQ36">
        <v>0</v>
      </c>
      <c r="AR36">
        <v>90</v>
      </c>
      <c r="AS36">
        <v>0</v>
      </c>
      <c r="AT36" t="s">
        <v>224</v>
      </c>
      <c r="AU36">
        <v>0</v>
      </c>
      <c r="AV36">
        <v>0</v>
      </c>
    </row>
    <row r="37" ht="16.5" spans="1:48">
      <c r="A37">
        <v>621001</v>
      </c>
      <c r="B37" t="s">
        <v>353</v>
      </c>
      <c r="C37">
        <v>11</v>
      </c>
      <c r="D37">
        <v>2</v>
      </c>
      <c r="E37" s="1" t="s">
        <v>226</v>
      </c>
      <c r="F37">
        <v>5</v>
      </c>
      <c r="G37">
        <v>2</v>
      </c>
      <c r="H37">
        <v>0</v>
      </c>
      <c r="I37">
        <v>0</v>
      </c>
      <c r="J37" t="str">
        <f>VLOOKUP(B37,Creature!B:J,9,FALSE)</f>
        <v>mushi01_Lv1</v>
      </c>
      <c r="K37" t="str">
        <f t="shared" si="1"/>
        <v>mushi01_Lv1</v>
      </c>
      <c r="M37">
        <v>747</v>
      </c>
      <c r="N37">
        <v>0</v>
      </c>
      <c r="O37">
        <v>47</v>
      </c>
      <c r="P37">
        <v>0</v>
      </c>
      <c r="Q37">
        <v>60</v>
      </c>
      <c r="R37">
        <v>0</v>
      </c>
      <c r="S37">
        <v>122</v>
      </c>
      <c r="T37">
        <v>0</v>
      </c>
      <c r="U37">
        <v>83</v>
      </c>
      <c r="V37">
        <v>0</v>
      </c>
      <c r="W37">
        <v>11</v>
      </c>
      <c r="X37">
        <v>0</v>
      </c>
      <c r="Y37">
        <v>1200</v>
      </c>
      <c r="Z37">
        <v>1300</v>
      </c>
      <c r="AA37">
        <v>400</v>
      </c>
      <c r="AB37">
        <v>10</v>
      </c>
      <c r="AC37">
        <v>1</v>
      </c>
      <c r="AD37" t="s">
        <v>349</v>
      </c>
      <c r="AE37">
        <v>0</v>
      </c>
      <c r="AF37">
        <v>0</v>
      </c>
      <c r="AG37">
        <v>0</v>
      </c>
      <c r="AH37">
        <v>0</v>
      </c>
      <c r="AI37" t="s">
        <v>266</v>
      </c>
      <c r="AJ37">
        <v>1.5</v>
      </c>
      <c r="AK37">
        <v>1.7</v>
      </c>
      <c r="AL37">
        <v>100</v>
      </c>
      <c r="AM37">
        <v>11</v>
      </c>
      <c r="AN37">
        <v>0</v>
      </c>
      <c r="AO37">
        <v>4</v>
      </c>
      <c r="AP37">
        <v>0</v>
      </c>
      <c r="AQ37">
        <v>0</v>
      </c>
      <c r="AR37">
        <v>90</v>
      </c>
      <c r="AS37">
        <v>0</v>
      </c>
      <c r="AT37" t="s">
        <v>224</v>
      </c>
      <c r="AU37">
        <v>0</v>
      </c>
      <c r="AV37">
        <v>0</v>
      </c>
    </row>
    <row r="38" ht="16.5" spans="1:48">
      <c r="A38">
        <v>631001</v>
      </c>
      <c r="B38" t="s">
        <v>355</v>
      </c>
      <c r="C38">
        <v>11</v>
      </c>
      <c r="D38">
        <v>2</v>
      </c>
      <c r="E38" s="1" t="s">
        <v>285</v>
      </c>
      <c r="F38">
        <v>6</v>
      </c>
      <c r="G38">
        <v>3</v>
      </c>
      <c r="H38">
        <v>0</v>
      </c>
      <c r="I38">
        <v>0</v>
      </c>
      <c r="J38" t="str">
        <f>VLOOKUP(B38,Creature!B:J,9,FALSE)</f>
        <v>mushi01_Lv2</v>
      </c>
      <c r="K38" t="str">
        <f t="shared" si="1"/>
        <v>mushi01_Lv2</v>
      </c>
      <c r="M38">
        <v>433</v>
      </c>
      <c r="N38">
        <v>0</v>
      </c>
      <c r="O38">
        <v>28</v>
      </c>
      <c r="P38">
        <v>0</v>
      </c>
      <c r="Q38">
        <v>40</v>
      </c>
      <c r="R38">
        <v>0</v>
      </c>
      <c r="S38">
        <v>85</v>
      </c>
      <c r="T38">
        <v>0</v>
      </c>
      <c r="U38">
        <v>56</v>
      </c>
      <c r="V38">
        <v>0</v>
      </c>
      <c r="W38">
        <v>11</v>
      </c>
      <c r="X38">
        <v>0</v>
      </c>
      <c r="Y38">
        <v>1200</v>
      </c>
      <c r="Z38">
        <v>1300</v>
      </c>
      <c r="AA38">
        <v>400</v>
      </c>
      <c r="AB38">
        <v>10</v>
      </c>
      <c r="AC38">
        <v>1</v>
      </c>
      <c r="AD38" t="s">
        <v>357</v>
      </c>
      <c r="AE38">
        <v>0</v>
      </c>
      <c r="AF38">
        <v>0</v>
      </c>
      <c r="AG38">
        <v>0</v>
      </c>
      <c r="AH38">
        <v>0</v>
      </c>
      <c r="AI38" t="s">
        <v>266</v>
      </c>
      <c r="AJ38">
        <v>1.5</v>
      </c>
      <c r="AK38">
        <v>1.7</v>
      </c>
      <c r="AL38">
        <v>100</v>
      </c>
      <c r="AM38">
        <v>11</v>
      </c>
      <c r="AN38">
        <v>0</v>
      </c>
      <c r="AO38">
        <v>4</v>
      </c>
      <c r="AP38">
        <v>0</v>
      </c>
      <c r="AQ38">
        <v>0</v>
      </c>
      <c r="AR38">
        <v>90</v>
      </c>
      <c r="AS38">
        <v>0</v>
      </c>
      <c r="AT38" t="s">
        <v>224</v>
      </c>
      <c r="AU38">
        <v>0</v>
      </c>
      <c r="AV38">
        <v>0</v>
      </c>
    </row>
    <row r="39" ht="16.5" spans="1:48">
      <c r="A39">
        <v>641001</v>
      </c>
      <c r="B39" t="s">
        <v>358</v>
      </c>
      <c r="C39">
        <v>11</v>
      </c>
      <c r="D39">
        <v>2</v>
      </c>
      <c r="E39" s="1" t="s">
        <v>293</v>
      </c>
      <c r="F39">
        <v>6</v>
      </c>
      <c r="G39">
        <v>4</v>
      </c>
      <c r="H39">
        <v>0</v>
      </c>
      <c r="I39">
        <v>0</v>
      </c>
      <c r="J39" t="str">
        <f>VLOOKUP(B39,Creature!B:J,9,FALSE)</f>
        <v>mushi01_Lv3</v>
      </c>
      <c r="K39" t="str">
        <f t="shared" si="1"/>
        <v>mushi01_Lv3</v>
      </c>
      <c r="M39">
        <v>747</v>
      </c>
      <c r="N39">
        <v>0</v>
      </c>
      <c r="O39">
        <v>36</v>
      </c>
      <c r="P39">
        <v>0</v>
      </c>
      <c r="Q39">
        <v>60</v>
      </c>
      <c r="R39">
        <v>0</v>
      </c>
      <c r="S39">
        <v>122</v>
      </c>
      <c r="T39">
        <v>0</v>
      </c>
      <c r="U39">
        <v>83</v>
      </c>
      <c r="V39">
        <v>0</v>
      </c>
      <c r="W39">
        <v>11</v>
      </c>
      <c r="X39">
        <v>0</v>
      </c>
      <c r="Y39">
        <v>1200</v>
      </c>
      <c r="Z39">
        <v>1300</v>
      </c>
      <c r="AA39">
        <v>400</v>
      </c>
      <c r="AB39">
        <v>10</v>
      </c>
      <c r="AC39">
        <v>1</v>
      </c>
      <c r="AD39" t="s">
        <v>360</v>
      </c>
      <c r="AE39">
        <v>0</v>
      </c>
      <c r="AF39">
        <v>0</v>
      </c>
      <c r="AG39">
        <v>0</v>
      </c>
      <c r="AH39">
        <v>0</v>
      </c>
      <c r="AI39" t="s">
        <v>266</v>
      </c>
      <c r="AJ39">
        <v>1.5</v>
      </c>
      <c r="AK39">
        <v>1.7</v>
      </c>
      <c r="AL39">
        <v>100</v>
      </c>
      <c r="AM39">
        <v>11</v>
      </c>
      <c r="AN39">
        <v>0</v>
      </c>
      <c r="AO39">
        <v>4</v>
      </c>
      <c r="AP39">
        <v>0</v>
      </c>
      <c r="AQ39">
        <v>0</v>
      </c>
      <c r="AR39">
        <v>90</v>
      </c>
      <c r="AS39">
        <v>0</v>
      </c>
      <c r="AT39" t="s">
        <v>224</v>
      </c>
      <c r="AU39">
        <v>0</v>
      </c>
      <c r="AV39">
        <v>0</v>
      </c>
    </row>
    <row r="40" ht="16.5" spans="1:48">
      <c r="A40">
        <v>641002</v>
      </c>
      <c r="B40" t="s">
        <v>361</v>
      </c>
      <c r="C40">
        <v>11</v>
      </c>
      <c r="D40">
        <v>2</v>
      </c>
      <c r="E40" s="1" t="s">
        <v>293</v>
      </c>
      <c r="F40">
        <v>6</v>
      </c>
      <c r="G40">
        <v>4</v>
      </c>
      <c r="H40">
        <v>0</v>
      </c>
      <c r="I40">
        <v>0</v>
      </c>
      <c r="J40" t="str">
        <f>VLOOKUP(B40,Creature!B:J,9,FALSE)</f>
        <v>mushi02_Lv3</v>
      </c>
      <c r="K40" t="str">
        <f t="shared" si="1"/>
        <v>mushi02_Lv3</v>
      </c>
      <c r="M40">
        <v>1152</v>
      </c>
      <c r="N40">
        <v>0</v>
      </c>
      <c r="O40">
        <v>42</v>
      </c>
      <c r="P40">
        <v>0</v>
      </c>
      <c r="Q40">
        <v>72</v>
      </c>
      <c r="R40">
        <v>0</v>
      </c>
      <c r="S40">
        <v>163</v>
      </c>
      <c r="T40">
        <v>0</v>
      </c>
      <c r="U40">
        <v>100</v>
      </c>
      <c r="V40">
        <v>0</v>
      </c>
      <c r="W40">
        <v>11</v>
      </c>
      <c r="X40">
        <v>0</v>
      </c>
      <c r="Y40">
        <v>1200</v>
      </c>
      <c r="Z40">
        <v>1300</v>
      </c>
      <c r="AA40">
        <v>400</v>
      </c>
      <c r="AB40">
        <v>10</v>
      </c>
      <c r="AC40">
        <v>1</v>
      </c>
      <c r="AD40" t="s">
        <v>363</v>
      </c>
      <c r="AE40">
        <v>0</v>
      </c>
      <c r="AF40">
        <v>0</v>
      </c>
      <c r="AG40">
        <v>0</v>
      </c>
      <c r="AH40">
        <v>0</v>
      </c>
      <c r="AI40" t="s">
        <v>266</v>
      </c>
      <c r="AJ40">
        <v>1.5</v>
      </c>
      <c r="AK40">
        <v>1.7</v>
      </c>
      <c r="AL40">
        <v>100</v>
      </c>
      <c r="AM40">
        <v>11</v>
      </c>
      <c r="AN40">
        <v>0</v>
      </c>
      <c r="AO40">
        <v>4</v>
      </c>
      <c r="AP40">
        <v>0</v>
      </c>
      <c r="AQ40">
        <v>0</v>
      </c>
      <c r="AR40">
        <v>90</v>
      </c>
      <c r="AS40">
        <v>0</v>
      </c>
      <c r="AT40" t="s">
        <v>224</v>
      </c>
      <c r="AU40">
        <v>0</v>
      </c>
      <c r="AV40">
        <v>0</v>
      </c>
    </row>
    <row r="41" ht="16.5" spans="1:48">
      <c r="A41">
        <v>651001</v>
      </c>
      <c r="B41" t="s">
        <v>364</v>
      </c>
      <c r="C41">
        <v>11</v>
      </c>
      <c r="D41">
        <v>2</v>
      </c>
      <c r="E41" s="1" t="s">
        <v>301</v>
      </c>
      <c r="F41">
        <v>6</v>
      </c>
      <c r="G41">
        <v>5</v>
      </c>
      <c r="H41">
        <v>0</v>
      </c>
      <c r="I41">
        <v>0</v>
      </c>
      <c r="J41" t="str">
        <f>VLOOKUP(B41,Creature!B:J,9,FALSE)</f>
        <v>mushi03_Lv3</v>
      </c>
      <c r="K41" t="str">
        <f t="shared" si="1"/>
        <v>mushi03_Lv3</v>
      </c>
      <c r="M41">
        <v>1161</v>
      </c>
      <c r="N41">
        <v>0</v>
      </c>
      <c r="O41">
        <v>40</v>
      </c>
      <c r="P41">
        <v>0</v>
      </c>
      <c r="Q41">
        <v>75</v>
      </c>
      <c r="R41">
        <v>0</v>
      </c>
      <c r="S41">
        <v>169</v>
      </c>
      <c r="T41">
        <v>0</v>
      </c>
      <c r="U41">
        <v>105</v>
      </c>
      <c r="V41">
        <v>0</v>
      </c>
      <c r="W41">
        <v>11</v>
      </c>
      <c r="X41">
        <v>0</v>
      </c>
      <c r="Y41">
        <v>1200</v>
      </c>
      <c r="Z41">
        <v>1300</v>
      </c>
      <c r="AA41">
        <v>400</v>
      </c>
      <c r="AB41">
        <v>10</v>
      </c>
      <c r="AC41">
        <v>1</v>
      </c>
      <c r="AD41" t="s">
        <v>366</v>
      </c>
      <c r="AE41">
        <v>0</v>
      </c>
      <c r="AF41">
        <v>0</v>
      </c>
      <c r="AG41">
        <v>0</v>
      </c>
      <c r="AH41">
        <v>0</v>
      </c>
      <c r="AI41" t="s">
        <v>266</v>
      </c>
      <c r="AJ41">
        <v>1.5</v>
      </c>
      <c r="AK41">
        <v>1.7</v>
      </c>
      <c r="AL41">
        <v>100</v>
      </c>
      <c r="AM41">
        <v>11</v>
      </c>
      <c r="AN41">
        <v>0</v>
      </c>
      <c r="AO41">
        <v>4</v>
      </c>
      <c r="AP41">
        <v>0</v>
      </c>
      <c r="AQ41">
        <v>0</v>
      </c>
      <c r="AR41">
        <v>90</v>
      </c>
      <c r="AS41">
        <v>0</v>
      </c>
      <c r="AT41" t="s">
        <v>224</v>
      </c>
      <c r="AU41">
        <v>0</v>
      </c>
      <c r="AV41">
        <v>0</v>
      </c>
    </row>
    <row r="42" ht="16.5" spans="1:48">
      <c r="A42">
        <v>651002</v>
      </c>
      <c r="B42" t="s">
        <v>367</v>
      </c>
      <c r="C42">
        <v>11</v>
      </c>
      <c r="D42">
        <v>2</v>
      </c>
      <c r="E42" s="1" t="s">
        <v>301</v>
      </c>
      <c r="F42">
        <v>6</v>
      </c>
      <c r="G42">
        <v>5</v>
      </c>
      <c r="H42">
        <v>0</v>
      </c>
      <c r="I42">
        <v>0</v>
      </c>
      <c r="J42" t="str">
        <f>VLOOKUP(B42,Creature!B:J,9,FALSE)</f>
        <v>mushi02_Lv2</v>
      </c>
      <c r="K42" t="str">
        <f t="shared" si="1"/>
        <v>mushi02_Lv2</v>
      </c>
      <c r="M42">
        <v>1431</v>
      </c>
      <c r="N42">
        <v>0</v>
      </c>
      <c r="O42">
        <v>37</v>
      </c>
      <c r="P42">
        <v>0</v>
      </c>
      <c r="Q42">
        <v>88</v>
      </c>
      <c r="R42">
        <v>0</v>
      </c>
      <c r="S42">
        <v>211</v>
      </c>
      <c r="T42">
        <v>0</v>
      </c>
      <c r="U42">
        <v>123</v>
      </c>
      <c r="V42">
        <v>0</v>
      </c>
      <c r="W42">
        <v>12</v>
      </c>
      <c r="X42">
        <v>0</v>
      </c>
      <c r="Y42">
        <v>1200</v>
      </c>
      <c r="Z42">
        <v>1300</v>
      </c>
      <c r="AA42">
        <v>400</v>
      </c>
      <c r="AB42">
        <v>10</v>
      </c>
      <c r="AC42">
        <v>1</v>
      </c>
      <c r="AD42" t="s">
        <v>369</v>
      </c>
      <c r="AE42">
        <v>0</v>
      </c>
      <c r="AF42">
        <v>0</v>
      </c>
      <c r="AG42">
        <v>0</v>
      </c>
      <c r="AH42">
        <v>0</v>
      </c>
      <c r="AI42" t="s">
        <v>266</v>
      </c>
      <c r="AJ42">
        <v>1.5</v>
      </c>
      <c r="AK42">
        <v>1.7</v>
      </c>
      <c r="AL42">
        <v>100</v>
      </c>
      <c r="AM42">
        <v>11</v>
      </c>
      <c r="AN42">
        <v>0</v>
      </c>
      <c r="AO42">
        <v>4</v>
      </c>
      <c r="AP42">
        <v>0</v>
      </c>
      <c r="AQ42">
        <v>0</v>
      </c>
      <c r="AR42">
        <v>90</v>
      </c>
      <c r="AS42">
        <v>0</v>
      </c>
      <c r="AT42" t="s">
        <v>224</v>
      </c>
      <c r="AU42">
        <v>0</v>
      </c>
      <c r="AV42">
        <v>0</v>
      </c>
    </row>
    <row r="43" ht="16.5" spans="1:48">
      <c r="A43">
        <v>661001</v>
      </c>
      <c r="B43" t="s">
        <v>370</v>
      </c>
      <c r="C43">
        <v>11</v>
      </c>
      <c r="D43">
        <v>2</v>
      </c>
      <c r="E43" s="1" t="s">
        <v>371</v>
      </c>
      <c r="F43">
        <v>6</v>
      </c>
      <c r="G43">
        <v>6</v>
      </c>
      <c r="H43">
        <v>0</v>
      </c>
      <c r="I43">
        <v>0</v>
      </c>
      <c r="J43" t="str">
        <f>VLOOKUP(B43,Creature!B:J,9,FALSE)</f>
        <v>mushi04_Lv3</v>
      </c>
      <c r="K43" t="str">
        <f t="shared" si="1"/>
        <v>mushi04_Lv3</v>
      </c>
      <c r="M43">
        <v>373</v>
      </c>
      <c r="N43">
        <v>0</v>
      </c>
      <c r="O43">
        <v>37</v>
      </c>
      <c r="P43">
        <v>0</v>
      </c>
      <c r="Q43">
        <v>43</v>
      </c>
      <c r="R43">
        <v>0</v>
      </c>
      <c r="S43">
        <v>70</v>
      </c>
      <c r="T43">
        <v>0</v>
      </c>
      <c r="U43">
        <v>38</v>
      </c>
      <c r="V43">
        <v>0</v>
      </c>
      <c r="W43">
        <v>11</v>
      </c>
      <c r="X43">
        <v>0</v>
      </c>
      <c r="Y43">
        <v>1200</v>
      </c>
      <c r="Z43">
        <v>1300</v>
      </c>
      <c r="AA43">
        <v>400</v>
      </c>
      <c r="AB43">
        <v>10</v>
      </c>
      <c r="AC43">
        <v>1</v>
      </c>
      <c r="AD43" t="s">
        <v>369</v>
      </c>
      <c r="AE43">
        <v>0</v>
      </c>
      <c r="AF43">
        <v>0</v>
      </c>
      <c r="AG43">
        <v>0</v>
      </c>
      <c r="AH43">
        <v>0</v>
      </c>
      <c r="AI43" t="s">
        <v>266</v>
      </c>
      <c r="AJ43">
        <v>1.5</v>
      </c>
      <c r="AK43">
        <v>1.7</v>
      </c>
      <c r="AL43">
        <v>100</v>
      </c>
      <c r="AM43">
        <v>11</v>
      </c>
      <c r="AN43">
        <v>0</v>
      </c>
      <c r="AO43">
        <v>4</v>
      </c>
      <c r="AP43">
        <v>0</v>
      </c>
      <c r="AQ43">
        <v>0</v>
      </c>
      <c r="AR43">
        <v>90</v>
      </c>
      <c r="AS43">
        <v>0</v>
      </c>
      <c r="AT43" t="s">
        <v>224</v>
      </c>
      <c r="AU43">
        <v>0</v>
      </c>
      <c r="AV43">
        <v>0</v>
      </c>
    </row>
    <row r="44" ht="16.5" spans="1:48">
      <c r="A44">
        <v>711001</v>
      </c>
      <c r="B44" t="s">
        <v>373</v>
      </c>
      <c r="C44">
        <v>11</v>
      </c>
      <c r="D44">
        <v>2</v>
      </c>
      <c r="E44" s="1" t="s">
        <v>374</v>
      </c>
      <c r="F44">
        <v>6</v>
      </c>
      <c r="G44">
        <v>1</v>
      </c>
      <c r="H44">
        <v>0</v>
      </c>
      <c r="I44">
        <v>0</v>
      </c>
      <c r="J44" t="str">
        <f>VLOOKUP(B44,Creature!B:J,9,FALSE)</f>
        <v>moshou01_Lv1</v>
      </c>
      <c r="K44" t="str">
        <f t="shared" si="1"/>
        <v>moshou01_Lv1</v>
      </c>
      <c r="M44">
        <v>546</v>
      </c>
      <c r="N44">
        <v>0</v>
      </c>
      <c r="O44">
        <v>37</v>
      </c>
      <c r="P44">
        <v>0</v>
      </c>
      <c r="Q44">
        <v>60</v>
      </c>
      <c r="R44">
        <v>0</v>
      </c>
      <c r="S44">
        <v>88</v>
      </c>
      <c r="T44">
        <v>0</v>
      </c>
      <c r="U44">
        <v>53</v>
      </c>
      <c r="V44">
        <v>0</v>
      </c>
      <c r="W44">
        <v>11</v>
      </c>
      <c r="X44">
        <v>0</v>
      </c>
      <c r="Y44">
        <v>1200</v>
      </c>
      <c r="Z44">
        <v>1300</v>
      </c>
      <c r="AA44">
        <v>400</v>
      </c>
      <c r="AB44">
        <v>10</v>
      </c>
      <c r="AC44">
        <v>1</v>
      </c>
      <c r="AD44" t="s">
        <v>369</v>
      </c>
      <c r="AE44">
        <v>0</v>
      </c>
      <c r="AF44">
        <v>0</v>
      </c>
      <c r="AG44">
        <v>0</v>
      </c>
      <c r="AH44">
        <v>0</v>
      </c>
      <c r="AI44" t="s">
        <v>266</v>
      </c>
      <c r="AJ44">
        <v>1.5</v>
      </c>
      <c r="AK44">
        <v>1.7</v>
      </c>
      <c r="AL44">
        <v>100</v>
      </c>
      <c r="AM44">
        <v>11</v>
      </c>
      <c r="AN44">
        <v>0</v>
      </c>
      <c r="AO44">
        <v>4</v>
      </c>
      <c r="AP44">
        <v>0</v>
      </c>
      <c r="AQ44">
        <v>0</v>
      </c>
      <c r="AR44">
        <v>90</v>
      </c>
      <c r="AS44">
        <v>0</v>
      </c>
      <c r="AT44" t="s">
        <v>224</v>
      </c>
      <c r="AU44">
        <v>0</v>
      </c>
      <c r="AV44">
        <v>0</v>
      </c>
    </row>
    <row r="45" ht="16.5" spans="1:48">
      <c r="A45">
        <v>721001</v>
      </c>
      <c r="B45" t="s">
        <v>377</v>
      </c>
      <c r="C45">
        <v>11</v>
      </c>
      <c r="D45">
        <v>2</v>
      </c>
      <c r="E45" s="1" t="s">
        <v>378</v>
      </c>
      <c r="F45">
        <v>7</v>
      </c>
      <c r="G45">
        <v>2</v>
      </c>
      <c r="H45">
        <v>0</v>
      </c>
      <c r="I45">
        <v>0</v>
      </c>
      <c r="J45" t="str">
        <f>VLOOKUP(B45,Creature!B:J,9,FALSE)</f>
        <v>moshou01_Lv2</v>
      </c>
      <c r="K45" t="str">
        <f t="shared" si="1"/>
        <v>moshou01_Lv2</v>
      </c>
      <c r="M45">
        <v>373</v>
      </c>
      <c r="N45">
        <v>0</v>
      </c>
      <c r="O45">
        <v>83</v>
      </c>
      <c r="P45">
        <v>0</v>
      </c>
      <c r="Q45">
        <v>43</v>
      </c>
      <c r="R45">
        <v>0</v>
      </c>
      <c r="S45">
        <v>70</v>
      </c>
      <c r="T45">
        <v>0</v>
      </c>
      <c r="U45">
        <v>38</v>
      </c>
      <c r="V45">
        <v>0</v>
      </c>
      <c r="W45">
        <v>11</v>
      </c>
      <c r="X45">
        <v>0</v>
      </c>
      <c r="Y45">
        <v>200</v>
      </c>
      <c r="Z45">
        <v>1300</v>
      </c>
      <c r="AA45">
        <v>400</v>
      </c>
      <c r="AB45">
        <v>8</v>
      </c>
      <c r="AC45">
        <v>2</v>
      </c>
      <c r="AD45" t="s">
        <v>737</v>
      </c>
      <c r="AE45">
        <v>0</v>
      </c>
      <c r="AF45">
        <v>0</v>
      </c>
      <c r="AG45">
        <v>0</v>
      </c>
      <c r="AH45">
        <v>0</v>
      </c>
      <c r="AI45" t="s">
        <v>266</v>
      </c>
      <c r="AJ45">
        <v>1.5</v>
      </c>
      <c r="AK45">
        <v>1.7</v>
      </c>
      <c r="AL45">
        <v>100</v>
      </c>
      <c r="AM45">
        <v>11</v>
      </c>
      <c r="AN45">
        <v>0</v>
      </c>
      <c r="AO45">
        <v>4</v>
      </c>
      <c r="AP45">
        <v>0</v>
      </c>
      <c r="AQ45">
        <v>0</v>
      </c>
      <c r="AR45">
        <v>90</v>
      </c>
      <c r="AS45">
        <v>0</v>
      </c>
      <c r="AT45" t="s">
        <v>224</v>
      </c>
      <c r="AU45">
        <v>0</v>
      </c>
      <c r="AV45">
        <v>0</v>
      </c>
    </row>
    <row r="46" ht="16.5" spans="1:48">
      <c r="A46">
        <v>721002</v>
      </c>
      <c r="B46" t="s">
        <v>380</v>
      </c>
      <c r="C46">
        <v>11</v>
      </c>
      <c r="D46">
        <v>2</v>
      </c>
      <c r="E46" s="1" t="s">
        <v>381</v>
      </c>
      <c r="F46">
        <v>7</v>
      </c>
      <c r="G46">
        <v>2</v>
      </c>
      <c r="H46">
        <v>0</v>
      </c>
      <c r="I46">
        <v>0</v>
      </c>
      <c r="J46" t="str">
        <f>VLOOKUP(B46,Creature!B:J,9,FALSE)</f>
        <v>moshou02_Lv2</v>
      </c>
      <c r="K46" t="str">
        <f t="shared" si="1"/>
        <v>moshou02_Lv2</v>
      </c>
      <c r="M46">
        <v>546</v>
      </c>
      <c r="N46">
        <v>0</v>
      </c>
      <c r="O46">
        <v>110</v>
      </c>
      <c r="P46">
        <v>0</v>
      </c>
      <c r="Q46">
        <v>60</v>
      </c>
      <c r="R46">
        <v>0</v>
      </c>
      <c r="S46">
        <v>88</v>
      </c>
      <c r="T46">
        <v>0</v>
      </c>
      <c r="U46">
        <v>53</v>
      </c>
      <c r="V46">
        <v>0</v>
      </c>
      <c r="W46">
        <v>11</v>
      </c>
      <c r="X46">
        <v>0</v>
      </c>
      <c r="Y46">
        <v>200</v>
      </c>
      <c r="Z46">
        <v>1300</v>
      </c>
      <c r="AA46">
        <v>400</v>
      </c>
      <c r="AB46">
        <v>8</v>
      </c>
      <c r="AC46">
        <v>2</v>
      </c>
      <c r="AD46" t="s">
        <v>383</v>
      </c>
      <c r="AE46">
        <v>0</v>
      </c>
      <c r="AF46">
        <v>0</v>
      </c>
      <c r="AG46">
        <v>0</v>
      </c>
      <c r="AH46">
        <v>0</v>
      </c>
      <c r="AI46" t="s">
        <v>266</v>
      </c>
      <c r="AJ46">
        <v>1.5</v>
      </c>
      <c r="AK46">
        <v>1.7</v>
      </c>
      <c r="AL46">
        <v>100</v>
      </c>
      <c r="AM46">
        <v>11</v>
      </c>
      <c r="AN46">
        <v>0</v>
      </c>
      <c r="AO46">
        <v>4</v>
      </c>
      <c r="AP46">
        <v>0</v>
      </c>
      <c r="AQ46">
        <v>0</v>
      </c>
      <c r="AR46">
        <v>90</v>
      </c>
      <c r="AS46">
        <v>0</v>
      </c>
      <c r="AT46" t="s">
        <v>224</v>
      </c>
      <c r="AU46">
        <v>0</v>
      </c>
      <c r="AV46">
        <v>0</v>
      </c>
    </row>
    <row r="47" ht="16.5" spans="1:48">
      <c r="A47">
        <v>731001</v>
      </c>
      <c r="B47" t="s">
        <v>384</v>
      </c>
      <c r="C47">
        <v>11</v>
      </c>
      <c r="D47">
        <v>2</v>
      </c>
      <c r="E47" s="1" t="s">
        <v>385</v>
      </c>
      <c r="F47">
        <v>7</v>
      </c>
      <c r="G47">
        <v>3</v>
      </c>
      <c r="H47">
        <v>0</v>
      </c>
      <c r="I47">
        <v>0</v>
      </c>
      <c r="J47" t="str">
        <f>VLOOKUP(B47,Creature!B:J,9,FALSE)</f>
        <v>moshou01_Lv3</v>
      </c>
      <c r="K47" t="str">
        <f t="shared" si="1"/>
        <v>moshou01_Lv3</v>
      </c>
      <c r="M47">
        <v>655</v>
      </c>
      <c r="N47">
        <v>0</v>
      </c>
      <c r="O47">
        <v>112</v>
      </c>
      <c r="P47">
        <v>0</v>
      </c>
      <c r="Q47">
        <v>40</v>
      </c>
      <c r="R47">
        <v>0</v>
      </c>
      <c r="S47">
        <v>82</v>
      </c>
      <c r="T47">
        <v>0</v>
      </c>
      <c r="U47">
        <v>34</v>
      </c>
      <c r="V47">
        <v>0</v>
      </c>
      <c r="W47">
        <v>11</v>
      </c>
      <c r="X47">
        <v>0</v>
      </c>
      <c r="Y47">
        <v>200</v>
      </c>
      <c r="Z47">
        <v>1300</v>
      </c>
      <c r="AA47">
        <v>500</v>
      </c>
      <c r="AB47">
        <v>8</v>
      </c>
      <c r="AC47">
        <v>2</v>
      </c>
      <c r="AD47" t="s">
        <v>387</v>
      </c>
      <c r="AE47">
        <v>0</v>
      </c>
      <c r="AF47">
        <v>0</v>
      </c>
      <c r="AG47">
        <v>0</v>
      </c>
      <c r="AH47">
        <v>0</v>
      </c>
      <c r="AI47" t="s">
        <v>266</v>
      </c>
      <c r="AJ47">
        <v>1.5</v>
      </c>
      <c r="AK47">
        <v>1.7</v>
      </c>
      <c r="AL47">
        <v>100</v>
      </c>
      <c r="AM47">
        <v>11</v>
      </c>
      <c r="AN47">
        <v>0</v>
      </c>
      <c r="AO47">
        <v>4</v>
      </c>
      <c r="AP47">
        <v>0</v>
      </c>
      <c r="AQ47">
        <v>0</v>
      </c>
      <c r="AR47">
        <v>90</v>
      </c>
      <c r="AS47">
        <v>0</v>
      </c>
      <c r="AT47" t="s">
        <v>224</v>
      </c>
      <c r="AU47">
        <v>0</v>
      </c>
      <c r="AV47">
        <v>0</v>
      </c>
    </row>
    <row r="48" ht="16.5" spans="1:48">
      <c r="A48">
        <v>731002</v>
      </c>
      <c r="B48" t="s">
        <v>388</v>
      </c>
      <c r="C48">
        <v>11</v>
      </c>
      <c r="D48">
        <v>2</v>
      </c>
      <c r="E48" s="1" t="s">
        <v>289</v>
      </c>
      <c r="F48">
        <v>7</v>
      </c>
      <c r="G48">
        <v>3</v>
      </c>
      <c r="H48">
        <v>0</v>
      </c>
      <c r="I48">
        <v>0</v>
      </c>
      <c r="J48" t="str">
        <f>VLOOKUP(B48,Creature!B:J,9,FALSE)</f>
        <v>moshou05_Lv3</v>
      </c>
      <c r="K48" t="str">
        <f t="shared" si="1"/>
        <v>moshou05_Lv3</v>
      </c>
      <c r="M48">
        <v>811</v>
      </c>
      <c r="N48">
        <v>0</v>
      </c>
      <c r="O48">
        <v>145</v>
      </c>
      <c r="P48">
        <v>0</v>
      </c>
      <c r="Q48">
        <v>69</v>
      </c>
      <c r="R48">
        <v>0</v>
      </c>
      <c r="S48">
        <v>108</v>
      </c>
      <c r="T48">
        <v>0</v>
      </c>
      <c r="U48">
        <v>60</v>
      </c>
      <c r="V48">
        <v>0</v>
      </c>
      <c r="W48">
        <v>11</v>
      </c>
      <c r="X48">
        <v>0</v>
      </c>
      <c r="Y48">
        <v>200</v>
      </c>
      <c r="Z48">
        <v>1300</v>
      </c>
      <c r="AA48">
        <v>400</v>
      </c>
      <c r="AB48">
        <v>8</v>
      </c>
      <c r="AC48">
        <v>2</v>
      </c>
      <c r="AD48" t="s">
        <v>390</v>
      </c>
      <c r="AE48">
        <v>0</v>
      </c>
      <c r="AF48">
        <v>0</v>
      </c>
      <c r="AG48">
        <v>0</v>
      </c>
      <c r="AH48">
        <v>0</v>
      </c>
      <c r="AI48" t="s">
        <v>266</v>
      </c>
      <c r="AJ48">
        <v>1.5</v>
      </c>
      <c r="AK48">
        <v>1.7</v>
      </c>
      <c r="AL48">
        <v>100</v>
      </c>
      <c r="AM48">
        <v>11</v>
      </c>
      <c r="AN48">
        <v>0</v>
      </c>
      <c r="AO48">
        <v>4</v>
      </c>
      <c r="AP48">
        <v>0</v>
      </c>
      <c r="AQ48">
        <v>0</v>
      </c>
      <c r="AR48">
        <v>90</v>
      </c>
      <c r="AS48">
        <v>0</v>
      </c>
      <c r="AT48" t="s">
        <v>224</v>
      </c>
      <c r="AU48">
        <v>0</v>
      </c>
      <c r="AV48">
        <v>0</v>
      </c>
    </row>
    <row r="49" ht="16.5" spans="1:48">
      <c r="A49">
        <v>741001</v>
      </c>
      <c r="B49" t="s">
        <v>391</v>
      </c>
      <c r="C49">
        <v>11</v>
      </c>
      <c r="D49">
        <v>2</v>
      </c>
      <c r="E49" s="1" t="s">
        <v>392</v>
      </c>
      <c r="F49">
        <v>7</v>
      </c>
      <c r="G49">
        <v>4</v>
      </c>
      <c r="H49">
        <v>0</v>
      </c>
      <c r="I49">
        <v>0</v>
      </c>
      <c r="J49" t="str">
        <f>VLOOKUP(B49,Creature!B:J,9,FALSE)</f>
        <v>moshou03_Lv3</v>
      </c>
      <c r="K49" t="str">
        <f t="shared" si="1"/>
        <v>moshou03_Lv3</v>
      </c>
      <c r="M49">
        <v>1019</v>
      </c>
      <c r="N49">
        <v>0</v>
      </c>
      <c r="O49">
        <v>48</v>
      </c>
      <c r="P49">
        <v>0</v>
      </c>
      <c r="Q49">
        <v>74</v>
      </c>
      <c r="R49">
        <v>0</v>
      </c>
      <c r="S49">
        <v>98</v>
      </c>
      <c r="T49">
        <v>0</v>
      </c>
      <c r="U49">
        <v>64</v>
      </c>
      <c r="V49">
        <v>0</v>
      </c>
      <c r="W49">
        <v>11</v>
      </c>
      <c r="X49">
        <v>0</v>
      </c>
      <c r="Y49">
        <v>1200</v>
      </c>
      <c r="Z49">
        <v>1300</v>
      </c>
      <c r="AA49">
        <v>400</v>
      </c>
      <c r="AB49">
        <v>10</v>
      </c>
      <c r="AC49">
        <v>2</v>
      </c>
      <c r="AD49" t="s">
        <v>394</v>
      </c>
      <c r="AE49">
        <v>0</v>
      </c>
      <c r="AF49">
        <v>0</v>
      </c>
      <c r="AG49">
        <v>0</v>
      </c>
      <c r="AH49">
        <v>0</v>
      </c>
      <c r="AI49" t="s">
        <v>266</v>
      </c>
      <c r="AJ49">
        <v>1.5</v>
      </c>
      <c r="AK49">
        <v>1.7</v>
      </c>
      <c r="AL49">
        <v>100</v>
      </c>
      <c r="AM49">
        <v>11</v>
      </c>
      <c r="AN49">
        <v>0</v>
      </c>
      <c r="AO49">
        <v>4</v>
      </c>
      <c r="AP49">
        <v>0</v>
      </c>
      <c r="AQ49">
        <v>0</v>
      </c>
      <c r="AR49">
        <v>90</v>
      </c>
      <c r="AS49">
        <v>0</v>
      </c>
      <c r="AT49" t="s">
        <v>224</v>
      </c>
      <c r="AU49">
        <v>0</v>
      </c>
      <c r="AV49">
        <v>0</v>
      </c>
    </row>
    <row r="50" ht="16.5" spans="1:48">
      <c r="A50">
        <v>741002</v>
      </c>
      <c r="B50" t="s">
        <v>395</v>
      </c>
      <c r="C50">
        <v>11</v>
      </c>
      <c r="D50">
        <v>2</v>
      </c>
      <c r="E50" s="1" t="s">
        <v>268</v>
      </c>
      <c r="F50">
        <v>7</v>
      </c>
      <c r="G50">
        <v>4</v>
      </c>
      <c r="H50">
        <v>0</v>
      </c>
      <c r="I50">
        <v>0</v>
      </c>
      <c r="J50" t="str">
        <f>VLOOKUP(B50,Creature!B:J,9,FALSE)</f>
        <v>moshou04_Lv3</v>
      </c>
      <c r="K50" t="str">
        <f t="shared" si="1"/>
        <v>moshou04_Lv3</v>
      </c>
      <c r="M50">
        <v>589</v>
      </c>
      <c r="N50">
        <v>0</v>
      </c>
      <c r="O50">
        <v>48</v>
      </c>
      <c r="P50">
        <v>0</v>
      </c>
      <c r="Q50">
        <v>45</v>
      </c>
      <c r="R50">
        <v>0</v>
      </c>
      <c r="S50">
        <v>72</v>
      </c>
      <c r="T50">
        <v>0</v>
      </c>
      <c r="U50">
        <v>39</v>
      </c>
      <c r="V50">
        <v>0</v>
      </c>
      <c r="W50">
        <v>11</v>
      </c>
      <c r="X50">
        <v>0</v>
      </c>
      <c r="Y50">
        <v>1200</v>
      </c>
      <c r="Z50">
        <v>1300</v>
      </c>
      <c r="AA50">
        <v>400</v>
      </c>
      <c r="AB50">
        <v>10</v>
      </c>
      <c r="AC50">
        <v>2</v>
      </c>
      <c r="AD50" t="s">
        <v>394</v>
      </c>
      <c r="AE50">
        <v>0</v>
      </c>
      <c r="AF50">
        <v>0</v>
      </c>
      <c r="AG50">
        <v>0</v>
      </c>
      <c r="AH50">
        <v>0</v>
      </c>
      <c r="AI50" t="s">
        <v>266</v>
      </c>
      <c r="AJ50">
        <v>1.5</v>
      </c>
      <c r="AK50">
        <v>1.7</v>
      </c>
      <c r="AL50">
        <v>100</v>
      </c>
      <c r="AM50">
        <v>11</v>
      </c>
      <c r="AN50">
        <v>0</v>
      </c>
      <c r="AO50">
        <v>4</v>
      </c>
      <c r="AP50">
        <v>0</v>
      </c>
      <c r="AQ50">
        <v>0</v>
      </c>
      <c r="AR50">
        <v>90</v>
      </c>
      <c r="AS50">
        <v>0</v>
      </c>
      <c r="AT50" t="s">
        <v>224</v>
      </c>
      <c r="AU50">
        <v>0</v>
      </c>
      <c r="AV50">
        <v>0</v>
      </c>
    </row>
    <row r="51" ht="16.5" spans="1:48">
      <c r="A51">
        <v>751001</v>
      </c>
      <c r="B51" t="s">
        <v>399</v>
      </c>
      <c r="C51">
        <v>11</v>
      </c>
      <c r="D51">
        <v>2</v>
      </c>
      <c r="E51" s="1" t="s">
        <v>347</v>
      </c>
      <c r="F51">
        <v>7</v>
      </c>
      <c r="G51">
        <v>5</v>
      </c>
      <c r="H51">
        <v>0</v>
      </c>
      <c r="I51">
        <v>0</v>
      </c>
      <c r="J51" t="str">
        <f>VLOOKUP(B51,Creature!B:J,9,FALSE)</f>
        <v>moshou02_Lv3</v>
      </c>
      <c r="K51" t="str">
        <f t="shared" si="1"/>
        <v>moshou02_Lv3</v>
      </c>
      <c r="M51">
        <v>783</v>
      </c>
      <c r="N51">
        <v>0</v>
      </c>
      <c r="O51">
        <v>48</v>
      </c>
      <c r="P51">
        <v>0</v>
      </c>
      <c r="Q51">
        <v>60</v>
      </c>
      <c r="R51">
        <v>0</v>
      </c>
      <c r="S51">
        <v>90</v>
      </c>
      <c r="T51">
        <v>0</v>
      </c>
      <c r="U51">
        <v>52</v>
      </c>
      <c r="V51">
        <v>0</v>
      </c>
      <c r="W51">
        <v>12</v>
      </c>
      <c r="X51">
        <v>0</v>
      </c>
      <c r="Y51">
        <v>1200</v>
      </c>
      <c r="Z51">
        <v>1300</v>
      </c>
      <c r="AA51">
        <v>400</v>
      </c>
      <c r="AB51">
        <v>10</v>
      </c>
      <c r="AC51">
        <v>2</v>
      </c>
      <c r="AD51" t="s">
        <v>394</v>
      </c>
      <c r="AE51">
        <v>0</v>
      </c>
      <c r="AF51">
        <v>0</v>
      </c>
      <c r="AG51">
        <v>0</v>
      </c>
      <c r="AH51">
        <v>0</v>
      </c>
      <c r="AI51" t="s">
        <v>266</v>
      </c>
      <c r="AJ51">
        <v>1.5</v>
      </c>
      <c r="AK51">
        <v>1.7</v>
      </c>
      <c r="AL51">
        <v>100</v>
      </c>
      <c r="AM51">
        <v>11</v>
      </c>
      <c r="AN51">
        <v>0</v>
      </c>
      <c r="AO51">
        <v>4</v>
      </c>
      <c r="AP51">
        <v>0</v>
      </c>
      <c r="AQ51">
        <v>0</v>
      </c>
      <c r="AR51">
        <v>90</v>
      </c>
      <c r="AS51">
        <v>0</v>
      </c>
      <c r="AT51" t="s">
        <v>224</v>
      </c>
      <c r="AU51">
        <v>0</v>
      </c>
      <c r="AV51">
        <v>0</v>
      </c>
    </row>
    <row r="52" ht="16.5" spans="1:48">
      <c r="A52">
        <v>751002</v>
      </c>
      <c r="B52" t="s">
        <v>401</v>
      </c>
      <c r="C52">
        <v>11</v>
      </c>
      <c r="D52">
        <v>2</v>
      </c>
      <c r="E52" s="1" t="s">
        <v>272</v>
      </c>
      <c r="F52">
        <v>7</v>
      </c>
      <c r="G52">
        <v>5</v>
      </c>
      <c r="H52">
        <v>0</v>
      </c>
      <c r="I52">
        <v>0</v>
      </c>
      <c r="J52" t="str">
        <f>VLOOKUP(B52,Creature!B:J,9,FALSE)</f>
        <v>moshou06_Lv3</v>
      </c>
      <c r="K52" t="str">
        <f t="shared" si="1"/>
        <v>moshou06_Lv3</v>
      </c>
      <c r="M52">
        <v>1486</v>
      </c>
      <c r="N52">
        <v>0</v>
      </c>
      <c r="O52">
        <v>48</v>
      </c>
      <c r="P52">
        <v>0</v>
      </c>
      <c r="Q52">
        <v>80</v>
      </c>
      <c r="R52">
        <v>0</v>
      </c>
      <c r="S52">
        <v>108</v>
      </c>
      <c r="T52">
        <v>0</v>
      </c>
      <c r="U52">
        <v>69</v>
      </c>
      <c r="V52">
        <v>0</v>
      </c>
      <c r="W52">
        <v>12</v>
      </c>
      <c r="X52">
        <v>0</v>
      </c>
      <c r="Y52">
        <v>1200</v>
      </c>
      <c r="Z52">
        <v>1300</v>
      </c>
      <c r="AA52">
        <v>400</v>
      </c>
      <c r="AB52">
        <v>10</v>
      </c>
      <c r="AC52">
        <v>2</v>
      </c>
      <c r="AD52" t="s">
        <v>394</v>
      </c>
      <c r="AE52">
        <v>0</v>
      </c>
      <c r="AF52">
        <v>0</v>
      </c>
      <c r="AG52">
        <v>0</v>
      </c>
      <c r="AH52">
        <v>0</v>
      </c>
      <c r="AI52" t="s">
        <v>266</v>
      </c>
      <c r="AJ52">
        <v>1.5</v>
      </c>
      <c r="AK52">
        <v>1.7</v>
      </c>
      <c r="AL52">
        <v>100</v>
      </c>
      <c r="AM52">
        <v>11</v>
      </c>
      <c r="AN52">
        <v>0</v>
      </c>
      <c r="AO52">
        <v>4</v>
      </c>
      <c r="AP52">
        <v>0</v>
      </c>
      <c r="AQ52">
        <v>0</v>
      </c>
      <c r="AR52">
        <v>90</v>
      </c>
      <c r="AS52">
        <v>0</v>
      </c>
      <c r="AT52" t="s">
        <v>224</v>
      </c>
      <c r="AU52">
        <v>0</v>
      </c>
      <c r="AV52">
        <v>0</v>
      </c>
    </row>
    <row r="53" ht="16.5" spans="1:48">
      <c r="A53">
        <v>761001</v>
      </c>
      <c r="B53" t="s">
        <v>403</v>
      </c>
      <c r="C53">
        <v>11</v>
      </c>
      <c r="D53">
        <v>2</v>
      </c>
      <c r="E53" s="1" t="s">
        <v>404</v>
      </c>
      <c r="F53">
        <v>7</v>
      </c>
      <c r="G53">
        <v>6</v>
      </c>
      <c r="H53">
        <v>0</v>
      </c>
      <c r="I53">
        <v>0</v>
      </c>
      <c r="J53" t="str">
        <f>VLOOKUP(B53,Creature!B:J,9,FALSE)</f>
        <v>moshou07_Lv3</v>
      </c>
      <c r="K53" t="str">
        <f t="shared" si="1"/>
        <v>moshou07_Lv3</v>
      </c>
      <c r="M53">
        <v>1741</v>
      </c>
      <c r="N53">
        <v>0</v>
      </c>
      <c r="O53">
        <v>48</v>
      </c>
      <c r="P53">
        <v>0</v>
      </c>
      <c r="Q53">
        <v>79</v>
      </c>
      <c r="R53">
        <v>0</v>
      </c>
      <c r="S53">
        <v>130</v>
      </c>
      <c r="T53">
        <v>0</v>
      </c>
      <c r="U53">
        <v>68</v>
      </c>
      <c r="V53">
        <v>0</v>
      </c>
      <c r="W53">
        <v>12</v>
      </c>
      <c r="X53">
        <v>0</v>
      </c>
      <c r="Y53">
        <v>1200</v>
      </c>
      <c r="Z53">
        <v>1300</v>
      </c>
      <c r="AA53">
        <v>400</v>
      </c>
      <c r="AB53">
        <v>10</v>
      </c>
      <c r="AC53">
        <v>2</v>
      </c>
      <c r="AD53" t="s">
        <v>394</v>
      </c>
      <c r="AE53">
        <v>0</v>
      </c>
      <c r="AF53">
        <v>0</v>
      </c>
      <c r="AG53">
        <v>0</v>
      </c>
      <c r="AH53">
        <v>0</v>
      </c>
      <c r="AI53" t="s">
        <v>266</v>
      </c>
      <c r="AJ53">
        <v>1.5</v>
      </c>
      <c r="AK53">
        <v>1.7</v>
      </c>
      <c r="AL53">
        <v>100</v>
      </c>
      <c r="AM53">
        <v>11</v>
      </c>
      <c r="AN53">
        <v>0</v>
      </c>
      <c r="AO53">
        <v>4</v>
      </c>
      <c r="AP53">
        <v>0</v>
      </c>
      <c r="AQ53">
        <v>0</v>
      </c>
      <c r="AR53">
        <v>90</v>
      </c>
      <c r="AS53">
        <v>0</v>
      </c>
      <c r="AT53" t="s">
        <v>224</v>
      </c>
      <c r="AU53">
        <v>0</v>
      </c>
      <c r="AV53">
        <v>0</v>
      </c>
    </row>
    <row r="54" ht="16.5" spans="1:48">
      <c r="A54">
        <v>761002</v>
      </c>
      <c r="B54" t="s">
        <v>406</v>
      </c>
      <c r="C54">
        <v>11</v>
      </c>
      <c r="D54">
        <v>2</v>
      </c>
      <c r="E54" s="1" t="s">
        <v>279</v>
      </c>
      <c r="F54">
        <v>7</v>
      </c>
      <c r="G54">
        <v>6</v>
      </c>
      <c r="H54">
        <v>0</v>
      </c>
      <c r="I54">
        <v>0</v>
      </c>
      <c r="J54" t="str">
        <f>VLOOKUP(B54,Creature!B:J,9,FALSE)</f>
        <v>moshou08_Lv3</v>
      </c>
      <c r="K54" t="str">
        <f t="shared" si="1"/>
        <v>moshou08_Lv3</v>
      </c>
      <c r="M54">
        <v>1960</v>
      </c>
      <c r="N54">
        <v>0</v>
      </c>
      <c r="O54">
        <v>48</v>
      </c>
      <c r="P54">
        <v>0</v>
      </c>
      <c r="Q54">
        <v>120</v>
      </c>
      <c r="R54">
        <v>0</v>
      </c>
      <c r="S54">
        <v>151</v>
      </c>
      <c r="T54">
        <v>0</v>
      </c>
      <c r="U54">
        <v>103</v>
      </c>
      <c r="V54">
        <v>0</v>
      </c>
      <c r="W54">
        <v>12</v>
      </c>
      <c r="X54">
        <v>0</v>
      </c>
      <c r="Y54">
        <v>1200</v>
      </c>
      <c r="Z54">
        <v>1300</v>
      </c>
      <c r="AA54">
        <v>400</v>
      </c>
      <c r="AB54">
        <v>10</v>
      </c>
      <c r="AC54">
        <v>2</v>
      </c>
      <c r="AD54" t="s">
        <v>394</v>
      </c>
      <c r="AE54">
        <v>0</v>
      </c>
      <c r="AF54">
        <v>0</v>
      </c>
      <c r="AG54">
        <v>0</v>
      </c>
      <c r="AH54">
        <v>0</v>
      </c>
      <c r="AI54" t="s">
        <v>266</v>
      </c>
      <c r="AJ54">
        <v>1.5</v>
      </c>
      <c r="AK54">
        <v>1.7</v>
      </c>
      <c r="AL54">
        <v>100</v>
      </c>
      <c r="AM54">
        <v>11</v>
      </c>
      <c r="AN54">
        <v>0</v>
      </c>
      <c r="AO54">
        <v>4</v>
      </c>
      <c r="AP54">
        <v>0</v>
      </c>
      <c r="AQ54">
        <v>0</v>
      </c>
      <c r="AR54">
        <v>90</v>
      </c>
      <c r="AS54">
        <v>0</v>
      </c>
      <c r="AT54" t="s">
        <v>224</v>
      </c>
      <c r="AU54">
        <v>0</v>
      </c>
      <c r="AV54">
        <v>0</v>
      </c>
    </row>
    <row r="55" ht="16.5" spans="1:48">
      <c r="A55">
        <v>811001</v>
      </c>
      <c r="B55" t="s">
        <v>408</v>
      </c>
      <c r="C55">
        <v>11</v>
      </c>
      <c r="D55">
        <v>2</v>
      </c>
      <c r="E55" s="1" t="s">
        <v>409</v>
      </c>
      <c r="F55">
        <v>7</v>
      </c>
      <c r="G55">
        <v>1</v>
      </c>
      <c r="H55">
        <v>0</v>
      </c>
      <c r="I55">
        <v>0</v>
      </c>
      <c r="J55" t="str">
        <f>VLOOKUP(B55,Creature!B:J,9,FALSE)</f>
        <v>yeshou01_lv1</v>
      </c>
      <c r="K55" t="str">
        <f t="shared" si="1"/>
        <v>yeshou01_lv1</v>
      </c>
      <c r="M55">
        <v>2666</v>
      </c>
      <c r="N55">
        <v>0</v>
      </c>
      <c r="O55">
        <v>48</v>
      </c>
      <c r="P55">
        <v>0</v>
      </c>
      <c r="Q55">
        <v>160</v>
      </c>
      <c r="R55">
        <v>0</v>
      </c>
      <c r="S55">
        <v>202</v>
      </c>
      <c r="T55">
        <v>0</v>
      </c>
      <c r="U55">
        <v>191</v>
      </c>
      <c r="V55">
        <v>0</v>
      </c>
      <c r="W55">
        <v>14</v>
      </c>
      <c r="X55">
        <v>0</v>
      </c>
      <c r="Y55">
        <v>1200</v>
      </c>
      <c r="Z55">
        <v>1300</v>
      </c>
      <c r="AA55">
        <v>400</v>
      </c>
      <c r="AB55">
        <v>10</v>
      </c>
      <c r="AC55">
        <v>2</v>
      </c>
      <c r="AD55" t="s">
        <v>394</v>
      </c>
      <c r="AE55">
        <v>0</v>
      </c>
      <c r="AF55">
        <v>0</v>
      </c>
      <c r="AG55">
        <v>0</v>
      </c>
      <c r="AH55">
        <v>0</v>
      </c>
      <c r="AI55" t="s">
        <v>266</v>
      </c>
      <c r="AJ55">
        <v>1.5</v>
      </c>
      <c r="AK55">
        <v>1.7</v>
      </c>
      <c r="AL55">
        <v>100</v>
      </c>
      <c r="AM55">
        <v>11</v>
      </c>
      <c r="AN55">
        <v>0</v>
      </c>
      <c r="AO55">
        <v>4</v>
      </c>
      <c r="AP55">
        <v>0</v>
      </c>
      <c r="AQ55">
        <v>0</v>
      </c>
      <c r="AR55">
        <v>90</v>
      </c>
      <c r="AS55">
        <v>0</v>
      </c>
      <c r="AT55" t="s">
        <v>224</v>
      </c>
      <c r="AU55">
        <v>0</v>
      </c>
      <c r="AV55">
        <v>0</v>
      </c>
    </row>
    <row r="56" ht="16.5" spans="1:48">
      <c r="A56">
        <v>821001</v>
      </c>
      <c r="B56" t="s">
        <v>411</v>
      </c>
      <c r="C56">
        <v>11</v>
      </c>
      <c r="D56">
        <v>2</v>
      </c>
      <c r="E56" s="1" t="s">
        <v>412</v>
      </c>
      <c r="F56">
        <v>8</v>
      </c>
      <c r="G56">
        <v>2</v>
      </c>
      <c r="H56">
        <v>0</v>
      </c>
      <c r="I56">
        <v>0</v>
      </c>
      <c r="J56" t="str">
        <f>VLOOKUP(B56,Creature!B:J,9,FALSE)</f>
        <v>yeshou01_lv2</v>
      </c>
      <c r="K56" t="str">
        <f t="shared" si="1"/>
        <v>yeshou01_lv2</v>
      </c>
      <c r="M56">
        <v>589</v>
      </c>
      <c r="N56">
        <v>0</v>
      </c>
      <c r="O56">
        <v>85</v>
      </c>
      <c r="P56">
        <v>0</v>
      </c>
      <c r="Q56">
        <v>45</v>
      </c>
      <c r="R56">
        <v>0</v>
      </c>
      <c r="S56">
        <v>72</v>
      </c>
      <c r="T56">
        <v>0</v>
      </c>
      <c r="U56">
        <v>39</v>
      </c>
      <c r="V56">
        <v>0</v>
      </c>
      <c r="W56">
        <v>11</v>
      </c>
      <c r="X56">
        <v>0</v>
      </c>
      <c r="Y56">
        <v>200</v>
      </c>
      <c r="Z56">
        <v>1300</v>
      </c>
      <c r="AA56">
        <v>400</v>
      </c>
      <c r="AB56">
        <v>8</v>
      </c>
      <c r="AC56">
        <v>2</v>
      </c>
      <c r="AD56" t="s">
        <v>414</v>
      </c>
      <c r="AE56">
        <v>0</v>
      </c>
      <c r="AF56">
        <v>0</v>
      </c>
      <c r="AG56">
        <v>0</v>
      </c>
      <c r="AH56">
        <v>0</v>
      </c>
      <c r="AI56" t="s">
        <v>266</v>
      </c>
      <c r="AJ56">
        <v>1.5</v>
      </c>
      <c r="AK56">
        <v>1.7</v>
      </c>
      <c r="AL56">
        <v>100</v>
      </c>
      <c r="AM56">
        <v>11</v>
      </c>
      <c r="AN56">
        <v>0</v>
      </c>
      <c r="AO56">
        <v>4</v>
      </c>
      <c r="AP56">
        <v>0</v>
      </c>
      <c r="AQ56">
        <v>0</v>
      </c>
      <c r="AR56">
        <v>90</v>
      </c>
      <c r="AS56">
        <v>0</v>
      </c>
      <c r="AT56" t="s">
        <v>224</v>
      </c>
      <c r="AU56">
        <v>0</v>
      </c>
      <c r="AV56">
        <v>0</v>
      </c>
    </row>
    <row r="57" ht="16.5" spans="1:48">
      <c r="A57">
        <v>831001</v>
      </c>
      <c r="B57" t="s">
        <v>415</v>
      </c>
      <c r="C57">
        <v>11</v>
      </c>
      <c r="D57">
        <v>2</v>
      </c>
      <c r="E57" s="1" t="s">
        <v>416</v>
      </c>
      <c r="F57">
        <v>8</v>
      </c>
      <c r="G57">
        <v>3</v>
      </c>
      <c r="H57">
        <v>0</v>
      </c>
      <c r="I57">
        <v>0</v>
      </c>
      <c r="J57" t="str">
        <f>VLOOKUP(B57,Creature!B:J,9,FALSE)</f>
        <v>yeshou01_lv3</v>
      </c>
      <c r="K57" t="str">
        <f t="shared" si="1"/>
        <v>yeshou01_lv3</v>
      </c>
      <c r="M57">
        <v>783</v>
      </c>
      <c r="N57">
        <v>0</v>
      </c>
      <c r="O57">
        <v>121</v>
      </c>
      <c r="P57">
        <v>0</v>
      </c>
      <c r="Q57">
        <v>60</v>
      </c>
      <c r="R57">
        <v>0</v>
      </c>
      <c r="S57">
        <v>90</v>
      </c>
      <c r="T57">
        <v>0</v>
      </c>
      <c r="U57">
        <v>52</v>
      </c>
      <c r="V57">
        <v>0</v>
      </c>
      <c r="W57">
        <v>12</v>
      </c>
      <c r="X57">
        <v>0</v>
      </c>
      <c r="Y57">
        <v>200</v>
      </c>
      <c r="Z57">
        <v>1300</v>
      </c>
      <c r="AA57">
        <v>400</v>
      </c>
      <c r="AB57">
        <v>8</v>
      </c>
      <c r="AC57">
        <v>2</v>
      </c>
      <c r="AD57" t="s">
        <v>418</v>
      </c>
      <c r="AE57">
        <v>0</v>
      </c>
      <c r="AF57">
        <v>0</v>
      </c>
      <c r="AG57">
        <v>0</v>
      </c>
      <c r="AH57">
        <v>0</v>
      </c>
      <c r="AI57" t="s">
        <v>266</v>
      </c>
      <c r="AJ57">
        <v>1.5</v>
      </c>
      <c r="AK57">
        <v>1.7</v>
      </c>
      <c r="AL57">
        <v>100</v>
      </c>
      <c r="AM57">
        <v>11</v>
      </c>
      <c r="AN57">
        <v>0</v>
      </c>
      <c r="AO57">
        <v>4</v>
      </c>
      <c r="AP57">
        <v>0</v>
      </c>
      <c r="AQ57">
        <v>0</v>
      </c>
      <c r="AR57">
        <v>90</v>
      </c>
      <c r="AS57">
        <v>0</v>
      </c>
      <c r="AT57" t="s">
        <v>224</v>
      </c>
      <c r="AU57">
        <v>0</v>
      </c>
      <c r="AV57">
        <v>0</v>
      </c>
    </row>
    <row r="58" ht="16.5" spans="1:48">
      <c r="A58">
        <v>841001</v>
      </c>
      <c r="B58" t="s">
        <v>419</v>
      </c>
      <c r="C58">
        <v>11</v>
      </c>
      <c r="D58">
        <v>2</v>
      </c>
      <c r="E58" s="1" t="s">
        <v>420</v>
      </c>
      <c r="F58">
        <v>8</v>
      </c>
      <c r="G58">
        <v>4</v>
      </c>
      <c r="H58">
        <v>0</v>
      </c>
      <c r="I58">
        <v>0</v>
      </c>
      <c r="J58" t="str">
        <f>VLOOKUP(B58,Creature!B:J,9,FALSE)</f>
        <v>yeshou02_lv3</v>
      </c>
      <c r="K58" t="str">
        <f t="shared" si="1"/>
        <v>yeshou02_lv3</v>
      </c>
      <c r="M58">
        <v>1486</v>
      </c>
      <c r="N58">
        <v>0</v>
      </c>
      <c r="O58">
        <v>185</v>
      </c>
      <c r="P58">
        <v>0</v>
      </c>
      <c r="Q58">
        <v>80</v>
      </c>
      <c r="R58">
        <v>0</v>
      </c>
      <c r="S58">
        <v>108</v>
      </c>
      <c r="T58">
        <v>0</v>
      </c>
      <c r="U58">
        <v>69</v>
      </c>
      <c r="V58">
        <v>0</v>
      </c>
      <c r="W58">
        <v>12</v>
      </c>
      <c r="X58">
        <v>0</v>
      </c>
      <c r="Y58">
        <v>200</v>
      </c>
      <c r="Z58">
        <v>1300</v>
      </c>
      <c r="AA58">
        <v>400</v>
      </c>
      <c r="AB58">
        <v>8</v>
      </c>
      <c r="AC58">
        <v>2</v>
      </c>
      <c r="AD58" t="s">
        <v>422</v>
      </c>
      <c r="AE58">
        <v>0</v>
      </c>
      <c r="AF58">
        <v>0</v>
      </c>
      <c r="AG58">
        <v>0</v>
      </c>
      <c r="AH58">
        <v>0</v>
      </c>
      <c r="AI58" t="s">
        <v>266</v>
      </c>
      <c r="AJ58">
        <v>1.5</v>
      </c>
      <c r="AK58">
        <v>1.7</v>
      </c>
      <c r="AL58">
        <v>100</v>
      </c>
      <c r="AM58">
        <v>11</v>
      </c>
      <c r="AN58">
        <v>0</v>
      </c>
      <c r="AO58">
        <v>4</v>
      </c>
      <c r="AP58">
        <v>0</v>
      </c>
      <c r="AQ58">
        <v>0</v>
      </c>
      <c r="AR58">
        <v>90</v>
      </c>
      <c r="AS58">
        <v>0</v>
      </c>
      <c r="AT58" t="s">
        <v>224</v>
      </c>
      <c r="AU58">
        <v>0</v>
      </c>
      <c r="AV58">
        <v>0</v>
      </c>
    </row>
    <row r="59" ht="16.5" spans="1:48">
      <c r="A59">
        <v>851001</v>
      </c>
      <c r="B59" t="s">
        <v>423</v>
      </c>
      <c r="C59">
        <v>11</v>
      </c>
      <c r="D59">
        <v>2</v>
      </c>
      <c r="E59" s="1" t="s">
        <v>424</v>
      </c>
      <c r="F59">
        <v>8</v>
      </c>
      <c r="G59">
        <v>5</v>
      </c>
      <c r="H59">
        <v>0</v>
      </c>
      <c r="I59">
        <v>0</v>
      </c>
      <c r="J59" t="str">
        <f>VLOOKUP(B59,Creature!B:J,9,FALSE)</f>
        <v>yeshou03_lv3</v>
      </c>
      <c r="K59" t="str">
        <f t="shared" si="1"/>
        <v>yeshou03_lv3</v>
      </c>
      <c r="M59">
        <v>1741</v>
      </c>
      <c r="N59">
        <v>0</v>
      </c>
      <c r="O59">
        <v>227</v>
      </c>
      <c r="P59">
        <v>0</v>
      </c>
      <c r="Q59">
        <v>79</v>
      </c>
      <c r="R59">
        <v>0</v>
      </c>
      <c r="S59">
        <v>130</v>
      </c>
      <c r="T59">
        <v>0</v>
      </c>
      <c r="U59">
        <v>68</v>
      </c>
      <c r="V59">
        <v>0</v>
      </c>
      <c r="W59">
        <v>12</v>
      </c>
      <c r="X59">
        <v>0</v>
      </c>
      <c r="Y59">
        <v>200</v>
      </c>
      <c r="Z59">
        <v>1300</v>
      </c>
      <c r="AA59">
        <v>500</v>
      </c>
      <c r="AB59">
        <v>10</v>
      </c>
      <c r="AC59">
        <v>2</v>
      </c>
      <c r="AD59" t="s">
        <v>426</v>
      </c>
      <c r="AE59">
        <v>0</v>
      </c>
      <c r="AF59">
        <v>0</v>
      </c>
      <c r="AG59">
        <v>0</v>
      </c>
      <c r="AH59">
        <v>0</v>
      </c>
      <c r="AI59" t="s">
        <v>266</v>
      </c>
      <c r="AJ59">
        <v>1.5</v>
      </c>
      <c r="AK59">
        <v>1.7</v>
      </c>
      <c r="AL59">
        <v>100</v>
      </c>
      <c r="AM59">
        <v>11</v>
      </c>
      <c r="AN59">
        <v>0</v>
      </c>
      <c r="AO59">
        <v>4</v>
      </c>
      <c r="AP59">
        <v>0</v>
      </c>
      <c r="AQ59">
        <v>0</v>
      </c>
      <c r="AR59">
        <v>90</v>
      </c>
      <c r="AS59">
        <v>0</v>
      </c>
      <c r="AT59" t="s">
        <v>224</v>
      </c>
      <c r="AU59">
        <v>0</v>
      </c>
      <c r="AV59">
        <v>0</v>
      </c>
    </row>
    <row r="60" ht="16.5" spans="1:48">
      <c r="A60">
        <v>861001</v>
      </c>
      <c r="B60" t="s">
        <v>427</v>
      </c>
      <c r="C60">
        <v>11</v>
      </c>
      <c r="D60">
        <v>2</v>
      </c>
      <c r="E60" s="1" t="s">
        <v>255</v>
      </c>
      <c r="F60">
        <v>8</v>
      </c>
      <c r="G60">
        <v>6</v>
      </c>
      <c r="H60">
        <v>0</v>
      </c>
      <c r="I60">
        <v>0</v>
      </c>
      <c r="J60" t="str">
        <f>VLOOKUP(B60,Creature!B:J,9,FALSE)</f>
        <v>yeshou04_lv3</v>
      </c>
      <c r="K60" t="str">
        <f t="shared" si="1"/>
        <v>yeshou04_lv3</v>
      </c>
      <c r="M60">
        <v>1960</v>
      </c>
      <c r="N60">
        <v>0</v>
      </c>
      <c r="O60">
        <v>266</v>
      </c>
      <c r="P60">
        <v>0</v>
      </c>
      <c r="Q60">
        <v>120</v>
      </c>
      <c r="R60">
        <v>0</v>
      </c>
      <c r="S60">
        <v>151</v>
      </c>
      <c r="T60">
        <v>0</v>
      </c>
      <c r="U60">
        <v>103</v>
      </c>
      <c r="V60">
        <v>0</v>
      </c>
      <c r="W60">
        <v>12</v>
      </c>
      <c r="X60">
        <v>0</v>
      </c>
      <c r="Y60">
        <v>200</v>
      </c>
      <c r="Z60">
        <v>1300</v>
      </c>
      <c r="AA60">
        <v>400</v>
      </c>
      <c r="AB60">
        <v>8</v>
      </c>
      <c r="AC60">
        <v>2</v>
      </c>
      <c r="AD60" t="s">
        <v>429</v>
      </c>
      <c r="AE60">
        <v>0</v>
      </c>
      <c r="AF60">
        <v>0</v>
      </c>
      <c r="AG60">
        <v>0</v>
      </c>
      <c r="AH60">
        <v>0</v>
      </c>
      <c r="AI60" t="s">
        <v>266</v>
      </c>
      <c r="AJ60">
        <v>1.5</v>
      </c>
      <c r="AK60">
        <v>1.7</v>
      </c>
      <c r="AL60">
        <v>100</v>
      </c>
      <c r="AM60">
        <v>11</v>
      </c>
      <c r="AN60">
        <v>0</v>
      </c>
      <c r="AO60">
        <v>4</v>
      </c>
      <c r="AP60">
        <v>0</v>
      </c>
      <c r="AQ60">
        <v>0</v>
      </c>
      <c r="AR60">
        <v>90</v>
      </c>
      <c r="AS60">
        <v>0</v>
      </c>
      <c r="AT60" t="s">
        <v>224</v>
      </c>
      <c r="AU60">
        <v>0</v>
      </c>
      <c r="AV60">
        <v>0</v>
      </c>
    </row>
    <row r="61" ht="16.5" spans="1:48">
      <c r="A61">
        <v>861002</v>
      </c>
      <c r="B61" t="s">
        <v>430</v>
      </c>
      <c r="C61">
        <v>11</v>
      </c>
      <c r="D61">
        <v>2</v>
      </c>
      <c r="E61" s="1" t="s">
        <v>431</v>
      </c>
      <c r="F61">
        <v>8</v>
      </c>
      <c r="G61">
        <v>6</v>
      </c>
      <c r="H61">
        <v>0</v>
      </c>
      <c r="I61">
        <v>0</v>
      </c>
      <c r="J61" t="str">
        <f>VLOOKUP(B61,Creature!B:J,9,FALSE)</f>
        <v>yeshou05_lv3</v>
      </c>
      <c r="K61" t="str">
        <f t="shared" si="1"/>
        <v>yeshou05_lv3</v>
      </c>
      <c r="M61">
        <v>2666</v>
      </c>
      <c r="N61">
        <v>0</v>
      </c>
      <c r="O61">
        <v>340</v>
      </c>
      <c r="P61">
        <v>0</v>
      </c>
      <c r="Q61">
        <v>160</v>
      </c>
      <c r="R61">
        <v>0</v>
      </c>
      <c r="S61">
        <v>202</v>
      </c>
      <c r="T61">
        <v>0</v>
      </c>
      <c r="U61">
        <v>191</v>
      </c>
      <c r="V61">
        <v>0</v>
      </c>
      <c r="W61">
        <v>14</v>
      </c>
      <c r="X61">
        <v>0</v>
      </c>
      <c r="Y61">
        <v>200</v>
      </c>
      <c r="Z61">
        <v>1300</v>
      </c>
      <c r="AA61">
        <v>400</v>
      </c>
      <c r="AB61">
        <v>8</v>
      </c>
      <c r="AC61">
        <v>2</v>
      </c>
      <c r="AD61" t="s">
        <v>429</v>
      </c>
      <c r="AE61">
        <v>0</v>
      </c>
      <c r="AF61">
        <v>0</v>
      </c>
      <c r="AG61">
        <v>0</v>
      </c>
      <c r="AH61">
        <v>0</v>
      </c>
      <c r="AI61" t="s">
        <v>266</v>
      </c>
      <c r="AJ61">
        <v>1.5</v>
      </c>
      <c r="AK61">
        <v>1.7</v>
      </c>
      <c r="AL61">
        <v>100</v>
      </c>
      <c r="AM61">
        <v>11</v>
      </c>
      <c r="AN61">
        <v>0</v>
      </c>
      <c r="AO61">
        <v>4</v>
      </c>
      <c r="AP61">
        <v>0</v>
      </c>
      <c r="AQ61">
        <v>0</v>
      </c>
      <c r="AR61">
        <v>90</v>
      </c>
      <c r="AS61">
        <v>0</v>
      </c>
      <c r="AT61" t="s">
        <v>224</v>
      </c>
      <c r="AU61">
        <v>0</v>
      </c>
      <c r="AV6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Creature</vt:lpstr>
      <vt:lpstr>Sheet2</vt:lpstr>
      <vt:lpstr>备份</vt:lpstr>
      <vt:lpstr>平衡计算</vt:lpstr>
      <vt:lpstr>Sheet1</vt:lpstr>
      <vt:lpstr>英雄数据</vt:lpstr>
      <vt:lpstr>士兵数据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2021-04-20T06:25:00Z</dcterms:created>
  <dcterms:modified xsi:type="dcterms:W3CDTF">2025-02-27T09:56:55Z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872E968DDF52414EA9210549803F88F2</vt:lpwstr>
  </property>
  <property fmtid="{D5CDD505-2E9C-101B-9397-08002B2CF9AE}" pid="3" name="KSOProductBuildVer">
    <vt:lpwstr>2052-12.1.0.15990</vt:lpwstr>
  </property>
  <property fmtid="{D5CDD505-2E9C-101B-9397-08002B2CF9AE}" pid="4" name="KSOReadingLayout">
    <vt:bool>true</vt:bool>
  </property>
</Properties>
</file>