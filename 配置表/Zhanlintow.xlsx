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Zhanlintow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NINGMEI</author>
  </authors>
  <commentList>
    <comment ref="D3" authorId="0">
      <text>
        <r>
          <rPr>
            <b/>
            <sz val="9"/>
            <rFont val="宋体"/>
            <charset val="134"/>
          </rPr>
          <t>NINGMEI:</t>
        </r>
        <r>
          <rPr>
            <sz val="9"/>
            <rFont val="宋体"/>
            <charset val="134"/>
          </rPr>
          <t xml:space="preserve">
1.付费礼包，需要用人民币
2.钻石礼包，需要用钻石
3.免费礼包，直接领取</t>
        </r>
      </text>
    </comment>
    <comment ref="F3" authorId="0">
      <text>
        <r>
          <rPr>
            <b/>
            <sz val="9"/>
            <rFont val="宋体"/>
            <charset val="134"/>
          </rPr>
          <t>NINGMEI:</t>
        </r>
        <r>
          <rPr>
            <sz val="9"/>
            <rFont val="宋体"/>
            <charset val="134"/>
          </rPr>
          <t xml:space="preserve">
任务奖励
礼包奖励</t>
        </r>
      </text>
    </comment>
    <comment ref="G3" authorId="0">
      <text>
        <r>
          <rPr>
            <b/>
            <sz val="9"/>
            <rFont val="宋体"/>
            <charset val="134"/>
          </rPr>
          <t>NINGMEI:</t>
        </r>
        <r>
          <rPr>
            <sz val="9"/>
            <rFont val="宋体"/>
            <charset val="134"/>
          </rPr>
          <t xml:space="preserve">
0.不是珍惜奖励
1.是珍惜奖励</t>
        </r>
      </text>
    </comment>
  </commentList>
</comments>
</file>

<file path=xl/sharedStrings.xml><?xml version="1.0" encoding="utf-8"?>
<sst xmlns="http://schemas.openxmlformats.org/spreadsheetml/2006/main" count="372" uniqueCount="98">
  <si>
    <t>Id</t>
  </si>
  <si>
    <t>Zlid</t>
  </si>
  <si>
    <t>Nextzlid</t>
  </si>
  <si>
    <t>Exp</t>
  </si>
  <si>
    <t>Ptreward</t>
  </si>
  <si>
    <t>Gjreward</t>
  </si>
  <si>
    <t>Zxreward</t>
  </si>
  <si>
    <t>int</t>
  </si>
  <si>
    <t>string</t>
  </si>
  <si>
    <t>唯一id</t>
  </si>
  <si>
    <t>战令id</t>
  </si>
  <si>
    <t>下一期战令id</t>
  </si>
  <si>
    <t>所需经验</t>
  </si>
  <si>
    <t>普通奖励</t>
  </si>
  <si>
    <t>高级奖励</t>
  </si>
  <si>
    <t>珍惜奖励展示</t>
  </si>
  <si>
    <t>1:30012:1</t>
  </si>
  <si>
    <t>1:30002:1</t>
  </si>
  <si>
    <t>1:10201:10</t>
  </si>
  <si>
    <t>1:22:2</t>
  </si>
  <si>
    <t>1:12:100000</t>
  </si>
  <si>
    <t>1:11:50</t>
  </si>
  <si>
    <t>1:22:4</t>
  </si>
  <si>
    <t>1:10203:20</t>
  </si>
  <si>
    <t>1:11:100</t>
  </si>
  <si>
    <t>1:30015:1</t>
  </si>
  <si>
    <t>1:10201:200</t>
  </si>
  <si>
    <t>1:10016:20</t>
  </si>
  <si>
    <t>1:30013:1</t>
  </si>
  <si>
    <t>1:30015:2</t>
  </si>
  <si>
    <t>1:12:20000</t>
  </si>
  <si>
    <t>23:11</t>
  </si>
  <si>
    <t>300</t>
  </si>
  <si>
    <t>10</t>
  </si>
  <si>
    <t>100</t>
  </si>
  <si>
    <t>1:1001,1:1002,1:1003,1:1004,1:1005,1:1006,2:2001,2:2002,2:2003,2:2004,2:2005,2:2006,2:2007,3:3001,3:3002,3:3003,3:3004,3:3005,3:3006,3:3007,3:3008,3:3009,3:3010,3:3011</t>
  </si>
  <si>
    <t>2:2001,2:2002,2:2003,2:2004,2:2005,2:2006,2:2007,3:3001,3:3002,3:3003,3:3004,3:3005,3:3006,3:3007,3:3008,3:3009,3:3010,3:3011</t>
  </si>
  <si>
    <t>3:3001,3:3002,3:3003,3:3004,3:3005,3:3006,3:3007,3:3008,3:3009,3:3010,3:3011</t>
  </si>
  <si>
    <t>zhaohuanbeijing3</t>
  </si>
  <si>
    <t>duihuaqipao3</t>
  </si>
  <si>
    <t>每日经验</t>
  </si>
  <si>
    <t>战令持续</t>
  </si>
  <si>
    <t>30天</t>
  </si>
  <si>
    <t>月战令</t>
  </si>
  <si>
    <t>周战令</t>
  </si>
  <si>
    <t>每日任务</t>
  </si>
  <si>
    <t>数值</t>
  </si>
  <si>
    <t>金币奖励</t>
  </si>
  <si>
    <t>经验奖励</t>
  </si>
  <si>
    <t>战令等级</t>
  </si>
  <si>
    <t>经验</t>
  </si>
  <si>
    <t>免费</t>
  </si>
  <si>
    <t>付费</t>
  </si>
  <si>
    <t>完成天数</t>
  </si>
  <si>
    <t>在商场购买一次物品</t>
  </si>
  <si>
    <t>随机装备箱</t>
  </si>
  <si>
    <t>随机金装*1</t>
  </si>
  <si>
    <t>稀有装备箱</t>
  </si>
  <si>
    <t>进行召唤</t>
  </si>
  <si>
    <t>装备强化道具*10</t>
  </si>
  <si>
    <t>召唤卡*1</t>
  </si>
  <si>
    <t>装备强化道具*5</t>
  </si>
  <si>
    <t>强化1次装备</t>
  </si>
  <si>
    <t>金币*100000</t>
  </si>
  <si>
    <t>钻石*50</t>
  </si>
  <si>
    <t>钻石*200</t>
  </si>
  <si>
    <t>挑战/扫荡关卡</t>
  </si>
  <si>
    <t>金币*50000</t>
  </si>
  <si>
    <t>金币*150000</t>
  </si>
  <si>
    <t>升级1次英雄</t>
  </si>
  <si>
    <t>召唤卡*2</t>
  </si>
  <si>
    <t>体力*2</t>
  </si>
  <si>
    <t>参与竞技场</t>
  </si>
  <si>
    <t>附魔道具*20</t>
  </si>
  <si>
    <t>参与1次金币副本</t>
  </si>
  <si>
    <t>参与1次装备副本</t>
  </si>
  <si>
    <t>参与1次兵种科技副本</t>
  </si>
  <si>
    <t>钻石*100</t>
  </si>
  <si>
    <t>璀璨装备箱*1</t>
  </si>
  <si>
    <t>璀璨装备箱</t>
  </si>
  <si>
    <t>装备强化*200</t>
  </si>
  <si>
    <t>随机装备箱：</t>
  </si>
  <si>
    <t>80%白装，20%蓝装；固定20000金币</t>
  </si>
  <si>
    <t>极品装备箱：</t>
  </si>
  <si>
    <t>50%白装，40%蓝装,10%紫装；固定100钻</t>
  </si>
  <si>
    <t>装备升星道具*1</t>
  </si>
  <si>
    <t>稀有装备箱：</t>
  </si>
  <si>
    <t>98%紫装，2%金装；固定200钻</t>
  </si>
  <si>
    <t>璀璨装备箱：</t>
  </si>
  <si>
    <t>50%蓝装，38%紫装，20%升星道具，2%金装；固定500钻</t>
  </si>
  <si>
    <t>月战令价值</t>
  </si>
  <si>
    <t>周战令价值</t>
  </si>
  <si>
    <t>小月卡价值</t>
  </si>
  <si>
    <t>大月卡价值</t>
  </si>
  <si>
    <t>极品装备箱</t>
  </si>
  <si>
    <t>璀璨装备箱*2</t>
  </si>
  <si>
    <t>核心奖励</t>
  </si>
  <si>
    <t>金币*20000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</si>
</sst>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5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6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2" borderId="0" xfId="0" applyFont="1" applyFill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76" fontId="1" fillId="3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76" fontId="1" fillId="2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3"/>
  <sheetViews>
    <sheetView tabSelected="1" topLeftCell="A46" workbookViewId="0">
      <selection activeCell="J71" sqref="J71"/>
    </sheetView>
  </sheetViews>
  <sheetFormatPr defaultColWidth="9" defaultRowHeight="13.5" outlineLevelCol="6"/>
  <cols>
    <col min="1" max="2" width="11.875" customWidth="1"/>
    <col min="3" max="3" width="13" customWidth="1"/>
    <col min="4" max="4" width="11.875" customWidth="1"/>
    <col min="5" max="5" width="18.375" customWidth="1"/>
    <col min="6" max="6" width="38.375" style="1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s="11" t="s">
        <v>5</v>
      </c>
      <c r="G1" t="s">
        <v>6</v>
      </c>
    </row>
    <row r="2" spans="1:7">
      <c r="A2" t="s">
        <v>7</v>
      </c>
      <c r="B2" t="s">
        <v>7</v>
      </c>
      <c r="C2" t="s">
        <v>7</v>
      </c>
      <c r="D2" t="s">
        <v>7</v>
      </c>
      <c r="E2" t="s">
        <v>8</v>
      </c>
      <c r="F2" s="11" t="s">
        <v>8</v>
      </c>
      <c r="G2" t="s">
        <v>7</v>
      </c>
    </row>
    <row r="3" spans="1:7">
      <c r="A3" t="s">
        <v>9</v>
      </c>
      <c r="B3" t="s">
        <v>10</v>
      </c>
      <c r="C3" t="s">
        <v>11</v>
      </c>
      <c r="D3" t="s">
        <v>12</v>
      </c>
      <c r="E3" t="s">
        <v>13</v>
      </c>
      <c r="F3" s="11" t="s">
        <v>14</v>
      </c>
      <c r="G3" t="s">
        <v>15</v>
      </c>
    </row>
    <row r="4" spans="1:7">
      <c r="A4">
        <v>1001</v>
      </c>
      <c r="B4">
        <v>201</v>
      </c>
      <c r="C4">
        <v>202</v>
      </c>
      <c r="D4">
        <v>0</v>
      </c>
      <c r="E4" s="11" t="s">
        <v>16</v>
      </c>
      <c r="F4" s="11" t="s">
        <v>17</v>
      </c>
      <c r="G4">
        <v>0</v>
      </c>
    </row>
    <row r="5" spans="1:7">
      <c r="A5">
        <v>1002</v>
      </c>
      <c r="B5">
        <v>201</v>
      </c>
      <c r="C5">
        <v>202</v>
      </c>
      <c r="D5">
        <v>100</v>
      </c>
      <c r="E5" s="11" t="s">
        <v>18</v>
      </c>
      <c r="F5" s="11" t="s">
        <v>19</v>
      </c>
      <c r="G5">
        <v>0</v>
      </c>
    </row>
    <row r="6" spans="1:7">
      <c r="A6">
        <v>1003</v>
      </c>
      <c r="B6">
        <v>201</v>
      </c>
      <c r="C6">
        <v>202</v>
      </c>
      <c r="D6">
        <v>200</v>
      </c>
      <c r="E6" s="11" t="s">
        <v>20</v>
      </c>
      <c r="F6" s="11" t="s">
        <v>19</v>
      </c>
      <c r="G6">
        <v>0</v>
      </c>
    </row>
    <row r="7" spans="1:7">
      <c r="A7">
        <v>1004</v>
      </c>
      <c r="B7">
        <v>201</v>
      </c>
      <c r="C7">
        <v>202</v>
      </c>
      <c r="D7">
        <v>300</v>
      </c>
      <c r="E7" s="11" t="s">
        <v>21</v>
      </c>
      <c r="F7" s="11" t="s">
        <v>19</v>
      </c>
      <c r="G7">
        <v>0</v>
      </c>
    </row>
    <row r="8" spans="1:7">
      <c r="A8">
        <v>1005</v>
      </c>
      <c r="B8">
        <v>201</v>
      </c>
      <c r="C8">
        <v>202</v>
      </c>
      <c r="D8">
        <v>400</v>
      </c>
      <c r="E8" s="11" t="s">
        <v>20</v>
      </c>
      <c r="F8" s="11" t="s">
        <v>22</v>
      </c>
      <c r="G8">
        <v>0</v>
      </c>
    </row>
    <row r="9" spans="1:7">
      <c r="A9">
        <v>1006</v>
      </c>
      <c r="B9">
        <v>201</v>
      </c>
      <c r="C9">
        <v>202</v>
      </c>
      <c r="D9">
        <v>500</v>
      </c>
      <c r="E9" s="11" t="s">
        <v>16</v>
      </c>
      <c r="F9" s="11" t="s">
        <v>23</v>
      </c>
      <c r="G9">
        <v>0</v>
      </c>
    </row>
    <row r="10" spans="1:7">
      <c r="A10">
        <v>1007</v>
      </c>
      <c r="B10">
        <v>201</v>
      </c>
      <c r="C10">
        <v>202</v>
      </c>
      <c r="D10">
        <v>600</v>
      </c>
      <c r="E10" s="11" t="s">
        <v>18</v>
      </c>
      <c r="F10" s="11" t="s">
        <v>19</v>
      </c>
      <c r="G10">
        <v>0</v>
      </c>
    </row>
    <row r="11" spans="1:7">
      <c r="A11">
        <v>1008</v>
      </c>
      <c r="B11">
        <v>201</v>
      </c>
      <c r="C11">
        <v>202</v>
      </c>
      <c r="D11">
        <v>700</v>
      </c>
      <c r="E11" s="11" t="s">
        <v>20</v>
      </c>
      <c r="F11" s="11" t="s">
        <v>19</v>
      </c>
      <c r="G11">
        <v>0</v>
      </c>
    </row>
    <row r="12" spans="1:7">
      <c r="A12">
        <v>1009</v>
      </c>
      <c r="B12">
        <v>201</v>
      </c>
      <c r="C12">
        <v>202</v>
      </c>
      <c r="D12">
        <v>800</v>
      </c>
      <c r="E12" s="11" t="s">
        <v>24</v>
      </c>
      <c r="F12" s="11" t="s">
        <v>19</v>
      </c>
      <c r="G12">
        <v>0</v>
      </c>
    </row>
    <row r="13" spans="1:7">
      <c r="A13">
        <v>1010</v>
      </c>
      <c r="B13">
        <v>201</v>
      </c>
      <c r="C13">
        <v>202</v>
      </c>
      <c r="D13">
        <v>900</v>
      </c>
      <c r="E13" s="11" t="s">
        <v>20</v>
      </c>
      <c r="F13" s="11" t="s">
        <v>22</v>
      </c>
      <c r="G13">
        <v>0</v>
      </c>
    </row>
    <row r="14" spans="1:7">
      <c r="A14">
        <v>1011</v>
      </c>
      <c r="B14">
        <v>201</v>
      </c>
      <c r="C14">
        <v>202</v>
      </c>
      <c r="D14">
        <v>1000</v>
      </c>
      <c r="E14" s="11" t="s">
        <v>16</v>
      </c>
      <c r="F14" s="11" t="s">
        <v>25</v>
      </c>
      <c r="G14">
        <v>1</v>
      </c>
    </row>
    <row r="15" spans="1:7">
      <c r="A15">
        <v>1012</v>
      </c>
      <c r="B15">
        <v>201</v>
      </c>
      <c r="C15">
        <v>202</v>
      </c>
      <c r="D15">
        <v>1100</v>
      </c>
      <c r="E15" s="11" t="s">
        <v>18</v>
      </c>
      <c r="F15" s="11" t="s">
        <v>19</v>
      </c>
      <c r="G15">
        <v>0</v>
      </c>
    </row>
    <row r="16" spans="1:7">
      <c r="A16">
        <v>1013</v>
      </c>
      <c r="B16">
        <v>201</v>
      </c>
      <c r="C16">
        <v>202</v>
      </c>
      <c r="D16">
        <v>1200</v>
      </c>
      <c r="E16" s="11" t="s">
        <v>20</v>
      </c>
      <c r="F16" s="11" t="s">
        <v>19</v>
      </c>
      <c r="G16">
        <v>0</v>
      </c>
    </row>
    <row r="17" spans="1:7">
      <c r="A17">
        <v>1014</v>
      </c>
      <c r="B17">
        <v>201</v>
      </c>
      <c r="C17">
        <v>202</v>
      </c>
      <c r="D17">
        <v>1300</v>
      </c>
      <c r="E17" s="11" t="s">
        <v>24</v>
      </c>
      <c r="F17" s="11" t="s">
        <v>19</v>
      </c>
      <c r="G17">
        <v>0</v>
      </c>
    </row>
    <row r="18" spans="1:7">
      <c r="A18">
        <v>1015</v>
      </c>
      <c r="B18">
        <v>201</v>
      </c>
      <c r="C18">
        <v>202</v>
      </c>
      <c r="D18">
        <v>1400</v>
      </c>
      <c r="E18" s="11" t="s">
        <v>20</v>
      </c>
      <c r="F18" s="11" t="s">
        <v>22</v>
      </c>
      <c r="G18">
        <v>0</v>
      </c>
    </row>
    <row r="19" spans="1:7">
      <c r="A19">
        <v>1016</v>
      </c>
      <c r="B19">
        <v>201</v>
      </c>
      <c r="C19">
        <v>202</v>
      </c>
      <c r="D19">
        <v>1500</v>
      </c>
      <c r="E19" s="11" t="s">
        <v>16</v>
      </c>
      <c r="F19" s="11" t="s">
        <v>26</v>
      </c>
      <c r="G19">
        <v>0</v>
      </c>
    </row>
    <row r="20" spans="1:7">
      <c r="A20">
        <v>1017</v>
      </c>
      <c r="B20">
        <v>201</v>
      </c>
      <c r="C20">
        <v>202</v>
      </c>
      <c r="D20">
        <v>1600</v>
      </c>
      <c r="E20" s="11" t="s">
        <v>18</v>
      </c>
      <c r="F20" s="11" t="s">
        <v>19</v>
      </c>
      <c r="G20">
        <v>0</v>
      </c>
    </row>
    <row r="21" spans="1:7">
      <c r="A21">
        <v>1018</v>
      </c>
      <c r="B21">
        <v>201</v>
      </c>
      <c r="C21">
        <v>202</v>
      </c>
      <c r="D21">
        <v>1700</v>
      </c>
      <c r="E21" s="11" t="s">
        <v>20</v>
      </c>
      <c r="F21" s="11" t="s">
        <v>19</v>
      </c>
      <c r="G21">
        <v>0</v>
      </c>
    </row>
    <row r="22" spans="1:7">
      <c r="A22">
        <v>1019</v>
      </c>
      <c r="B22">
        <v>201</v>
      </c>
      <c r="C22">
        <v>202</v>
      </c>
      <c r="D22">
        <v>1800</v>
      </c>
      <c r="E22" s="11" t="s">
        <v>24</v>
      </c>
      <c r="F22" s="11" t="s">
        <v>19</v>
      </c>
      <c r="G22">
        <v>0</v>
      </c>
    </row>
    <row r="23" spans="1:7">
      <c r="A23">
        <v>1020</v>
      </c>
      <c r="B23">
        <v>201</v>
      </c>
      <c r="C23">
        <v>202</v>
      </c>
      <c r="D23">
        <v>1900</v>
      </c>
      <c r="E23" s="11" t="s">
        <v>20</v>
      </c>
      <c r="F23" s="11" t="s">
        <v>22</v>
      </c>
      <c r="G23">
        <v>0</v>
      </c>
    </row>
    <row r="24" spans="1:7">
      <c r="A24">
        <v>1021</v>
      </c>
      <c r="B24">
        <v>201</v>
      </c>
      <c r="C24">
        <v>202</v>
      </c>
      <c r="D24">
        <v>2000</v>
      </c>
      <c r="E24" s="11" t="s">
        <v>16</v>
      </c>
      <c r="F24" s="11" t="s">
        <v>27</v>
      </c>
      <c r="G24">
        <v>0</v>
      </c>
    </row>
    <row r="25" spans="1:7">
      <c r="A25">
        <v>1022</v>
      </c>
      <c r="B25">
        <v>201</v>
      </c>
      <c r="C25">
        <v>202</v>
      </c>
      <c r="D25">
        <v>2100</v>
      </c>
      <c r="E25" s="11" t="s">
        <v>18</v>
      </c>
      <c r="F25" s="11" t="s">
        <v>19</v>
      </c>
      <c r="G25">
        <v>0</v>
      </c>
    </row>
    <row r="26" spans="1:7">
      <c r="A26">
        <v>1023</v>
      </c>
      <c r="B26">
        <v>201</v>
      </c>
      <c r="C26">
        <v>202</v>
      </c>
      <c r="D26">
        <v>2200</v>
      </c>
      <c r="E26" s="11" t="s">
        <v>20</v>
      </c>
      <c r="F26" s="11" t="s">
        <v>19</v>
      </c>
      <c r="G26">
        <v>0</v>
      </c>
    </row>
    <row r="27" spans="1:7">
      <c r="A27">
        <v>1024</v>
      </c>
      <c r="B27">
        <v>201</v>
      </c>
      <c r="C27">
        <v>202</v>
      </c>
      <c r="D27">
        <v>2300</v>
      </c>
      <c r="E27" s="11" t="s">
        <v>24</v>
      </c>
      <c r="F27" s="11" t="s">
        <v>19</v>
      </c>
      <c r="G27">
        <v>0</v>
      </c>
    </row>
    <row r="28" spans="1:7">
      <c r="A28">
        <v>1025</v>
      </c>
      <c r="B28">
        <v>201</v>
      </c>
      <c r="C28">
        <v>202</v>
      </c>
      <c r="D28">
        <v>2400</v>
      </c>
      <c r="E28" s="11" t="s">
        <v>20</v>
      </c>
      <c r="F28" s="11" t="s">
        <v>22</v>
      </c>
      <c r="G28">
        <v>0</v>
      </c>
    </row>
    <row r="29" spans="1:7">
      <c r="A29">
        <v>1026</v>
      </c>
      <c r="B29">
        <v>201</v>
      </c>
      <c r="C29">
        <v>202</v>
      </c>
      <c r="D29">
        <v>2500</v>
      </c>
      <c r="E29" s="11" t="s">
        <v>16</v>
      </c>
      <c r="F29" s="11" t="s">
        <v>25</v>
      </c>
      <c r="G29">
        <v>0</v>
      </c>
    </row>
    <row r="30" spans="1:7">
      <c r="A30">
        <v>1027</v>
      </c>
      <c r="B30">
        <v>201</v>
      </c>
      <c r="C30">
        <v>202</v>
      </c>
      <c r="D30">
        <v>2600</v>
      </c>
      <c r="E30" s="11" t="s">
        <v>18</v>
      </c>
      <c r="F30" s="11" t="s">
        <v>22</v>
      </c>
      <c r="G30">
        <v>0</v>
      </c>
    </row>
    <row r="31" spans="1:7">
      <c r="A31">
        <v>1028</v>
      </c>
      <c r="B31">
        <v>201</v>
      </c>
      <c r="C31">
        <v>202</v>
      </c>
      <c r="D31">
        <v>2700</v>
      </c>
      <c r="E31" s="11" t="s">
        <v>20</v>
      </c>
      <c r="F31" s="11" t="s">
        <v>22</v>
      </c>
      <c r="G31">
        <v>0</v>
      </c>
    </row>
    <row r="32" spans="1:7">
      <c r="A32">
        <v>1029</v>
      </c>
      <c r="B32">
        <v>201</v>
      </c>
      <c r="C32">
        <v>202</v>
      </c>
      <c r="D32">
        <v>2800</v>
      </c>
      <c r="E32" s="11" t="s">
        <v>24</v>
      </c>
      <c r="F32" s="11" t="s">
        <v>22</v>
      </c>
      <c r="G32">
        <v>0</v>
      </c>
    </row>
    <row r="33" spans="1:7">
      <c r="A33">
        <v>1030</v>
      </c>
      <c r="B33">
        <v>201</v>
      </c>
      <c r="C33">
        <v>202</v>
      </c>
      <c r="D33">
        <v>2900</v>
      </c>
      <c r="E33" s="11" t="s">
        <v>28</v>
      </c>
      <c r="F33" s="11" t="s">
        <v>29</v>
      </c>
      <c r="G33">
        <v>1</v>
      </c>
    </row>
    <row r="34" spans="1:7">
      <c r="A34">
        <v>1031</v>
      </c>
      <c r="B34">
        <v>201</v>
      </c>
      <c r="C34">
        <v>202</v>
      </c>
      <c r="D34">
        <v>3000</v>
      </c>
      <c r="E34" s="11" t="s">
        <v>30</v>
      </c>
      <c r="F34" s="11" t="s">
        <v>24</v>
      </c>
      <c r="G34">
        <v>0</v>
      </c>
    </row>
    <row r="35" spans="1:7">
      <c r="A35">
        <v>1032</v>
      </c>
      <c r="B35">
        <v>201</v>
      </c>
      <c r="C35">
        <v>202</v>
      </c>
      <c r="D35">
        <v>3100</v>
      </c>
      <c r="E35" s="11" t="s">
        <v>30</v>
      </c>
      <c r="F35" s="11" t="s">
        <v>24</v>
      </c>
      <c r="G35">
        <v>0</v>
      </c>
    </row>
    <row r="36" spans="1:7">
      <c r="A36">
        <v>1033</v>
      </c>
      <c r="B36">
        <v>201</v>
      </c>
      <c r="C36">
        <v>202</v>
      </c>
      <c r="D36">
        <v>3200</v>
      </c>
      <c r="E36" s="11" t="s">
        <v>30</v>
      </c>
      <c r="F36" s="11" t="s">
        <v>24</v>
      </c>
      <c r="G36">
        <v>0</v>
      </c>
    </row>
    <row r="37" spans="1:7">
      <c r="A37">
        <v>1034</v>
      </c>
      <c r="B37">
        <v>201</v>
      </c>
      <c r="C37">
        <v>202</v>
      </c>
      <c r="D37">
        <v>3300</v>
      </c>
      <c r="E37" s="11" t="s">
        <v>30</v>
      </c>
      <c r="F37" s="11" t="s">
        <v>24</v>
      </c>
      <c r="G37">
        <v>0</v>
      </c>
    </row>
    <row r="38" spans="1:7">
      <c r="A38">
        <v>1035</v>
      </c>
      <c r="B38">
        <v>201</v>
      </c>
      <c r="C38">
        <v>202</v>
      </c>
      <c r="D38">
        <v>3400</v>
      </c>
      <c r="E38" s="11" t="s">
        <v>30</v>
      </c>
      <c r="F38" s="11" t="s">
        <v>24</v>
      </c>
      <c r="G38">
        <v>0</v>
      </c>
    </row>
    <row r="39" spans="1:7">
      <c r="A39">
        <v>1036</v>
      </c>
      <c r="B39">
        <v>201</v>
      </c>
      <c r="C39">
        <v>202</v>
      </c>
      <c r="D39">
        <v>3500</v>
      </c>
      <c r="E39" s="11" t="s">
        <v>30</v>
      </c>
      <c r="F39" s="11" t="s">
        <v>24</v>
      </c>
      <c r="G39">
        <v>0</v>
      </c>
    </row>
    <row r="40" spans="1:7">
      <c r="A40">
        <v>1037</v>
      </c>
      <c r="B40">
        <v>201</v>
      </c>
      <c r="C40">
        <v>202</v>
      </c>
      <c r="D40">
        <v>3600</v>
      </c>
      <c r="E40" s="11" t="s">
        <v>30</v>
      </c>
      <c r="F40" s="11" t="s">
        <v>24</v>
      </c>
      <c r="G40">
        <v>0</v>
      </c>
    </row>
    <row r="41" spans="1:7">
      <c r="A41">
        <v>1038</v>
      </c>
      <c r="B41">
        <v>201</v>
      </c>
      <c r="C41">
        <v>202</v>
      </c>
      <c r="D41">
        <v>3700</v>
      </c>
      <c r="E41" s="11" t="s">
        <v>30</v>
      </c>
      <c r="F41" s="11" t="s">
        <v>24</v>
      </c>
      <c r="G41">
        <v>0</v>
      </c>
    </row>
    <row r="42" spans="1:7">
      <c r="A42">
        <v>1039</v>
      </c>
      <c r="B42">
        <v>201</v>
      </c>
      <c r="C42">
        <v>202</v>
      </c>
      <c r="D42">
        <v>3800</v>
      </c>
      <c r="E42" s="11" t="s">
        <v>30</v>
      </c>
      <c r="F42" s="11" t="s">
        <v>24</v>
      </c>
      <c r="G42">
        <v>0</v>
      </c>
    </row>
    <row r="43" spans="1:7">
      <c r="A43">
        <v>1040</v>
      </c>
      <c r="B43">
        <v>201</v>
      </c>
      <c r="C43">
        <v>202</v>
      </c>
      <c r="D43">
        <v>3900</v>
      </c>
      <c r="E43" s="11" t="s">
        <v>30</v>
      </c>
      <c r="F43" s="11" t="s">
        <v>24</v>
      </c>
      <c r="G43">
        <v>0</v>
      </c>
    </row>
    <row r="44" spans="1:7">
      <c r="A44">
        <v>1041</v>
      </c>
      <c r="B44">
        <v>201</v>
      </c>
      <c r="C44">
        <v>202</v>
      </c>
      <c r="D44">
        <v>4000</v>
      </c>
      <c r="E44" s="11" t="s">
        <v>30</v>
      </c>
      <c r="F44" s="11" t="s">
        <v>24</v>
      </c>
      <c r="G44">
        <v>0</v>
      </c>
    </row>
    <row r="45" spans="1:7">
      <c r="A45">
        <v>1042</v>
      </c>
      <c r="B45">
        <v>201</v>
      </c>
      <c r="C45">
        <v>202</v>
      </c>
      <c r="D45">
        <v>4100</v>
      </c>
      <c r="E45" s="11" t="s">
        <v>30</v>
      </c>
      <c r="F45" s="11" t="s">
        <v>24</v>
      </c>
      <c r="G45">
        <v>0</v>
      </c>
    </row>
    <row r="46" spans="1:7">
      <c r="A46">
        <v>1043</v>
      </c>
      <c r="B46">
        <v>201</v>
      </c>
      <c r="C46">
        <v>202</v>
      </c>
      <c r="D46">
        <v>4200</v>
      </c>
      <c r="E46" s="11" t="s">
        <v>30</v>
      </c>
      <c r="F46" s="11" t="s">
        <v>24</v>
      </c>
      <c r="G46">
        <v>0</v>
      </c>
    </row>
    <row r="47" spans="1:7">
      <c r="A47">
        <v>1044</v>
      </c>
      <c r="B47">
        <v>201</v>
      </c>
      <c r="C47">
        <v>202</v>
      </c>
      <c r="D47">
        <v>4300</v>
      </c>
      <c r="E47" s="11" t="s">
        <v>30</v>
      </c>
      <c r="F47" s="11" t="s">
        <v>24</v>
      </c>
      <c r="G47">
        <v>0</v>
      </c>
    </row>
    <row r="48" spans="1:7">
      <c r="A48">
        <v>1045</v>
      </c>
      <c r="B48">
        <v>201</v>
      </c>
      <c r="C48">
        <v>202</v>
      </c>
      <c r="D48">
        <v>4400</v>
      </c>
      <c r="E48" s="11" t="s">
        <v>30</v>
      </c>
      <c r="F48" s="11" t="s">
        <v>24</v>
      </c>
      <c r="G48">
        <v>0</v>
      </c>
    </row>
    <row r="49" spans="1:7">
      <c r="A49">
        <v>1046</v>
      </c>
      <c r="B49">
        <v>202</v>
      </c>
      <c r="C49">
        <v>201</v>
      </c>
      <c r="D49">
        <v>0</v>
      </c>
      <c r="E49" s="11" t="s">
        <v>16</v>
      </c>
      <c r="F49" s="11" t="s">
        <v>17</v>
      </c>
      <c r="G49">
        <v>0</v>
      </c>
    </row>
    <row r="50" spans="1:7">
      <c r="A50">
        <v>1047</v>
      </c>
      <c r="B50">
        <v>202</v>
      </c>
      <c r="C50">
        <v>201</v>
      </c>
      <c r="D50">
        <v>100</v>
      </c>
      <c r="E50" s="11" t="s">
        <v>18</v>
      </c>
      <c r="F50" s="11" t="s">
        <v>19</v>
      </c>
      <c r="G50">
        <v>0</v>
      </c>
    </row>
    <row r="51" spans="1:7">
      <c r="A51">
        <v>1048</v>
      </c>
      <c r="B51">
        <v>202</v>
      </c>
      <c r="C51">
        <v>201</v>
      </c>
      <c r="D51">
        <v>200</v>
      </c>
      <c r="E51" s="11" t="s">
        <v>20</v>
      </c>
      <c r="F51" s="11" t="s">
        <v>19</v>
      </c>
      <c r="G51">
        <v>0</v>
      </c>
    </row>
    <row r="52" spans="1:7">
      <c r="A52">
        <v>1049</v>
      </c>
      <c r="B52">
        <v>202</v>
      </c>
      <c r="C52">
        <v>201</v>
      </c>
      <c r="D52">
        <v>300</v>
      </c>
      <c r="E52" s="11" t="s">
        <v>21</v>
      </c>
      <c r="F52" s="11" t="s">
        <v>19</v>
      </c>
      <c r="G52">
        <v>0</v>
      </c>
    </row>
    <row r="53" spans="1:7">
      <c r="A53">
        <v>1050</v>
      </c>
      <c r="B53">
        <v>202</v>
      </c>
      <c r="C53">
        <v>201</v>
      </c>
      <c r="D53">
        <v>400</v>
      </c>
      <c r="E53" s="11" t="s">
        <v>20</v>
      </c>
      <c r="F53" s="11" t="s">
        <v>22</v>
      </c>
      <c r="G53">
        <v>0</v>
      </c>
    </row>
    <row r="54" spans="1:7">
      <c r="A54">
        <v>1051</v>
      </c>
      <c r="B54">
        <v>202</v>
      </c>
      <c r="C54">
        <v>201</v>
      </c>
      <c r="D54">
        <v>500</v>
      </c>
      <c r="E54" s="11" t="s">
        <v>16</v>
      </c>
      <c r="F54" s="11" t="s">
        <v>23</v>
      </c>
      <c r="G54">
        <v>0</v>
      </c>
    </row>
    <row r="55" spans="1:7">
      <c r="A55">
        <v>1052</v>
      </c>
      <c r="B55">
        <v>202</v>
      </c>
      <c r="C55">
        <v>201</v>
      </c>
      <c r="D55">
        <v>600</v>
      </c>
      <c r="E55" s="11" t="s">
        <v>18</v>
      </c>
      <c r="F55" s="11" t="s">
        <v>19</v>
      </c>
      <c r="G55">
        <v>0</v>
      </c>
    </row>
    <row r="56" spans="1:7">
      <c r="A56">
        <v>1053</v>
      </c>
      <c r="B56">
        <v>202</v>
      </c>
      <c r="C56">
        <v>201</v>
      </c>
      <c r="D56">
        <v>700</v>
      </c>
      <c r="E56" s="11" t="s">
        <v>20</v>
      </c>
      <c r="F56" s="11" t="s">
        <v>19</v>
      </c>
      <c r="G56">
        <v>0</v>
      </c>
    </row>
    <row r="57" spans="1:7">
      <c r="A57">
        <v>1054</v>
      </c>
      <c r="B57">
        <v>202</v>
      </c>
      <c r="C57">
        <v>201</v>
      </c>
      <c r="D57">
        <v>800</v>
      </c>
      <c r="E57" s="11" t="s">
        <v>24</v>
      </c>
      <c r="F57" s="11" t="s">
        <v>19</v>
      </c>
      <c r="G57">
        <v>0</v>
      </c>
    </row>
    <row r="58" spans="1:7">
      <c r="A58">
        <v>1055</v>
      </c>
      <c r="B58">
        <v>202</v>
      </c>
      <c r="C58">
        <v>201</v>
      </c>
      <c r="D58">
        <v>900</v>
      </c>
      <c r="E58" s="11" t="s">
        <v>20</v>
      </c>
      <c r="F58" s="11" t="s">
        <v>22</v>
      </c>
      <c r="G58">
        <v>0</v>
      </c>
    </row>
    <row r="59" spans="1:7">
      <c r="A59">
        <v>1056</v>
      </c>
      <c r="B59">
        <v>202</v>
      </c>
      <c r="C59">
        <v>201</v>
      </c>
      <c r="D59">
        <v>1000</v>
      </c>
      <c r="E59" s="11" t="s">
        <v>16</v>
      </c>
      <c r="F59" s="11" t="s">
        <v>25</v>
      </c>
      <c r="G59">
        <v>1</v>
      </c>
    </row>
    <row r="60" spans="1:7">
      <c r="A60">
        <v>1057</v>
      </c>
      <c r="B60">
        <v>202</v>
      </c>
      <c r="C60">
        <v>201</v>
      </c>
      <c r="D60">
        <v>1100</v>
      </c>
      <c r="E60" s="11" t="s">
        <v>18</v>
      </c>
      <c r="F60" s="11" t="s">
        <v>19</v>
      </c>
      <c r="G60">
        <v>0</v>
      </c>
    </row>
    <row r="61" spans="1:7">
      <c r="A61">
        <v>1058</v>
      </c>
      <c r="B61">
        <v>202</v>
      </c>
      <c r="C61">
        <v>201</v>
      </c>
      <c r="D61">
        <v>1200</v>
      </c>
      <c r="E61" s="11" t="s">
        <v>20</v>
      </c>
      <c r="F61" s="11" t="s">
        <v>19</v>
      </c>
      <c r="G61">
        <v>0</v>
      </c>
    </row>
    <row r="62" spans="1:7">
      <c r="A62">
        <v>1059</v>
      </c>
      <c r="B62">
        <v>202</v>
      </c>
      <c r="C62">
        <v>201</v>
      </c>
      <c r="D62">
        <v>1300</v>
      </c>
      <c r="E62" s="11" t="s">
        <v>24</v>
      </c>
      <c r="F62" s="11" t="s">
        <v>19</v>
      </c>
      <c r="G62">
        <v>0</v>
      </c>
    </row>
    <row r="63" spans="1:7">
      <c r="A63">
        <v>1060</v>
      </c>
      <c r="B63">
        <v>202</v>
      </c>
      <c r="C63">
        <v>201</v>
      </c>
      <c r="D63">
        <v>1400</v>
      </c>
      <c r="E63" s="11" t="s">
        <v>20</v>
      </c>
      <c r="F63" s="11" t="s">
        <v>22</v>
      </c>
      <c r="G63">
        <v>0</v>
      </c>
    </row>
    <row r="64" spans="1:7">
      <c r="A64">
        <v>1061</v>
      </c>
      <c r="B64">
        <v>202</v>
      </c>
      <c r="C64">
        <v>201</v>
      </c>
      <c r="D64">
        <v>1500</v>
      </c>
      <c r="E64" s="11" t="s">
        <v>16</v>
      </c>
      <c r="F64" s="11" t="s">
        <v>26</v>
      </c>
      <c r="G64">
        <v>0</v>
      </c>
    </row>
    <row r="65" spans="1:7">
      <c r="A65">
        <v>1062</v>
      </c>
      <c r="B65">
        <v>202</v>
      </c>
      <c r="C65">
        <v>201</v>
      </c>
      <c r="D65">
        <v>1600</v>
      </c>
      <c r="E65" s="11" t="s">
        <v>18</v>
      </c>
      <c r="F65" s="11" t="s">
        <v>19</v>
      </c>
      <c r="G65">
        <v>0</v>
      </c>
    </row>
    <row r="66" spans="1:7">
      <c r="A66">
        <v>1063</v>
      </c>
      <c r="B66">
        <v>202</v>
      </c>
      <c r="C66">
        <v>201</v>
      </c>
      <c r="D66">
        <v>1700</v>
      </c>
      <c r="E66" s="11" t="s">
        <v>20</v>
      </c>
      <c r="F66" s="11" t="s">
        <v>19</v>
      </c>
      <c r="G66">
        <v>0</v>
      </c>
    </row>
    <row r="67" spans="1:7">
      <c r="A67">
        <v>1064</v>
      </c>
      <c r="B67">
        <v>202</v>
      </c>
      <c r="C67">
        <v>201</v>
      </c>
      <c r="D67">
        <v>1800</v>
      </c>
      <c r="E67" s="11" t="s">
        <v>24</v>
      </c>
      <c r="F67" s="11" t="s">
        <v>19</v>
      </c>
      <c r="G67">
        <v>0</v>
      </c>
    </row>
    <row r="68" spans="1:7">
      <c r="A68">
        <v>1065</v>
      </c>
      <c r="B68">
        <v>202</v>
      </c>
      <c r="C68">
        <v>201</v>
      </c>
      <c r="D68">
        <v>1900</v>
      </c>
      <c r="E68" s="11" t="s">
        <v>20</v>
      </c>
      <c r="F68" s="11" t="s">
        <v>22</v>
      </c>
      <c r="G68">
        <v>0</v>
      </c>
    </row>
    <row r="69" spans="1:7">
      <c r="A69">
        <v>1066</v>
      </c>
      <c r="B69">
        <v>202</v>
      </c>
      <c r="C69">
        <v>201</v>
      </c>
      <c r="D69">
        <v>2000</v>
      </c>
      <c r="E69" s="11" t="s">
        <v>16</v>
      </c>
      <c r="F69" s="11" t="s">
        <v>27</v>
      </c>
      <c r="G69">
        <v>0</v>
      </c>
    </row>
    <row r="70" spans="1:7">
      <c r="A70">
        <v>1067</v>
      </c>
      <c r="B70">
        <v>202</v>
      </c>
      <c r="C70">
        <v>201</v>
      </c>
      <c r="D70">
        <v>2100</v>
      </c>
      <c r="E70" s="11" t="s">
        <v>18</v>
      </c>
      <c r="F70" s="11" t="s">
        <v>19</v>
      </c>
      <c r="G70">
        <v>0</v>
      </c>
    </row>
    <row r="71" spans="1:7">
      <c r="A71">
        <v>1068</v>
      </c>
      <c r="B71">
        <v>202</v>
      </c>
      <c r="C71">
        <v>201</v>
      </c>
      <c r="D71">
        <v>2200</v>
      </c>
      <c r="E71" s="11" t="s">
        <v>20</v>
      </c>
      <c r="F71" s="11" t="s">
        <v>19</v>
      </c>
      <c r="G71">
        <v>0</v>
      </c>
    </row>
    <row r="72" spans="1:7">
      <c r="A72">
        <v>1069</v>
      </c>
      <c r="B72">
        <v>202</v>
      </c>
      <c r="C72">
        <v>201</v>
      </c>
      <c r="D72">
        <v>2300</v>
      </c>
      <c r="E72" s="11" t="s">
        <v>24</v>
      </c>
      <c r="F72" s="11" t="s">
        <v>19</v>
      </c>
      <c r="G72">
        <v>0</v>
      </c>
    </row>
    <row r="73" spans="1:7">
      <c r="A73">
        <v>1070</v>
      </c>
      <c r="B73">
        <v>202</v>
      </c>
      <c r="C73">
        <v>201</v>
      </c>
      <c r="D73">
        <v>2400</v>
      </c>
      <c r="E73" s="11" t="s">
        <v>20</v>
      </c>
      <c r="F73" s="11" t="s">
        <v>22</v>
      </c>
      <c r="G73">
        <v>0</v>
      </c>
    </row>
    <row r="74" spans="1:7">
      <c r="A74">
        <v>1071</v>
      </c>
      <c r="B74">
        <v>202</v>
      </c>
      <c r="C74">
        <v>201</v>
      </c>
      <c r="D74">
        <v>2500</v>
      </c>
      <c r="E74" s="11" t="s">
        <v>16</v>
      </c>
      <c r="F74" s="11" t="s">
        <v>25</v>
      </c>
      <c r="G74">
        <v>0</v>
      </c>
    </row>
    <row r="75" spans="1:7">
      <c r="A75">
        <v>1072</v>
      </c>
      <c r="B75">
        <v>202</v>
      </c>
      <c r="C75">
        <v>201</v>
      </c>
      <c r="D75">
        <v>2600</v>
      </c>
      <c r="E75" s="11" t="s">
        <v>18</v>
      </c>
      <c r="F75" s="11" t="s">
        <v>22</v>
      </c>
      <c r="G75">
        <v>0</v>
      </c>
    </row>
    <row r="76" spans="1:7">
      <c r="A76">
        <v>1073</v>
      </c>
      <c r="B76">
        <v>202</v>
      </c>
      <c r="C76">
        <v>201</v>
      </c>
      <c r="D76">
        <v>2700</v>
      </c>
      <c r="E76" s="11" t="s">
        <v>20</v>
      </c>
      <c r="F76" s="11" t="s">
        <v>22</v>
      </c>
      <c r="G76">
        <v>0</v>
      </c>
    </row>
    <row r="77" spans="1:7">
      <c r="A77">
        <v>1074</v>
      </c>
      <c r="B77">
        <v>202</v>
      </c>
      <c r="C77">
        <v>201</v>
      </c>
      <c r="D77">
        <v>2800</v>
      </c>
      <c r="E77" s="11" t="s">
        <v>24</v>
      </c>
      <c r="F77" s="11" t="s">
        <v>22</v>
      </c>
      <c r="G77">
        <v>0</v>
      </c>
    </row>
    <row r="78" spans="1:7">
      <c r="A78">
        <v>1075</v>
      </c>
      <c r="B78">
        <v>202</v>
      </c>
      <c r="C78">
        <v>201</v>
      </c>
      <c r="D78">
        <v>2900</v>
      </c>
      <c r="E78" s="11" t="s">
        <v>28</v>
      </c>
      <c r="F78" s="11" t="s">
        <v>29</v>
      </c>
      <c r="G78">
        <v>1</v>
      </c>
    </row>
    <row r="79" spans="1:7">
      <c r="A79">
        <v>1076</v>
      </c>
      <c r="B79">
        <v>202</v>
      </c>
      <c r="C79">
        <v>201</v>
      </c>
      <c r="D79">
        <v>3000</v>
      </c>
      <c r="E79" s="11" t="s">
        <v>30</v>
      </c>
      <c r="F79" s="11" t="s">
        <v>24</v>
      </c>
      <c r="G79">
        <v>0</v>
      </c>
    </row>
    <row r="80" spans="1:7">
      <c r="A80">
        <v>1077</v>
      </c>
      <c r="B80">
        <v>202</v>
      </c>
      <c r="C80">
        <v>201</v>
      </c>
      <c r="D80">
        <v>3100</v>
      </c>
      <c r="E80" s="11" t="s">
        <v>30</v>
      </c>
      <c r="F80" s="11" t="s">
        <v>24</v>
      </c>
      <c r="G80">
        <v>0</v>
      </c>
    </row>
    <row r="81" spans="1:7">
      <c r="A81">
        <v>1078</v>
      </c>
      <c r="B81">
        <v>202</v>
      </c>
      <c r="C81">
        <v>201</v>
      </c>
      <c r="D81">
        <v>3200</v>
      </c>
      <c r="E81" s="11" t="s">
        <v>30</v>
      </c>
      <c r="F81" s="11" t="s">
        <v>24</v>
      </c>
      <c r="G81">
        <v>0</v>
      </c>
    </row>
    <row r="82" spans="1:7">
      <c r="A82">
        <v>1079</v>
      </c>
      <c r="B82">
        <v>202</v>
      </c>
      <c r="C82">
        <v>201</v>
      </c>
      <c r="D82">
        <v>3300</v>
      </c>
      <c r="E82" s="11" t="s">
        <v>30</v>
      </c>
      <c r="F82" s="11" t="s">
        <v>24</v>
      </c>
      <c r="G82">
        <v>0</v>
      </c>
    </row>
    <row r="83" spans="1:7">
      <c r="A83">
        <v>1080</v>
      </c>
      <c r="B83">
        <v>202</v>
      </c>
      <c r="C83">
        <v>201</v>
      </c>
      <c r="D83">
        <v>3400</v>
      </c>
      <c r="E83" s="11" t="s">
        <v>30</v>
      </c>
      <c r="F83" s="11" t="s">
        <v>24</v>
      </c>
      <c r="G83">
        <v>0</v>
      </c>
    </row>
    <row r="84" spans="1:7">
      <c r="A84">
        <v>1081</v>
      </c>
      <c r="B84">
        <v>202</v>
      </c>
      <c r="C84">
        <v>201</v>
      </c>
      <c r="D84">
        <v>3500</v>
      </c>
      <c r="E84" s="11" t="s">
        <v>30</v>
      </c>
      <c r="F84" s="11" t="s">
        <v>24</v>
      </c>
      <c r="G84">
        <v>0</v>
      </c>
    </row>
    <row r="85" spans="1:7">
      <c r="A85">
        <v>1082</v>
      </c>
      <c r="B85">
        <v>202</v>
      </c>
      <c r="C85">
        <v>201</v>
      </c>
      <c r="D85">
        <v>3600</v>
      </c>
      <c r="E85" s="11" t="s">
        <v>30</v>
      </c>
      <c r="F85" s="11" t="s">
        <v>24</v>
      </c>
      <c r="G85">
        <v>0</v>
      </c>
    </row>
    <row r="86" spans="1:7">
      <c r="A86">
        <v>1083</v>
      </c>
      <c r="B86">
        <v>202</v>
      </c>
      <c r="C86">
        <v>201</v>
      </c>
      <c r="D86">
        <v>3700</v>
      </c>
      <c r="E86" s="11" t="s">
        <v>30</v>
      </c>
      <c r="F86" s="11" t="s">
        <v>24</v>
      </c>
      <c r="G86">
        <v>0</v>
      </c>
    </row>
    <row r="87" spans="1:7">
      <c r="A87">
        <v>1084</v>
      </c>
      <c r="B87">
        <v>202</v>
      </c>
      <c r="C87">
        <v>201</v>
      </c>
      <c r="D87">
        <v>3800</v>
      </c>
      <c r="E87" s="11" t="s">
        <v>30</v>
      </c>
      <c r="F87" s="11" t="s">
        <v>24</v>
      </c>
      <c r="G87">
        <v>0</v>
      </c>
    </row>
    <row r="88" spans="1:7">
      <c r="A88">
        <v>1085</v>
      </c>
      <c r="B88">
        <v>202</v>
      </c>
      <c r="C88">
        <v>201</v>
      </c>
      <c r="D88">
        <v>3900</v>
      </c>
      <c r="E88" s="11" t="s">
        <v>30</v>
      </c>
      <c r="F88" s="11" t="s">
        <v>24</v>
      </c>
      <c r="G88">
        <v>0</v>
      </c>
    </row>
    <row r="89" spans="1:7">
      <c r="A89">
        <v>1086</v>
      </c>
      <c r="B89">
        <v>202</v>
      </c>
      <c r="C89">
        <v>201</v>
      </c>
      <c r="D89">
        <v>4000</v>
      </c>
      <c r="E89" s="11" t="s">
        <v>30</v>
      </c>
      <c r="F89" s="11" t="s">
        <v>24</v>
      </c>
      <c r="G89">
        <v>0</v>
      </c>
    </row>
    <row r="90" spans="1:7">
      <c r="A90">
        <v>1087</v>
      </c>
      <c r="B90">
        <v>202</v>
      </c>
      <c r="C90">
        <v>201</v>
      </c>
      <c r="D90">
        <v>4100</v>
      </c>
      <c r="E90" s="11" t="s">
        <v>30</v>
      </c>
      <c r="F90" s="11" t="s">
        <v>24</v>
      </c>
      <c r="G90">
        <v>0</v>
      </c>
    </row>
    <row r="91" spans="1:7">
      <c r="A91">
        <v>1088</v>
      </c>
      <c r="B91">
        <v>202</v>
      </c>
      <c r="C91">
        <v>201</v>
      </c>
      <c r="D91">
        <v>4200</v>
      </c>
      <c r="E91" s="11" t="s">
        <v>30</v>
      </c>
      <c r="F91" s="11" t="s">
        <v>24</v>
      </c>
      <c r="G91">
        <v>0</v>
      </c>
    </row>
    <row r="92" spans="1:7">
      <c r="A92">
        <v>1089</v>
      </c>
      <c r="B92">
        <v>202</v>
      </c>
      <c r="C92">
        <v>201</v>
      </c>
      <c r="D92">
        <v>4300</v>
      </c>
      <c r="E92" s="11" t="s">
        <v>30</v>
      </c>
      <c r="F92" s="11" t="s">
        <v>24</v>
      </c>
      <c r="G92">
        <v>0</v>
      </c>
    </row>
    <row r="93" spans="1:7">
      <c r="A93">
        <v>1090</v>
      </c>
      <c r="B93">
        <v>202</v>
      </c>
      <c r="C93">
        <v>201</v>
      </c>
      <c r="D93">
        <v>4400</v>
      </c>
      <c r="E93" s="11" t="s">
        <v>30</v>
      </c>
      <c r="F93" s="11" t="s">
        <v>24</v>
      </c>
      <c r="G93">
        <v>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0:L10"/>
  <sheetViews>
    <sheetView workbookViewId="0">
      <selection activeCell="A10" sqref="A10:N12"/>
    </sheetView>
  </sheetViews>
  <sheetFormatPr defaultColWidth="9" defaultRowHeight="13.5"/>
  <cols>
    <col min="2" max="2" width="14.5" customWidth="1"/>
    <col min="7" max="7" width="15.625" customWidth="1"/>
  </cols>
  <sheetData>
    <row r="10" spans="1:12">
      <c r="A10">
        <v>1003</v>
      </c>
      <c r="B10">
        <v>3</v>
      </c>
      <c r="C10" s="11" t="s">
        <v>31</v>
      </c>
      <c r="D10" s="11" t="s">
        <v>32</v>
      </c>
      <c r="E10" s="11" t="s">
        <v>33</v>
      </c>
      <c r="F10" s="11" t="s">
        <v>34</v>
      </c>
      <c r="G10" s="11" t="s">
        <v>35</v>
      </c>
      <c r="H10" s="11" t="s">
        <v>35</v>
      </c>
      <c r="I10" s="11" t="s">
        <v>36</v>
      </c>
      <c r="J10" s="11" t="s">
        <v>37</v>
      </c>
      <c r="K10" s="11" t="s">
        <v>38</v>
      </c>
      <c r="L10" s="11" t="s">
        <v>39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8"/>
  <sheetViews>
    <sheetView workbookViewId="0">
      <selection activeCell="Q3" sqref="Q3:Q11"/>
    </sheetView>
  </sheetViews>
  <sheetFormatPr defaultColWidth="9" defaultRowHeight="12"/>
  <cols>
    <col min="1" max="1" width="9" style="1"/>
    <col min="2" max="2" width="25.375" style="1" customWidth="1"/>
    <col min="3" max="3" width="13.5" style="1" customWidth="1"/>
    <col min="4" max="4" width="13.75" style="2" customWidth="1"/>
    <col min="5" max="5" width="14.5" style="2" customWidth="1"/>
    <col min="6" max="9" width="9" style="2"/>
    <col min="10" max="10" width="14.625" style="2" customWidth="1"/>
    <col min="11" max="11" width="15.125" style="2" customWidth="1"/>
    <col min="12" max="13" width="9" style="2"/>
    <col min="14" max="14" width="16.875" style="1" customWidth="1"/>
    <col min="15" max="15" width="9" style="1"/>
    <col min="16" max="16" width="16.125" style="1" customWidth="1"/>
    <col min="17" max="17" width="9" style="1"/>
    <col min="18" max="16384" width="9" style="2"/>
  </cols>
  <sheetData>
    <row r="1" spans="1:5">
      <c r="A1" s="1" t="s">
        <v>40</v>
      </c>
      <c r="B1" s="1">
        <v>150</v>
      </c>
      <c r="D1" s="1" t="s">
        <v>41</v>
      </c>
      <c r="E1" s="1" t="s">
        <v>42</v>
      </c>
    </row>
    <row r="2" spans="1:17">
      <c r="A2" s="1" t="s">
        <v>43</v>
      </c>
      <c r="B2" s="3">
        <v>128</v>
      </c>
      <c r="H2" s="1" t="s">
        <v>44</v>
      </c>
      <c r="I2" s="3">
        <v>68</v>
      </c>
      <c r="N2" s="1" t="s">
        <v>45</v>
      </c>
      <c r="O2" s="1" t="s">
        <v>46</v>
      </c>
      <c r="P2" s="1" t="s">
        <v>47</v>
      </c>
      <c r="Q2" s="1" t="s">
        <v>48</v>
      </c>
    </row>
    <row r="3" spans="1:17">
      <c r="A3" s="1" t="s">
        <v>49</v>
      </c>
      <c r="B3" s="1" t="s">
        <v>50</v>
      </c>
      <c r="C3" s="1" t="s">
        <v>51</v>
      </c>
      <c r="D3" s="1" t="s">
        <v>52</v>
      </c>
      <c r="E3" s="1" t="s">
        <v>53</v>
      </c>
      <c r="H3" s="1" t="s">
        <v>49</v>
      </c>
      <c r="I3" s="1" t="s">
        <v>50</v>
      </c>
      <c r="J3" s="1" t="s">
        <v>51</v>
      </c>
      <c r="K3" s="1" t="s">
        <v>52</v>
      </c>
      <c r="L3" s="2" t="s">
        <v>53</v>
      </c>
      <c r="N3" s="1" t="s">
        <v>54</v>
      </c>
      <c r="O3" s="1">
        <v>1</v>
      </c>
      <c r="P3" s="1">
        <v>2000</v>
      </c>
      <c r="Q3" s="1">
        <v>20</v>
      </c>
    </row>
    <row r="4" spans="1:17">
      <c r="A4" s="1">
        <v>1</v>
      </c>
      <c r="B4" s="1">
        <v>100</v>
      </c>
      <c r="C4" s="1" t="s">
        <v>55</v>
      </c>
      <c r="D4" s="1" t="s">
        <v>56</v>
      </c>
      <c r="E4" s="4">
        <f>B4/$B$1</f>
        <v>0.666666666666667</v>
      </c>
      <c r="H4" s="1">
        <v>1</v>
      </c>
      <c r="I4" s="1">
        <v>50</v>
      </c>
      <c r="J4" s="1" t="s">
        <v>55</v>
      </c>
      <c r="K4" s="1" t="s">
        <v>57</v>
      </c>
      <c r="L4" s="4">
        <f>I4/$B$1</f>
        <v>0.333333333333333</v>
      </c>
      <c r="N4" s="1" t="s">
        <v>58</v>
      </c>
      <c r="O4" s="1">
        <v>1</v>
      </c>
      <c r="P4" s="1">
        <v>2000</v>
      </c>
      <c r="Q4" s="1">
        <v>20</v>
      </c>
    </row>
    <row r="5" spans="1:17">
      <c r="A5" s="1">
        <v>2</v>
      </c>
      <c r="B5" s="1">
        <f>$B$4*A5</f>
        <v>200</v>
      </c>
      <c r="C5" s="1" t="s">
        <v>59</v>
      </c>
      <c r="D5" s="1" t="s">
        <v>60</v>
      </c>
      <c r="E5" s="4">
        <f t="shared" ref="E5:E36" si="0">B5/$B$1</f>
        <v>1.33333333333333</v>
      </c>
      <c r="H5" s="1">
        <v>2</v>
      </c>
      <c r="I5" s="1">
        <f>$I$4*H5</f>
        <v>100</v>
      </c>
      <c r="J5" s="1" t="s">
        <v>61</v>
      </c>
      <c r="K5" s="1" t="s">
        <v>59</v>
      </c>
      <c r="L5" s="4">
        <f>I5/$B$1</f>
        <v>0.666666666666667</v>
      </c>
      <c r="N5" s="1" t="s">
        <v>62</v>
      </c>
      <c r="O5" s="1">
        <v>1</v>
      </c>
      <c r="P5" s="1">
        <v>2000</v>
      </c>
      <c r="Q5" s="1">
        <v>20</v>
      </c>
    </row>
    <row r="6" spans="1:17">
      <c r="A6" s="1">
        <v>3</v>
      </c>
      <c r="B6" s="1">
        <f t="shared" ref="B6:B37" si="1">$B$4*A6</f>
        <v>300</v>
      </c>
      <c r="C6" s="1" t="s">
        <v>63</v>
      </c>
      <c r="D6" s="1" t="s">
        <v>60</v>
      </c>
      <c r="E6" s="4">
        <f t="shared" si="0"/>
        <v>2</v>
      </c>
      <c r="H6" s="1">
        <v>3</v>
      </c>
      <c r="I6" s="1">
        <f t="shared" ref="I6:I32" si="2">$I$4*H6</f>
        <v>150</v>
      </c>
      <c r="J6" s="1" t="s">
        <v>64</v>
      </c>
      <c r="K6" s="1" t="s">
        <v>65</v>
      </c>
      <c r="L6" s="4">
        <f>I6/$B$1</f>
        <v>1</v>
      </c>
      <c r="N6" s="1" t="s">
        <v>66</v>
      </c>
      <c r="O6" s="1">
        <v>5</v>
      </c>
      <c r="P6" s="1">
        <v>2000</v>
      </c>
      <c r="Q6" s="1">
        <v>20</v>
      </c>
    </row>
    <row r="7" spans="1:17">
      <c r="A7" s="1">
        <v>4</v>
      </c>
      <c r="B7" s="1">
        <f t="shared" si="1"/>
        <v>400</v>
      </c>
      <c r="C7" s="1" t="s">
        <v>64</v>
      </c>
      <c r="D7" s="1" t="s">
        <v>60</v>
      </c>
      <c r="E7" s="4">
        <f t="shared" si="0"/>
        <v>2.66666666666667</v>
      </c>
      <c r="H7" s="1">
        <v>4</v>
      </c>
      <c r="I7" s="1">
        <f t="shared" si="2"/>
        <v>200</v>
      </c>
      <c r="J7" s="1" t="s">
        <v>67</v>
      </c>
      <c r="K7" s="1" t="s">
        <v>68</v>
      </c>
      <c r="L7" s="4">
        <f>I7/$B$1</f>
        <v>1.33333333333333</v>
      </c>
      <c r="N7" s="1" t="s">
        <v>69</v>
      </c>
      <c r="O7" s="1">
        <v>1</v>
      </c>
      <c r="P7" s="1">
        <v>2000</v>
      </c>
      <c r="Q7" s="1">
        <v>20</v>
      </c>
    </row>
    <row r="8" spans="1:17">
      <c r="A8" s="1">
        <v>5</v>
      </c>
      <c r="B8" s="1">
        <f t="shared" si="1"/>
        <v>500</v>
      </c>
      <c r="C8" s="1" t="s">
        <v>63</v>
      </c>
      <c r="D8" s="1" t="s">
        <v>70</v>
      </c>
      <c r="E8" s="4">
        <f t="shared" si="0"/>
        <v>3.33333333333333</v>
      </c>
      <c r="H8" s="1">
        <v>5</v>
      </c>
      <c r="I8" s="1">
        <f t="shared" si="2"/>
        <v>250</v>
      </c>
      <c r="J8" s="1" t="s">
        <v>67</v>
      </c>
      <c r="K8" s="1" t="s">
        <v>71</v>
      </c>
      <c r="L8" s="4">
        <f>I8/$B$1</f>
        <v>1.66666666666667</v>
      </c>
      <c r="N8" s="1" t="s">
        <v>72</v>
      </c>
      <c r="O8" s="1">
        <v>1</v>
      </c>
      <c r="P8" s="1">
        <v>2000</v>
      </c>
      <c r="Q8" s="1">
        <v>10</v>
      </c>
    </row>
    <row r="9" spans="1:17">
      <c r="A9" s="1">
        <v>6</v>
      </c>
      <c r="B9" s="1">
        <f t="shared" si="1"/>
        <v>600</v>
      </c>
      <c r="C9" s="1" t="s">
        <v>55</v>
      </c>
      <c r="D9" s="1" t="s">
        <v>73</v>
      </c>
      <c r="E9" s="4">
        <f t="shared" si="0"/>
        <v>4</v>
      </c>
      <c r="H9" s="1">
        <v>6</v>
      </c>
      <c r="I9" s="1">
        <f t="shared" si="2"/>
        <v>300</v>
      </c>
      <c r="J9" s="1" t="s">
        <v>55</v>
      </c>
      <c r="K9" s="1" t="s">
        <v>57</v>
      </c>
      <c r="L9" s="4">
        <f>I9/$B$1</f>
        <v>2</v>
      </c>
      <c r="N9" s="1" t="s">
        <v>74</v>
      </c>
      <c r="O9" s="1">
        <v>1</v>
      </c>
      <c r="P9" s="1">
        <v>2000</v>
      </c>
      <c r="Q9" s="1">
        <v>20</v>
      </c>
    </row>
    <row r="10" spans="1:17">
      <c r="A10" s="1">
        <v>7</v>
      </c>
      <c r="B10" s="1">
        <f t="shared" si="1"/>
        <v>700</v>
      </c>
      <c r="C10" s="1" t="s">
        <v>59</v>
      </c>
      <c r="D10" s="1" t="s">
        <v>60</v>
      </c>
      <c r="E10" s="4">
        <f t="shared" si="0"/>
        <v>4.66666666666667</v>
      </c>
      <c r="H10" s="1">
        <v>7</v>
      </c>
      <c r="I10" s="1">
        <f t="shared" si="2"/>
        <v>350</v>
      </c>
      <c r="J10" s="1" t="s">
        <v>61</v>
      </c>
      <c r="K10" s="1" t="s">
        <v>59</v>
      </c>
      <c r="L10" s="4">
        <f>I10/$B$1</f>
        <v>2.33333333333333</v>
      </c>
      <c r="N10" s="1" t="s">
        <v>75</v>
      </c>
      <c r="O10" s="1">
        <v>1</v>
      </c>
      <c r="P10" s="1">
        <v>2000</v>
      </c>
      <c r="Q10" s="1">
        <v>10</v>
      </c>
    </row>
    <row r="11" spans="1:17">
      <c r="A11" s="1">
        <v>8</v>
      </c>
      <c r="B11" s="1">
        <f t="shared" si="1"/>
        <v>800</v>
      </c>
      <c r="C11" s="1" t="s">
        <v>63</v>
      </c>
      <c r="D11" s="1" t="s">
        <v>60</v>
      </c>
      <c r="E11" s="4">
        <f t="shared" si="0"/>
        <v>5.33333333333333</v>
      </c>
      <c r="H11" s="1">
        <v>8</v>
      </c>
      <c r="I11" s="1">
        <f t="shared" si="2"/>
        <v>400</v>
      </c>
      <c r="J11" s="1" t="s">
        <v>64</v>
      </c>
      <c r="K11" s="1" t="s">
        <v>65</v>
      </c>
      <c r="L11" s="4">
        <f>I11/$B$1</f>
        <v>2.66666666666667</v>
      </c>
      <c r="N11" s="1" t="s">
        <v>76</v>
      </c>
      <c r="O11" s="1">
        <v>1</v>
      </c>
      <c r="P11" s="1">
        <v>2000</v>
      </c>
      <c r="Q11" s="1">
        <v>10</v>
      </c>
    </row>
    <row r="12" spans="1:17">
      <c r="A12" s="1">
        <v>9</v>
      </c>
      <c r="B12" s="1">
        <f t="shared" si="1"/>
        <v>900</v>
      </c>
      <c r="C12" s="1" t="s">
        <v>77</v>
      </c>
      <c r="D12" s="1" t="s">
        <v>60</v>
      </c>
      <c r="E12" s="4">
        <f t="shared" si="0"/>
        <v>6</v>
      </c>
      <c r="H12" s="1">
        <v>9</v>
      </c>
      <c r="I12" s="1">
        <f t="shared" si="2"/>
        <v>450</v>
      </c>
      <c r="J12" s="1" t="s">
        <v>67</v>
      </c>
      <c r="K12" s="1" t="s">
        <v>68</v>
      </c>
      <c r="L12" s="4">
        <f>I12/$B$1</f>
        <v>3</v>
      </c>
      <c r="P12" s="1">
        <f ca="1">SUM(P3:P12)</f>
        <v>20000</v>
      </c>
      <c r="Q12" s="1">
        <f>SUM(Q3:Q11)</f>
        <v>150</v>
      </c>
    </row>
    <row r="13" spans="1:12">
      <c r="A13" s="1">
        <v>10</v>
      </c>
      <c r="B13" s="1">
        <f t="shared" si="1"/>
        <v>1000</v>
      </c>
      <c r="C13" s="1" t="s">
        <v>63</v>
      </c>
      <c r="D13" s="1" t="s">
        <v>70</v>
      </c>
      <c r="E13" s="4">
        <f t="shared" si="0"/>
        <v>6.66666666666667</v>
      </c>
      <c r="H13" s="1">
        <v>10</v>
      </c>
      <c r="I13" s="1">
        <f t="shared" si="2"/>
        <v>500</v>
      </c>
      <c r="J13" s="1" t="s">
        <v>67</v>
      </c>
      <c r="K13" s="1" t="s">
        <v>71</v>
      </c>
      <c r="L13" s="4">
        <f>I13/$B$1</f>
        <v>3.33333333333333</v>
      </c>
    </row>
    <row r="14" spans="1:12">
      <c r="A14" s="1">
        <v>11</v>
      </c>
      <c r="B14" s="1">
        <f t="shared" si="1"/>
        <v>1100</v>
      </c>
      <c r="C14" s="1" t="s">
        <v>55</v>
      </c>
      <c r="D14" s="1" t="s">
        <v>78</v>
      </c>
      <c r="E14" s="4">
        <f t="shared" si="0"/>
        <v>7.33333333333333</v>
      </c>
      <c r="H14" s="1">
        <v>11</v>
      </c>
      <c r="I14" s="1">
        <f t="shared" si="2"/>
        <v>550</v>
      </c>
      <c r="J14" s="1" t="s">
        <v>55</v>
      </c>
      <c r="K14" s="1" t="s">
        <v>57</v>
      </c>
      <c r="L14" s="4">
        <f>I14/$B$1</f>
        <v>3.66666666666667</v>
      </c>
    </row>
    <row r="15" spans="1:12">
      <c r="A15" s="1">
        <v>12</v>
      </c>
      <c r="B15" s="1">
        <f t="shared" si="1"/>
        <v>1200</v>
      </c>
      <c r="C15" s="1" t="s">
        <v>59</v>
      </c>
      <c r="D15" s="1" t="s">
        <v>60</v>
      </c>
      <c r="E15" s="4">
        <f t="shared" si="0"/>
        <v>8</v>
      </c>
      <c r="H15" s="1">
        <v>12</v>
      </c>
      <c r="I15" s="1">
        <f t="shared" si="2"/>
        <v>600</v>
      </c>
      <c r="J15" s="1" t="s">
        <v>61</v>
      </c>
      <c r="K15" s="1" t="s">
        <v>59</v>
      </c>
      <c r="L15" s="4">
        <f>I15/$B$1</f>
        <v>4</v>
      </c>
    </row>
    <row r="16" spans="1:12">
      <c r="A16" s="1">
        <v>13</v>
      </c>
      <c r="B16" s="1">
        <f t="shared" si="1"/>
        <v>1300</v>
      </c>
      <c r="C16" s="1" t="s">
        <v>63</v>
      </c>
      <c r="D16" s="1" t="s">
        <v>60</v>
      </c>
      <c r="E16" s="4">
        <f t="shared" si="0"/>
        <v>8.66666666666667</v>
      </c>
      <c r="H16" s="1">
        <v>13</v>
      </c>
      <c r="I16" s="1">
        <f t="shared" si="2"/>
        <v>650</v>
      </c>
      <c r="J16" s="1" t="s">
        <v>64</v>
      </c>
      <c r="K16" s="1" t="s">
        <v>65</v>
      </c>
      <c r="L16" s="4">
        <f>I16/$B$1</f>
        <v>4.33333333333333</v>
      </c>
    </row>
    <row r="17" spans="1:12">
      <c r="A17" s="1">
        <v>14</v>
      </c>
      <c r="B17" s="1">
        <f t="shared" si="1"/>
        <v>1400</v>
      </c>
      <c r="C17" s="1" t="s">
        <v>77</v>
      </c>
      <c r="D17" s="1" t="s">
        <v>60</v>
      </c>
      <c r="E17" s="4">
        <f t="shared" si="0"/>
        <v>9.33333333333333</v>
      </c>
      <c r="H17" s="1">
        <v>14</v>
      </c>
      <c r="I17" s="1">
        <f t="shared" si="2"/>
        <v>700</v>
      </c>
      <c r="J17" s="1" t="s">
        <v>67</v>
      </c>
      <c r="K17" s="1" t="s">
        <v>68</v>
      </c>
      <c r="L17" s="4">
        <f>I17/$B$1</f>
        <v>4.66666666666667</v>
      </c>
    </row>
    <row r="18" spans="1:12">
      <c r="A18" s="1">
        <v>15</v>
      </c>
      <c r="B18" s="1">
        <f t="shared" si="1"/>
        <v>1500</v>
      </c>
      <c r="C18" s="1" t="s">
        <v>63</v>
      </c>
      <c r="D18" s="1" t="s">
        <v>70</v>
      </c>
      <c r="E18" s="4">
        <f t="shared" si="0"/>
        <v>10</v>
      </c>
      <c r="H18" s="1">
        <v>15</v>
      </c>
      <c r="I18" s="1">
        <f t="shared" si="2"/>
        <v>750</v>
      </c>
      <c r="J18" s="1" t="s">
        <v>67</v>
      </c>
      <c r="K18" s="1" t="s">
        <v>79</v>
      </c>
      <c r="L18" s="4">
        <f>I18/$B$1</f>
        <v>5</v>
      </c>
    </row>
    <row r="19" spans="1:12">
      <c r="A19" s="1">
        <v>16</v>
      </c>
      <c r="B19" s="1">
        <f t="shared" si="1"/>
        <v>1600</v>
      </c>
      <c r="C19" s="1" t="s">
        <v>55</v>
      </c>
      <c r="D19" s="1" t="s">
        <v>80</v>
      </c>
      <c r="E19" s="4">
        <f t="shared" si="0"/>
        <v>10.6666666666667</v>
      </c>
      <c r="H19" s="1"/>
      <c r="I19" s="1"/>
      <c r="J19" s="1"/>
      <c r="L19" s="4"/>
    </row>
    <row r="20" spans="1:12">
      <c r="A20" s="1">
        <v>17</v>
      </c>
      <c r="B20" s="1">
        <f t="shared" si="1"/>
        <v>1700</v>
      </c>
      <c r="C20" s="1" t="s">
        <v>59</v>
      </c>
      <c r="D20" s="1" t="s">
        <v>60</v>
      </c>
      <c r="E20" s="4">
        <f t="shared" si="0"/>
        <v>11.3333333333333</v>
      </c>
      <c r="H20" s="1"/>
      <c r="I20" s="1"/>
      <c r="J20" s="1"/>
      <c r="L20" s="4"/>
    </row>
    <row r="21" spans="1:12">
      <c r="A21" s="1">
        <v>18</v>
      </c>
      <c r="B21" s="1">
        <f t="shared" si="1"/>
        <v>1800</v>
      </c>
      <c r="C21" s="1" t="s">
        <v>63</v>
      </c>
      <c r="D21" s="1" t="s">
        <v>60</v>
      </c>
      <c r="E21" s="4">
        <f t="shared" si="0"/>
        <v>12</v>
      </c>
      <c r="H21" s="1"/>
      <c r="I21" s="1"/>
      <c r="J21" s="1"/>
      <c r="L21" s="4"/>
    </row>
    <row r="22" spans="1:12">
      <c r="A22" s="1">
        <v>19</v>
      </c>
      <c r="B22" s="1">
        <f t="shared" si="1"/>
        <v>1900</v>
      </c>
      <c r="C22" s="1" t="s">
        <v>77</v>
      </c>
      <c r="D22" s="1" t="s">
        <v>60</v>
      </c>
      <c r="E22" s="4">
        <f t="shared" si="0"/>
        <v>12.6666666666667</v>
      </c>
      <c r="H22" s="1"/>
      <c r="I22" s="1"/>
      <c r="J22" s="2" t="s">
        <v>81</v>
      </c>
      <c r="K22" s="9" t="s">
        <v>82</v>
      </c>
      <c r="L22" s="4"/>
    </row>
    <row r="23" spans="1:12">
      <c r="A23" s="1">
        <v>20</v>
      </c>
      <c r="B23" s="1">
        <f t="shared" si="1"/>
        <v>2000</v>
      </c>
      <c r="C23" s="1" t="s">
        <v>63</v>
      </c>
      <c r="D23" s="1" t="s">
        <v>70</v>
      </c>
      <c r="E23" s="4">
        <f t="shared" si="0"/>
        <v>13.3333333333333</v>
      </c>
      <c r="J23" s="2" t="s">
        <v>83</v>
      </c>
      <c r="K23" s="9" t="s">
        <v>84</v>
      </c>
      <c r="L23" s="4"/>
    </row>
    <row r="24" spans="1:12">
      <c r="A24" s="1">
        <v>21</v>
      </c>
      <c r="B24" s="1">
        <f t="shared" si="1"/>
        <v>2100</v>
      </c>
      <c r="C24" s="1" t="s">
        <v>55</v>
      </c>
      <c r="D24" s="1" t="s">
        <v>85</v>
      </c>
      <c r="E24" s="4">
        <f t="shared" si="0"/>
        <v>14</v>
      </c>
      <c r="J24" s="2" t="s">
        <v>86</v>
      </c>
      <c r="K24" s="9" t="s">
        <v>87</v>
      </c>
      <c r="L24" s="4"/>
    </row>
    <row r="25" spans="1:12">
      <c r="A25" s="1">
        <v>22</v>
      </c>
      <c r="B25" s="1">
        <f t="shared" si="1"/>
        <v>2200</v>
      </c>
      <c r="C25" s="1" t="s">
        <v>59</v>
      </c>
      <c r="D25" s="1" t="s">
        <v>60</v>
      </c>
      <c r="E25" s="4">
        <f t="shared" si="0"/>
        <v>14.6666666666667</v>
      </c>
      <c r="J25" s="2" t="s">
        <v>88</v>
      </c>
      <c r="K25" s="9" t="s">
        <v>89</v>
      </c>
      <c r="L25" s="4"/>
    </row>
    <row r="26" spans="1:12">
      <c r="A26" s="1">
        <v>23</v>
      </c>
      <c r="B26" s="1">
        <f t="shared" si="1"/>
        <v>2300</v>
      </c>
      <c r="C26" s="1" t="s">
        <v>63</v>
      </c>
      <c r="D26" s="1" t="s">
        <v>60</v>
      </c>
      <c r="E26" s="4">
        <f t="shared" si="0"/>
        <v>15.3333333333333</v>
      </c>
      <c r="L26" s="4"/>
    </row>
    <row r="27" spans="1:12">
      <c r="A27" s="1">
        <v>24</v>
      </c>
      <c r="B27" s="1">
        <f t="shared" si="1"/>
        <v>2400</v>
      </c>
      <c r="C27" s="1" t="s">
        <v>77</v>
      </c>
      <c r="D27" s="1" t="s">
        <v>60</v>
      </c>
      <c r="E27" s="4">
        <f t="shared" si="0"/>
        <v>16</v>
      </c>
      <c r="I27" s="10"/>
      <c r="J27" s="10"/>
      <c r="K27" s="10"/>
      <c r="L27" s="4"/>
    </row>
    <row r="28" spans="1:12">
      <c r="A28" s="1">
        <v>25</v>
      </c>
      <c r="B28" s="1">
        <f t="shared" si="1"/>
        <v>2500</v>
      </c>
      <c r="C28" s="1" t="s">
        <v>63</v>
      </c>
      <c r="D28" s="1" t="s">
        <v>70</v>
      </c>
      <c r="E28" s="4">
        <f t="shared" si="0"/>
        <v>16.6666666666667</v>
      </c>
      <c r="I28" s="10"/>
      <c r="J28" s="10"/>
      <c r="K28" s="10"/>
      <c r="L28" s="4"/>
    </row>
    <row r="29" spans="1:12">
      <c r="A29" s="1">
        <v>26</v>
      </c>
      <c r="B29" s="1">
        <f t="shared" si="1"/>
        <v>2600</v>
      </c>
      <c r="C29" s="1" t="s">
        <v>55</v>
      </c>
      <c r="D29" s="1" t="s">
        <v>78</v>
      </c>
      <c r="E29" s="4">
        <f t="shared" si="0"/>
        <v>17.3333333333333</v>
      </c>
      <c r="H29" s="2" t="s">
        <v>90</v>
      </c>
      <c r="I29" s="10"/>
      <c r="J29" s="10"/>
      <c r="K29" s="10"/>
      <c r="L29" s="4"/>
    </row>
    <row r="30" spans="1:12">
      <c r="A30" s="1">
        <v>27</v>
      </c>
      <c r="B30" s="1">
        <f t="shared" si="1"/>
        <v>2700</v>
      </c>
      <c r="C30" s="1" t="s">
        <v>59</v>
      </c>
      <c r="D30" s="1" t="s">
        <v>70</v>
      </c>
      <c r="E30" s="4">
        <f t="shared" si="0"/>
        <v>18</v>
      </c>
      <c r="H30" s="2" t="s">
        <v>91</v>
      </c>
      <c r="I30" s="10"/>
      <c r="J30" s="10"/>
      <c r="K30" s="10"/>
      <c r="L30" s="4"/>
    </row>
    <row r="31" spans="1:12">
      <c r="A31" s="1">
        <v>28</v>
      </c>
      <c r="B31" s="1">
        <f t="shared" si="1"/>
        <v>2800</v>
      </c>
      <c r="C31" s="1" t="s">
        <v>63</v>
      </c>
      <c r="D31" s="1" t="s">
        <v>70</v>
      </c>
      <c r="E31" s="4">
        <f t="shared" si="0"/>
        <v>18.6666666666667</v>
      </c>
      <c r="H31" s="2" t="s">
        <v>92</v>
      </c>
      <c r="I31" s="10"/>
      <c r="J31" s="10"/>
      <c r="K31" s="10"/>
      <c r="L31" s="4"/>
    </row>
    <row r="32" spans="1:12">
      <c r="A32" s="1">
        <v>29</v>
      </c>
      <c r="B32" s="1">
        <f t="shared" si="1"/>
        <v>2900</v>
      </c>
      <c r="C32" s="1" t="s">
        <v>77</v>
      </c>
      <c r="D32" s="1" t="s">
        <v>70</v>
      </c>
      <c r="E32" s="4">
        <f t="shared" si="0"/>
        <v>19.3333333333333</v>
      </c>
      <c r="H32" s="2" t="s">
        <v>93</v>
      </c>
      <c r="I32" s="10"/>
      <c r="J32" s="10"/>
      <c r="K32" s="10"/>
      <c r="L32" s="4"/>
    </row>
    <row r="33" spans="1:11">
      <c r="A33" s="5">
        <v>30</v>
      </c>
      <c r="B33" s="5">
        <f t="shared" si="1"/>
        <v>3000</v>
      </c>
      <c r="C33" s="5" t="s">
        <v>94</v>
      </c>
      <c r="D33" s="5" t="s">
        <v>95</v>
      </c>
      <c r="E33" s="6">
        <f t="shared" si="0"/>
        <v>20</v>
      </c>
      <c r="F33" s="2" t="s">
        <v>96</v>
      </c>
      <c r="I33" s="10"/>
      <c r="J33" s="10"/>
      <c r="K33" s="10"/>
    </row>
    <row r="34" spans="1:11">
      <c r="A34" s="7">
        <v>31</v>
      </c>
      <c r="B34" s="7">
        <f t="shared" si="1"/>
        <v>3100</v>
      </c>
      <c r="C34" s="7" t="s">
        <v>97</v>
      </c>
      <c r="D34" s="7" t="s">
        <v>64</v>
      </c>
      <c r="E34" s="8">
        <f t="shared" si="0"/>
        <v>20.6666666666667</v>
      </c>
      <c r="I34" s="10"/>
      <c r="J34" s="10"/>
      <c r="K34" s="10"/>
    </row>
    <row r="35" spans="1:11">
      <c r="A35" s="7">
        <v>32</v>
      </c>
      <c r="B35" s="7">
        <f t="shared" si="1"/>
        <v>3200</v>
      </c>
      <c r="C35" s="7" t="s">
        <v>97</v>
      </c>
      <c r="D35" s="7" t="s">
        <v>64</v>
      </c>
      <c r="E35" s="8">
        <f t="shared" si="0"/>
        <v>21.3333333333333</v>
      </c>
      <c r="I35" s="10"/>
      <c r="J35" s="10"/>
      <c r="K35" s="10"/>
    </row>
    <row r="36" spans="1:11">
      <c r="A36" s="7">
        <v>33</v>
      </c>
      <c r="B36" s="7">
        <f t="shared" si="1"/>
        <v>3300</v>
      </c>
      <c r="C36" s="7" t="s">
        <v>97</v>
      </c>
      <c r="D36" s="7" t="s">
        <v>64</v>
      </c>
      <c r="E36" s="8">
        <f t="shared" si="0"/>
        <v>22</v>
      </c>
      <c r="I36" s="10"/>
      <c r="J36" s="10"/>
      <c r="K36" s="10"/>
    </row>
    <row r="37" spans="1:11">
      <c r="A37" s="7">
        <v>34</v>
      </c>
      <c r="B37" s="7">
        <f t="shared" si="1"/>
        <v>3400</v>
      </c>
      <c r="C37" s="7" t="s">
        <v>97</v>
      </c>
      <c r="D37" s="7" t="s">
        <v>64</v>
      </c>
      <c r="E37" s="8">
        <f t="shared" ref="E37:E68" si="3">B37/$B$1</f>
        <v>22.6666666666667</v>
      </c>
      <c r="I37" s="10"/>
      <c r="J37" s="10"/>
      <c r="K37" s="10"/>
    </row>
    <row r="38" spans="1:11">
      <c r="A38" s="7">
        <v>35</v>
      </c>
      <c r="B38" s="7">
        <f t="shared" ref="B38:B69" si="4">$B$4*A38</f>
        <v>3500</v>
      </c>
      <c r="C38" s="7" t="s">
        <v>97</v>
      </c>
      <c r="D38" s="7" t="s">
        <v>64</v>
      </c>
      <c r="E38" s="8">
        <f t="shared" si="3"/>
        <v>23.3333333333333</v>
      </c>
      <c r="I38" s="10"/>
      <c r="J38" s="10"/>
      <c r="K38" s="10"/>
    </row>
    <row r="39" spans="1:11">
      <c r="A39" s="7">
        <v>36</v>
      </c>
      <c r="B39" s="7">
        <f t="shared" si="4"/>
        <v>3600</v>
      </c>
      <c r="C39" s="7" t="s">
        <v>97</v>
      </c>
      <c r="D39" s="7" t="s">
        <v>64</v>
      </c>
      <c r="E39" s="8">
        <f t="shared" si="3"/>
        <v>24</v>
      </c>
      <c r="I39" s="10"/>
      <c r="J39" s="10"/>
      <c r="K39" s="10"/>
    </row>
    <row r="40" spans="1:11">
      <c r="A40" s="7">
        <v>37</v>
      </c>
      <c r="B40" s="7">
        <f t="shared" si="4"/>
        <v>3700</v>
      </c>
      <c r="C40" s="7" t="s">
        <v>97</v>
      </c>
      <c r="D40" s="7" t="s">
        <v>64</v>
      </c>
      <c r="E40" s="8">
        <f t="shared" si="3"/>
        <v>24.6666666666667</v>
      </c>
      <c r="I40" s="10"/>
      <c r="J40" s="10"/>
      <c r="K40" s="10"/>
    </row>
    <row r="41" spans="1:11">
      <c r="A41" s="7">
        <v>38</v>
      </c>
      <c r="B41" s="7">
        <f t="shared" si="4"/>
        <v>3800</v>
      </c>
      <c r="C41" s="7" t="s">
        <v>97</v>
      </c>
      <c r="D41" s="7" t="s">
        <v>64</v>
      </c>
      <c r="E41" s="8">
        <f t="shared" si="3"/>
        <v>25.3333333333333</v>
      </c>
      <c r="I41" s="10"/>
      <c r="J41" s="10"/>
      <c r="K41" s="10"/>
    </row>
    <row r="42" spans="1:11">
      <c r="A42" s="7">
        <v>39</v>
      </c>
      <c r="B42" s="7">
        <f t="shared" si="4"/>
        <v>3900</v>
      </c>
      <c r="C42" s="7" t="s">
        <v>97</v>
      </c>
      <c r="D42" s="7" t="s">
        <v>64</v>
      </c>
      <c r="E42" s="8">
        <f t="shared" si="3"/>
        <v>26</v>
      </c>
      <c r="I42" s="10"/>
      <c r="J42" s="10"/>
      <c r="K42" s="10"/>
    </row>
    <row r="43" spans="1:11">
      <c r="A43" s="7">
        <v>40</v>
      </c>
      <c r="B43" s="7">
        <f t="shared" si="4"/>
        <v>4000</v>
      </c>
      <c r="C43" s="7" t="s">
        <v>97</v>
      </c>
      <c r="D43" s="7" t="s">
        <v>64</v>
      </c>
      <c r="E43" s="8">
        <f t="shared" si="3"/>
        <v>26.6666666666667</v>
      </c>
      <c r="I43" s="10"/>
      <c r="J43" s="10"/>
      <c r="K43" s="10"/>
    </row>
    <row r="44" spans="1:11">
      <c r="A44" s="7">
        <v>41</v>
      </c>
      <c r="B44" s="7">
        <f t="shared" si="4"/>
        <v>4100</v>
      </c>
      <c r="C44" s="7" t="s">
        <v>97</v>
      </c>
      <c r="D44" s="7" t="s">
        <v>64</v>
      </c>
      <c r="E44" s="8">
        <f t="shared" si="3"/>
        <v>27.3333333333333</v>
      </c>
      <c r="I44" s="10"/>
      <c r="J44" s="10"/>
      <c r="K44" s="10"/>
    </row>
    <row r="45" spans="1:11">
      <c r="A45" s="7">
        <v>42</v>
      </c>
      <c r="B45" s="7">
        <f t="shared" si="4"/>
        <v>4200</v>
      </c>
      <c r="C45" s="7" t="s">
        <v>97</v>
      </c>
      <c r="D45" s="7" t="s">
        <v>64</v>
      </c>
      <c r="E45" s="8">
        <f t="shared" si="3"/>
        <v>28</v>
      </c>
      <c r="I45" s="10"/>
      <c r="J45" s="10"/>
      <c r="K45" s="10"/>
    </row>
    <row r="46" spans="1:11">
      <c r="A46" s="7">
        <v>43</v>
      </c>
      <c r="B46" s="7">
        <f t="shared" si="4"/>
        <v>4300</v>
      </c>
      <c r="C46" s="7" t="s">
        <v>97</v>
      </c>
      <c r="D46" s="7" t="s">
        <v>64</v>
      </c>
      <c r="E46" s="8">
        <f t="shared" si="3"/>
        <v>28.6666666666667</v>
      </c>
      <c r="I46" s="10"/>
      <c r="J46" s="10"/>
      <c r="K46" s="10"/>
    </row>
    <row r="47" spans="1:11">
      <c r="A47" s="7">
        <v>44</v>
      </c>
      <c r="B47" s="7">
        <f t="shared" si="4"/>
        <v>4400</v>
      </c>
      <c r="C47" s="7" t="s">
        <v>97</v>
      </c>
      <c r="D47" s="7" t="s">
        <v>64</v>
      </c>
      <c r="E47" s="8">
        <f t="shared" si="3"/>
        <v>29.3333333333333</v>
      </c>
      <c r="I47" s="10"/>
      <c r="J47" s="10"/>
      <c r="K47" s="10"/>
    </row>
    <row r="48" spans="1:5">
      <c r="A48" s="7">
        <v>45</v>
      </c>
      <c r="B48" s="7">
        <f t="shared" si="4"/>
        <v>4500</v>
      </c>
      <c r="C48" s="7" t="s">
        <v>97</v>
      </c>
      <c r="D48" s="7" t="s">
        <v>64</v>
      </c>
      <c r="E48" s="8">
        <f t="shared" si="3"/>
        <v>30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Zhanlintow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芷颖之殇</cp:lastModifiedBy>
  <dcterms:created xsi:type="dcterms:W3CDTF">2023-06-24T04:24:00Z</dcterms:created>
  <dcterms:modified xsi:type="dcterms:W3CDTF">2025-05-05T16:02:21Z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7C227FDB98534F1BA2E3CC666D0E50D4_13</vt:lpwstr>
  </property>
  <property fmtid="{D5CDD505-2E9C-101B-9397-08002B2CF9AE}" pid="3" name="KSOProductBuildVer">
    <vt:lpwstr>2052-12.1.0.15990</vt:lpwstr>
  </property>
</Properties>
</file>