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cience" sheetId="1" r:id="rId1"/>
    <sheet name="Sheet1" sheetId="2" r:id="rId2"/>
  </sheets>
  <definedNames>
    <definedName name="_xlnm._FilterDatabase" localSheetId="0" hidden="1">Science!$A$3:$AK$3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H3" authorId="0">
      <text>
        <r>
          <rPr>
            <sz val="9"/>
            <rFont val="宋体"/>
            <charset val="134"/>
          </rPr>
          <t>NINGMEI:
101：初始金币增加
102：每秒金币增加
103：建造速度增加%          
104：建造消费减少
105：每存活一个英雄，每秒金币增加
106：基地物防增加
107：基地减少固定受伤
108：基地减少百分比受伤
109：基地血量增加
110：基地回血增加
111：士兵购买消费减少
112：士兵复活时间减少
113：士兵魔防增加%
114：士兵物防增加%
115：士兵双防增加%
116：士兵生命增加
117：士兵回血增加              
118：士兵攻击增加%                
119：士兵造成伤害增加%
120：英雄初始携带士兵上限增加
121：英雄攻击增加
122：英雄生命增加
123：英雄物防增加
124：英雄魔防增加
125：英雄初始携带士兵数量增加       
126：英雄双防，攻击增加    
127：英雄回血增加
128：英雄移速增加
129：英雄攻速增加
130：英雄死亡时概率立刻复活</t>
        </r>
      </text>
    </comment>
    <comment ref="I3" authorId="0">
      <text>
        <r>
          <rPr>
            <b/>
            <sz val="9"/>
            <rFont val="宋体"/>
            <charset val="134"/>
          </rPr>
          <t xml:space="preserve">NINGMEI:
</t>
        </r>
        <r>
          <rPr>
            <sz val="9"/>
            <rFont val="宋体"/>
            <charset val="134"/>
          </rPr>
          <t>固定数值
千分比（转化为百分比显示）</t>
        </r>
      </text>
    </comment>
  </commentList>
</comments>
</file>

<file path=xl/sharedStrings.xml><?xml version="1.0" encoding="utf-8"?>
<sst xmlns="http://schemas.openxmlformats.org/spreadsheetml/2006/main" count="168" uniqueCount="122">
  <si>
    <t>Id</t>
  </si>
  <si>
    <t>Unlock</t>
  </si>
  <si>
    <t>Type</t>
  </si>
  <si>
    <t>Place</t>
  </si>
  <si>
    <t>Icon</t>
  </si>
  <si>
    <t>Name</t>
  </si>
  <si>
    <t>Lvupconsume</t>
  </si>
  <si>
    <t>Effecttype</t>
  </si>
  <si>
    <t>Value</t>
  </si>
  <si>
    <t>Desc</t>
  </si>
  <si>
    <t>int</t>
  </si>
  <si>
    <t>string</t>
  </si>
  <si>
    <t>唯一Id</t>
  </si>
  <si>
    <t>解锁条件</t>
  </si>
  <si>
    <t>科技大类</t>
  </si>
  <si>
    <t>位置</t>
  </si>
  <si>
    <t>图标</t>
  </si>
  <si>
    <t>名称</t>
  </si>
  <si>
    <t>升级消耗</t>
  </si>
  <si>
    <t>属性类型</t>
  </si>
  <si>
    <t>属性具体数值</t>
  </si>
  <si>
    <t>描述</t>
  </si>
  <si>
    <t>keji_1001</t>
  </si>
  <si>
    <t>储备金矿</t>
  </si>
  <si>
    <t>3:3:3:3:3</t>
  </si>
  <si>
    <t>25:50:75:100:125</t>
  </si>
  <si>
    <t>初始金矿增加{0}</t>
  </si>
  <si>
    <t>keji_1002</t>
  </si>
  <si>
    <t>金矿增收</t>
  </si>
  <si>
    <t>0.5:1:1.5:2:2.5</t>
  </si>
  <si>
    <t>每秒金矿增加{0}</t>
  </si>
  <si>
    <t>keji_1003</t>
  </si>
  <si>
    <t>额外收益</t>
  </si>
  <si>
    <t>1:2:3:4:5</t>
  </si>
  <si>
    <t>击杀怪物额外获得{0}金矿</t>
  </si>
  <si>
    <t>keji_1004</t>
  </si>
  <si>
    <t>建造大师</t>
  </si>
  <si>
    <t>10:20:30:40:50</t>
  </si>
  <si>
    <t>建造消费减少{0}</t>
  </si>
  <si>
    <t>keji_1005</t>
  </si>
  <si>
    <t>英雄效应</t>
  </si>
  <si>
    <t>每存活一个英雄，每秒金矿增加{0}</t>
  </si>
  <si>
    <t>keji_1006</t>
  </si>
  <si>
    <t>添砖加瓦</t>
  </si>
  <si>
    <t>5:10:15:20:25</t>
  </si>
  <si>
    <t>基地物防增加{0}</t>
  </si>
  <si>
    <t>keji_1007</t>
  </si>
  <si>
    <t>加固</t>
  </si>
  <si>
    <t>2:4:6:8:10</t>
  </si>
  <si>
    <t>基地减少{0}点伤害</t>
  </si>
  <si>
    <t>keji_1008</t>
  </si>
  <si>
    <t>坚不可摧</t>
  </si>
  <si>
    <t>基地减少{0}%伤害</t>
  </si>
  <si>
    <t>keji_1009</t>
  </si>
  <si>
    <t>城墙</t>
  </si>
  <si>
    <t>50:100:150:200:250</t>
  </si>
  <si>
    <t>基地血量增加{0}</t>
  </si>
  <si>
    <t>keji_1010</t>
  </si>
  <si>
    <t>维修</t>
  </si>
  <si>
    <t>基地回血增加{0}</t>
  </si>
  <si>
    <t>keji_1011</t>
  </si>
  <si>
    <t>强兵</t>
  </si>
  <si>
    <t>士兵攻击增加{0}</t>
  </si>
  <si>
    <t>keji_1012</t>
  </si>
  <si>
    <t>强体</t>
  </si>
  <si>
    <t>士兵生命增加{0}</t>
  </si>
  <si>
    <t>keji_1013</t>
  </si>
  <si>
    <t>秘银盔甲</t>
  </si>
  <si>
    <t>士兵魔防增加{0}</t>
  </si>
  <si>
    <t>keji_1014</t>
  </si>
  <si>
    <t>精钢铁甲</t>
  </si>
  <si>
    <t>士兵物防增加{0}</t>
  </si>
  <si>
    <t>keji_1015</t>
  </si>
  <si>
    <t>锻甲大师</t>
  </si>
  <si>
    <t>士兵双防增加{0}%</t>
  </si>
  <si>
    <t>keji_1016</t>
  </si>
  <si>
    <t>训练大师</t>
  </si>
  <si>
    <t>30:60:90:120:150</t>
  </si>
  <si>
    <t>keji_1017</t>
  </si>
  <si>
    <t>激励</t>
  </si>
  <si>
    <t>3:6:9:12:15</t>
  </si>
  <si>
    <t>士兵回血增加{0}</t>
  </si>
  <si>
    <t>keji_1018</t>
  </si>
  <si>
    <t>鼓舞</t>
  </si>
  <si>
    <t>keji_1019</t>
  </si>
  <si>
    <t>精锐</t>
  </si>
  <si>
    <t>士兵造成伤害增加{0}%</t>
  </si>
  <si>
    <t>keji_1020</t>
  </si>
  <si>
    <t>招募</t>
  </si>
  <si>
    <t>英雄初始携带士兵上限增加{0}</t>
  </si>
  <si>
    <t>keji_1021</t>
  </si>
  <si>
    <t>强攻</t>
  </si>
  <si>
    <t>英雄攻击增加{0}</t>
  </si>
  <si>
    <t>keji_1027</t>
  </si>
  <si>
    <t>筋骨</t>
  </si>
  <si>
    <t>英雄生命增加{0}</t>
  </si>
  <si>
    <t>keji_1023</t>
  </si>
  <si>
    <t>铁甲</t>
  </si>
  <si>
    <t>英雄物防增加{0}</t>
  </si>
  <si>
    <t>keji_1024</t>
  </si>
  <si>
    <t>秘银</t>
  </si>
  <si>
    <t>英雄魔防增加{0}</t>
  </si>
  <si>
    <t>keji_1025</t>
  </si>
  <si>
    <t>士兵小队</t>
  </si>
  <si>
    <t>英雄初始携带士兵数量增加{0}</t>
  </si>
  <si>
    <t>keji_1026</t>
  </si>
  <si>
    <t>勇武</t>
  </si>
  <si>
    <t>20:40:60:80:100</t>
  </si>
  <si>
    <t>英雄攻击与魔力增加{0}</t>
  </si>
  <si>
    <t>keji_1022</t>
  </si>
  <si>
    <t>缓慢恢复</t>
  </si>
  <si>
    <t>英雄回血增加{0}</t>
  </si>
  <si>
    <t>keji_1028</t>
  </si>
  <si>
    <t>疾行</t>
  </si>
  <si>
    <t>4:8:12:16:20</t>
  </si>
  <si>
    <t>英雄移速增加{0}%</t>
  </si>
  <si>
    <t>keji_1029</t>
  </si>
  <si>
    <t>迅捷</t>
  </si>
  <si>
    <t>英雄攻速增加{0}%</t>
  </si>
  <si>
    <t>keji_1030</t>
  </si>
  <si>
    <t>守护</t>
  </si>
  <si>
    <t>英雄死亡时{0}%概率立刻复活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</si>
</sst>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abSelected="1" workbookViewId="0">
      <pane ySplit="3" topLeftCell="A4" activePane="bottomLeft" state="frozen"/>
      <selection/>
      <selection pane="bottomLeft" activeCell="I6" sqref="I6"/>
    </sheetView>
  </sheetViews>
  <sheetFormatPr defaultColWidth="9" defaultRowHeight="13.5" customHeight="1"/>
  <cols>
    <col min="1" max="1" width="8.875" customWidth="1"/>
    <col min="2" max="2" width="10.375" customWidth="1"/>
    <col min="3" max="3" width="8.75" customWidth="1"/>
    <col min="4" max="4" width="8.375" customWidth="1"/>
    <col min="5" max="5" width="10.375" customWidth="1"/>
    <col min="6" max="6" width="9" customWidth="1"/>
    <col min="7" max="7" width="12.625" customWidth="1"/>
    <col min="8" max="8" width="10.875" customWidth="1"/>
    <col min="9" max="9" width="20.375" customWidth="1"/>
    <col min="10" max="10" width="32.875" customWidth="1"/>
    <col min="11" max="13" width="6.125" customWidth="1"/>
    <col min="14" max="14" width="16" customWidth="1"/>
    <col min="15" max="15" width="9.5" customWidth="1"/>
    <col min="16" max="16" width="8.875" customWidth="1"/>
    <col min="17" max="17" width="11.125" customWidth="1"/>
    <col min="18" max="18" width="18.375" customWidth="1"/>
    <col min="19" max="20" width="10.875" customWidth="1"/>
    <col min="21" max="21" width="14.75" customWidth="1"/>
    <col min="22" max="22" width="10.875" customWidth="1"/>
    <col min="23" max="23" width="12" customWidth="1"/>
    <col min="24" max="24" width="13.125" customWidth="1"/>
    <col min="25" max="25" width="11.5" customWidth="1"/>
    <col min="26" max="26" width="15" customWidth="1"/>
    <col min="27" max="28" width="74" customWidth="1"/>
    <col min="29" max="29" width="9.125" customWidth="1"/>
    <col min="30" max="30" width="11.25" customWidth="1"/>
    <col min="31" max="32" width="6.125" customWidth="1"/>
    <col min="33" max="34" width="13.375" customWidth="1"/>
    <col min="35" max="35" width="10.625" customWidth="1"/>
    <col min="36" max="36" width="8.875" customWidth="1"/>
    <col min="37" max="38" width="15.75" customWidth="1"/>
    <col min="39" max="39" width="9" customWidth="1"/>
    <col min="40" max="40" width="11.75" customWidth="1"/>
    <col min="41" max="41" width="63.5" customWidth="1"/>
    <col min="42" max="42" width="18.875" customWidth="1"/>
    <col min="43" max="43" width="9" customWidth="1"/>
    <col min="44" max="44" width="11.125" customWidth="1"/>
  </cols>
  <sheetData>
    <row r="1" customFormat="1" customHeight="1" spans="1:10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customFormat="1" customHeight="1" spans="1:10">
      <c r="A2" t="s">
        <v>10</v>
      </c>
      <c r="B2" t="s">
        <v>11</v>
      </c>
      <c r="C2" t="s">
        <v>10</v>
      </c>
      <c r="D2" t="s">
        <v>10</v>
      </c>
      <c r="E2" t="s">
        <v>11</v>
      </c>
      <c r="F2" t="s">
        <v>11</v>
      </c>
      <c r="G2" t="s">
        <v>11</v>
      </c>
      <c r="H2" t="s">
        <v>10</v>
      </c>
      <c r="I2" t="s">
        <v>11</v>
      </c>
      <c r="J2" t="s">
        <v>11</v>
      </c>
    </row>
    <row r="3" customFormat="1" customHeight="1" spans="1:10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</row>
    <row r="4" customHeight="1" spans="1:10">
      <c r="A4">
        <v>1001</v>
      </c>
      <c r="B4" s="2">
        <v>0</v>
      </c>
      <c r="C4">
        <v>1</v>
      </c>
      <c r="D4">
        <v>1</v>
      </c>
      <c r="E4" t="s">
        <v>22</v>
      </c>
      <c r="F4" t="s">
        <v>23</v>
      </c>
      <c r="G4" s="3" t="s">
        <v>24</v>
      </c>
      <c r="H4">
        <v>101</v>
      </c>
      <c r="I4" s="3" t="s">
        <v>25</v>
      </c>
      <c r="J4" t="s">
        <v>26</v>
      </c>
    </row>
    <row r="5" customHeight="1" spans="1:10">
      <c r="A5">
        <v>1002</v>
      </c>
      <c r="B5" s="2">
        <v>0</v>
      </c>
      <c r="C5">
        <v>1</v>
      </c>
      <c r="D5">
        <v>2</v>
      </c>
      <c r="E5" t="s">
        <v>27</v>
      </c>
      <c r="F5" t="s">
        <v>28</v>
      </c>
      <c r="G5" s="3" t="s">
        <v>24</v>
      </c>
      <c r="H5">
        <v>102</v>
      </c>
      <c r="I5" s="3" t="s">
        <v>29</v>
      </c>
      <c r="J5" t="s">
        <v>30</v>
      </c>
    </row>
    <row r="6" customHeight="1" spans="1:10">
      <c r="A6">
        <v>1003</v>
      </c>
      <c r="B6" s="4">
        <f t="shared" ref="B6:B12" si="0">A4</f>
        <v>1001</v>
      </c>
      <c r="C6">
        <v>1</v>
      </c>
      <c r="D6">
        <v>3</v>
      </c>
      <c r="E6" t="s">
        <v>31</v>
      </c>
      <c r="F6" t="s">
        <v>32</v>
      </c>
      <c r="G6" s="3" t="s">
        <v>24</v>
      </c>
      <c r="H6">
        <v>131</v>
      </c>
      <c r="I6" s="3" t="s">
        <v>33</v>
      </c>
      <c r="J6" t="s">
        <v>34</v>
      </c>
    </row>
    <row r="7" customHeight="1" spans="1:10">
      <c r="A7">
        <v>1004</v>
      </c>
      <c r="B7" s="4">
        <f t="shared" si="0"/>
        <v>1002</v>
      </c>
      <c r="C7">
        <v>1</v>
      </c>
      <c r="D7">
        <v>4</v>
      </c>
      <c r="E7" t="s">
        <v>35</v>
      </c>
      <c r="F7" t="s">
        <v>36</v>
      </c>
      <c r="G7" s="3" t="s">
        <v>24</v>
      </c>
      <c r="H7">
        <v>104</v>
      </c>
      <c r="I7" s="3" t="s">
        <v>37</v>
      </c>
      <c r="J7" t="s">
        <v>38</v>
      </c>
    </row>
    <row r="8" customHeight="1" spans="1:10">
      <c r="A8">
        <v>1005</v>
      </c>
      <c r="B8" s="2" t="str">
        <f>A6&amp;","&amp;A7</f>
        <v>1003,1004</v>
      </c>
      <c r="C8">
        <v>1</v>
      </c>
      <c r="D8">
        <v>5</v>
      </c>
      <c r="E8" t="s">
        <v>39</v>
      </c>
      <c r="F8" t="s">
        <v>40</v>
      </c>
      <c r="G8" s="5">
        <v>5</v>
      </c>
      <c r="H8">
        <v>105</v>
      </c>
      <c r="I8" s="5">
        <v>5</v>
      </c>
      <c r="J8" t="s">
        <v>41</v>
      </c>
    </row>
    <row r="9" customHeight="1" spans="1:10">
      <c r="A9">
        <v>1006</v>
      </c>
      <c r="B9">
        <f>A8</f>
        <v>1005</v>
      </c>
      <c r="C9">
        <v>1</v>
      </c>
      <c r="D9">
        <v>6</v>
      </c>
      <c r="E9" t="s">
        <v>42</v>
      </c>
      <c r="F9" t="s">
        <v>43</v>
      </c>
      <c r="G9" s="3" t="s">
        <v>24</v>
      </c>
      <c r="H9">
        <v>106</v>
      </c>
      <c r="I9" s="3" t="s">
        <v>44</v>
      </c>
      <c r="J9" t="s">
        <v>45</v>
      </c>
    </row>
    <row r="10" customHeight="1" spans="1:10">
      <c r="A10">
        <v>1007</v>
      </c>
      <c r="B10">
        <f>A8</f>
        <v>1005</v>
      </c>
      <c r="C10">
        <v>1</v>
      </c>
      <c r="D10">
        <v>7</v>
      </c>
      <c r="E10" t="s">
        <v>46</v>
      </c>
      <c r="F10" t="s">
        <v>47</v>
      </c>
      <c r="G10" s="3" t="s">
        <v>24</v>
      </c>
      <c r="H10">
        <v>107</v>
      </c>
      <c r="I10" s="3" t="s">
        <v>48</v>
      </c>
      <c r="J10" t="s">
        <v>49</v>
      </c>
    </row>
    <row r="11" customHeight="1" spans="1:10">
      <c r="A11">
        <v>1008</v>
      </c>
      <c r="B11" s="4">
        <f t="shared" si="0"/>
        <v>1006</v>
      </c>
      <c r="C11">
        <v>1</v>
      </c>
      <c r="D11">
        <v>8</v>
      </c>
      <c r="E11" t="s">
        <v>50</v>
      </c>
      <c r="F11" t="s">
        <v>51</v>
      </c>
      <c r="G11" s="3" t="s">
        <v>24</v>
      </c>
      <c r="H11">
        <v>108</v>
      </c>
      <c r="I11" s="3" t="s">
        <v>48</v>
      </c>
      <c r="J11" t="s">
        <v>52</v>
      </c>
    </row>
    <row r="12" customHeight="1" spans="1:10">
      <c r="A12">
        <v>1009</v>
      </c>
      <c r="B12" s="4">
        <f t="shared" si="0"/>
        <v>1007</v>
      </c>
      <c r="C12">
        <v>1</v>
      </c>
      <c r="D12">
        <v>9</v>
      </c>
      <c r="E12" t="s">
        <v>53</v>
      </c>
      <c r="F12" t="s">
        <v>54</v>
      </c>
      <c r="G12" s="3" t="s">
        <v>24</v>
      </c>
      <c r="H12">
        <v>109</v>
      </c>
      <c r="I12" s="3" t="s">
        <v>55</v>
      </c>
      <c r="J12" t="s">
        <v>56</v>
      </c>
    </row>
    <row r="13" customHeight="1" spans="1:10">
      <c r="A13">
        <v>1010</v>
      </c>
      <c r="B13" s="2" t="str">
        <f>A11&amp;","&amp;A12</f>
        <v>1008,1009</v>
      </c>
      <c r="C13">
        <v>1</v>
      </c>
      <c r="D13">
        <v>10</v>
      </c>
      <c r="E13" t="s">
        <v>57</v>
      </c>
      <c r="F13" t="s">
        <v>58</v>
      </c>
      <c r="G13" s="5">
        <v>5</v>
      </c>
      <c r="H13">
        <v>110</v>
      </c>
      <c r="I13" s="5">
        <v>10</v>
      </c>
      <c r="J13" t="s">
        <v>59</v>
      </c>
    </row>
    <row r="14" customHeight="1" spans="1:10">
      <c r="A14">
        <v>2001</v>
      </c>
      <c r="B14" s="2">
        <v>0</v>
      </c>
      <c r="C14">
        <v>2</v>
      </c>
      <c r="D14">
        <v>1</v>
      </c>
      <c r="E14" t="s">
        <v>60</v>
      </c>
      <c r="F14" t="s">
        <v>61</v>
      </c>
      <c r="G14" s="3" t="s">
        <v>24</v>
      </c>
      <c r="H14">
        <v>132</v>
      </c>
      <c r="I14" s="3" t="s">
        <v>44</v>
      </c>
      <c r="J14" t="s">
        <v>62</v>
      </c>
    </row>
    <row r="15" customHeight="1" spans="1:10">
      <c r="A15">
        <v>2002</v>
      </c>
      <c r="B15" s="2">
        <v>0</v>
      </c>
      <c r="C15">
        <v>2</v>
      </c>
      <c r="D15">
        <v>2</v>
      </c>
      <c r="E15" t="s">
        <v>63</v>
      </c>
      <c r="F15" t="s">
        <v>64</v>
      </c>
      <c r="G15" s="3" t="s">
        <v>24</v>
      </c>
      <c r="H15">
        <v>116</v>
      </c>
      <c r="I15" s="3" t="s">
        <v>25</v>
      </c>
      <c r="J15" t="s">
        <v>65</v>
      </c>
    </row>
    <row r="16" customHeight="1" spans="1:10">
      <c r="A16">
        <v>2003</v>
      </c>
      <c r="B16" s="4">
        <f t="shared" ref="B16:B22" si="1">A14</f>
        <v>2001</v>
      </c>
      <c r="C16">
        <v>2</v>
      </c>
      <c r="D16">
        <v>3</v>
      </c>
      <c r="E16" t="s">
        <v>66</v>
      </c>
      <c r="F16" t="s">
        <v>67</v>
      </c>
      <c r="G16" s="3" t="s">
        <v>24</v>
      </c>
      <c r="H16">
        <v>134</v>
      </c>
      <c r="I16" s="3" t="s">
        <v>44</v>
      </c>
      <c r="J16" t="s">
        <v>68</v>
      </c>
    </row>
    <row r="17" customHeight="1" spans="1:10">
      <c r="A17">
        <v>2004</v>
      </c>
      <c r="B17" s="4">
        <f t="shared" si="1"/>
        <v>2002</v>
      </c>
      <c r="C17">
        <v>2</v>
      </c>
      <c r="D17">
        <v>4</v>
      </c>
      <c r="E17" t="s">
        <v>69</v>
      </c>
      <c r="F17" t="s">
        <v>70</v>
      </c>
      <c r="G17" s="3" t="s">
        <v>24</v>
      </c>
      <c r="H17">
        <v>133</v>
      </c>
      <c r="I17" s="3" t="s">
        <v>44</v>
      </c>
      <c r="J17" t="s">
        <v>71</v>
      </c>
    </row>
    <row r="18" customHeight="1" spans="1:10">
      <c r="A18">
        <v>2005</v>
      </c>
      <c r="B18" s="2" t="str">
        <f>A16&amp;","&amp;A17</f>
        <v>2003,2004</v>
      </c>
      <c r="C18">
        <v>2</v>
      </c>
      <c r="D18">
        <v>5</v>
      </c>
      <c r="E18" t="s">
        <v>72</v>
      </c>
      <c r="F18" t="s">
        <v>73</v>
      </c>
      <c r="G18" s="5">
        <v>5</v>
      </c>
      <c r="H18">
        <v>115</v>
      </c>
      <c r="I18" s="5">
        <v>20</v>
      </c>
      <c r="J18" t="s">
        <v>74</v>
      </c>
    </row>
    <row r="19" customHeight="1" spans="1:10">
      <c r="A19">
        <v>2006</v>
      </c>
      <c r="B19">
        <f>A18</f>
        <v>2005</v>
      </c>
      <c r="C19">
        <v>2</v>
      </c>
      <c r="D19">
        <v>6</v>
      </c>
      <c r="E19" t="s">
        <v>75</v>
      </c>
      <c r="F19" t="s">
        <v>76</v>
      </c>
      <c r="G19" s="3" t="s">
        <v>24</v>
      </c>
      <c r="H19">
        <v>116</v>
      </c>
      <c r="I19" s="3" t="s">
        <v>77</v>
      </c>
      <c r="J19" t="s">
        <v>65</v>
      </c>
    </row>
    <row r="20" customHeight="1" spans="1:10">
      <c r="A20">
        <v>2007</v>
      </c>
      <c r="B20">
        <f t="shared" si="1"/>
        <v>2005</v>
      </c>
      <c r="C20">
        <v>2</v>
      </c>
      <c r="D20">
        <v>7</v>
      </c>
      <c r="E20" t="s">
        <v>78</v>
      </c>
      <c r="F20" t="s">
        <v>79</v>
      </c>
      <c r="G20" s="3" t="s">
        <v>24</v>
      </c>
      <c r="H20">
        <v>117</v>
      </c>
      <c r="I20" s="3" t="s">
        <v>80</v>
      </c>
      <c r="J20" t="s">
        <v>81</v>
      </c>
    </row>
    <row r="21" customHeight="1" spans="1:10">
      <c r="A21">
        <v>2008</v>
      </c>
      <c r="B21" s="4">
        <f t="shared" si="1"/>
        <v>2006</v>
      </c>
      <c r="C21">
        <v>2</v>
      </c>
      <c r="D21">
        <v>8</v>
      </c>
      <c r="E21" t="s">
        <v>82</v>
      </c>
      <c r="F21" t="s">
        <v>83</v>
      </c>
      <c r="G21" s="3" t="s">
        <v>24</v>
      </c>
      <c r="H21">
        <v>132</v>
      </c>
      <c r="I21" s="3" t="s">
        <v>44</v>
      </c>
      <c r="J21" t="s">
        <v>62</v>
      </c>
    </row>
    <row r="22" customHeight="1" spans="1:10">
      <c r="A22">
        <v>2009</v>
      </c>
      <c r="B22" s="4">
        <f t="shared" si="1"/>
        <v>2007</v>
      </c>
      <c r="C22">
        <v>2</v>
      </c>
      <c r="D22">
        <v>9</v>
      </c>
      <c r="E22" t="s">
        <v>84</v>
      </c>
      <c r="F22" t="s">
        <v>85</v>
      </c>
      <c r="G22" s="3" t="s">
        <v>24</v>
      </c>
      <c r="H22">
        <v>119</v>
      </c>
      <c r="I22" s="3" t="s">
        <v>48</v>
      </c>
      <c r="J22" t="s">
        <v>86</v>
      </c>
    </row>
    <row r="23" customHeight="1" spans="1:10">
      <c r="A23">
        <v>2010</v>
      </c>
      <c r="B23" s="2" t="str">
        <f>A21&amp;","&amp;A22</f>
        <v>2008,2009</v>
      </c>
      <c r="C23">
        <v>2</v>
      </c>
      <c r="D23">
        <v>10</v>
      </c>
      <c r="E23" t="s">
        <v>87</v>
      </c>
      <c r="F23" t="s">
        <v>88</v>
      </c>
      <c r="G23" s="5">
        <v>5</v>
      </c>
      <c r="H23">
        <v>120</v>
      </c>
      <c r="I23" s="5">
        <v>1</v>
      </c>
      <c r="J23" t="s">
        <v>89</v>
      </c>
    </row>
    <row r="24" customHeight="1" spans="1:10">
      <c r="A24">
        <v>3001</v>
      </c>
      <c r="B24" s="2">
        <v>0</v>
      </c>
      <c r="C24">
        <v>3</v>
      </c>
      <c r="D24">
        <v>1</v>
      </c>
      <c r="E24" t="s">
        <v>90</v>
      </c>
      <c r="F24" t="s">
        <v>91</v>
      </c>
      <c r="G24" s="3" t="s">
        <v>24</v>
      </c>
      <c r="H24">
        <v>121</v>
      </c>
      <c r="I24" s="3" t="s">
        <v>44</v>
      </c>
      <c r="J24" t="s">
        <v>92</v>
      </c>
    </row>
    <row r="25" customHeight="1" spans="1:10">
      <c r="A25">
        <v>3002</v>
      </c>
      <c r="B25" s="2">
        <v>0</v>
      </c>
      <c r="C25">
        <v>3</v>
      </c>
      <c r="D25">
        <v>2</v>
      </c>
      <c r="E25" t="s">
        <v>93</v>
      </c>
      <c r="F25" t="s">
        <v>94</v>
      </c>
      <c r="G25" s="3" t="s">
        <v>24</v>
      </c>
      <c r="H25">
        <v>122</v>
      </c>
      <c r="I25" s="3" t="s">
        <v>55</v>
      </c>
      <c r="J25" t="s">
        <v>95</v>
      </c>
    </row>
    <row r="26" customHeight="1" spans="1:10">
      <c r="A26">
        <v>3003</v>
      </c>
      <c r="B26" s="4">
        <f t="shared" ref="B26:B32" si="2">A24</f>
        <v>3001</v>
      </c>
      <c r="C26">
        <v>3</v>
      </c>
      <c r="D26">
        <v>3</v>
      </c>
      <c r="E26" t="s">
        <v>96</v>
      </c>
      <c r="F26" t="s">
        <v>97</v>
      </c>
      <c r="G26" s="3" t="s">
        <v>24</v>
      </c>
      <c r="H26">
        <v>123</v>
      </c>
      <c r="I26" s="3" t="s">
        <v>80</v>
      </c>
      <c r="J26" t="s">
        <v>98</v>
      </c>
    </row>
    <row r="27" customHeight="1" spans="1:10">
      <c r="A27">
        <v>3004</v>
      </c>
      <c r="B27" s="4">
        <f t="shared" si="2"/>
        <v>3002</v>
      </c>
      <c r="C27">
        <v>3</v>
      </c>
      <c r="D27">
        <v>4</v>
      </c>
      <c r="E27" t="s">
        <v>99</v>
      </c>
      <c r="F27" t="s">
        <v>100</v>
      </c>
      <c r="G27" s="3" t="s">
        <v>24</v>
      </c>
      <c r="H27">
        <v>124</v>
      </c>
      <c r="I27" s="3" t="s">
        <v>80</v>
      </c>
      <c r="J27" t="s">
        <v>101</v>
      </c>
    </row>
    <row r="28" customHeight="1" spans="1:10">
      <c r="A28">
        <v>3005</v>
      </c>
      <c r="B28" s="2" t="str">
        <f>A26&amp;","&amp;A27</f>
        <v>3003,3004</v>
      </c>
      <c r="C28">
        <v>3</v>
      </c>
      <c r="D28">
        <v>5</v>
      </c>
      <c r="E28" t="s">
        <v>102</v>
      </c>
      <c r="F28" t="s">
        <v>103</v>
      </c>
      <c r="G28" s="5">
        <v>5</v>
      </c>
      <c r="H28">
        <v>125</v>
      </c>
      <c r="I28" s="5">
        <v>1</v>
      </c>
      <c r="J28" t="s">
        <v>104</v>
      </c>
    </row>
    <row r="29" customHeight="1" spans="1:10">
      <c r="A29">
        <v>3006</v>
      </c>
      <c r="B29">
        <f>A28</f>
        <v>3005</v>
      </c>
      <c r="C29">
        <v>3</v>
      </c>
      <c r="D29">
        <v>6</v>
      </c>
      <c r="E29" t="s">
        <v>105</v>
      </c>
      <c r="F29" t="s">
        <v>106</v>
      </c>
      <c r="G29" s="3" t="s">
        <v>24</v>
      </c>
      <c r="H29">
        <v>135</v>
      </c>
      <c r="I29" s="3" t="s">
        <v>107</v>
      </c>
      <c r="J29" t="s">
        <v>108</v>
      </c>
    </row>
    <row r="30" customHeight="1" spans="1:10">
      <c r="A30">
        <v>3007</v>
      </c>
      <c r="B30">
        <f t="shared" si="2"/>
        <v>3005</v>
      </c>
      <c r="C30">
        <v>3</v>
      </c>
      <c r="D30">
        <v>7</v>
      </c>
      <c r="E30" t="s">
        <v>109</v>
      </c>
      <c r="F30" t="s">
        <v>110</v>
      </c>
      <c r="G30" s="3" t="s">
        <v>24</v>
      </c>
      <c r="H30">
        <v>127</v>
      </c>
      <c r="I30" s="3" t="s">
        <v>48</v>
      </c>
      <c r="J30" t="s">
        <v>111</v>
      </c>
    </row>
    <row r="31" customHeight="1" spans="1:10">
      <c r="A31">
        <v>3008</v>
      </c>
      <c r="B31" s="4">
        <f t="shared" si="2"/>
        <v>3006</v>
      </c>
      <c r="C31">
        <v>3</v>
      </c>
      <c r="D31">
        <v>8</v>
      </c>
      <c r="E31" t="s">
        <v>112</v>
      </c>
      <c r="F31" t="s">
        <v>113</v>
      </c>
      <c r="G31" s="3" t="s">
        <v>24</v>
      </c>
      <c r="H31">
        <v>128</v>
      </c>
      <c r="I31" s="3" t="s">
        <v>114</v>
      </c>
      <c r="J31" t="s">
        <v>115</v>
      </c>
    </row>
    <row r="32" customHeight="1" spans="1:10">
      <c r="A32">
        <v>3009</v>
      </c>
      <c r="B32" s="4">
        <f t="shared" si="2"/>
        <v>3007</v>
      </c>
      <c r="C32">
        <v>3</v>
      </c>
      <c r="D32">
        <v>9</v>
      </c>
      <c r="E32" t="s">
        <v>116</v>
      </c>
      <c r="F32" t="s">
        <v>117</v>
      </c>
      <c r="G32" s="3" t="s">
        <v>24</v>
      </c>
      <c r="H32">
        <v>129</v>
      </c>
      <c r="I32" s="3" t="s">
        <v>114</v>
      </c>
      <c r="J32" t="s">
        <v>118</v>
      </c>
    </row>
    <row r="33" customHeight="1" spans="1:10">
      <c r="A33">
        <v>3010</v>
      </c>
      <c r="B33" s="2" t="str">
        <f>A31&amp;","&amp;A32</f>
        <v>3008,3009</v>
      </c>
      <c r="C33">
        <v>3</v>
      </c>
      <c r="D33">
        <v>10</v>
      </c>
      <c r="E33" t="s">
        <v>119</v>
      </c>
      <c r="F33" t="s">
        <v>120</v>
      </c>
      <c r="G33" s="5">
        <v>5</v>
      </c>
      <c r="H33">
        <v>130</v>
      </c>
      <c r="I33" s="5">
        <v>20</v>
      </c>
      <c r="J33" t="s">
        <v>121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Science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NINGMEI</cp:lastModifiedBy>
  <dcterms:created xsi:type="dcterms:W3CDTF">2020-08-19T07:40:00Z</dcterms:created>
  <dcterms:modified xsi:type="dcterms:W3CDTF">2024-11-30T07:12:01Z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F4A446C70B7B4246819BE85B07083206</vt:lpwstr>
  </property>
</Properties>
</file>