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echnology" sheetId="1" r:id="rId1"/>
    <sheet name="Sheet1" sheetId="2" r:id="rId2"/>
  </sheets>
  <definedNames>
    <definedName name="_xlnm._FilterDatabase" localSheetId="0" hidden="1">Technology!$A$3:$AU$3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1.英雄和士兵
2.其他</t>
        </r>
      </text>
    </comment>
  </commentList>
</comments>
</file>

<file path=xl/sharedStrings.xml><?xml version="1.0" encoding="utf-8"?>
<sst xmlns="http://schemas.openxmlformats.org/spreadsheetml/2006/main" count="373" uniqueCount="358">
  <si>
    <t>Id</t>
  </si>
  <si>
    <t>Tid</t>
  </si>
  <si>
    <t>Target</t>
  </si>
  <si>
    <t>Name</t>
  </si>
  <si>
    <t>Type</t>
  </si>
  <si>
    <t>Lv</t>
  </si>
  <si>
    <t>Max</t>
  </si>
  <si>
    <t>Cost</t>
  </si>
  <si>
    <t>Cost1</t>
  </si>
  <si>
    <t>Value</t>
  </si>
  <si>
    <t>Desc</t>
  </si>
  <si>
    <t>Add</t>
  </si>
  <si>
    <t>int</t>
  </si>
  <si>
    <t>string</t>
  </si>
  <si>
    <t>主键</t>
  </si>
  <si>
    <t>科技ID</t>
  </si>
  <si>
    <t>科技目标</t>
  </si>
  <si>
    <t>科技名称</t>
  </si>
  <si>
    <t>战斗/经济/技术</t>
  </si>
  <si>
    <t>科技等级</t>
  </si>
  <si>
    <t>最大等级</t>
  </si>
  <si>
    <t>食物消耗</t>
  </si>
  <si>
    <t>金矿消耗</t>
  </si>
  <si>
    <t>值</t>
  </si>
  <si>
    <t>任务描述</t>
  </si>
  <si>
    <t>战力提升</t>
  </si>
  <si>
    <t>近战研究</t>
  </si>
  <si>
    <t>1:0</t>
  </si>
  <si>
    <t>近战士兵攻击提升0</t>
  </si>
  <si>
    <t>近战研究I</t>
  </si>
  <si>
    <t>1:20</t>
  </si>
  <si>
    <t>近战士兵攻击提升20</t>
  </si>
  <si>
    <t>:</t>
  </si>
  <si>
    <t>近战研究II</t>
  </si>
  <si>
    <t>1:40</t>
  </si>
  <si>
    <t>近战士兵攻击提升40</t>
  </si>
  <si>
    <t>近战研究III</t>
  </si>
  <si>
    <t>1:60</t>
  </si>
  <si>
    <t>近战士兵攻击提升60</t>
  </si>
  <si>
    <t>近战研究IV</t>
  </si>
  <si>
    <t>1:80</t>
  </si>
  <si>
    <t>近战士兵攻击提升80</t>
  </si>
  <si>
    <t>近战研究V</t>
  </si>
  <si>
    <t>1:100</t>
  </si>
  <si>
    <t>近战士兵攻击提升100</t>
  </si>
  <si>
    <t>近战铠甲</t>
  </si>
  <si>
    <t>2:0</t>
  </si>
  <si>
    <t>近战士兵防御提升0</t>
  </si>
  <si>
    <t>近战铠甲I</t>
  </si>
  <si>
    <t>2:20</t>
  </si>
  <si>
    <t>近战士兵防御提升20</t>
  </si>
  <si>
    <t>近战铠甲II</t>
  </si>
  <si>
    <t>2:40</t>
  </si>
  <si>
    <t>近战士兵防御提升40</t>
  </si>
  <si>
    <t>近战铠甲III</t>
  </si>
  <si>
    <t>2:60</t>
  </si>
  <si>
    <t>近战士兵防御提升60</t>
  </si>
  <si>
    <t>近战铠甲IV</t>
  </si>
  <si>
    <t>2:80</t>
  </si>
  <si>
    <t>近战士兵防御提升80</t>
  </si>
  <si>
    <t>近战铠甲V</t>
  </si>
  <si>
    <t>2:100</t>
  </si>
  <si>
    <t>近战士兵防御提升100</t>
  </si>
  <si>
    <t>射击研究</t>
  </si>
  <si>
    <t>3:0</t>
  </si>
  <si>
    <t>远程士兵攻击提升0</t>
  </si>
  <si>
    <t>射击研究I</t>
  </si>
  <si>
    <t>3:20</t>
  </si>
  <si>
    <t>远程士兵攻击提升20</t>
  </si>
  <si>
    <t>射击研究II</t>
  </si>
  <si>
    <t>3:40</t>
  </si>
  <si>
    <t>远程士兵攻击提升40</t>
  </si>
  <si>
    <t>射击研究III</t>
  </si>
  <si>
    <t>3:60</t>
  </si>
  <si>
    <t>远程士兵攻击提升60</t>
  </si>
  <si>
    <t>射击研究IV</t>
  </si>
  <si>
    <t>3:80</t>
  </si>
  <si>
    <t>远程士兵攻击提升80</t>
  </si>
  <si>
    <t>射击研究V</t>
  </si>
  <si>
    <t>3:100</t>
  </si>
  <si>
    <t>远程士兵攻击提升100</t>
  </si>
  <si>
    <t>远程铠甲</t>
  </si>
  <si>
    <t>4:0</t>
  </si>
  <si>
    <t>远程士兵防御提升0</t>
  </si>
  <si>
    <t>远程铠甲I</t>
  </si>
  <si>
    <t>4:20</t>
  </si>
  <si>
    <t>远程士兵防御提升20</t>
  </si>
  <si>
    <t>远程铠甲II</t>
  </si>
  <si>
    <t>4:40</t>
  </si>
  <si>
    <t>远程士兵防御提升40</t>
  </si>
  <si>
    <t>远程铠甲III</t>
  </si>
  <si>
    <t>4:60</t>
  </si>
  <si>
    <t>远程士兵防御提升60</t>
  </si>
  <si>
    <t>远程铠甲IV</t>
  </si>
  <si>
    <t>4:80</t>
  </si>
  <si>
    <t>远程士兵防御提升80</t>
  </si>
  <si>
    <t>远程铠甲V</t>
  </si>
  <si>
    <t>4:100</t>
  </si>
  <si>
    <t>远程士兵防御提升100</t>
  </si>
  <si>
    <t>进攻术</t>
  </si>
  <si>
    <t>5:0</t>
  </si>
  <si>
    <t>近战英雄和士兵所有伤害提高0%</t>
  </si>
  <si>
    <t>进攻术I</t>
  </si>
  <si>
    <t>5:6</t>
  </si>
  <si>
    <t>近战英雄和士兵所有伤害提高6%</t>
  </si>
  <si>
    <t>进攻术II</t>
  </si>
  <si>
    <t>5:12</t>
  </si>
  <si>
    <t>近战英雄和士兵所有伤害提高12%</t>
  </si>
  <si>
    <t>进攻术III</t>
  </si>
  <si>
    <t>5:18</t>
  </si>
  <si>
    <t>近战英雄和士兵所有伤害提高18%</t>
  </si>
  <si>
    <t>进攻术IV</t>
  </si>
  <si>
    <t>5:24</t>
  </si>
  <si>
    <t>近战英雄和士兵所有伤害提高24%</t>
  </si>
  <si>
    <t>进攻术V</t>
  </si>
  <si>
    <t>5:30</t>
  </si>
  <si>
    <t>近战英雄和士兵所有伤害提高30%</t>
  </si>
  <si>
    <t>防御术</t>
  </si>
  <si>
    <t>6:0</t>
  </si>
  <si>
    <t>近战英雄和士兵所有防御提高0%</t>
  </si>
  <si>
    <t>防御术I</t>
  </si>
  <si>
    <t>6:6</t>
  </si>
  <si>
    <t>近战英雄和士兵所有防御提高6%</t>
  </si>
  <si>
    <t>防御术II</t>
  </si>
  <si>
    <t>6:12</t>
  </si>
  <si>
    <t>近战英雄和士兵所有防御提高12%</t>
  </si>
  <si>
    <t>防御术III</t>
  </si>
  <si>
    <t>6:18</t>
  </si>
  <si>
    <t>近战英雄和士兵所有防御提高18%</t>
  </si>
  <si>
    <t>防御术IV</t>
  </si>
  <si>
    <t>6:24</t>
  </si>
  <si>
    <t>近战英雄和士兵所有防御提高24%</t>
  </si>
  <si>
    <t>防御术V</t>
  </si>
  <si>
    <t>6:30</t>
  </si>
  <si>
    <t>近战英雄和士兵所有防御提高30%</t>
  </si>
  <si>
    <t>箭术</t>
  </si>
  <si>
    <t>7:0</t>
  </si>
  <si>
    <t>远程英雄和士兵所有伤害提高0%</t>
  </si>
  <si>
    <t>箭术I</t>
  </si>
  <si>
    <t>7:6</t>
  </si>
  <si>
    <t>远程英雄和士兵所有伤害提高6%</t>
  </si>
  <si>
    <t>箭术II</t>
  </si>
  <si>
    <t>7:12</t>
  </si>
  <si>
    <t>远程英雄和士兵所有伤害提高12%</t>
  </si>
  <si>
    <t>箭术III</t>
  </si>
  <si>
    <t>7:18</t>
  </si>
  <si>
    <t>远程英雄和士兵所有伤害提高18%</t>
  </si>
  <si>
    <t>箭术IV</t>
  </si>
  <si>
    <t>7:24</t>
  </si>
  <si>
    <t>远程英雄和士兵所有伤害提高24%</t>
  </si>
  <si>
    <t>箭术V</t>
  </si>
  <si>
    <t>7:30</t>
  </si>
  <si>
    <t>远程英雄和士兵所有伤害提高30%</t>
  </si>
  <si>
    <t>瞄准</t>
  </si>
  <si>
    <t>8:0</t>
  </si>
  <si>
    <t>远程英雄和士兵射程提高0</t>
  </si>
  <si>
    <t>瞄准I</t>
  </si>
  <si>
    <t>8:100</t>
  </si>
  <si>
    <t>远程英雄和士兵射程提高100</t>
  </si>
  <si>
    <t>瞄准II</t>
  </si>
  <si>
    <t>8:200</t>
  </si>
  <si>
    <t>远程英雄和士兵射程提高200</t>
  </si>
  <si>
    <t>瞄准III</t>
  </si>
  <si>
    <t>8:300</t>
  </si>
  <si>
    <t>远程英雄和士兵射程提高300</t>
  </si>
  <si>
    <t>瞄准IV</t>
  </si>
  <si>
    <t>8:400</t>
  </si>
  <si>
    <t>远程英雄和士兵射程提高400</t>
  </si>
  <si>
    <t>瞄准V</t>
  </si>
  <si>
    <t>8:500</t>
  </si>
  <si>
    <t>远程英雄和士兵射程提高500</t>
  </si>
  <si>
    <t>冲锋</t>
  </si>
  <si>
    <t>9:0</t>
  </si>
  <si>
    <t>所有英雄和士兵移动速度提高0</t>
  </si>
  <si>
    <t>冲锋I</t>
  </si>
  <si>
    <t>9:100</t>
  </si>
  <si>
    <t>所有英雄和士兵移动速度提高100</t>
  </si>
  <si>
    <t>冲锋II</t>
  </si>
  <si>
    <t>9:150</t>
  </si>
  <si>
    <t>所有英雄和士兵移动速度提高150</t>
  </si>
  <si>
    <t>冲锋III</t>
  </si>
  <si>
    <t>9:200</t>
  </si>
  <si>
    <t>所有英雄和士兵移动速度提高200</t>
  </si>
  <si>
    <t>冲锋IV</t>
  </si>
  <si>
    <t>9:250</t>
  </si>
  <si>
    <t>所有英雄和士兵移动速度提高250</t>
  </si>
  <si>
    <t>冲锋V</t>
  </si>
  <si>
    <t>9:300</t>
  </si>
  <si>
    <t>所有英雄和士兵移动速度提高300</t>
  </si>
  <si>
    <t>愈合术</t>
  </si>
  <si>
    <t>10:0</t>
  </si>
  <si>
    <t>英雄和士兵每5秒回复0%生命值（最大不超过100生命值）</t>
  </si>
  <si>
    <t>愈合术I</t>
  </si>
  <si>
    <t>10:1</t>
  </si>
  <si>
    <t>英雄和士兵每5秒回复1%生命值（最大不超过100生命值）</t>
  </si>
  <si>
    <t>愈合术II</t>
  </si>
  <si>
    <t>10:2</t>
  </si>
  <si>
    <t>英雄和士兵每5秒回复2%生命值（最大不超过100生命值）</t>
  </si>
  <si>
    <t>愈合术III</t>
  </si>
  <si>
    <t>10:3</t>
  </si>
  <si>
    <t>英雄和士兵每5秒回复3%生命值（最大不超过100生命值）</t>
  </si>
  <si>
    <t>愈合术IV</t>
  </si>
  <si>
    <t>10:4</t>
  </si>
  <si>
    <t>英雄和士兵每5秒回复4%生命值（最大不超过100生命值）</t>
  </si>
  <si>
    <t>愈合术V</t>
  </si>
  <si>
    <t>10:5</t>
  </si>
  <si>
    <t>英雄和士兵每5秒回复5%生命值（最大不超过100生命值）</t>
  </si>
  <si>
    <t>食物采集</t>
  </si>
  <si>
    <t>11:0</t>
  </si>
  <si>
    <t>食物采集效率提高0%</t>
  </si>
  <si>
    <t>食物采集I</t>
  </si>
  <si>
    <t>11:10</t>
  </si>
  <si>
    <t>食物采集效率提高10%</t>
  </si>
  <si>
    <t>食物采集II</t>
  </si>
  <si>
    <t>11:20</t>
  </si>
  <si>
    <t>食物采集效率提高20%</t>
  </si>
  <si>
    <t>食物采集III</t>
  </si>
  <si>
    <t>11:30</t>
  </si>
  <si>
    <t>食物采集效率提高30%</t>
  </si>
  <si>
    <t>食物采集IV</t>
  </si>
  <si>
    <t>11:40</t>
  </si>
  <si>
    <t>食物采集效率提高40%</t>
  </si>
  <si>
    <t>食物采集V</t>
  </si>
  <si>
    <t>11:50</t>
  </si>
  <si>
    <t>食物采集效率提高50%</t>
  </si>
  <si>
    <t>培育术</t>
  </si>
  <si>
    <t>12:0</t>
  </si>
  <si>
    <t>食物储备提高0%</t>
  </si>
  <si>
    <t>培育术I</t>
  </si>
  <si>
    <t>12:20</t>
  </si>
  <si>
    <t>食物储备提高20%</t>
  </si>
  <si>
    <t>培育术II</t>
  </si>
  <si>
    <t>12:40</t>
  </si>
  <si>
    <t>食物储备提高40%</t>
  </si>
  <si>
    <t>培育术III</t>
  </si>
  <si>
    <t>12:60</t>
  </si>
  <si>
    <t>食物储备提高60%</t>
  </si>
  <si>
    <t>培育术IV</t>
  </si>
  <si>
    <t>12:80</t>
  </si>
  <si>
    <t>食物储备提高80%</t>
  </si>
  <si>
    <t>培育术V</t>
  </si>
  <si>
    <t>12:100</t>
  </si>
  <si>
    <t>食物储备提高100%</t>
  </si>
  <si>
    <t>种植精通</t>
  </si>
  <si>
    <t>13:0</t>
  </si>
  <si>
    <t>果树成熟时间缩短0%</t>
  </si>
  <si>
    <t>种植精通I</t>
  </si>
  <si>
    <t>13:10</t>
  </si>
  <si>
    <t>果树成熟时间缩短10%</t>
  </si>
  <si>
    <t>种植精通II</t>
  </si>
  <si>
    <t>13:20</t>
  </si>
  <si>
    <t>果树成熟时间缩短20%</t>
  </si>
  <si>
    <t>种植精通III</t>
  </si>
  <si>
    <t>13:30</t>
  </si>
  <si>
    <t>果树成熟时间缩短30%</t>
  </si>
  <si>
    <t>种植精通IV</t>
  </si>
  <si>
    <t>13:40</t>
  </si>
  <si>
    <t>果树成熟时间缩短40%</t>
  </si>
  <si>
    <t>种植精通V</t>
  </si>
  <si>
    <t>13:50</t>
  </si>
  <si>
    <t>果树成熟时间缩短50%</t>
  </si>
  <si>
    <t>金矿采集</t>
  </si>
  <si>
    <t>14:0</t>
  </si>
  <si>
    <t>金矿采集效率提高0%</t>
  </si>
  <si>
    <t>金矿采集I</t>
  </si>
  <si>
    <t>14:10</t>
  </si>
  <si>
    <t>金矿采集效率提高10%</t>
  </si>
  <si>
    <t>金矿采集II</t>
  </si>
  <si>
    <t>14:20</t>
  </si>
  <si>
    <t>金矿采集效率提高20%</t>
  </si>
  <si>
    <t>金矿采集III</t>
  </si>
  <si>
    <t>14:30</t>
  </si>
  <si>
    <t>金矿采集效率提高30%</t>
  </si>
  <si>
    <t>金矿采集IV</t>
  </si>
  <si>
    <t>14:40</t>
  </si>
  <si>
    <t>金矿采集效率提高40%</t>
  </si>
  <si>
    <t>金矿采集V</t>
  </si>
  <si>
    <t>14:50</t>
  </si>
  <si>
    <t>金矿采集效率提高50%</t>
  </si>
  <si>
    <t>探矿术</t>
  </si>
  <si>
    <t>15:0</t>
  </si>
  <si>
    <t>金矿储备提高0%</t>
  </si>
  <si>
    <t>探矿术I</t>
  </si>
  <si>
    <t>15:4</t>
  </si>
  <si>
    <t>金矿储备提高4%</t>
  </si>
  <si>
    <t>探矿术II</t>
  </si>
  <si>
    <t>15:8</t>
  </si>
  <si>
    <t>金矿储备提高8%</t>
  </si>
  <si>
    <t>探矿术III</t>
  </si>
  <si>
    <t>15:12</t>
  </si>
  <si>
    <t>金矿储备提高12%</t>
  </si>
  <si>
    <t>探矿术IV</t>
  </si>
  <si>
    <t>15:16</t>
  </si>
  <si>
    <t>金矿储备提高16%</t>
  </si>
  <si>
    <t>探矿术V</t>
  </si>
  <si>
    <t>15:20</t>
  </si>
  <si>
    <t>金矿储备提高20%</t>
  </si>
  <si>
    <t>挖矿精通</t>
  </si>
  <si>
    <t>16:0</t>
  </si>
  <si>
    <t>金矿成熟时间缩短0%</t>
  </si>
  <si>
    <t>挖矿精通I</t>
  </si>
  <si>
    <t>16:10</t>
  </si>
  <si>
    <t>金矿成熟时间缩短10%</t>
  </si>
  <si>
    <t>挖矿精通II</t>
  </si>
  <si>
    <t>16:20</t>
  </si>
  <si>
    <t>金矿成熟时间缩短20%</t>
  </si>
  <si>
    <t>挖矿精通III</t>
  </si>
  <si>
    <t>16:30</t>
  </si>
  <si>
    <t>金矿成熟时间缩短30%</t>
  </si>
  <si>
    <t>挖矿精通IV</t>
  </si>
  <si>
    <t>16:40</t>
  </si>
  <si>
    <t>金矿成熟时间缩短40%</t>
  </si>
  <si>
    <t>挖矿精通V</t>
  </si>
  <si>
    <t>16:50</t>
  </si>
  <si>
    <t>金矿成熟时间缩短50%</t>
  </si>
  <si>
    <t>学习术</t>
  </si>
  <si>
    <t>17:0</t>
  </si>
  <si>
    <t>英雄获取经验提高0%</t>
  </si>
  <si>
    <t>学习术I</t>
  </si>
  <si>
    <t>17:10</t>
  </si>
  <si>
    <t>英雄获取经验提高10%</t>
  </si>
  <si>
    <t>学习术II</t>
  </si>
  <si>
    <t>17:20</t>
  </si>
  <si>
    <t>英雄获取经验提高20%</t>
  </si>
  <si>
    <t>学习术III</t>
  </si>
  <si>
    <t>17:30</t>
  </si>
  <si>
    <t>英雄获取经验提高30%</t>
  </si>
  <si>
    <t>掠夺术</t>
  </si>
  <si>
    <t>18:0:0</t>
  </si>
  <si>
    <t>击败敌人有0%概率获得0个金矿</t>
  </si>
  <si>
    <t>掠夺术I</t>
  </si>
  <si>
    <t>18:10:1</t>
  </si>
  <si>
    <t>击败敌人有10%概率获得1个金矿</t>
  </si>
  <si>
    <t>掠夺术II</t>
  </si>
  <si>
    <t>18:20:2</t>
  </si>
  <si>
    <t>击败敌人有20%概率获得2个金矿</t>
  </si>
  <si>
    <t>掠夺术III</t>
  </si>
  <si>
    <t>18:30:3</t>
  </si>
  <si>
    <t>击败敌人有30%概率获得3个金矿</t>
  </si>
  <si>
    <t>掠夺术IV</t>
  </si>
  <si>
    <t>18:40:4</t>
  </si>
  <si>
    <t>击败敌人有40%概率获得4个金矿</t>
  </si>
  <si>
    <t>掠夺术V</t>
  </si>
  <si>
    <t>18:50:5</t>
  </si>
  <si>
    <t>击败敌人有50%概率获得5个金矿</t>
  </si>
  <si>
    <t>城防建设</t>
  </si>
  <si>
    <t>19:0</t>
  </si>
  <si>
    <t>建筑减伤提高0</t>
  </si>
  <si>
    <t>城防建设I</t>
  </si>
  <si>
    <t>建筑减伤提高6</t>
  </si>
  <si>
    <t>城防建设II</t>
  </si>
  <si>
    <t>建筑减伤提高12</t>
  </si>
  <si>
    <t>城防建设III</t>
  </si>
  <si>
    <t>建筑减伤提高18</t>
  </si>
  <si>
    <t>城防建设IV</t>
  </si>
  <si>
    <t>建筑减伤提高24</t>
  </si>
  <si>
    <t>城防建设V</t>
  </si>
  <si>
    <t>建筑减伤提高30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</si>
</sst>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5"/>
  <sheetViews>
    <sheetView tabSelected="1" workbookViewId="0">
      <pane ySplit="3" topLeftCell="A91" activePane="bottomLeft" state="frozen"/>
      <selection/>
      <selection pane="bottomLeft" activeCell="H111" sqref="H111:I115"/>
    </sheetView>
  </sheetViews>
  <sheetFormatPr defaultColWidth="9" defaultRowHeight="13.5" customHeight="1"/>
  <cols>
    <col min="1" max="2" width="12.625" customWidth="1"/>
    <col min="3" max="3" width="12.625" style="1" customWidth="1"/>
    <col min="4" max="5" width="12.625" customWidth="1"/>
    <col min="6" max="9" width="9" customWidth="1"/>
    <col min="10" max="10" width="29.5" customWidth="1"/>
    <col min="11" max="11" width="33.25" customWidth="1"/>
    <col min="12" max="12" width="8.375" customWidth="1"/>
    <col min="13" max="16" width="9" customWidth="1"/>
    <col min="17" max="17" width="12.625" customWidth="1"/>
    <col min="18" max="18" width="10.875" customWidth="1"/>
    <col min="19" max="19" width="20.375" customWidth="1"/>
    <col min="20" max="20" width="12.25" customWidth="1"/>
    <col min="21" max="23" width="6.125" customWidth="1"/>
    <col min="24" max="24" width="16" customWidth="1"/>
    <col min="25" max="25" width="9.5" customWidth="1"/>
    <col min="26" max="26" width="8.875" customWidth="1"/>
    <col min="27" max="27" width="11.125" customWidth="1"/>
    <col min="28" max="28" width="18.375" customWidth="1"/>
    <col min="29" max="30" width="10.875" customWidth="1"/>
    <col min="31" max="31" width="14.75" customWidth="1"/>
    <col min="32" max="32" width="10.875" customWidth="1"/>
    <col min="33" max="33" width="12" customWidth="1"/>
    <col min="34" max="34" width="13.125" customWidth="1"/>
    <col min="35" max="35" width="11.5" customWidth="1"/>
    <col min="36" max="36" width="15" customWidth="1"/>
    <col min="37" max="38" width="74" customWidth="1"/>
    <col min="39" max="39" width="9.125" customWidth="1"/>
    <col min="40" max="40" width="11.25" customWidth="1"/>
    <col min="41" max="42" width="6.125" customWidth="1"/>
    <col min="43" max="44" width="13.375" customWidth="1"/>
    <col min="45" max="45" width="10.625" customWidth="1"/>
    <col min="46" max="46" width="8.875" customWidth="1"/>
    <col min="47" max="48" width="15.75" customWidth="1"/>
    <col min="49" max="49" width="9" customWidth="1"/>
    <col min="50" max="50" width="11.75" customWidth="1"/>
    <col min="51" max="51" width="63.5" customWidth="1"/>
    <col min="52" max="52" width="18.875" customWidth="1"/>
    <col min="53" max="53" width="9" customWidth="1"/>
    <col min="54" max="54" width="11.125" customWidth="1"/>
  </cols>
  <sheetData>
    <row r="1" customFormat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customFormat="1" customHeight="1" spans="1:12">
      <c r="A2" s="1" t="s">
        <v>12</v>
      </c>
      <c r="B2" s="1" t="s">
        <v>12</v>
      </c>
      <c r="C2" s="1" t="s">
        <v>12</v>
      </c>
      <c r="D2" s="1" t="s">
        <v>13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13</v>
      </c>
      <c r="K2" s="1" t="s">
        <v>13</v>
      </c>
      <c r="L2" s="1" t="s">
        <v>12</v>
      </c>
    </row>
    <row r="3" customFormat="1" customHeight="1" spans="1:1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t="s">
        <v>25</v>
      </c>
    </row>
    <row r="4" customFormat="1" customHeight="1" spans="1:12">
      <c r="A4" s="1">
        <v>10000</v>
      </c>
      <c r="B4">
        <v>10001</v>
      </c>
      <c r="C4" s="1">
        <v>1</v>
      </c>
      <c r="D4" s="1" t="s">
        <v>26</v>
      </c>
      <c r="E4">
        <v>1</v>
      </c>
      <c r="F4" s="1">
        <v>0</v>
      </c>
      <c r="G4" s="1">
        <v>5</v>
      </c>
      <c r="H4" s="1">
        <v>0</v>
      </c>
      <c r="I4" s="1">
        <v>0</v>
      </c>
      <c r="J4" s="2" t="s">
        <v>27</v>
      </c>
      <c r="K4" s="3" t="s">
        <v>28</v>
      </c>
      <c r="L4">
        <v>0</v>
      </c>
    </row>
    <row r="5" customHeight="1" spans="1:17">
      <c r="A5" s="1">
        <v>10001</v>
      </c>
      <c r="B5">
        <f>A5</f>
        <v>10001</v>
      </c>
      <c r="C5" s="1">
        <v>1</v>
      </c>
      <c r="D5" s="1" t="s">
        <v>29</v>
      </c>
      <c r="E5">
        <v>1</v>
      </c>
      <c r="F5" s="1">
        <v>1</v>
      </c>
      <c r="G5" s="1">
        <f>F9</f>
        <v>5</v>
      </c>
      <c r="H5" s="1">
        <v>100</v>
      </c>
      <c r="I5" s="1">
        <f>INT(H5*1.5)</f>
        <v>150</v>
      </c>
      <c r="J5" s="2" t="s">
        <v>30</v>
      </c>
      <c r="K5" s="3" t="s">
        <v>31</v>
      </c>
      <c r="L5">
        <v>50</v>
      </c>
      <c r="N5" s="1">
        <v>20</v>
      </c>
      <c r="P5">
        <v>1</v>
      </c>
      <c r="Q5" t="s">
        <v>32</v>
      </c>
    </row>
    <row r="6" customHeight="1" spans="1:14">
      <c r="A6" s="1">
        <v>10002</v>
      </c>
      <c r="B6">
        <f>B5</f>
        <v>10001</v>
      </c>
      <c r="C6" s="1">
        <v>1</v>
      </c>
      <c r="D6" s="1" t="s">
        <v>33</v>
      </c>
      <c r="E6">
        <v>1</v>
      </c>
      <c r="F6" s="1">
        <v>2</v>
      </c>
      <c r="G6" s="1">
        <f>G5</f>
        <v>5</v>
      </c>
      <c r="H6" s="1">
        <v>150</v>
      </c>
      <c r="I6" s="1">
        <f t="shared" ref="I6:I15" si="0">INT(H6*1.5)</f>
        <v>225</v>
      </c>
      <c r="J6" s="2" t="s">
        <v>34</v>
      </c>
      <c r="K6" s="3" t="s">
        <v>35</v>
      </c>
      <c r="L6">
        <v>100</v>
      </c>
      <c r="N6" s="1">
        <v>40</v>
      </c>
    </row>
    <row r="7" customHeight="1" spans="1:14">
      <c r="A7" s="1">
        <v>10003</v>
      </c>
      <c r="B7">
        <f>B6</f>
        <v>10001</v>
      </c>
      <c r="C7" s="1">
        <v>1</v>
      </c>
      <c r="D7" s="1" t="s">
        <v>36</v>
      </c>
      <c r="E7">
        <v>1</v>
      </c>
      <c r="F7" s="1">
        <v>3</v>
      </c>
      <c r="G7" s="1">
        <f t="shared" ref="G7:G15" si="1">G6</f>
        <v>5</v>
      </c>
      <c r="H7" s="1">
        <v>200</v>
      </c>
      <c r="I7" s="1">
        <f t="shared" si="0"/>
        <v>300</v>
      </c>
      <c r="J7" s="2" t="s">
        <v>37</v>
      </c>
      <c r="K7" s="3" t="s">
        <v>38</v>
      </c>
      <c r="L7">
        <v>150</v>
      </c>
      <c r="N7" s="1">
        <v>60</v>
      </c>
    </row>
    <row r="8" customHeight="1" spans="1:14">
      <c r="A8" s="1">
        <v>10004</v>
      </c>
      <c r="B8">
        <f>B7</f>
        <v>10001</v>
      </c>
      <c r="C8" s="1">
        <v>1</v>
      </c>
      <c r="D8" s="1" t="s">
        <v>39</v>
      </c>
      <c r="E8">
        <v>1</v>
      </c>
      <c r="F8" s="1">
        <v>4</v>
      </c>
      <c r="G8" s="1">
        <f t="shared" si="1"/>
        <v>5</v>
      </c>
      <c r="H8" s="1">
        <v>300</v>
      </c>
      <c r="I8" s="1">
        <f t="shared" si="0"/>
        <v>450</v>
      </c>
      <c r="J8" s="2" t="s">
        <v>40</v>
      </c>
      <c r="K8" s="3" t="s">
        <v>41</v>
      </c>
      <c r="L8">
        <v>200</v>
      </c>
      <c r="N8" s="1">
        <v>80</v>
      </c>
    </row>
    <row r="9" customHeight="1" spans="1:14">
      <c r="A9" s="1">
        <v>10005</v>
      </c>
      <c r="B9">
        <f>B8</f>
        <v>10001</v>
      </c>
      <c r="C9" s="1">
        <v>1</v>
      </c>
      <c r="D9" s="1" t="s">
        <v>42</v>
      </c>
      <c r="E9">
        <v>1</v>
      </c>
      <c r="F9" s="1">
        <v>5</v>
      </c>
      <c r="G9" s="1">
        <f t="shared" si="1"/>
        <v>5</v>
      </c>
      <c r="H9" s="1">
        <v>500</v>
      </c>
      <c r="I9" s="1">
        <f t="shared" si="0"/>
        <v>750</v>
      </c>
      <c r="J9" s="2" t="s">
        <v>43</v>
      </c>
      <c r="K9" s="3" t="s">
        <v>44</v>
      </c>
      <c r="L9">
        <v>250</v>
      </c>
      <c r="N9" s="1">
        <v>100</v>
      </c>
    </row>
    <row r="10" customHeight="1" spans="1:14">
      <c r="A10" s="1">
        <v>10100</v>
      </c>
      <c r="B10">
        <v>10101</v>
      </c>
      <c r="C10" s="1">
        <v>1</v>
      </c>
      <c r="D10" s="1" t="s">
        <v>45</v>
      </c>
      <c r="E10">
        <v>1</v>
      </c>
      <c r="F10" s="1">
        <v>0</v>
      </c>
      <c r="G10" s="1">
        <v>5</v>
      </c>
      <c r="H10" s="1">
        <v>0</v>
      </c>
      <c r="I10" s="1">
        <v>0</v>
      </c>
      <c r="J10" s="2" t="s">
        <v>46</v>
      </c>
      <c r="K10" s="3" t="s">
        <v>47</v>
      </c>
      <c r="L10">
        <v>0</v>
      </c>
      <c r="N10" s="1"/>
    </row>
    <row r="11" customHeight="1" spans="1:14">
      <c r="A11" s="1">
        <v>10101</v>
      </c>
      <c r="B11">
        <f>A11</f>
        <v>10101</v>
      </c>
      <c r="C11" s="1">
        <v>1</v>
      </c>
      <c r="D11" s="1" t="s">
        <v>48</v>
      </c>
      <c r="E11">
        <v>1</v>
      </c>
      <c r="F11" s="1">
        <v>1</v>
      </c>
      <c r="G11" s="1">
        <f>F15</f>
        <v>5</v>
      </c>
      <c r="H11" s="1">
        <v>100</v>
      </c>
      <c r="I11" s="1">
        <f t="shared" si="0"/>
        <v>150</v>
      </c>
      <c r="J11" s="2" t="s">
        <v>49</v>
      </c>
      <c r="K11" s="3" t="s">
        <v>50</v>
      </c>
      <c r="L11">
        <v>50</v>
      </c>
      <c r="N11" s="1">
        <v>20</v>
      </c>
    </row>
    <row r="12" customHeight="1" spans="1:14">
      <c r="A12" s="1">
        <v>10102</v>
      </c>
      <c r="B12">
        <f>B11</f>
        <v>10101</v>
      </c>
      <c r="C12" s="1">
        <v>1</v>
      </c>
      <c r="D12" s="1" t="s">
        <v>51</v>
      </c>
      <c r="E12">
        <v>1</v>
      </c>
      <c r="F12" s="1">
        <v>2</v>
      </c>
      <c r="G12" s="1">
        <f t="shared" si="1"/>
        <v>5</v>
      </c>
      <c r="H12" s="1">
        <v>150</v>
      </c>
      <c r="I12" s="1">
        <f t="shared" si="0"/>
        <v>225</v>
      </c>
      <c r="J12" s="2" t="s">
        <v>52</v>
      </c>
      <c r="K12" s="3" t="s">
        <v>53</v>
      </c>
      <c r="L12">
        <v>100</v>
      </c>
      <c r="N12" s="1">
        <v>40</v>
      </c>
    </row>
    <row r="13" customHeight="1" spans="1:14">
      <c r="A13" s="1">
        <v>10103</v>
      </c>
      <c r="B13">
        <f>B12</f>
        <v>10101</v>
      </c>
      <c r="C13" s="1">
        <v>1</v>
      </c>
      <c r="D13" s="1" t="s">
        <v>54</v>
      </c>
      <c r="E13">
        <v>1</v>
      </c>
      <c r="F13" s="1">
        <v>3</v>
      </c>
      <c r="G13" s="1">
        <f t="shared" si="1"/>
        <v>5</v>
      </c>
      <c r="H13" s="1">
        <v>200</v>
      </c>
      <c r="I13" s="1">
        <f t="shared" si="0"/>
        <v>300</v>
      </c>
      <c r="J13" s="2" t="s">
        <v>55</v>
      </c>
      <c r="K13" s="3" t="s">
        <v>56</v>
      </c>
      <c r="L13">
        <v>150</v>
      </c>
      <c r="N13" s="1">
        <v>60</v>
      </c>
    </row>
    <row r="14" customHeight="1" spans="1:14">
      <c r="A14" s="1">
        <v>10104</v>
      </c>
      <c r="B14">
        <f>B13</f>
        <v>10101</v>
      </c>
      <c r="C14" s="1">
        <v>1</v>
      </c>
      <c r="D14" s="1" t="s">
        <v>57</v>
      </c>
      <c r="E14">
        <v>1</v>
      </c>
      <c r="F14" s="1">
        <v>4</v>
      </c>
      <c r="G14" s="1">
        <f t="shared" si="1"/>
        <v>5</v>
      </c>
      <c r="H14" s="1">
        <v>300</v>
      </c>
      <c r="I14" s="1">
        <f t="shared" si="0"/>
        <v>450</v>
      </c>
      <c r="J14" s="2" t="s">
        <v>58</v>
      </c>
      <c r="K14" s="3" t="s">
        <v>59</v>
      </c>
      <c r="L14">
        <v>200</v>
      </c>
      <c r="N14" s="1">
        <v>80</v>
      </c>
    </row>
    <row r="15" customHeight="1" spans="1:14">
      <c r="A15" s="1">
        <v>10105</v>
      </c>
      <c r="B15">
        <f>B14</f>
        <v>10101</v>
      </c>
      <c r="C15" s="1">
        <v>1</v>
      </c>
      <c r="D15" s="1" t="s">
        <v>60</v>
      </c>
      <c r="E15">
        <v>1</v>
      </c>
      <c r="F15" s="1">
        <v>5</v>
      </c>
      <c r="G15" s="1">
        <f t="shared" si="1"/>
        <v>5</v>
      </c>
      <c r="H15" s="1">
        <v>500</v>
      </c>
      <c r="I15" s="1">
        <f t="shared" si="0"/>
        <v>750</v>
      </c>
      <c r="J15" s="2" t="s">
        <v>61</v>
      </c>
      <c r="K15" s="3" t="s">
        <v>62</v>
      </c>
      <c r="L15">
        <v>250</v>
      </c>
      <c r="N15" s="1">
        <v>100</v>
      </c>
    </row>
    <row r="16" customHeight="1" spans="1:14">
      <c r="A16" s="1">
        <v>10200</v>
      </c>
      <c r="B16">
        <v>10201</v>
      </c>
      <c r="C16" s="1">
        <v>1</v>
      </c>
      <c r="D16" s="1" t="s">
        <v>63</v>
      </c>
      <c r="E16">
        <v>1</v>
      </c>
      <c r="F16" s="1">
        <v>0</v>
      </c>
      <c r="G16" s="1">
        <v>5</v>
      </c>
      <c r="H16" s="1">
        <v>0</v>
      </c>
      <c r="I16" s="1">
        <v>0</v>
      </c>
      <c r="J16" s="2" t="s">
        <v>64</v>
      </c>
      <c r="K16" s="3" t="s">
        <v>65</v>
      </c>
      <c r="L16">
        <v>0</v>
      </c>
      <c r="N16" s="1"/>
    </row>
    <row r="17" customHeight="1" spans="1:14">
      <c r="A17" s="1">
        <v>10201</v>
      </c>
      <c r="B17">
        <f>A17</f>
        <v>10201</v>
      </c>
      <c r="C17" s="1">
        <v>1</v>
      </c>
      <c r="D17" s="1" t="s">
        <v>66</v>
      </c>
      <c r="E17">
        <v>1</v>
      </c>
      <c r="F17" s="1">
        <v>1</v>
      </c>
      <c r="G17" s="1">
        <f>F21</f>
        <v>5</v>
      </c>
      <c r="H17" s="1">
        <v>100</v>
      </c>
      <c r="I17" s="1">
        <f t="shared" ref="I17:I21" si="2">INT(H17*1.5)</f>
        <v>150</v>
      </c>
      <c r="J17" s="2" t="s">
        <v>67</v>
      </c>
      <c r="K17" s="3" t="s">
        <v>68</v>
      </c>
      <c r="L17">
        <v>50</v>
      </c>
      <c r="N17" s="1">
        <v>20</v>
      </c>
    </row>
    <row r="18" customHeight="1" spans="1:14">
      <c r="A18" s="1">
        <v>10202</v>
      </c>
      <c r="B18">
        <f t="shared" ref="B18:B21" si="3">B17</f>
        <v>10201</v>
      </c>
      <c r="C18" s="1">
        <v>1</v>
      </c>
      <c r="D18" s="1" t="s">
        <v>69</v>
      </c>
      <c r="E18">
        <v>1</v>
      </c>
      <c r="F18" s="1">
        <v>2</v>
      </c>
      <c r="G18" s="1">
        <f t="shared" ref="G18:G21" si="4">G17</f>
        <v>5</v>
      </c>
      <c r="H18" s="1">
        <v>150</v>
      </c>
      <c r="I18" s="1">
        <f t="shared" si="2"/>
        <v>225</v>
      </c>
      <c r="J18" s="2" t="s">
        <v>70</v>
      </c>
      <c r="K18" s="3" t="s">
        <v>71</v>
      </c>
      <c r="L18">
        <v>100</v>
      </c>
      <c r="N18" s="1">
        <v>40</v>
      </c>
    </row>
    <row r="19" customHeight="1" spans="1:14">
      <c r="A19" s="1">
        <v>10203</v>
      </c>
      <c r="B19">
        <f t="shared" si="3"/>
        <v>10201</v>
      </c>
      <c r="C19" s="1">
        <v>1</v>
      </c>
      <c r="D19" s="1" t="s">
        <v>72</v>
      </c>
      <c r="E19">
        <v>1</v>
      </c>
      <c r="F19" s="1">
        <v>3</v>
      </c>
      <c r="G19" s="1">
        <f t="shared" si="4"/>
        <v>5</v>
      </c>
      <c r="H19" s="1">
        <v>200</v>
      </c>
      <c r="I19" s="1">
        <f t="shared" si="2"/>
        <v>300</v>
      </c>
      <c r="J19" s="2" t="s">
        <v>73</v>
      </c>
      <c r="K19" s="3" t="s">
        <v>74</v>
      </c>
      <c r="L19">
        <v>150</v>
      </c>
      <c r="N19" s="1">
        <v>60</v>
      </c>
    </row>
    <row r="20" customHeight="1" spans="1:14">
      <c r="A20" s="1">
        <v>10204</v>
      </c>
      <c r="B20">
        <f t="shared" si="3"/>
        <v>10201</v>
      </c>
      <c r="C20" s="1">
        <v>1</v>
      </c>
      <c r="D20" s="1" t="s">
        <v>75</v>
      </c>
      <c r="E20">
        <v>1</v>
      </c>
      <c r="F20" s="1">
        <v>4</v>
      </c>
      <c r="G20" s="1">
        <f t="shared" si="4"/>
        <v>5</v>
      </c>
      <c r="H20" s="1">
        <v>300</v>
      </c>
      <c r="I20" s="1">
        <f t="shared" si="2"/>
        <v>450</v>
      </c>
      <c r="J20" s="2" t="s">
        <v>76</v>
      </c>
      <c r="K20" s="3" t="s">
        <v>77</v>
      </c>
      <c r="L20">
        <v>200</v>
      </c>
      <c r="N20" s="1">
        <v>80</v>
      </c>
    </row>
    <row r="21" customHeight="1" spans="1:14">
      <c r="A21" s="1">
        <v>10205</v>
      </c>
      <c r="B21">
        <f t="shared" si="3"/>
        <v>10201</v>
      </c>
      <c r="C21" s="1">
        <v>1</v>
      </c>
      <c r="D21" s="1" t="s">
        <v>78</v>
      </c>
      <c r="E21">
        <v>1</v>
      </c>
      <c r="F21" s="1">
        <v>5</v>
      </c>
      <c r="G21" s="1">
        <f t="shared" si="4"/>
        <v>5</v>
      </c>
      <c r="H21" s="1">
        <v>500</v>
      </c>
      <c r="I21" s="1">
        <f t="shared" si="2"/>
        <v>750</v>
      </c>
      <c r="J21" s="2" t="s">
        <v>79</v>
      </c>
      <c r="K21" s="3" t="s">
        <v>80</v>
      </c>
      <c r="L21">
        <v>250</v>
      </c>
      <c r="N21" s="1">
        <v>100</v>
      </c>
    </row>
    <row r="22" customHeight="1" spans="1:14">
      <c r="A22" s="1">
        <v>10300</v>
      </c>
      <c r="B22">
        <v>10301</v>
      </c>
      <c r="C22" s="1">
        <v>1</v>
      </c>
      <c r="D22" s="1" t="s">
        <v>81</v>
      </c>
      <c r="E22">
        <v>1</v>
      </c>
      <c r="F22" s="1">
        <v>0</v>
      </c>
      <c r="G22" s="1">
        <v>5</v>
      </c>
      <c r="H22" s="1">
        <v>0</v>
      </c>
      <c r="I22" s="1">
        <v>0</v>
      </c>
      <c r="J22" s="2" t="s">
        <v>82</v>
      </c>
      <c r="K22" s="3" t="s">
        <v>83</v>
      </c>
      <c r="L22">
        <v>0</v>
      </c>
      <c r="N22" s="1"/>
    </row>
    <row r="23" customHeight="1" spans="1:14">
      <c r="A23" s="1">
        <v>10301</v>
      </c>
      <c r="B23">
        <f>A23</f>
        <v>10301</v>
      </c>
      <c r="C23" s="1">
        <v>1</v>
      </c>
      <c r="D23" s="1" t="s">
        <v>84</v>
      </c>
      <c r="E23">
        <v>1</v>
      </c>
      <c r="F23" s="1">
        <v>1</v>
      </c>
      <c r="G23" s="1">
        <f>F27</f>
        <v>5</v>
      </c>
      <c r="H23" s="1">
        <v>100</v>
      </c>
      <c r="I23" s="1">
        <f t="shared" ref="I23:I27" si="5">INT(H23*1.5)</f>
        <v>150</v>
      </c>
      <c r="J23" s="2" t="s">
        <v>85</v>
      </c>
      <c r="K23" s="3" t="s">
        <v>86</v>
      </c>
      <c r="L23">
        <v>50</v>
      </c>
      <c r="N23" s="1">
        <v>20</v>
      </c>
    </row>
    <row r="24" customHeight="1" spans="1:14">
      <c r="A24" s="1">
        <v>10302</v>
      </c>
      <c r="B24">
        <f t="shared" ref="B24:B27" si="6">B23</f>
        <v>10301</v>
      </c>
      <c r="C24" s="1">
        <v>1</v>
      </c>
      <c r="D24" s="1" t="s">
        <v>87</v>
      </c>
      <c r="E24">
        <v>1</v>
      </c>
      <c r="F24" s="1">
        <v>2</v>
      </c>
      <c r="G24" s="1">
        <f t="shared" ref="G24:G27" si="7">G23</f>
        <v>5</v>
      </c>
      <c r="H24" s="1">
        <v>150</v>
      </c>
      <c r="I24" s="1">
        <f t="shared" si="5"/>
        <v>225</v>
      </c>
      <c r="J24" s="2" t="s">
        <v>88</v>
      </c>
      <c r="K24" s="3" t="s">
        <v>89</v>
      </c>
      <c r="L24">
        <v>100</v>
      </c>
      <c r="N24" s="1">
        <v>40</v>
      </c>
    </row>
    <row r="25" customHeight="1" spans="1:14">
      <c r="A25" s="1">
        <v>10303</v>
      </c>
      <c r="B25">
        <f t="shared" si="6"/>
        <v>10301</v>
      </c>
      <c r="C25" s="1">
        <v>1</v>
      </c>
      <c r="D25" s="1" t="s">
        <v>90</v>
      </c>
      <c r="E25">
        <v>1</v>
      </c>
      <c r="F25" s="1">
        <v>3</v>
      </c>
      <c r="G25" s="1">
        <f t="shared" si="7"/>
        <v>5</v>
      </c>
      <c r="H25" s="1">
        <v>200</v>
      </c>
      <c r="I25" s="1">
        <f t="shared" si="5"/>
        <v>300</v>
      </c>
      <c r="J25" s="2" t="s">
        <v>91</v>
      </c>
      <c r="K25" s="3" t="s">
        <v>92</v>
      </c>
      <c r="L25">
        <v>150</v>
      </c>
      <c r="N25" s="1">
        <v>60</v>
      </c>
    </row>
    <row r="26" customHeight="1" spans="1:14">
      <c r="A26" s="1">
        <v>10304</v>
      </c>
      <c r="B26">
        <f t="shared" si="6"/>
        <v>10301</v>
      </c>
      <c r="C26" s="1">
        <v>1</v>
      </c>
      <c r="D26" s="1" t="s">
        <v>93</v>
      </c>
      <c r="E26">
        <v>1</v>
      </c>
      <c r="F26" s="1">
        <v>4</v>
      </c>
      <c r="G26" s="1">
        <f t="shared" si="7"/>
        <v>5</v>
      </c>
      <c r="H26" s="1">
        <v>300</v>
      </c>
      <c r="I26" s="1">
        <f t="shared" si="5"/>
        <v>450</v>
      </c>
      <c r="J26" s="2" t="s">
        <v>94</v>
      </c>
      <c r="K26" s="3" t="s">
        <v>95</v>
      </c>
      <c r="L26">
        <v>200</v>
      </c>
      <c r="N26" s="1">
        <v>80</v>
      </c>
    </row>
    <row r="27" customHeight="1" spans="1:14">
      <c r="A27" s="1">
        <v>10305</v>
      </c>
      <c r="B27">
        <f t="shared" si="6"/>
        <v>10301</v>
      </c>
      <c r="C27" s="1">
        <v>1</v>
      </c>
      <c r="D27" s="1" t="s">
        <v>96</v>
      </c>
      <c r="E27">
        <v>1</v>
      </c>
      <c r="F27" s="1">
        <v>5</v>
      </c>
      <c r="G27" s="1">
        <f t="shared" si="7"/>
        <v>5</v>
      </c>
      <c r="H27" s="1">
        <v>500</v>
      </c>
      <c r="I27" s="1">
        <f t="shared" si="5"/>
        <v>750</v>
      </c>
      <c r="J27" s="2" t="s">
        <v>97</v>
      </c>
      <c r="K27" s="3" t="s">
        <v>98</v>
      </c>
      <c r="L27">
        <v>250</v>
      </c>
      <c r="N27" s="1">
        <v>100</v>
      </c>
    </row>
    <row r="28" customHeight="1" spans="1:14">
      <c r="A28" s="1">
        <v>10400</v>
      </c>
      <c r="B28">
        <v>10401</v>
      </c>
      <c r="C28" s="1">
        <v>1</v>
      </c>
      <c r="D28" s="1" t="s">
        <v>99</v>
      </c>
      <c r="E28">
        <v>1</v>
      </c>
      <c r="F28" s="1">
        <v>0</v>
      </c>
      <c r="G28" s="1">
        <v>5</v>
      </c>
      <c r="H28" s="1">
        <v>0</v>
      </c>
      <c r="I28" s="1">
        <v>0</v>
      </c>
      <c r="J28" s="2" t="s">
        <v>100</v>
      </c>
      <c r="K28" s="3" t="s">
        <v>101</v>
      </c>
      <c r="L28">
        <v>0</v>
      </c>
      <c r="N28" s="1"/>
    </row>
    <row r="29" customHeight="1" spans="1:14">
      <c r="A29" s="1">
        <v>10401</v>
      </c>
      <c r="B29">
        <f>A29</f>
        <v>10401</v>
      </c>
      <c r="C29" s="1">
        <v>1</v>
      </c>
      <c r="D29" s="1" t="s">
        <v>102</v>
      </c>
      <c r="E29">
        <v>1</v>
      </c>
      <c r="F29" s="1">
        <v>1</v>
      </c>
      <c r="G29" s="1">
        <f>F33</f>
        <v>5</v>
      </c>
      <c r="H29" s="1">
        <v>100</v>
      </c>
      <c r="I29" s="1">
        <f t="shared" ref="I29:I33" si="8">INT(H29*1.5)</f>
        <v>150</v>
      </c>
      <c r="J29" s="2" t="s">
        <v>103</v>
      </c>
      <c r="K29" s="3" t="s">
        <v>104</v>
      </c>
      <c r="L29">
        <v>50</v>
      </c>
      <c r="N29" s="1">
        <v>6</v>
      </c>
    </row>
    <row r="30" customHeight="1" spans="1:14">
      <c r="A30" s="1">
        <v>10402</v>
      </c>
      <c r="B30">
        <f t="shared" ref="B30:B33" si="9">B29</f>
        <v>10401</v>
      </c>
      <c r="C30" s="1">
        <v>1</v>
      </c>
      <c r="D30" s="1" t="s">
        <v>105</v>
      </c>
      <c r="E30">
        <v>1</v>
      </c>
      <c r="F30" s="1">
        <v>2</v>
      </c>
      <c r="G30" s="1">
        <f t="shared" ref="G30:G33" si="10">G29</f>
        <v>5</v>
      </c>
      <c r="H30" s="1">
        <v>150</v>
      </c>
      <c r="I30" s="1">
        <f t="shared" si="8"/>
        <v>225</v>
      </c>
      <c r="J30" s="2" t="s">
        <v>106</v>
      </c>
      <c r="K30" s="3" t="s">
        <v>107</v>
      </c>
      <c r="L30">
        <v>100</v>
      </c>
      <c r="N30" s="1">
        <v>12</v>
      </c>
    </row>
    <row r="31" customHeight="1" spans="1:14">
      <c r="A31" s="1">
        <v>10403</v>
      </c>
      <c r="B31">
        <f t="shared" si="9"/>
        <v>10401</v>
      </c>
      <c r="C31" s="1">
        <v>1</v>
      </c>
      <c r="D31" s="1" t="s">
        <v>108</v>
      </c>
      <c r="E31">
        <v>1</v>
      </c>
      <c r="F31" s="1">
        <v>3</v>
      </c>
      <c r="G31" s="1">
        <f t="shared" si="10"/>
        <v>5</v>
      </c>
      <c r="H31" s="1">
        <v>200</v>
      </c>
      <c r="I31" s="1">
        <f t="shared" si="8"/>
        <v>300</v>
      </c>
      <c r="J31" s="2" t="s">
        <v>109</v>
      </c>
      <c r="K31" s="3" t="s">
        <v>110</v>
      </c>
      <c r="L31">
        <v>150</v>
      </c>
      <c r="N31" s="1">
        <v>18</v>
      </c>
    </row>
    <row r="32" customHeight="1" spans="1:14">
      <c r="A32" s="1">
        <v>10404</v>
      </c>
      <c r="B32">
        <f t="shared" si="9"/>
        <v>10401</v>
      </c>
      <c r="C32" s="1">
        <v>1</v>
      </c>
      <c r="D32" s="1" t="s">
        <v>111</v>
      </c>
      <c r="E32">
        <v>1</v>
      </c>
      <c r="F32" s="1">
        <v>4</v>
      </c>
      <c r="G32" s="1">
        <f t="shared" si="10"/>
        <v>5</v>
      </c>
      <c r="H32" s="1">
        <v>300</v>
      </c>
      <c r="I32" s="1">
        <f t="shared" si="8"/>
        <v>450</v>
      </c>
      <c r="J32" s="2" t="s">
        <v>112</v>
      </c>
      <c r="K32" s="3" t="s">
        <v>113</v>
      </c>
      <c r="L32">
        <v>200</v>
      </c>
      <c r="N32" s="1">
        <v>24</v>
      </c>
    </row>
    <row r="33" customHeight="1" spans="1:14">
      <c r="A33" s="1">
        <v>10405</v>
      </c>
      <c r="B33">
        <f t="shared" si="9"/>
        <v>10401</v>
      </c>
      <c r="C33" s="1">
        <v>1</v>
      </c>
      <c r="D33" s="1" t="s">
        <v>114</v>
      </c>
      <c r="E33">
        <v>1</v>
      </c>
      <c r="F33" s="1">
        <v>5</v>
      </c>
      <c r="G33" s="1">
        <f t="shared" si="10"/>
        <v>5</v>
      </c>
      <c r="H33" s="1">
        <v>500</v>
      </c>
      <c r="I33" s="1">
        <f t="shared" si="8"/>
        <v>750</v>
      </c>
      <c r="J33" s="2" t="s">
        <v>115</v>
      </c>
      <c r="K33" s="3" t="s">
        <v>116</v>
      </c>
      <c r="L33">
        <v>250</v>
      </c>
      <c r="N33" s="1">
        <v>30</v>
      </c>
    </row>
    <row r="34" customHeight="1" spans="1:14">
      <c r="A34" s="1">
        <v>10500</v>
      </c>
      <c r="B34">
        <v>10501</v>
      </c>
      <c r="C34" s="1">
        <v>1</v>
      </c>
      <c r="D34" s="1" t="s">
        <v>117</v>
      </c>
      <c r="E34">
        <v>1</v>
      </c>
      <c r="F34" s="1">
        <v>0</v>
      </c>
      <c r="G34" s="1">
        <v>5</v>
      </c>
      <c r="H34" s="1">
        <v>0</v>
      </c>
      <c r="I34" s="1">
        <v>0</v>
      </c>
      <c r="J34" s="2" t="s">
        <v>118</v>
      </c>
      <c r="K34" s="3" t="s">
        <v>119</v>
      </c>
      <c r="L34">
        <v>0</v>
      </c>
      <c r="N34" s="1"/>
    </row>
    <row r="35" customHeight="1" spans="1:14">
      <c r="A35" s="1">
        <v>10501</v>
      </c>
      <c r="B35">
        <f>A35</f>
        <v>10501</v>
      </c>
      <c r="C35" s="1">
        <v>1</v>
      </c>
      <c r="D35" s="1" t="s">
        <v>120</v>
      </c>
      <c r="E35">
        <v>1</v>
      </c>
      <c r="F35" s="1">
        <v>1</v>
      </c>
      <c r="G35" s="1">
        <f>F39</f>
        <v>5</v>
      </c>
      <c r="H35" s="1">
        <v>100</v>
      </c>
      <c r="I35" s="1">
        <f t="shared" ref="I35:I39" si="11">INT(H35*1.5)</f>
        <v>150</v>
      </c>
      <c r="J35" s="2" t="s">
        <v>121</v>
      </c>
      <c r="K35" s="3" t="s">
        <v>122</v>
      </c>
      <c r="L35">
        <v>50</v>
      </c>
      <c r="N35" s="1">
        <v>6</v>
      </c>
    </row>
    <row r="36" customHeight="1" spans="1:14">
      <c r="A36" s="1">
        <v>10502</v>
      </c>
      <c r="B36">
        <f t="shared" ref="B36:B39" si="12">B35</f>
        <v>10501</v>
      </c>
      <c r="C36" s="1">
        <v>1</v>
      </c>
      <c r="D36" s="1" t="s">
        <v>123</v>
      </c>
      <c r="E36">
        <v>1</v>
      </c>
      <c r="F36" s="1">
        <v>2</v>
      </c>
      <c r="G36" s="1">
        <f t="shared" ref="G36:G39" si="13">G35</f>
        <v>5</v>
      </c>
      <c r="H36" s="1">
        <v>150</v>
      </c>
      <c r="I36" s="1">
        <f t="shared" si="11"/>
        <v>225</v>
      </c>
      <c r="J36" s="2" t="s">
        <v>124</v>
      </c>
      <c r="K36" s="3" t="s">
        <v>125</v>
      </c>
      <c r="L36">
        <v>100</v>
      </c>
      <c r="N36" s="1">
        <v>12</v>
      </c>
    </row>
    <row r="37" customHeight="1" spans="1:14">
      <c r="A37" s="1">
        <v>10503</v>
      </c>
      <c r="B37">
        <f t="shared" si="12"/>
        <v>10501</v>
      </c>
      <c r="C37" s="1">
        <v>1</v>
      </c>
      <c r="D37" s="1" t="s">
        <v>126</v>
      </c>
      <c r="E37">
        <v>1</v>
      </c>
      <c r="F37" s="1">
        <v>3</v>
      </c>
      <c r="G37" s="1">
        <f t="shared" si="13"/>
        <v>5</v>
      </c>
      <c r="H37" s="1">
        <v>200</v>
      </c>
      <c r="I37" s="1">
        <f t="shared" si="11"/>
        <v>300</v>
      </c>
      <c r="J37" s="2" t="s">
        <v>127</v>
      </c>
      <c r="K37" s="3" t="s">
        <v>128</v>
      </c>
      <c r="L37">
        <v>150</v>
      </c>
      <c r="N37" s="1">
        <v>18</v>
      </c>
    </row>
    <row r="38" customHeight="1" spans="1:14">
      <c r="A38" s="1">
        <v>10504</v>
      </c>
      <c r="B38">
        <f t="shared" si="12"/>
        <v>10501</v>
      </c>
      <c r="C38" s="1">
        <v>1</v>
      </c>
      <c r="D38" s="1" t="s">
        <v>129</v>
      </c>
      <c r="E38">
        <v>1</v>
      </c>
      <c r="F38" s="1">
        <v>4</v>
      </c>
      <c r="G38" s="1">
        <f t="shared" si="13"/>
        <v>5</v>
      </c>
      <c r="H38" s="1">
        <v>300</v>
      </c>
      <c r="I38" s="1">
        <f t="shared" si="11"/>
        <v>450</v>
      </c>
      <c r="J38" s="2" t="s">
        <v>130</v>
      </c>
      <c r="K38" s="3" t="s">
        <v>131</v>
      </c>
      <c r="L38">
        <v>200</v>
      </c>
      <c r="N38" s="1">
        <v>24</v>
      </c>
    </row>
    <row r="39" customHeight="1" spans="1:14">
      <c r="A39" s="1">
        <v>10505</v>
      </c>
      <c r="B39">
        <f t="shared" si="12"/>
        <v>10501</v>
      </c>
      <c r="C39" s="1">
        <v>1</v>
      </c>
      <c r="D39" s="1" t="s">
        <v>132</v>
      </c>
      <c r="E39">
        <v>1</v>
      </c>
      <c r="F39" s="1">
        <v>5</v>
      </c>
      <c r="G39" s="1">
        <f t="shared" si="13"/>
        <v>5</v>
      </c>
      <c r="H39" s="1">
        <v>500</v>
      </c>
      <c r="I39" s="1">
        <f t="shared" si="11"/>
        <v>750</v>
      </c>
      <c r="J39" s="2" t="s">
        <v>133</v>
      </c>
      <c r="K39" s="3" t="s">
        <v>134</v>
      </c>
      <c r="L39">
        <v>250</v>
      </c>
      <c r="N39" s="1">
        <v>30</v>
      </c>
    </row>
    <row r="40" customHeight="1" spans="1:14">
      <c r="A40" s="1">
        <v>10600</v>
      </c>
      <c r="B40">
        <v>10601</v>
      </c>
      <c r="C40" s="1">
        <v>1</v>
      </c>
      <c r="D40" s="1" t="s">
        <v>135</v>
      </c>
      <c r="E40">
        <v>1</v>
      </c>
      <c r="F40" s="1">
        <v>0</v>
      </c>
      <c r="G40" s="1">
        <v>5</v>
      </c>
      <c r="H40" s="1">
        <v>0</v>
      </c>
      <c r="I40" s="1">
        <v>0</v>
      </c>
      <c r="J40" s="2" t="s">
        <v>136</v>
      </c>
      <c r="K40" s="3" t="s">
        <v>137</v>
      </c>
      <c r="L40">
        <v>0</v>
      </c>
      <c r="N40" s="1"/>
    </row>
    <row r="41" customHeight="1" spans="1:14">
      <c r="A41" s="1">
        <v>10601</v>
      </c>
      <c r="B41">
        <f>A41</f>
        <v>10601</v>
      </c>
      <c r="C41" s="1">
        <v>1</v>
      </c>
      <c r="D41" s="1" t="s">
        <v>138</v>
      </c>
      <c r="E41">
        <v>1</v>
      </c>
      <c r="F41" s="1">
        <v>1</v>
      </c>
      <c r="G41" s="1">
        <f>F45</f>
        <v>5</v>
      </c>
      <c r="H41" s="1">
        <v>100</v>
      </c>
      <c r="I41" s="1">
        <f t="shared" ref="I41:I45" si="14">INT(H41*1.5)</f>
        <v>150</v>
      </c>
      <c r="J41" s="2" t="s">
        <v>139</v>
      </c>
      <c r="K41" s="3" t="s">
        <v>140</v>
      </c>
      <c r="L41">
        <v>50</v>
      </c>
      <c r="N41" s="1">
        <v>6</v>
      </c>
    </row>
    <row r="42" customHeight="1" spans="1:14">
      <c r="A42" s="1">
        <v>10602</v>
      </c>
      <c r="B42">
        <f t="shared" ref="B42:B45" si="15">B41</f>
        <v>10601</v>
      </c>
      <c r="C42" s="1">
        <v>1</v>
      </c>
      <c r="D42" s="1" t="s">
        <v>141</v>
      </c>
      <c r="E42">
        <v>1</v>
      </c>
      <c r="F42" s="1">
        <v>2</v>
      </c>
      <c r="G42" s="1">
        <f t="shared" ref="G42:G45" si="16">G41</f>
        <v>5</v>
      </c>
      <c r="H42" s="1">
        <v>150</v>
      </c>
      <c r="I42" s="1">
        <f t="shared" si="14"/>
        <v>225</v>
      </c>
      <c r="J42" s="2" t="s">
        <v>142</v>
      </c>
      <c r="K42" s="3" t="s">
        <v>143</v>
      </c>
      <c r="L42">
        <v>100</v>
      </c>
      <c r="N42" s="1">
        <v>12</v>
      </c>
    </row>
    <row r="43" customHeight="1" spans="1:14">
      <c r="A43" s="1">
        <v>10603</v>
      </c>
      <c r="B43">
        <f t="shared" si="15"/>
        <v>10601</v>
      </c>
      <c r="C43" s="1">
        <v>1</v>
      </c>
      <c r="D43" s="1" t="s">
        <v>144</v>
      </c>
      <c r="E43">
        <v>1</v>
      </c>
      <c r="F43" s="1">
        <v>3</v>
      </c>
      <c r="G43" s="1">
        <f t="shared" si="16"/>
        <v>5</v>
      </c>
      <c r="H43" s="1">
        <v>200</v>
      </c>
      <c r="I43" s="1">
        <f t="shared" si="14"/>
        <v>300</v>
      </c>
      <c r="J43" s="2" t="s">
        <v>145</v>
      </c>
      <c r="K43" s="3" t="s">
        <v>146</v>
      </c>
      <c r="L43">
        <v>150</v>
      </c>
      <c r="N43" s="1">
        <v>18</v>
      </c>
    </row>
    <row r="44" customHeight="1" spans="1:14">
      <c r="A44" s="1">
        <v>10604</v>
      </c>
      <c r="B44">
        <f t="shared" si="15"/>
        <v>10601</v>
      </c>
      <c r="C44" s="1">
        <v>1</v>
      </c>
      <c r="D44" s="1" t="s">
        <v>147</v>
      </c>
      <c r="E44">
        <v>1</v>
      </c>
      <c r="F44" s="1">
        <v>4</v>
      </c>
      <c r="G44" s="1">
        <f t="shared" si="16"/>
        <v>5</v>
      </c>
      <c r="H44" s="1">
        <v>300</v>
      </c>
      <c r="I44" s="1">
        <f t="shared" si="14"/>
        <v>450</v>
      </c>
      <c r="J44" s="2" t="s">
        <v>148</v>
      </c>
      <c r="K44" s="3" t="s">
        <v>149</v>
      </c>
      <c r="L44">
        <v>200</v>
      </c>
      <c r="N44" s="1">
        <v>24</v>
      </c>
    </row>
    <row r="45" customHeight="1" spans="1:14">
      <c r="A45" s="1">
        <v>10605</v>
      </c>
      <c r="B45">
        <f t="shared" si="15"/>
        <v>10601</v>
      </c>
      <c r="C45" s="1">
        <v>1</v>
      </c>
      <c r="D45" s="1" t="s">
        <v>150</v>
      </c>
      <c r="E45">
        <v>1</v>
      </c>
      <c r="F45" s="1">
        <v>5</v>
      </c>
      <c r="G45" s="1">
        <f t="shared" si="16"/>
        <v>5</v>
      </c>
      <c r="H45" s="1">
        <v>500</v>
      </c>
      <c r="I45" s="1">
        <f t="shared" si="14"/>
        <v>750</v>
      </c>
      <c r="J45" s="2" t="s">
        <v>151</v>
      </c>
      <c r="K45" s="3" t="s">
        <v>152</v>
      </c>
      <c r="L45">
        <v>250</v>
      </c>
      <c r="N45" s="1">
        <v>30</v>
      </c>
    </row>
    <row r="46" customHeight="1" spans="1:14">
      <c r="A46" s="1">
        <v>10700</v>
      </c>
      <c r="B46">
        <v>10701</v>
      </c>
      <c r="C46" s="1">
        <v>1</v>
      </c>
      <c r="D46" s="1" t="s">
        <v>153</v>
      </c>
      <c r="E46">
        <v>3</v>
      </c>
      <c r="F46" s="1">
        <v>0</v>
      </c>
      <c r="G46" s="1">
        <v>5</v>
      </c>
      <c r="H46" s="1">
        <v>0</v>
      </c>
      <c r="I46" s="1">
        <v>0</v>
      </c>
      <c r="J46" s="2" t="s">
        <v>154</v>
      </c>
      <c r="K46" s="3" t="s">
        <v>155</v>
      </c>
      <c r="L46">
        <v>0</v>
      </c>
      <c r="N46" s="1"/>
    </row>
    <row r="47" customHeight="1" spans="1:14">
      <c r="A47" s="1">
        <v>10701</v>
      </c>
      <c r="B47">
        <f>A47</f>
        <v>10701</v>
      </c>
      <c r="C47" s="1">
        <v>1</v>
      </c>
      <c r="D47" s="1" t="s">
        <v>156</v>
      </c>
      <c r="E47">
        <v>3</v>
      </c>
      <c r="F47" s="1">
        <v>1</v>
      </c>
      <c r="G47" s="1">
        <f>F51</f>
        <v>5</v>
      </c>
      <c r="H47" s="1">
        <v>100</v>
      </c>
      <c r="I47" s="1">
        <f t="shared" ref="I47:I51" si="17">INT(H47*1.5)</f>
        <v>150</v>
      </c>
      <c r="J47" s="2" t="s">
        <v>157</v>
      </c>
      <c r="K47" s="3" t="s">
        <v>158</v>
      </c>
      <c r="L47">
        <v>50</v>
      </c>
      <c r="N47" s="1">
        <v>100</v>
      </c>
    </row>
    <row r="48" customHeight="1" spans="1:14">
      <c r="A48" s="1">
        <v>10702</v>
      </c>
      <c r="B48">
        <f t="shared" ref="B48:B51" si="18">B47</f>
        <v>10701</v>
      </c>
      <c r="C48" s="1">
        <v>1</v>
      </c>
      <c r="D48" s="1" t="s">
        <v>159</v>
      </c>
      <c r="E48">
        <v>3</v>
      </c>
      <c r="F48" s="1">
        <v>2</v>
      </c>
      <c r="G48" s="1">
        <f t="shared" ref="G48:G51" si="19">G47</f>
        <v>5</v>
      </c>
      <c r="H48" s="1">
        <v>150</v>
      </c>
      <c r="I48" s="1">
        <f t="shared" si="17"/>
        <v>225</v>
      </c>
      <c r="J48" s="2" t="s">
        <v>160</v>
      </c>
      <c r="K48" s="3" t="s">
        <v>161</v>
      </c>
      <c r="L48">
        <v>100</v>
      </c>
      <c r="N48" s="1">
        <v>200</v>
      </c>
    </row>
    <row r="49" customHeight="1" spans="1:14">
      <c r="A49" s="1">
        <v>10703</v>
      </c>
      <c r="B49">
        <f t="shared" si="18"/>
        <v>10701</v>
      </c>
      <c r="C49" s="1">
        <v>1</v>
      </c>
      <c r="D49" s="1" t="s">
        <v>162</v>
      </c>
      <c r="E49">
        <v>3</v>
      </c>
      <c r="F49" s="1">
        <v>3</v>
      </c>
      <c r="G49" s="1">
        <f t="shared" si="19"/>
        <v>5</v>
      </c>
      <c r="H49" s="1">
        <v>200</v>
      </c>
      <c r="I49" s="1">
        <f t="shared" si="17"/>
        <v>300</v>
      </c>
      <c r="J49" s="2" t="s">
        <v>163</v>
      </c>
      <c r="K49" s="3" t="s">
        <v>164</v>
      </c>
      <c r="L49">
        <v>150</v>
      </c>
      <c r="N49" s="1">
        <v>300</v>
      </c>
    </row>
    <row r="50" customHeight="1" spans="1:14">
      <c r="A50" s="1">
        <v>10704</v>
      </c>
      <c r="B50">
        <f t="shared" si="18"/>
        <v>10701</v>
      </c>
      <c r="C50" s="1">
        <v>1</v>
      </c>
      <c r="D50" s="1" t="s">
        <v>165</v>
      </c>
      <c r="E50">
        <v>3</v>
      </c>
      <c r="F50" s="1">
        <v>4</v>
      </c>
      <c r="G50" s="1">
        <f t="shared" si="19"/>
        <v>5</v>
      </c>
      <c r="H50" s="1">
        <v>300</v>
      </c>
      <c r="I50" s="1">
        <f t="shared" si="17"/>
        <v>450</v>
      </c>
      <c r="J50" s="2" t="s">
        <v>166</v>
      </c>
      <c r="K50" s="3" t="s">
        <v>167</v>
      </c>
      <c r="L50">
        <v>200</v>
      </c>
      <c r="N50" s="1">
        <v>400</v>
      </c>
    </row>
    <row r="51" customHeight="1" spans="1:14">
      <c r="A51" s="1">
        <v>10705</v>
      </c>
      <c r="B51">
        <f t="shared" si="18"/>
        <v>10701</v>
      </c>
      <c r="C51" s="1">
        <v>1</v>
      </c>
      <c r="D51" s="1" t="s">
        <v>168</v>
      </c>
      <c r="E51">
        <v>3</v>
      </c>
      <c r="F51" s="1">
        <v>5</v>
      </c>
      <c r="G51" s="1">
        <f t="shared" si="19"/>
        <v>5</v>
      </c>
      <c r="H51" s="1">
        <v>500</v>
      </c>
      <c r="I51" s="1">
        <f t="shared" si="17"/>
        <v>750</v>
      </c>
      <c r="J51" s="2" t="s">
        <v>169</v>
      </c>
      <c r="K51" s="3" t="s">
        <v>170</v>
      </c>
      <c r="L51">
        <v>250</v>
      </c>
      <c r="N51" s="1">
        <v>500</v>
      </c>
    </row>
    <row r="52" customHeight="1" spans="1:14">
      <c r="A52" s="1">
        <v>10800</v>
      </c>
      <c r="B52">
        <v>10801</v>
      </c>
      <c r="C52" s="1">
        <v>1</v>
      </c>
      <c r="D52" s="1" t="s">
        <v>171</v>
      </c>
      <c r="E52">
        <v>3</v>
      </c>
      <c r="F52" s="1">
        <v>0</v>
      </c>
      <c r="G52" s="1">
        <v>5</v>
      </c>
      <c r="H52" s="1">
        <v>0</v>
      </c>
      <c r="I52" s="1">
        <v>0</v>
      </c>
      <c r="J52" s="2" t="s">
        <v>172</v>
      </c>
      <c r="K52" s="3" t="s">
        <v>173</v>
      </c>
      <c r="L52">
        <v>0</v>
      </c>
      <c r="N52" s="1"/>
    </row>
    <row r="53" customHeight="1" spans="1:14">
      <c r="A53" s="1">
        <v>10801</v>
      </c>
      <c r="B53">
        <f>A53</f>
        <v>10801</v>
      </c>
      <c r="C53" s="1">
        <v>1</v>
      </c>
      <c r="D53" s="1" t="s">
        <v>174</v>
      </c>
      <c r="E53">
        <v>3</v>
      </c>
      <c r="F53" s="1">
        <v>1</v>
      </c>
      <c r="G53" s="1">
        <f>F57</f>
        <v>5</v>
      </c>
      <c r="H53" s="1">
        <v>100</v>
      </c>
      <c r="I53" s="1">
        <f t="shared" ref="I53:I57" si="20">INT(H53*1.5)</f>
        <v>150</v>
      </c>
      <c r="J53" s="2" t="s">
        <v>175</v>
      </c>
      <c r="K53" s="3" t="s">
        <v>176</v>
      </c>
      <c r="L53">
        <v>50</v>
      </c>
      <c r="N53" s="1">
        <v>100</v>
      </c>
    </row>
    <row r="54" customHeight="1" spans="1:14">
      <c r="A54" s="1">
        <v>10802</v>
      </c>
      <c r="B54">
        <f t="shared" ref="B54:B57" si="21">B53</f>
        <v>10801</v>
      </c>
      <c r="C54" s="1">
        <v>1</v>
      </c>
      <c r="D54" s="1" t="s">
        <v>177</v>
      </c>
      <c r="E54">
        <v>3</v>
      </c>
      <c r="F54" s="1">
        <v>2</v>
      </c>
      <c r="G54" s="1">
        <f t="shared" ref="G54:G57" si="22">G53</f>
        <v>5</v>
      </c>
      <c r="H54" s="1">
        <v>150</v>
      </c>
      <c r="I54" s="1">
        <f t="shared" si="20"/>
        <v>225</v>
      </c>
      <c r="J54" s="2" t="s">
        <v>178</v>
      </c>
      <c r="K54" s="3" t="s">
        <v>179</v>
      </c>
      <c r="L54">
        <v>100</v>
      </c>
      <c r="N54" s="1">
        <v>150</v>
      </c>
    </row>
    <row r="55" customHeight="1" spans="1:14">
      <c r="A55" s="1">
        <v>10803</v>
      </c>
      <c r="B55">
        <f t="shared" si="21"/>
        <v>10801</v>
      </c>
      <c r="C55" s="1">
        <v>1</v>
      </c>
      <c r="D55" s="1" t="s">
        <v>180</v>
      </c>
      <c r="E55">
        <v>3</v>
      </c>
      <c r="F55" s="1">
        <v>3</v>
      </c>
      <c r="G55" s="1">
        <f t="shared" si="22"/>
        <v>5</v>
      </c>
      <c r="H55" s="1">
        <v>200</v>
      </c>
      <c r="I55" s="1">
        <f t="shared" si="20"/>
        <v>300</v>
      </c>
      <c r="J55" s="2" t="s">
        <v>181</v>
      </c>
      <c r="K55" s="3" t="s">
        <v>182</v>
      </c>
      <c r="L55">
        <v>150</v>
      </c>
      <c r="N55" s="1">
        <v>200</v>
      </c>
    </row>
    <row r="56" customHeight="1" spans="1:14">
      <c r="A56" s="1">
        <v>10804</v>
      </c>
      <c r="B56">
        <f t="shared" si="21"/>
        <v>10801</v>
      </c>
      <c r="C56" s="1">
        <v>1</v>
      </c>
      <c r="D56" s="1" t="s">
        <v>183</v>
      </c>
      <c r="E56">
        <v>3</v>
      </c>
      <c r="F56" s="1">
        <v>4</v>
      </c>
      <c r="G56" s="1">
        <f t="shared" si="22"/>
        <v>5</v>
      </c>
      <c r="H56" s="1">
        <v>300</v>
      </c>
      <c r="I56" s="1">
        <f t="shared" si="20"/>
        <v>450</v>
      </c>
      <c r="J56" s="2" t="s">
        <v>184</v>
      </c>
      <c r="K56" s="3" t="s">
        <v>185</v>
      </c>
      <c r="L56">
        <v>200</v>
      </c>
      <c r="N56" s="1">
        <v>250</v>
      </c>
    </row>
    <row r="57" customHeight="1" spans="1:14">
      <c r="A57" s="1">
        <v>10805</v>
      </c>
      <c r="B57">
        <f t="shared" si="21"/>
        <v>10801</v>
      </c>
      <c r="C57" s="1">
        <v>1</v>
      </c>
      <c r="D57" s="1" t="s">
        <v>186</v>
      </c>
      <c r="E57">
        <v>3</v>
      </c>
      <c r="F57" s="1">
        <v>5</v>
      </c>
      <c r="G57" s="1">
        <f t="shared" si="22"/>
        <v>5</v>
      </c>
      <c r="H57" s="1">
        <v>500</v>
      </c>
      <c r="I57" s="1">
        <f t="shared" si="20"/>
        <v>750</v>
      </c>
      <c r="J57" s="2" t="s">
        <v>187</v>
      </c>
      <c r="K57" s="3" t="s">
        <v>188</v>
      </c>
      <c r="L57">
        <v>250</v>
      </c>
      <c r="N57" s="1">
        <v>300</v>
      </c>
    </row>
    <row r="58" customHeight="1" spans="1:14">
      <c r="A58" s="1">
        <v>10900</v>
      </c>
      <c r="B58">
        <v>10901</v>
      </c>
      <c r="C58" s="1">
        <v>1</v>
      </c>
      <c r="D58" s="1" t="s">
        <v>189</v>
      </c>
      <c r="E58">
        <v>3</v>
      </c>
      <c r="F58" s="1">
        <v>0</v>
      </c>
      <c r="G58" s="1">
        <v>5</v>
      </c>
      <c r="H58" s="1">
        <v>0</v>
      </c>
      <c r="I58" s="1">
        <v>0</v>
      </c>
      <c r="J58" s="2" t="s">
        <v>190</v>
      </c>
      <c r="K58" s="3" t="s">
        <v>191</v>
      </c>
      <c r="L58">
        <v>0</v>
      </c>
      <c r="N58" s="1"/>
    </row>
    <row r="59" customHeight="1" spans="1:14">
      <c r="A59" s="1">
        <v>10901</v>
      </c>
      <c r="B59">
        <f>A59</f>
        <v>10901</v>
      </c>
      <c r="C59" s="1">
        <v>1</v>
      </c>
      <c r="D59" s="1" t="s">
        <v>192</v>
      </c>
      <c r="E59">
        <v>3</v>
      </c>
      <c r="F59" s="1">
        <v>1</v>
      </c>
      <c r="G59" s="1">
        <f>F63</f>
        <v>5</v>
      </c>
      <c r="H59" s="1">
        <v>100</v>
      </c>
      <c r="I59" s="1">
        <f t="shared" ref="I59:I63" si="23">INT(H59*1.5)</f>
        <v>150</v>
      </c>
      <c r="J59" s="2" t="s">
        <v>193</v>
      </c>
      <c r="K59" s="3" t="s">
        <v>194</v>
      </c>
      <c r="L59">
        <v>50</v>
      </c>
      <c r="N59" s="1">
        <v>1</v>
      </c>
    </row>
    <row r="60" customHeight="1" spans="1:14">
      <c r="A60" s="1">
        <v>10902</v>
      </c>
      <c r="B60">
        <f t="shared" ref="B60:B63" si="24">B59</f>
        <v>10901</v>
      </c>
      <c r="C60" s="1">
        <v>1</v>
      </c>
      <c r="D60" s="1" t="s">
        <v>195</v>
      </c>
      <c r="E60">
        <v>3</v>
      </c>
      <c r="F60" s="1">
        <v>2</v>
      </c>
      <c r="G60" s="1">
        <f t="shared" ref="G60:G63" si="25">G59</f>
        <v>5</v>
      </c>
      <c r="H60" s="1">
        <v>150</v>
      </c>
      <c r="I60" s="1">
        <f t="shared" si="23"/>
        <v>225</v>
      </c>
      <c r="J60" s="2" t="s">
        <v>196</v>
      </c>
      <c r="K60" s="3" t="s">
        <v>197</v>
      </c>
      <c r="L60">
        <v>100</v>
      </c>
      <c r="N60" s="1">
        <v>2</v>
      </c>
    </row>
    <row r="61" customHeight="1" spans="1:14">
      <c r="A61" s="1">
        <v>10903</v>
      </c>
      <c r="B61">
        <f t="shared" si="24"/>
        <v>10901</v>
      </c>
      <c r="C61" s="1">
        <v>1</v>
      </c>
      <c r="D61" s="1" t="s">
        <v>198</v>
      </c>
      <c r="E61">
        <v>3</v>
      </c>
      <c r="F61" s="1">
        <v>3</v>
      </c>
      <c r="G61" s="1">
        <f t="shared" si="25"/>
        <v>5</v>
      </c>
      <c r="H61" s="1">
        <v>200</v>
      </c>
      <c r="I61" s="1">
        <f t="shared" si="23"/>
        <v>300</v>
      </c>
      <c r="J61" s="2" t="s">
        <v>199</v>
      </c>
      <c r="K61" s="3" t="s">
        <v>200</v>
      </c>
      <c r="L61">
        <v>150</v>
      </c>
      <c r="N61" s="1">
        <v>3</v>
      </c>
    </row>
    <row r="62" customHeight="1" spans="1:14">
      <c r="A62" s="1">
        <v>10904</v>
      </c>
      <c r="B62">
        <f t="shared" si="24"/>
        <v>10901</v>
      </c>
      <c r="C62" s="1">
        <v>1</v>
      </c>
      <c r="D62" s="1" t="s">
        <v>201</v>
      </c>
      <c r="E62">
        <v>3</v>
      </c>
      <c r="F62" s="1">
        <v>4</v>
      </c>
      <c r="G62" s="1">
        <f t="shared" si="25"/>
        <v>5</v>
      </c>
      <c r="H62" s="1">
        <v>300</v>
      </c>
      <c r="I62" s="1">
        <f t="shared" si="23"/>
        <v>450</v>
      </c>
      <c r="J62" s="2" t="s">
        <v>202</v>
      </c>
      <c r="K62" s="3" t="s">
        <v>203</v>
      </c>
      <c r="L62">
        <v>200</v>
      </c>
      <c r="N62" s="1">
        <v>4</v>
      </c>
    </row>
    <row r="63" customHeight="1" spans="1:14">
      <c r="A63" s="1">
        <v>10905</v>
      </c>
      <c r="B63">
        <f t="shared" si="24"/>
        <v>10901</v>
      </c>
      <c r="C63" s="1">
        <v>1</v>
      </c>
      <c r="D63" s="1" t="s">
        <v>204</v>
      </c>
      <c r="E63">
        <v>3</v>
      </c>
      <c r="F63" s="1">
        <v>5</v>
      </c>
      <c r="G63" s="1">
        <f t="shared" si="25"/>
        <v>5</v>
      </c>
      <c r="H63" s="1">
        <v>500</v>
      </c>
      <c r="I63" s="1">
        <f t="shared" si="23"/>
        <v>750</v>
      </c>
      <c r="J63" s="2" t="s">
        <v>205</v>
      </c>
      <c r="K63" s="3" t="s">
        <v>206</v>
      </c>
      <c r="L63">
        <v>250</v>
      </c>
      <c r="N63" s="1">
        <v>5</v>
      </c>
    </row>
    <row r="64" customHeight="1" spans="1:14">
      <c r="A64" s="1">
        <v>20000</v>
      </c>
      <c r="B64">
        <v>20001</v>
      </c>
      <c r="C64" s="1">
        <v>2</v>
      </c>
      <c r="D64" s="1" t="s">
        <v>207</v>
      </c>
      <c r="E64">
        <v>2</v>
      </c>
      <c r="F64" s="1">
        <v>0</v>
      </c>
      <c r="G64" s="1">
        <v>5</v>
      </c>
      <c r="H64" s="1">
        <v>0</v>
      </c>
      <c r="I64" s="1">
        <v>0</v>
      </c>
      <c r="J64" s="2" t="s">
        <v>208</v>
      </c>
      <c r="K64" s="3" t="s">
        <v>209</v>
      </c>
      <c r="L64">
        <v>0</v>
      </c>
      <c r="N64" s="1"/>
    </row>
    <row r="65" customHeight="1" spans="1:14">
      <c r="A65" s="1">
        <v>20001</v>
      </c>
      <c r="B65">
        <f>A65</f>
        <v>20001</v>
      </c>
      <c r="C65" s="1">
        <v>2</v>
      </c>
      <c r="D65" s="1" t="s">
        <v>210</v>
      </c>
      <c r="E65">
        <v>2</v>
      </c>
      <c r="F65" s="1">
        <v>1</v>
      </c>
      <c r="G65" s="1">
        <f>F69</f>
        <v>5</v>
      </c>
      <c r="H65" s="1">
        <v>100</v>
      </c>
      <c r="I65" s="1">
        <f t="shared" ref="I65:I69" si="26">INT(H65*1.5)</f>
        <v>150</v>
      </c>
      <c r="J65" s="2" t="s">
        <v>211</v>
      </c>
      <c r="K65" s="3" t="s">
        <v>212</v>
      </c>
      <c r="L65">
        <v>50</v>
      </c>
      <c r="N65" s="1">
        <v>1</v>
      </c>
    </row>
    <row r="66" customHeight="1" spans="1:14">
      <c r="A66" s="1">
        <v>20002</v>
      </c>
      <c r="B66">
        <f t="shared" ref="B66:B70" si="27">B65</f>
        <v>20001</v>
      </c>
      <c r="C66" s="1">
        <v>2</v>
      </c>
      <c r="D66" s="1" t="s">
        <v>213</v>
      </c>
      <c r="E66">
        <v>2</v>
      </c>
      <c r="F66" s="1">
        <v>2</v>
      </c>
      <c r="G66" s="1">
        <f t="shared" ref="G66:G69" si="28">G65</f>
        <v>5</v>
      </c>
      <c r="H66" s="1">
        <v>150</v>
      </c>
      <c r="I66" s="1">
        <f t="shared" si="26"/>
        <v>225</v>
      </c>
      <c r="J66" s="2" t="s">
        <v>214</v>
      </c>
      <c r="K66" s="3" t="s">
        <v>215</v>
      </c>
      <c r="L66">
        <v>100</v>
      </c>
      <c r="N66" s="1">
        <v>2</v>
      </c>
    </row>
    <row r="67" customHeight="1" spans="1:14">
      <c r="A67" s="1">
        <v>20003</v>
      </c>
      <c r="B67">
        <f t="shared" si="27"/>
        <v>20001</v>
      </c>
      <c r="C67" s="1">
        <v>2</v>
      </c>
      <c r="D67" s="1" t="s">
        <v>216</v>
      </c>
      <c r="E67">
        <v>2</v>
      </c>
      <c r="F67" s="1">
        <v>3</v>
      </c>
      <c r="G67" s="1">
        <f t="shared" si="28"/>
        <v>5</v>
      </c>
      <c r="H67" s="1">
        <v>200</v>
      </c>
      <c r="I67" s="1">
        <f t="shared" si="26"/>
        <v>300</v>
      </c>
      <c r="J67" s="2" t="s">
        <v>217</v>
      </c>
      <c r="K67" s="3" t="s">
        <v>218</v>
      </c>
      <c r="L67">
        <v>150</v>
      </c>
      <c r="N67" s="1">
        <v>3</v>
      </c>
    </row>
    <row r="68" customHeight="1" spans="1:14">
      <c r="A68" s="1">
        <v>20004</v>
      </c>
      <c r="B68">
        <f t="shared" si="27"/>
        <v>20001</v>
      </c>
      <c r="C68" s="1">
        <v>2</v>
      </c>
      <c r="D68" s="1" t="s">
        <v>219</v>
      </c>
      <c r="E68">
        <v>2</v>
      </c>
      <c r="F68" s="1">
        <v>4</v>
      </c>
      <c r="G68" s="1">
        <f t="shared" si="28"/>
        <v>5</v>
      </c>
      <c r="H68" s="1">
        <v>300</v>
      </c>
      <c r="I68" s="1">
        <f t="shared" si="26"/>
        <v>450</v>
      </c>
      <c r="J68" s="2" t="s">
        <v>220</v>
      </c>
      <c r="K68" s="3" t="s">
        <v>221</v>
      </c>
      <c r="L68">
        <v>200</v>
      </c>
      <c r="N68" s="1">
        <v>4</v>
      </c>
    </row>
    <row r="69" customHeight="1" spans="1:14">
      <c r="A69" s="1">
        <v>20005</v>
      </c>
      <c r="B69">
        <f t="shared" si="27"/>
        <v>20001</v>
      </c>
      <c r="C69" s="1">
        <v>2</v>
      </c>
      <c r="D69" s="1" t="s">
        <v>222</v>
      </c>
      <c r="E69">
        <v>2</v>
      </c>
      <c r="F69" s="1">
        <v>5</v>
      </c>
      <c r="G69" s="1">
        <f t="shared" si="28"/>
        <v>5</v>
      </c>
      <c r="H69" s="1">
        <v>500</v>
      </c>
      <c r="I69" s="1">
        <f t="shared" si="26"/>
        <v>750</v>
      </c>
      <c r="J69" s="2" t="s">
        <v>223</v>
      </c>
      <c r="K69" s="3" t="s">
        <v>224</v>
      </c>
      <c r="L69">
        <v>250</v>
      </c>
      <c r="N69" s="1">
        <v>5</v>
      </c>
    </row>
    <row r="70" customHeight="1" spans="1:14">
      <c r="A70" s="1">
        <v>20100</v>
      </c>
      <c r="B70">
        <f>B71</f>
        <v>20101</v>
      </c>
      <c r="C70" s="1">
        <v>2</v>
      </c>
      <c r="D70" s="1" t="s">
        <v>225</v>
      </c>
      <c r="E70">
        <v>2</v>
      </c>
      <c r="F70" s="1">
        <v>0</v>
      </c>
      <c r="G70" s="1">
        <v>5</v>
      </c>
      <c r="H70" s="1">
        <v>0</v>
      </c>
      <c r="I70" s="1">
        <v>0</v>
      </c>
      <c r="J70" s="2" t="s">
        <v>226</v>
      </c>
      <c r="K70" s="3" t="s">
        <v>227</v>
      </c>
      <c r="L70">
        <v>0</v>
      </c>
      <c r="N70" s="1"/>
    </row>
    <row r="71" customHeight="1" spans="1:14">
      <c r="A71" s="1">
        <v>20101</v>
      </c>
      <c r="B71">
        <f>A71</f>
        <v>20101</v>
      </c>
      <c r="C71" s="1">
        <v>2</v>
      </c>
      <c r="D71" s="1" t="s">
        <v>228</v>
      </c>
      <c r="E71">
        <v>2</v>
      </c>
      <c r="F71" s="1">
        <v>1</v>
      </c>
      <c r="G71" s="1">
        <f>F75</f>
        <v>5</v>
      </c>
      <c r="H71" s="1">
        <v>100</v>
      </c>
      <c r="I71" s="1">
        <f t="shared" ref="I71:I75" si="29">INT(H71*1.5)</f>
        <v>150</v>
      </c>
      <c r="J71" s="2" t="s">
        <v>229</v>
      </c>
      <c r="K71" s="3" t="s">
        <v>230</v>
      </c>
      <c r="L71">
        <v>50</v>
      </c>
      <c r="N71" s="1">
        <v>1</v>
      </c>
    </row>
    <row r="72" customHeight="1" spans="1:14">
      <c r="A72" s="1">
        <v>20102</v>
      </c>
      <c r="B72">
        <f t="shared" ref="B72:B75" si="30">B71</f>
        <v>20101</v>
      </c>
      <c r="C72" s="1">
        <v>2</v>
      </c>
      <c r="D72" s="1" t="s">
        <v>231</v>
      </c>
      <c r="E72">
        <v>2</v>
      </c>
      <c r="F72" s="1">
        <v>2</v>
      </c>
      <c r="G72" s="1">
        <f t="shared" ref="G72:G75" si="31">G71</f>
        <v>5</v>
      </c>
      <c r="H72" s="1">
        <v>150</v>
      </c>
      <c r="I72" s="1">
        <f t="shared" si="29"/>
        <v>225</v>
      </c>
      <c r="J72" s="2" t="s">
        <v>232</v>
      </c>
      <c r="K72" s="3" t="s">
        <v>233</v>
      </c>
      <c r="L72">
        <v>100</v>
      </c>
      <c r="N72" s="1">
        <v>2</v>
      </c>
    </row>
    <row r="73" customHeight="1" spans="1:14">
      <c r="A73" s="1">
        <v>20103</v>
      </c>
      <c r="B73">
        <f t="shared" si="30"/>
        <v>20101</v>
      </c>
      <c r="C73" s="1">
        <v>2</v>
      </c>
      <c r="D73" s="1" t="s">
        <v>234</v>
      </c>
      <c r="E73">
        <v>2</v>
      </c>
      <c r="F73" s="1">
        <v>3</v>
      </c>
      <c r="G73" s="1">
        <f t="shared" si="31"/>
        <v>5</v>
      </c>
      <c r="H73" s="1">
        <v>200</v>
      </c>
      <c r="I73" s="1">
        <f t="shared" si="29"/>
        <v>300</v>
      </c>
      <c r="J73" s="2" t="s">
        <v>235</v>
      </c>
      <c r="K73" s="3" t="s">
        <v>236</v>
      </c>
      <c r="L73">
        <v>150</v>
      </c>
      <c r="N73" s="1">
        <v>3</v>
      </c>
    </row>
    <row r="74" customHeight="1" spans="1:14">
      <c r="A74" s="1">
        <v>20104</v>
      </c>
      <c r="B74">
        <f t="shared" si="30"/>
        <v>20101</v>
      </c>
      <c r="C74" s="1">
        <v>2</v>
      </c>
      <c r="D74" s="1" t="s">
        <v>237</v>
      </c>
      <c r="E74">
        <v>2</v>
      </c>
      <c r="F74" s="1">
        <v>4</v>
      </c>
      <c r="G74" s="1">
        <f t="shared" si="31"/>
        <v>5</v>
      </c>
      <c r="H74" s="1">
        <v>300</v>
      </c>
      <c r="I74" s="1">
        <f t="shared" si="29"/>
        <v>450</v>
      </c>
      <c r="J74" s="2" t="s">
        <v>238</v>
      </c>
      <c r="K74" s="3" t="s">
        <v>239</v>
      </c>
      <c r="L74">
        <v>200</v>
      </c>
      <c r="N74" s="1">
        <v>4</v>
      </c>
    </row>
    <row r="75" customHeight="1" spans="1:14">
      <c r="A75" s="1">
        <v>20105</v>
      </c>
      <c r="B75">
        <f t="shared" si="30"/>
        <v>20101</v>
      </c>
      <c r="C75" s="1">
        <v>2</v>
      </c>
      <c r="D75" s="1" t="s">
        <v>240</v>
      </c>
      <c r="E75">
        <v>2</v>
      </c>
      <c r="F75" s="1">
        <v>5</v>
      </c>
      <c r="G75" s="1">
        <f t="shared" si="31"/>
        <v>5</v>
      </c>
      <c r="H75" s="1">
        <v>500</v>
      </c>
      <c r="I75" s="1">
        <f t="shared" si="29"/>
        <v>750</v>
      </c>
      <c r="J75" s="2" t="s">
        <v>241</v>
      </c>
      <c r="K75" s="3" t="s">
        <v>242</v>
      </c>
      <c r="L75">
        <v>250</v>
      </c>
      <c r="N75" s="1">
        <v>5</v>
      </c>
    </row>
    <row r="76" customHeight="1" spans="1:14">
      <c r="A76" s="1">
        <v>20200</v>
      </c>
      <c r="B76">
        <f>B77</f>
        <v>20201</v>
      </c>
      <c r="C76" s="1">
        <v>2</v>
      </c>
      <c r="D76" s="1" t="s">
        <v>243</v>
      </c>
      <c r="E76">
        <v>2</v>
      </c>
      <c r="F76" s="1">
        <v>0</v>
      </c>
      <c r="G76" s="1">
        <v>5</v>
      </c>
      <c r="H76" s="1">
        <v>0</v>
      </c>
      <c r="I76" s="1">
        <v>0</v>
      </c>
      <c r="J76" s="2" t="s">
        <v>244</v>
      </c>
      <c r="K76" s="3" t="s">
        <v>245</v>
      </c>
      <c r="L76">
        <v>0</v>
      </c>
      <c r="N76" s="1"/>
    </row>
    <row r="77" customHeight="1" spans="1:14">
      <c r="A77" s="1">
        <v>20201</v>
      </c>
      <c r="B77">
        <f>A77</f>
        <v>20201</v>
      </c>
      <c r="C77" s="1">
        <v>2</v>
      </c>
      <c r="D77" s="1" t="s">
        <v>246</v>
      </c>
      <c r="E77">
        <v>2</v>
      </c>
      <c r="F77" s="1">
        <v>1</v>
      </c>
      <c r="G77" s="1">
        <f>F81</f>
        <v>5</v>
      </c>
      <c r="H77" s="1">
        <v>100</v>
      </c>
      <c r="I77" s="1">
        <f t="shared" ref="I77:I81" si="32">INT(H77*1.5)</f>
        <v>150</v>
      </c>
      <c r="J77" s="2" t="s">
        <v>247</v>
      </c>
      <c r="K77" s="3" t="s">
        <v>248</v>
      </c>
      <c r="L77">
        <v>50</v>
      </c>
      <c r="N77" s="1">
        <v>1</v>
      </c>
    </row>
    <row r="78" customHeight="1" spans="1:14">
      <c r="A78" s="1">
        <v>20202</v>
      </c>
      <c r="B78">
        <f t="shared" ref="B78:B81" si="33">B77</f>
        <v>20201</v>
      </c>
      <c r="C78" s="1">
        <v>2</v>
      </c>
      <c r="D78" s="1" t="s">
        <v>249</v>
      </c>
      <c r="E78">
        <v>2</v>
      </c>
      <c r="F78" s="1">
        <v>2</v>
      </c>
      <c r="G78" s="1">
        <f t="shared" ref="G78:G81" si="34">G77</f>
        <v>5</v>
      </c>
      <c r="H78" s="1">
        <v>150</v>
      </c>
      <c r="I78" s="1">
        <f t="shared" si="32"/>
        <v>225</v>
      </c>
      <c r="J78" s="2" t="s">
        <v>250</v>
      </c>
      <c r="K78" s="3" t="s">
        <v>251</v>
      </c>
      <c r="L78">
        <v>100</v>
      </c>
      <c r="N78" s="1">
        <v>2</v>
      </c>
    </row>
    <row r="79" customHeight="1" spans="1:14">
      <c r="A79" s="1">
        <v>20203</v>
      </c>
      <c r="B79">
        <f t="shared" si="33"/>
        <v>20201</v>
      </c>
      <c r="C79" s="1">
        <v>2</v>
      </c>
      <c r="D79" s="1" t="s">
        <v>252</v>
      </c>
      <c r="E79">
        <v>2</v>
      </c>
      <c r="F79" s="1">
        <v>3</v>
      </c>
      <c r="G79" s="1">
        <f t="shared" si="34"/>
        <v>5</v>
      </c>
      <c r="H79" s="1">
        <v>200</v>
      </c>
      <c r="I79" s="1">
        <f t="shared" si="32"/>
        <v>300</v>
      </c>
      <c r="J79" s="2" t="s">
        <v>253</v>
      </c>
      <c r="K79" s="3" t="s">
        <v>254</v>
      </c>
      <c r="L79">
        <v>150</v>
      </c>
      <c r="N79" s="1">
        <v>3</v>
      </c>
    </row>
    <row r="80" customHeight="1" spans="1:14">
      <c r="A80" s="1">
        <v>20204</v>
      </c>
      <c r="B80">
        <f t="shared" si="33"/>
        <v>20201</v>
      </c>
      <c r="C80" s="1">
        <v>2</v>
      </c>
      <c r="D80" s="1" t="s">
        <v>255</v>
      </c>
      <c r="E80">
        <v>2</v>
      </c>
      <c r="F80" s="1">
        <v>4</v>
      </c>
      <c r="G80" s="1">
        <f t="shared" si="34"/>
        <v>5</v>
      </c>
      <c r="H80" s="1">
        <v>300</v>
      </c>
      <c r="I80" s="1">
        <f t="shared" si="32"/>
        <v>450</v>
      </c>
      <c r="J80" s="2" t="s">
        <v>256</v>
      </c>
      <c r="K80" s="3" t="s">
        <v>257</v>
      </c>
      <c r="L80">
        <v>200</v>
      </c>
      <c r="N80" s="1">
        <v>4</v>
      </c>
    </row>
    <row r="81" customHeight="1" spans="1:14">
      <c r="A81" s="1">
        <v>20205</v>
      </c>
      <c r="B81">
        <f t="shared" si="33"/>
        <v>20201</v>
      </c>
      <c r="C81" s="1">
        <v>2</v>
      </c>
      <c r="D81" s="1" t="s">
        <v>258</v>
      </c>
      <c r="E81">
        <v>2</v>
      </c>
      <c r="F81" s="1">
        <v>5</v>
      </c>
      <c r="G81" s="1">
        <f t="shared" si="34"/>
        <v>5</v>
      </c>
      <c r="H81" s="1">
        <v>500</v>
      </c>
      <c r="I81" s="1">
        <f t="shared" si="32"/>
        <v>750</v>
      </c>
      <c r="J81" s="2" t="s">
        <v>259</v>
      </c>
      <c r="K81" s="3" t="s">
        <v>260</v>
      </c>
      <c r="L81">
        <v>250</v>
      </c>
      <c r="N81" s="1">
        <v>5</v>
      </c>
    </row>
    <row r="82" customHeight="1" spans="1:12">
      <c r="A82" s="1">
        <v>20300</v>
      </c>
      <c r="B82">
        <f>B83</f>
        <v>20301</v>
      </c>
      <c r="C82" s="1">
        <v>2</v>
      </c>
      <c r="D82" s="1" t="s">
        <v>261</v>
      </c>
      <c r="E82">
        <v>2</v>
      </c>
      <c r="F82" s="1">
        <v>0</v>
      </c>
      <c r="G82" s="1">
        <v>5</v>
      </c>
      <c r="H82" s="1">
        <v>0</v>
      </c>
      <c r="I82" s="1">
        <v>0</v>
      </c>
      <c r="J82" s="2" t="s">
        <v>262</v>
      </c>
      <c r="K82" s="3" t="s">
        <v>263</v>
      </c>
      <c r="L82">
        <v>0</v>
      </c>
    </row>
    <row r="83" customHeight="1" spans="1:12">
      <c r="A83" s="1">
        <v>20301</v>
      </c>
      <c r="B83">
        <f>A83</f>
        <v>20301</v>
      </c>
      <c r="C83" s="1">
        <v>2</v>
      </c>
      <c r="D83" s="1" t="s">
        <v>264</v>
      </c>
      <c r="E83">
        <v>2</v>
      </c>
      <c r="F83" s="1">
        <v>1</v>
      </c>
      <c r="G83" s="1">
        <f>F87</f>
        <v>5</v>
      </c>
      <c r="H83" s="1">
        <v>100</v>
      </c>
      <c r="I83" s="1">
        <f t="shared" ref="I83:I87" si="35">INT(H83*1.5)</f>
        <v>150</v>
      </c>
      <c r="J83" s="2" t="s">
        <v>265</v>
      </c>
      <c r="K83" s="3" t="s">
        <v>266</v>
      </c>
      <c r="L83">
        <v>50</v>
      </c>
    </row>
    <row r="84" customHeight="1" spans="1:12">
      <c r="A84" s="1">
        <v>20302</v>
      </c>
      <c r="B84">
        <f t="shared" ref="B84:B87" si="36">B83</f>
        <v>20301</v>
      </c>
      <c r="C84" s="1">
        <v>2</v>
      </c>
      <c r="D84" s="1" t="s">
        <v>267</v>
      </c>
      <c r="E84">
        <v>2</v>
      </c>
      <c r="F84" s="1">
        <v>2</v>
      </c>
      <c r="G84" s="1">
        <f t="shared" ref="G84:G87" si="37">G83</f>
        <v>5</v>
      </c>
      <c r="H84" s="1">
        <v>150</v>
      </c>
      <c r="I84" s="1">
        <f t="shared" si="35"/>
        <v>225</v>
      </c>
      <c r="J84" s="2" t="s">
        <v>268</v>
      </c>
      <c r="K84" s="3" t="s">
        <v>269</v>
      </c>
      <c r="L84">
        <v>100</v>
      </c>
    </row>
    <row r="85" customHeight="1" spans="1:12">
      <c r="A85" s="1">
        <v>20303</v>
      </c>
      <c r="B85">
        <f t="shared" si="36"/>
        <v>20301</v>
      </c>
      <c r="C85" s="1">
        <v>2</v>
      </c>
      <c r="D85" s="1" t="s">
        <v>270</v>
      </c>
      <c r="E85">
        <v>2</v>
      </c>
      <c r="F85" s="1">
        <v>3</v>
      </c>
      <c r="G85" s="1">
        <f t="shared" si="37"/>
        <v>5</v>
      </c>
      <c r="H85" s="1">
        <v>200</v>
      </c>
      <c r="I85" s="1">
        <f t="shared" si="35"/>
        <v>300</v>
      </c>
      <c r="J85" s="2" t="s">
        <v>271</v>
      </c>
      <c r="K85" s="3" t="s">
        <v>272</v>
      </c>
      <c r="L85">
        <v>150</v>
      </c>
    </row>
    <row r="86" customHeight="1" spans="1:12">
      <c r="A86" s="1">
        <v>20304</v>
      </c>
      <c r="B86">
        <f t="shared" si="36"/>
        <v>20301</v>
      </c>
      <c r="C86" s="1">
        <v>2</v>
      </c>
      <c r="D86" s="1" t="s">
        <v>273</v>
      </c>
      <c r="E86">
        <v>2</v>
      </c>
      <c r="F86" s="1">
        <v>4</v>
      </c>
      <c r="G86" s="1">
        <f t="shared" si="37"/>
        <v>5</v>
      </c>
      <c r="H86" s="1">
        <v>300</v>
      </c>
      <c r="I86" s="1">
        <f t="shared" si="35"/>
        <v>450</v>
      </c>
      <c r="J86" s="2" t="s">
        <v>274</v>
      </c>
      <c r="K86" s="3" t="s">
        <v>275</v>
      </c>
      <c r="L86">
        <v>200</v>
      </c>
    </row>
    <row r="87" customHeight="1" spans="1:12">
      <c r="A87" s="1">
        <v>20305</v>
      </c>
      <c r="B87">
        <f t="shared" si="36"/>
        <v>20301</v>
      </c>
      <c r="C87" s="1">
        <v>2</v>
      </c>
      <c r="D87" s="1" t="s">
        <v>276</v>
      </c>
      <c r="E87">
        <v>2</v>
      </c>
      <c r="F87" s="1">
        <v>5</v>
      </c>
      <c r="G87" s="1">
        <f t="shared" si="37"/>
        <v>5</v>
      </c>
      <c r="H87" s="1">
        <v>500</v>
      </c>
      <c r="I87" s="1">
        <f t="shared" si="35"/>
        <v>750</v>
      </c>
      <c r="J87" s="2" t="s">
        <v>277</v>
      </c>
      <c r="K87" s="3" t="s">
        <v>278</v>
      </c>
      <c r="L87">
        <v>250</v>
      </c>
    </row>
    <row r="88" customHeight="1" spans="1:12">
      <c r="A88" s="1">
        <v>20400</v>
      </c>
      <c r="B88">
        <f>B89</f>
        <v>20401</v>
      </c>
      <c r="C88" s="1">
        <v>2</v>
      </c>
      <c r="D88" s="1" t="s">
        <v>279</v>
      </c>
      <c r="E88">
        <v>2</v>
      </c>
      <c r="F88" s="1">
        <v>0</v>
      </c>
      <c r="G88" s="1">
        <v>5</v>
      </c>
      <c r="H88" s="1">
        <v>0</v>
      </c>
      <c r="I88" s="1">
        <v>0</v>
      </c>
      <c r="J88" s="2" t="s">
        <v>280</v>
      </c>
      <c r="K88" s="3" t="s">
        <v>281</v>
      </c>
      <c r="L88">
        <v>0</v>
      </c>
    </row>
    <row r="89" customHeight="1" spans="1:12">
      <c r="A89" s="1">
        <v>20401</v>
      </c>
      <c r="B89">
        <f>A89</f>
        <v>20401</v>
      </c>
      <c r="C89" s="1">
        <v>2</v>
      </c>
      <c r="D89" s="1" t="s">
        <v>282</v>
      </c>
      <c r="E89">
        <v>2</v>
      </c>
      <c r="F89" s="1">
        <v>1</v>
      </c>
      <c r="G89" s="1">
        <f>F93</f>
        <v>5</v>
      </c>
      <c r="H89" s="1">
        <v>100</v>
      </c>
      <c r="I89" s="1">
        <f t="shared" ref="I89:I93" si="38">INT(H89*1.5)</f>
        <v>150</v>
      </c>
      <c r="J89" s="2" t="s">
        <v>283</v>
      </c>
      <c r="K89" s="3" t="s">
        <v>284</v>
      </c>
      <c r="L89">
        <v>50</v>
      </c>
    </row>
    <row r="90" customHeight="1" spans="1:12">
      <c r="A90" s="1">
        <v>20402</v>
      </c>
      <c r="B90">
        <f t="shared" ref="B90:B93" si="39">B89</f>
        <v>20401</v>
      </c>
      <c r="C90" s="1">
        <v>2</v>
      </c>
      <c r="D90" s="1" t="s">
        <v>285</v>
      </c>
      <c r="E90">
        <v>2</v>
      </c>
      <c r="F90" s="1">
        <v>2</v>
      </c>
      <c r="G90" s="1">
        <f t="shared" ref="G90:G93" si="40">G89</f>
        <v>5</v>
      </c>
      <c r="H90" s="1">
        <v>150</v>
      </c>
      <c r="I90" s="1">
        <f t="shared" si="38"/>
        <v>225</v>
      </c>
      <c r="J90" s="2" t="s">
        <v>286</v>
      </c>
      <c r="K90" s="3" t="s">
        <v>287</v>
      </c>
      <c r="L90">
        <v>100</v>
      </c>
    </row>
    <row r="91" customHeight="1" spans="1:12">
      <c r="A91" s="1">
        <v>20403</v>
      </c>
      <c r="B91">
        <f t="shared" si="39"/>
        <v>20401</v>
      </c>
      <c r="C91" s="1">
        <v>2</v>
      </c>
      <c r="D91" s="1" t="s">
        <v>288</v>
      </c>
      <c r="E91">
        <v>2</v>
      </c>
      <c r="F91" s="1">
        <v>3</v>
      </c>
      <c r="G91" s="1">
        <f t="shared" si="40"/>
        <v>5</v>
      </c>
      <c r="H91" s="1">
        <v>200</v>
      </c>
      <c r="I91" s="1">
        <f t="shared" si="38"/>
        <v>300</v>
      </c>
      <c r="J91" s="2" t="s">
        <v>289</v>
      </c>
      <c r="K91" s="3" t="s">
        <v>290</v>
      </c>
      <c r="L91">
        <v>150</v>
      </c>
    </row>
    <row r="92" customHeight="1" spans="1:12">
      <c r="A92" s="1">
        <v>20404</v>
      </c>
      <c r="B92">
        <f t="shared" si="39"/>
        <v>20401</v>
      </c>
      <c r="C92" s="1">
        <v>2</v>
      </c>
      <c r="D92" s="1" t="s">
        <v>291</v>
      </c>
      <c r="E92">
        <v>2</v>
      </c>
      <c r="F92" s="1">
        <v>4</v>
      </c>
      <c r="G92" s="1">
        <f t="shared" si="40"/>
        <v>5</v>
      </c>
      <c r="H92" s="1">
        <v>300</v>
      </c>
      <c r="I92" s="1">
        <f t="shared" si="38"/>
        <v>450</v>
      </c>
      <c r="J92" s="2" t="s">
        <v>292</v>
      </c>
      <c r="K92" s="3" t="s">
        <v>293</v>
      </c>
      <c r="L92">
        <v>200</v>
      </c>
    </row>
    <row r="93" customHeight="1" spans="1:12">
      <c r="A93" s="1">
        <v>20405</v>
      </c>
      <c r="B93">
        <f t="shared" si="39"/>
        <v>20401</v>
      </c>
      <c r="C93" s="1">
        <v>2</v>
      </c>
      <c r="D93" s="1" t="s">
        <v>294</v>
      </c>
      <c r="E93">
        <v>2</v>
      </c>
      <c r="F93" s="1">
        <v>5</v>
      </c>
      <c r="G93" s="1">
        <f t="shared" si="40"/>
        <v>5</v>
      </c>
      <c r="H93" s="1">
        <v>500</v>
      </c>
      <c r="I93" s="1">
        <f t="shared" si="38"/>
        <v>750</v>
      </c>
      <c r="J93" s="2" t="s">
        <v>295</v>
      </c>
      <c r="K93" s="3" t="s">
        <v>296</v>
      </c>
      <c r="L93">
        <v>250</v>
      </c>
    </row>
    <row r="94" customHeight="1" spans="1:12">
      <c r="A94" s="1">
        <v>20500</v>
      </c>
      <c r="B94">
        <f>B95</f>
        <v>20501</v>
      </c>
      <c r="C94" s="1">
        <v>2</v>
      </c>
      <c r="D94" s="1" t="s">
        <v>297</v>
      </c>
      <c r="E94">
        <v>2</v>
      </c>
      <c r="F94" s="1">
        <v>0</v>
      </c>
      <c r="G94" s="1">
        <v>5</v>
      </c>
      <c r="H94" s="1">
        <v>0</v>
      </c>
      <c r="I94" s="1">
        <v>0</v>
      </c>
      <c r="J94" s="2" t="s">
        <v>298</v>
      </c>
      <c r="K94" s="3" t="s">
        <v>299</v>
      </c>
      <c r="L94">
        <v>0</v>
      </c>
    </row>
    <row r="95" customHeight="1" spans="1:12">
      <c r="A95" s="1">
        <v>20501</v>
      </c>
      <c r="B95">
        <f>A95</f>
        <v>20501</v>
      </c>
      <c r="C95" s="1">
        <v>2</v>
      </c>
      <c r="D95" s="1" t="s">
        <v>300</v>
      </c>
      <c r="E95">
        <v>2</v>
      </c>
      <c r="F95" s="1">
        <v>1</v>
      </c>
      <c r="G95" s="1">
        <f>F99</f>
        <v>5</v>
      </c>
      <c r="H95" s="1">
        <v>100</v>
      </c>
      <c r="I95" s="1">
        <f t="shared" ref="I95:I99" si="41">INT(H95*1.5)</f>
        <v>150</v>
      </c>
      <c r="J95" s="2" t="s">
        <v>301</v>
      </c>
      <c r="K95" s="3" t="s">
        <v>302</v>
      </c>
      <c r="L95">
        <v>50</v>
      </c>
    </row>
    <row r="96" customHeight="1" spans="1:12">
      <c r="A96" s="1">
        <v>20502</v>
      </c>
      <c r="B96">
        <f t="shared" ref="B96:B99" si="42">B95</f>
        <v>20501</v>
      </c>
      <c r="C96" s="1">
        <v>2</v>
      </c>
      <c r="D96" s="1" t="s">
        <v>303</v>
      </c>
      <c r="E96">
        <v>2</v>
      </c>
      <c r="F96" s="1">
        <v>2</v>
      </c>
      <c r="G96" s="1">
        <f t="shared" ref="G96:G99" si="43">G95</f>
        <v>5</v>
      </c>
      <c r="H96" s="1">
        <v>150</v>
      </c>
      <c r="I96" s="1">
        <f t="shared" si="41"/>
        <v>225</v>
      </c>
      <c r="J96" s="2" t="s">
        <v>304</v>
      </c>
      <c r="K96" s="3" t="s">
        <v>305</v>
      </c>
      <c r="L96">
        <v>100</v>
      </c>
    </row>
    <row r="97" customHeight="1" spans="1:12">
      <c r="A97" s="1">
        <v>20503</v>
      </c>
      <c r="B97">
        <f t="shared" si="42"/>
        <v>20501</v>
      </c>
      <c r="C97" s="1">
        <v>2</v>
      </c>
      <c r="D97" s="1" t="s">
        <v>306</v>
      </c>
      <c r="E97">
        <v>2</v>
      </c>
      <c r="F97" s="1">
        <v>3</v>
      </c>
      <c r="G97" s="1">
        <f t="shared" si="43"/>
        <v>5</v>
      </c>
      <c r="H97" s="1">
        <v>200</v>
      </c>
      <c r="I97" s="1">
        <f t="shared" si="41"/>
        <v>300</v>
      </c>
      <c r="J97" s="2" t="s">
        <v>307</v>
      </c>
      <c r="K97" s="3" t="s">
        <v>308</v>
      </c>
      <c r="L97">
        <v>150</v>
      </c>
    </row>
    <row r="98" customHeight="1" spans="1:12">
      <c r="A98" s="1">
        <v>20504</v>
      </c>
      <c r="B98">
        <f t="shared" si="42"/>
        <v>20501</v>
      </c>
      <c r="C98" s="1">
        <v>2</v>
      </c>
      <c r="D98" s="1" t="s">
        <v>309</v>
      </c>
      <c r="E98">
        <v>2</v>
      </c>
      <c r="F98" s="1">
        <v>4</v>
      </c>
      <c r="G98" s="1">
        <f t="shared" si="43"/>
        <v>5</v>
      </c>
      <c r="H98" s="1">
        <v>300</v>
      </c>
      <c r="I98" s="1">
        <f t="shared" si="41"/>
        <v>450</v>
      </c>
      <c r="J98" s="2" t="s">
        <v>310</v>
      </c>
      <c r="K98" s="3" t="s">
        <v>311</v>
      </c>
      <c r="L98">
        <v>200</v>
      </c>
    </row>
    <row r="99" customHeight="1" spans="1:12">
      <c r="A99" s="1">
        <v>20505</v>
      </c>
      <c r="B99">
        <f t="shared" si="42"/>
        <v>20501</v>
      </c>
      <c r="C99" s="1">
        <v>2</v>
      </c>
      <c r="D99" s="1" t="s">
        <v>312</v>
      </c>
      <c r="E99">
        <v>2</v>
      </c>
      <c r="F99" s="1">
        <v>5</v>
      </c>
      <c r="G99" s="1">
        <f t="shared" si="43"/>
        <v>5</v>
      </c>
      <c r="H99" s="1">
        <v>500</v>
      </c>
      <c r="I99" s="1">
        <f t="shared" si="41"/>
        <v>750</v>
      </c>
      <c r="J99" s="2" t="s">
        <v>313</v>
      </c>
      <c r="K99" s="3" t="s">
        <v>314</v>
      </c>
      <c r="L99">
        <v>250</v>
      </c>
    </row>
    <row r="100" customHeight="1" spans="1:12">
      <c r="A100" s="1">
        <v>20600</v>
      </c>
      <c r="B100">
        <f>B101</f>
        <v>20601</v>
      </c>
      <c r="C100" s="1">
        <v>2</v>
      </c>
      <c r="D100" s="1" t="s">
        <v>315</v>
      </c>
      <c r="E100">
        <v>3</v>
      </c>
      <c r="F100" s="1">
        <v>0</v>
      </c>
      <c r="G100" s="1">
        <v>3</v>
      </c>
      <c r="H100" s="1">
        <v>0</v>
      </c>
      <c r="I100" s="1">
        <v>0</v>
      </c>
      <c r="J100" s="2" t="s">
        <v>316</v>
      </c>
      <c r="K100" s="3" t="s">
        <v>317</v>
      </c>
      <c r="L100">
        <v>0</v>
      </c>
    </row>
    <row r="101" customHeight="1" spans="1:12">
      <c r="A101" s="1">
        <v>20601</v>
      </c>
      <c r="B101">
        <f>A101</f>
        <v>20601</v>
      </c>
      <c r="C101" s="1">
        <v>2</v>
      </c>
      <c r="D101" s="1" t="s">
        <v>318</v>
      </c>
      <c r="E101">
        <v>3</v>
      </c>
      <c r="F101" s="1">
        <v>1</v>
      </c>
      <c r="G101" s="1">
        <v>3</v>
      </c>
      <c r="H101" s="1">
        <v>150</v>
      </c>
      <c r="I101" s="1">
        <f t="shared" ref="I101:I103" si="44">INT(H101*1.5)</f>
        <v>225</v>
      </c>
      <c r="J101" s="2" t="s">
        <v>319</v>
      </c>
      <c r="K101" s="3" t="s">
        <v>320</v>
      </c>
      <c r="L101">
        <v>50</v>
      </c>
    </row>
    <row r="102" customHeight="1" spans="1:12">
      <c r="A102" s="1">
        <v>20602</v>
      </c>
      <c r="B102">
        <f>B101</f>
        <v>20601</v>
      </c>
      <c r="C102" s="1">
        <v>2</v>
      </c>
      <c r="D102" s="1" t="s">
        <v>321</v>
      </c>
      <c r="E102">
        <v>3</v>
      </c>
      <c r="F102" s="1">
        <v>2</v>
      </c>
      <c r="G102" s="1">
        <v>3</v>
      </c>
      <c r="H102" s="1">
        <v>200</v>
      </c>
      <c r="I102" s="1">
        <f t="shared" si="44"/>
        <v>300</v>
      </c>
      <c r="J102" s="2" t="s">
        <v>322</v>
      </c>
      <c r="K102" s="3" t="s">
        <v>323</v>
      </c>
      <c r="L102">
        <v>100</v>
      </c>
    </row>
    <row r="103" customHeight="1" spans="1:12">
      <c r="A103" s="1">
        <v>20603</v>
      </c>
      <c r="B103">
        <f>B102</f>
        <v>20601</v>
      </c>
      <c r="C103" s="1">
        <v>2</v>
      </c>
      <c r="D103" s="1" t="s">
        <v>324</v>
      </c>
      <c r="E103">
        <v>3</v>
      </c>
      <c r="F103" s="1">
        <v>3</v>
      </c>
      <c r="G103" s="1">
        <v>3</v>
      </c>
      <c r="H103" s="1">
        <v>300</v>
      </c>
      <c r="I103" s="1">
        <f t="shared" si="44"/>
        <v>450</v>
      </c>
      <c r="J103" s="2" t="s">
        <v>325</v>
      </c>
      <c r="K103" s="3" t="s">
        <v>326</v>
      </c>
      <c r="L103">
        <v>150</v>
      </c>
    </row>
    <row r="104" customFormat="1" customHeight="1" spans="1:12">
      <c r="A104" s="1">
        <v>20700</v>
      </c>
      <c r="B104">
        <f>B105</f>
        <v>20701</v>
      </c>
      <c r="C104" s="1">
        <v>1</v>
      </c>
      <c r="D104" s="1" t="s">
        <v>327</v>
      </c>
      <c r="E104">
        <v>3</v>
      </c>
      <c r="F104" s="1">
        <v>0</v>
      </c>
      <c r="G104" s="1">
        <v>5</v>
      </c>
      <c r="H104" s="1">
        <v>0</v>
      </c>
      <c r="I104" s="1">
        <v>0</v>
      </c>
      <c r="J104" s="2" t="s">
        <v>328</v>
      </c>
      <c r="K104" s="3" t="s">
        <v>329</v>
      </c>
      <c r="L104">
        <v>0</v>
      </c>
    </row>
    <row r="105" customHeight="1" spans="1:12">
      <c r="A105" s="1">
        <v>20701</v>
      </c>
      <c r="B105">
        <f>A105</f>
        <v>20701</v>
      </c>
      <c r="C105" s="1">
        <v>1</v>
      </c>
      <c r="D105" s="1" t="s">
        <v>330</v>
      </c>
      <c r="E105">
        <v>3</v>
      </c>
      <c r="F105" s="1">
        <v>1</v>
      </c>
      <c r="G105" s="1">
        <f>F109</f>
        <v>5</v>
      </c>
      <c r="H105" s="1">
        <v>100</v>
      </c>
      <c r="I105" s="1">
        <f t="shared" ref="I105:I109" si="45">INT(H105*1.5)</f>
        <v>150</v>
      </c>
      <c r="J105" s="2" t="s">
        <v>331</v>
      </c>
      <c r="K105" s="3" t="s">
        <v>332</v>
      </c>
      <c r="L105">
        <v>50</v>
      </c>
    </row>
    <row r="106" customHeight="1" spans="1:12">
      <c r="A106" s="1">
        <v>20702</v>
      </c>
      <c r="B106">
        <f>B105</f>
        <v>20701</v>
      </c>
      <c r="C106" s="1">
        <v>1</v>
      </c>
      <c r="D106" s="1" t="s">
        <v>333</v>
      </c>
      <c r="E106">
        <v>3</v>
      </c>
      <c r="F106" s="1">
        <v>2</v>
      </c>
      <c r="G106" s="1">
        <f t="shared" ref="G106:G109" si="46">G105</f>
        <v>5</v>
      </c>
      <c r="H106" s="1">
        <v>150</v>
      </c>
      <c r="I106" s="1">
        <f t="shared" si="45"/>
        <v>225</v>
      </c>
      <c r="J106" s="2" t="s">
        <v>334</v>
      </c>
      <c r="K106" s="3" t="s">
        <v>335</v>
      </c>
      <c r="L106">
        <v>100</v>
      </c>
    </row>
    <row r="107" customHeight="1" spans="1:12">
      <c r="A107" s="1">
        <v>20703</v>
      </c>
      <c r="B107">
        <f t="shared" ref="B107:B115" si="47">B106</f>
        <v>20701</v>
      </c>
      <c r="C107" s="1">
        <v>1</v>
      </c>
      <c r="D107" s="1" t="s">
        <v>336</v>
      </c>
      <c r="E107">
        <v>3</v>
      </c>
      <c r="F107" s="1">
        <v>3</v>
      </c>
      <c r="G107" s="1">
        <f t="shared" si="46"/>
        <v>5</v>
      </c>
      <c r="H107" s="1">
        <v>200</v>
      </c>
      <c r="I107" s="1">
        <f t="shared" si="45"/>
        <v>300</v>
      </c>
      <c r="J107" s="2" t="s">
        <v>337</v>
      </c>
      <c r="K107" s="3" t="s">
        <v>338</v>
      </c>
      <c r="L107">
        <v>150</v>
      </c>
    </row>
    <row r="108" customHeight="1" spans="1:12">
      <c r="A108" s="1">
        <v>20704</v>
      </c>
      <c r="B108">
        <f t="shared" si="47"/>
        <v>20701</v>
      </c>
      <c r="C108" s="1">
        <v>1</v>
      </c>
      <c r="D108" s="1" t="s">
        <v>339</v>
      </c>
      <c r="E108">
        <v>3</v>
      </c>
      <c r="F108" s="1">
        <v>4</v>
      </c>
      <c r="G108" s="1">
        <f t="shared" si="46"/>
        <v>5</v>
      </c>
      <c r="H108" s="1">
        <v>300</v>
      </c>
      <c r="I108" s="1">
        <f t="shared" si="45"/>
        <v>450</v>
      </c>
      <c r="J108" s="2" t="s">
        <v>340</v>
      </c>
      <c r="K108" s="3" t="s">
        <v>341</v>
      </c>
      <c r="L108">
        <v>200</v>
      </c>
    </row>
    <row r="109" customHeight="1" spans="1:12">
      <c r="A109" s="1">
        <v>20705</v>
      </c>
      <c r="B109">
        <f t="shared" si="47"/>
        <v>20701</v>
      </c>
      <c r="C109" s="1">
        <v>1</v>
      </c>
      <c r="D109" s="1" t="s">
        <v>342</v>
      </c>
      <c r="E109">
        <v>3</v>
      </c>
      <c r="F109" s="1">
        <v>5</v>
      </c>
      <c r="G109" s="1">
        <f t="shared" si="46"/>
        <v>5</v>
      </c>
      <c r="H109" s="1">
        <v>500</v>
      </c>
      <c r="I109" s="1">
        <f t="shared" si="45"/>
        <v>750</v>
      </c>
      <c r="J109" s="2" t="s">
        <v>343</v>
      </c>
      <c r="K109" s="3" t="s">
        <v>344</v>
      </c>
      <c r="L109">
        <v>250</v>
      </c>
    </row>
    <row r="110" customHeight="1" spans="1:12">
      <c r="A110" s="1">
        <v>20800</v>
      </c>
      <c r="B110">
        <f>B111</f>
        <v>20801</v>
      </c>
      <c r="C110" s="1">
        <v>2</v>
      </c>
      <c r="D110" s="1" t="s">
        <v>345</v>
      </c>
      <c r="E110">
        <v>3</v>
      </c>
      <c r="F110" s="1">
        <v>0</v>
      </c>
      <c r="G110" s="1">
        <v>5</v>
      </c>
      <c r="H110" s="1">
        <v>0</v>
      </c>
      <c r="I110" s="1">
        <v>0</v>
      </c>
      <c r="J110" s="2" t="s">
        <v>346</v>
      </c>
      <c r="K110" s="3" t="s">
        <v>347</v>
      </c>
      <c r="L110">
        <v>0</v>
      </c>
    </row>
    <row r="111" customHeight="1" spans="1:12">
      <c r="A111" s="1">
        <v>20801</v>
      </c>
      <c r="B111">
        <f>A111</f>
        <v>20801</v>
      </c>
      <c r="C111" s="1">
        <v>2</v>
      </c>
      <c r="D111" s="1" t="s">
        <v>348</v>
      </c>
      <c r="E111">
        <v>3</v>
      </c>
      <c r="F111" s="1">
        <v>1</v>
      </c>
      <c r="G111" s="1">
        <f>F115</f>
        <v>5</v>
      </c>
      <c r="H111" s="1">
        <v>100</v>
      </c>
      <c r="I111" s="1">
        <f t="shared" ref="I111:I115" si="48">INT(H111*1.5)</f>
        <v>150</v>
      </c>
      <c r="J111" s="2" t="s">
        <v>346</v>
      </c>
      <c r="K111" s="3" t="s">
        <v>349</v>
      </c>
      <c r="L111">
        <v>50</v>
      </c>
    </row>
    <row r="112" customHeight="1" spans="1:12">
      <c r="A112" s="1">
        <v>20802</v>
      </c>
      <c r="B112">
        <f t="shared" si="47"/>
        <v>20801</v>
      </c>
      <c r="C112" s="1">
        <v>2</v>
      </c>
      <c r="D112" s="1" t="s">
        <v>350</v>
      </c>
      <c r="E112">
        <v>3</v>
      </c>
      <c r="F112" s="1">
        <v>2</v>
      </c>
      <c r="G112" s="1">
        <f t="shared" ref="G112:G115" si="49">G111</f>
        <v>5</v>
      </c>
      <c r="H112" s="1">
        <v>150</v>
      </c>
      <c r="I112" s="1">
        <f t="shared" si="48"/>
        <v>225</v>
      </c>
      <c r="J112" s="2" t="s">
        <v>346</v>
      </c>
      <c r="K112" s="3" t="s">
        <v>351</v>
      </c>
      <c r="L112">
        <v>100</v>
      </c>
    </row>
    <row r="113" customHeight="1" spans="1:12">
      <c r="A113" s="1">
        <v>20803</v>
      </c>
      <c r="B113">
        <f t="shared" si="47"/>
        <v>20801</v>
      </c>
      <c r="C113" s="1">
        <v>2</v>
      </c>
      <c r="D113" s="1" t="s">
        <v>352</v>
      </c>
      <c r="E113">
        <v>3</v>
      </c>
      <c r="F113" s="1">
        <v>3</v>
      </c>
      <c r="G113" s="1">
        <f t="shared" si="49"/>
        <v>5</v>
      </c>
      <c r="H113" s="1">
        <v>200</v>
      </c>
      <c r="I113" s="1">
        <f t="shared" si="48"/>
        <v>300</v>
      </c>
      <c r="J113" s="2" t="s">
        <v>346</v>
      </c>
      <c r="K113" s="3" t="s">
        <v>353</v>
      </c>
      <c r="L113">
        <v>150</v>
      </c>
    </row>
    <row r="114" customHeight="1" spans="1:12">
      <c r="A114" s="1">
        <v>20804</v>
      </c>
      <c r="B114">
        <f t="shared" si="47"/>
        <v>20801</v>
      </c>
      <c r="C114" s="1">
        <v>2</v>
      </c>
      <c r="D114" s="1" t="s">
        <v>354</v>
      </c>
      <c r="E114">
        <v>3</v>
      </c>
      <c r="F114" s="1">
        <v>4</v>
      </c>
      <c r="G114" s="1">
        <f t="shared" si="49"/>
        <v>5</v>
      </c>
      <c r="H114" s="1">
        <v>300</v>
      </c>
      <c r="I114" s="1">
        <f t="shared" si="48"/>
        <v>450</v>
      </c>
      <c r="J114" s="2" t="s">
        <v>346</v>
      </c>
      <c r="K114" s="3" t="s">
        <v>355</v>
      </c>
      <c r="L114">
        <v>200</v>
      </c>
    </row>
    <row r="115" customHeight="1" spans="1:12">
      <c r="A115" s="1">
        <v>20805</v>
      </c>
      <c r="B115">
        <f t="shared" si="47"/>
        <v>20801</v>
      </c>
      <c r="C115" s="1">
        <v>2</v>
      </c>
      <c r="D115" s="1" t="s">
        <v>356</v>
      </c>
      <c r="E115">
        <v>3</v>
      </c>
      <c r="F115" s="1">
        <v>5</v>
      </c>
      <c r="G115" s="1">
        <f t="shared" si="49"/>
        <v>5</v>
      </c>
      <c r="H115" s="1">
        <v>500</v>
      </c>
      <c r="I115" s="1">
        <f t="shared" si="48"/>
        <v>750</v>
      </c>
      <c r="J115" s="2" t="s">
        <v>346</v>
      </c>
      <c r="K115" s="3" t="s">
        <v>357</v>
      </c>
      <c r="L115">
        <v>250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Technology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WPS_1670481113</cp:lastModifiedBy>
  <dcterms:created xsi:type="dcterms:W3CDTF">2020-08-19T07:40:00Z</dcterms:created>
  <dcterms:modified xsi:type="dcterms:W3CDTF">2025-01-10T07:55:59Z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F4A446C70B7B4246819BE85B07083206</vt:lpwstr>
  </property>
</Properties>
</file>