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quipLv" sheetId="1" r:id="rId1"/>
    <sheet name="Sheet2" sheetId="2" r:id="rId2"/>
    <sheet name="Sheet3" sheetId="3" r:id="rId3"/>
  </sheets>
  <definedNames>
    <definedName name="_xlnm._FilterDatabase" localSheetId="0" hidden="1">EquipLv!$3:$123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1" authorId="0">
      <text>
        <r>
          <rPr>
            <sz val="9"/>
            <rFont val="宋体"/>
            <charset val="134"/>
          </rPr>
          <t>装备品质
1.N
2.R
3.SR
4.SRR</t>
        </r>
      </text>
    </comment>
    <comment ref="E1" authorId="0">
      <text>
        <r>
          <rPr>
            <sz val="9"/>
            <rFont val="宋体"/>
            <charset val="134"/>
          </rPr>
          <t>不同品质装备可以强化的最大等级</t>
        </r>
      </text>
    </comment>
    <comment ref="G1" authorId="0">
      <text>
        <r>
          <rPr>
            <sz val="9"/>
            <rFont val="宋体"/>
            <charset val="134"/>
          </rPr>
          <t>经验值为0则受限于星级，需要升星</t>
        </r>
      </text>
    </comment>
    <comment ref="I1" authorId="0">
      <text>
        <r>
          <rPr>
            <sz val="9"/>
            <rFont val="宋体"/>
            <charset val="134"/>
          </rPr>
          <t>{道具ID:数量,道具ID:数量}</t>
        </r>
      </text>
    </comment>
    <comment ref="G3" authorId="0">
      <text>
        <r>
          <rPr>
            <sz val="9"/>
            <rFont val="宋体"/>
            <charset val="134"/>
          </rPr>
          <t>升级需要的经验值，升级后多余的经验累计到下一级，每一级都从0开始计算经验值</t>
        </r>
      </text>
    </comment>
  </commentList>
</comments>
</file>

<file path=xl/sharedStrings.xml><?xml version="1.0" encoding="utf-8"?>
<sst xmlns="http://schemas.openxmlformats.org/spreadsheetml/2006/main" count="43" uniqueCount="31">
  <si>
    <t>ID</t>
  </si>
  <si>
    <t>Lv</t>
  </si>
  <si>
    <t>LvMax</t>
  </si>
  <si>
    <t>Quality</t>
  </si>
  <si>
    <t>Star</t>
  </si>
  <si>
    <t>SkillLv</t>
  </si>
  <si>
    <t>Exp</t>
  </si>
  <si>
    <t>Maxexp</t>
  </si>
  <si>
    <t>StarCast</t>
  </si>
  <si>
    <t>int</t>
  </si>
  <si>
    <t>string</t>
  </si>
  <si>
    <t>强化等级</t>
  </si>
  <si>
    <t>最大等级</t>
  </si>
  <si>
    <t>品质</t>
  </si>
  <si>
    <t>星级</t>
  </si>
  <si>
    <t>技能等级</t>
  </si>
  <si>
    <t>所需经验</t>
  </si>
  <si>
    <t>当前等级累计经验值</t>
  </si>
  <si>
    <t>升星消耗</t>
  </si>
  <si>
    <t>10001:1|10010:8|10011:8;30</t>
  </si>
  <si>
    <t>10001:2|10012:16|10014:16;40</t>
  </si>
  <si>
    <t>10002:1|10012:16|10014:16;30</t>
  </si>
  <si>
    <t>10002:2|10015:16|10016:16;40</t>
  </si>
  <si>
    <t>10002:3|10015:16|10016:16;50</t>
  </si>
  <si>
    <t>等级</t>
  </si>
  <si>
    <t>SSR</t>
  </si>
  <si>
    <t>SR</t>
  </si>
  <si>
    <t>R</t>
  </si>
  <si>
    <t>N</t>
  </si>
  <si>
    <t>常数</t>
  </si>
  <si>
    <t>星级常数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</si>
</sst>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abSelected="1" workbookViewId="0">
      <pane ySplit="3" topLeftCell="A101" activePane="bottomLeft" state="frozen"/>
      <selection/>
      <selection pane="bottomLeft" activeCell="I120" sqref="I120"/>
    </sheetView>
  </sheetViews>
  <sheetFormatPr defaultColWidth="9" defaultRowHeight="16.5"/>
  <cols>
    <col min="1" max="7" width="9" style="4"/>
    <col min="8" max="8" width="16.625" style="4" customWidth="1"/>
    <col min="9" max="9" width="31.625" style="4" customWidth="1"/>
    <col min="10" max="16383" width="9" style="4"/>
  </cols>
  <sheetData>
    <row r="1" spans="1:9">
      <c r="A1" s="4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</row>
    <row r="2" spans="1:9">
      <c r="A2" s="6" t="s">
        <v>9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7" t="s">
        <v>9</v>
      </c>
      <c r="H2" s="7" t="s">
        <v>9</v>
      </c>
      <c r="I2" s="4" t="s">
        <v>10</v>
      </c>
    </row>
    <row r="3" spans="1:9">
      <c r="A3" s="4" t="s">
        <v>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spans="1:9">
      <c r="A4" s="4">
        <v>1001</v>
      </c>
      <c r="B4" s="8">
        <v>1</v>
      </c>
      <c r="C4" s="8">
        <v>10</v>
      </c>
      <c r="D4" s="4" t="str">
        <f t="shared" ref="D4:D13" si="0">MID(A4,1,1)</f>
        <v>1</v>
      </c>
      <c r="E4" s="4">
        <v>1</v>
      </c>
      <c r="F4" s="4">
        <v>0</v>
      </c>
      <c r="G4" s="4">
        <f>VLOOKUP(B4,Sheet2!A1:G21,7,1)</f>
        <v>70</v>
      </c>
      <c r="H4" s="4">
        <v>0</v>
      </c>
      <c r="I4" s="4">
        <v>0</v>
      </c>
    </row>
    <row r="5" spans="1:9">
      <c r="A5" s="4">
        <v>1002</v>
      </c>
      <c r="B5" s="8">
        <v>2</v>
      </c>
      <c r="C5" s="8">
        <v>10</v>
      </c>
      <c r="D5" s="4" t="str">
        <f t="shared" si="0"/>
        <v>1</v>
      </c>
      <c r="E5" s="4">
        <v>1</v>
      </c>
      <c r="F5" s="4">
        <v>0</v>
      </c>
      <c r="G5" s="4">
        <f>VLOOKUP(B5,Sheet2!A3:G22,7,1)</f>
        <v>80</v>
      </c>
      <c r="H5" s="4">
        <f>G4+H4</f>
        <v>70</v>
      </c>
      <c r="I5" s="4">
        <v>0</v>
      </c>
    </row>
    <row r="6" spans="1:9">
      <c r="A6" s="4">
        <v>1003</v>
      </c>
      <c r="B6" s="8">
        <v>3</v>
      </c>
      <c r="C6" s="8">
        <v>10</v>
      </c>
      <c r="D6" s="4" t="str">
        <f t="shared" si="0"/>
        <v>1</v>
      </c>
      <c r="E6" s="4">
        <v>1</v>
      </c>
      <c r="F6" s="4">
        <v>0</v>
      </c>
      <c r="G6" s="4">
        <f>VLOOKUP(B6,Sheet2!A4:G23,7,1)</f>
        <v>80</v>
      </c>
      <c r="H6" s="4">
        <f>G5+H5</f>
        <v>150</v>
      </c>
      <c r="I6" s="4">
        <v>0</v>
      </c>
    </row>
    <row r="7" spans="1:9">
      <c r="A7" s="4">
        <v>1004</v>
      </c>
      <c r="B7" s="8">
        <v>4</v>
      </c>
      <c r="C7" s="8">
        <v>10</v>
      </c>
      <c r="D7" s="4" t="str">
        <f t="shared" si="0"/>
        <v>1</v>
      </c>
      <c r="E7" s="4">
        <v>1</v>
      </c>
      <c r="F7" s="4">
        <v>0</v>
      </c>
      <c r="G7" s="4">
        <f>VLOOKUP(B7,Sheet2!A5:G24,7,1)</f>
        <v>90</v>
      </c>
      <c r="H7" s="4">
        <f>G6+H6</f>
        <v>230</v>
      </c>
      <c r="I7" s="4">
        <v>0</v>
      </c>
    </row>
    <row r="8" spans="1:9">
      <c r="A8" s="4">
        <v>1005</v>
      </c>
      <c r="B8" s="8">
        <v>5</v>
      </c>
      <c r="C8" s="8">
        <v>10</v>
      </c>
      <c r="D8" s="4" t="str">
        <f t="shared" si="0"/>
        <v>1</v>
      </c>
      <c r="E8" s="4">
        <v>1</v>
      </c>
      <c r="F8" s="4">
        <v>0</v>
      </c>
      <c r="G8" s="4">
        <f>VLOOKUP(B8,Sheet2!A6:G25,7,1)</f>
        <v>100</v>
      </c>
      <c r="H8" s="4">
        <f t="shared" ref="H8:H13" si="1">G7+H7</f>
        <v>320</v>
      </c>
      <c r="I8" s="4">
        <v>0</v>
      </c>
    </row>
    <row r="9" spans="1:9">
      <c r="A9" s="4">
        <v>1006</v>
      </c>
      <c r="B9" s="8">
        <v>6</v>
      </c>
      <c r="C9" s="8">
        <v>10</v>
      </c>
      <c r="D9" s="4" t="str">
        <f t="shared" si="0"/>
        <v>1</v>
      </c>
      <c r="E9" s="4">
        <v>1</v>
      </c>
      <c r="F9" s="4">
        <v>0</v>
      </c>
      <c r="G9" s="4">
        <f>VLOOKUP(B9,Sheet2!A7:G26,7,1)</f>
        <v>110</v>
      </c>
      <c r="H9" s="4">
        <f t="shared" si="1"/>
        <v>420</v>
      </c>
      <c r="I9" s="4">
        <v>0</v>
      </c>
    </row>
    <row r="10" spans="1:9">
      <c r="A10" s="4">
        <v>1007</v>
      </c>
      <c r="B10" s="8">
        <v>7</v>
      </c>
      <c r="C10" s="8">
        <v>10</v>
      </c>
      <c r="D10" s="4" t="str">
        <f t="shared" si="0"/>
        <v>1</v>
      </c>
      <c r="E10" s="4">
        <v>1</v>
      </c>
      <c r="F10" s="4">
        <v>0</v>
      </c>
      <c r="G10" s="4">
        <f>VLOOKUP(B10,Sheet2!A8:G27,7,1)</f>
        <v>120</v>
      </c>
      <c r="H10" s="4">
        <f t="shared" si="1"/>
        <v>530</v>
      </c>
      <c r="I10" s="4">
        <v>0</v>
      </c>
    </row>
    <row r="11" spans="1:9">
      <c r="A11" s="4">
        <v>1008</v>
      </c>
      <c r="B11" s="8">
        <v>8</v>
      </c>
      <c r="C11" s="8">
        <v>10</v>
      </c>
      <c r="D11" s="4" t="str">
        <f t="shared" si="0"/>
        <v>1</v>
      </c>
      <c r="E11" s="4">
        <v>1</v>
      </c>
      <c r="F11" s="4">
        <v>0</v>
      </c>
      <c r="G11" s="4">
        <f>VLOOKUP(B11,Sheet2!A9:G28,7,1)</f>
        <v>130</v>
      </c>
      <c r="H11" s="4">
        <f t="shared" si="1"/>
        <v>650</v>
      </c>
      <c r="I11" s="4">
        <v>0</v>
      </c>
    </row>
    <row r="12" spans="1:9">
      <c r="A12" s="4">
        <v>1009</v>
      </c>
      <c r="B12" s="8">
        <v>9</v>
      </c>
      <c r="C12" s="8">
        <v>10</v>
      </c>
      <c r="D12" s="4" t="str">
        <f t="shared" si="0"/>
        <v>1</v>
      </c>
      <c r="E12" s="4">
        <v>1</v>
      </c>
      <c r="F12" s="4">
        <v>0</v>
      </c>
      <c r="G12" s="4">
        <f>VLOOKUP(B12,Sheet2!A10:G29,7,1)</f>
        <v>140</v>
      </c>
      <c r="H12" s="4">
        <f t="shared" si="1"/>
        <v>780</v>
      </c>
      <c r="I12" s="4">
        <v>0</v>
      </c>
    </row>
    <row r="13" spans="1:9">
      <c r="A13" s="4">
        <v>1010</v>
      </c>
      <c r="B13" s="8">
        <v>10</v>
      </c>
      <c r="C13" s="8">
        <v>10</v>
      </c>
      <c r="D13" s="4" t="str">
        <f t="shared" si="0"/>
        <v>1</v>
      </c>
      <c r="E13" s="4">
        <v>1</v>
      </c>
      <c r="F13" s="4">
        <v>0</v>
      </c>
      <c r="G13" s="4">
        <v>150</v>
      </c>
      <c r="H13" s="4">
        <f t="shared" si="1"/>
        <v>920</v>
      </c>
      <c r="I13" s="4">
        <v>0</v>
      </c>
    </row>
    <row r="14" spans="1:9">
      <c r="A14" s="4">
        <v>2001</v>
      </c>
      <c r="B14" s="8">
        <v>1</v>
      </c>
      <c r="C14" s="8">
        <f t="shared" ref="C14:C33" si="2">MAX(E14*10,20)</f>
        <v>20</v>
      </c>
      <c r="D14" s="4" t="str">
        <f t="shared" ref="D14:D26" si="3">MID(A14,1,1)</f>
        <v>2</v>
      </c>
      <c r="E14" s="4">
        <v>2</v>
      </c>
      <c r="F14" s="4">
        <v>0</v>
      </c>
      <c r="G14" s="4">
        <f>VLOOKUP(B14,Sheet2!A2:F31,6,1)</f>
        <v>100</v>
      </c>
      <c r="H14" s="4">
        <v>0</v>
      </c>
      <c r="I14" s="4">
        <v>0</v>
      </c>
    </row>
    <row r="15" spans="1:9">
      <c r="A15" s="4">
        <v>2002</v>
      </c>
      <c r="B15" s="8">
        <v>2</v>
      </c>
      <c r="C15" s="8">
        <f t="shared" si="2"/>
        <v>20</v>
      </c>
      <c r="D15" s="4" t="str">
        <f t="shared" si="3"/>
        <v>2</v>
      </c>
      <c r="E15" s="4">
        <v>2</v>
      </c>
      <c r="F15" s="4">
        <v>0</v>
      </c>
      <c r="G15" s="4">
        <f>VLOOKUP(B15,Sheet2!A3:F32,6,1)</f>
        <v>110</v>
      </c>
      <c r="H15" s="4">
        <f>G14+H14</f>
        <v>100</v>
      </c>
      <c r="I15" s="4">
        <v>0</v>
      </c>
    </row>
    <row r="16" spans="1:9">
      <c r="A16" s="4">
        <v>2003</v>
      </c>
      <c r="B16" s="8">
        <v>3</v>
      </c>
      <c r="C16" s="8">
        <f t="shared" si="2"/>
        <v>20</v>
      </c>
      <c r="D16" s="4" t="str">
        <f t="shared" si="3"/>
        <v>2</v>
      </c>
      <c r="E16" s="4">
        <v>2</v>
      </c>
      <c r="F16" s="4">
        <v>0</v>
      </c>
      <c r="G16" s="4">
        <f>VLOOKUP(B16,Sheet2!A4:F33,6,1)</f>
        <v>120</v>
      </c>
      <c r="H16" s="4">
        <f t="shared" ref="H16:H33" si="4">G15+H15</f>
        <v>210</v>
      </c>
      <c r="I16" s="4">
        <v>0</v>
      </c>
    </row>
    <row r="17" spans="1:9">
      <c r="A17" s="4">
        <v>2004</v>
      </c>
      <c r="B17" s="8">
        <v>4</v>
      </c>
      <c r="C17" s="8">
        <f t="shared" si="2"/>
        <v>20</v>
      </c>
      <c r="D17" s="4" t="str">
        <f t="shared" si="3"/>
        <v>2</v>
      </c>
      <c r="E17" s="4">
        <v>2</v>
      </c>
      <c r="F17" s="4">
        <v>0</v>
      </c>
      <c r="G17" s="4">
        <f>VLOOKUP(B17,Sheet2!A5:F34,6,1)</f>
        <v>130</v>
      </c>
      <c r="H17" s="4">
        <f t="shared" si="4"/>
        <v>330</v>
      </c>
      <c r="I17" s="4">
        <v>0</v>
      </c>
    </row>
    <row r="18" spans="1:9">
      <c r="A18" s="4">
        <v>2005</v>
      </c>
      <c r="B18" s="8">
        <v>5</v>
      </c>
      <c r="C18" s="8">
        <f t="shared" si="2"/>
        <v>20</v>
      </c>
      <c r="D18" s="4" t="str">
        <f t="shared" si="3"/>
        <v>2</v>
      </c>
      <c r="E18" s="4">
        <v>2</v>
      </c>
      <c r="F18" s="4">
        <v>0</v>
      </c>
      <c r="G18" s="4">
        <f>VLOOKUP(B18,Sheet2!A6:F35,6,1)</f>
        <v>150</v>
      </c>
      <c r="H18" s="4">
        <f t="shared" si="4"/>
        <v>460</v>
      </c>
      <c r="I18" s="4">
        <v>0</v>
      </c>
    </row>
    <row r="19" spans="1:9">
      <c r="A19" s="4">
        <v>2006</v>
      </c>
      <c r="B19" s="8">
        <v>6</v>
      </c>
      <c r="C19" s="8">
        <f t="shared" si="2"/>
        <v>20</v>
      </c>
      <c r="D19" s="4" t="str">
        <f t="shared" si="3"/>
        <v>2</v>
      </c>
      <c r="E19" s="4">
        <v>2</v>
      </c>
      <c r="F19" s="4">
        <v>0</v>
      </c>
      <c r="G19" s="4">
        <f>VLOOKUP(B19,Sheet2!A7:F36,6,1)</f>
        <v>160</v>
      </c>
      <c r="H19" s="4">
        <f t="shared" si="4"/>
        <v>610</v>
      </c>
      <c r="I19" s="4">
        <v>0</v>
      </c>
    </row>
    <row r="20" spans="1:9">
      <c r="A20" s="4">
        <v>2007</v>
      </c>
      <c r="B20" s="8">
        <v>7</v>
      </c>
      <c r="C20" s="8">
        <f t="shared" si="2"/>
        <v>20</v>
      </c>
      <c r="D20" s="4" t="str">
        <f t="shared" si="3"/>
        <v>2</v>
      </c>
      <c r="E20" s="4">
        <v>2</v>
      </c>
      <c r="F20" s="4">
        <v>0</v>
      </c>
      <c r="G20" s="4">
        <f>VLOOKUP(B20,Sheet2!A8:F37,6,1)</f>
        <v>180</v>
      </c>
      <c r="H20" s="4">
        <f t="shared" si="4"/>
        <v>770</v>
      </c>
      <c r="I20" s="4">
        <v>0</v>
      </c>
    </row>
    <row r="21" spans="1:9">
      <c r="A21" s="4">
        <v>2008</v>
      </c>
      <c r="B21" s="8">
        <v>8</v>
      </c>
      <c r="C21" s="8">
        <f t="shared" si="2"/>
        <v>20</v>
      </c>
      <c r="D21" s="4" t="str">
        <f t="shared" si="3"/>
        <v>2</v>
      </c>
      <c r="E21" s="4">
        <v>2</v>
      </c>
      <c r="F21" s="4">
        <v>0</v>
      </c>
      <c r="G21" s="4">
        <f>VLOOKUP(B21,Sheet2!A9:F38,6,1)</f>
        <v>190</v>
      </c>
      <c r="H21" s="4">
        <f t="shared" si="4"/>
        <v>950</v>
      </c>
      <c r="I21" s="4">
        <v>0</v>
      </c>
    </row>
    <row r="22" spans="1:9">
      <c r="A22" s="4">
        <v>2009</v>
      </c>
      <c r="B22" s="8">
        <v>9</v>
      </c>
      <c r="C22" s="8">
        <f t="shared" si="2"/>
        <v>20</v>
      </c>
      <c r="D22" s="4" t="str">
        <f t="shared" si="3"/>
        <v>2</v>
      </c>
      <c r="E22" s="4">
        <v>2</v>
      </c>
      <c r="F22" s="4">
        <v>0</v>
      </c>
      <c r="G22" s="4">
        <f>VLOOKUP(B22,Sheet2!A10:F39,6,1)</f>
        <v>210</v>
      </c>
      <c r="H22" s="4">
        <f t="shared" si="4"/>
        <v>1140</v>
      </c>
      <c r="I22" s="4">
        <v>0</v>
      </c>
    </row>
    <row r="23" spans="1:9">
      <c r="A23" s="4">
        <v>2010</v>
      </c>
      <c r="B23" s="8">
        <v>10</v>
      </c>
      <c r="C23" s="8">
        <f t="shared" si="2"/>
        <v>20</v>
      </c>
      <c r="D23" s="4" t="str">
        <f t="shared" si="3"/>
        <v>2</v>
      </c>
      <c r="E23" s="4">
        <v>2</v>
      </c>
      <c r="F23" s="4">
        <v>0</v>
      </c>
      <c r="G23" s="4">
        <f>VLOOKUP(B23,Sheet2!A11:F40,6,1)</f>
        <v>300</v>
      </c>
      <c r="H23" s="4">
        <f t="shared" si="4"/>
        <v>1350</v>
      </c>
      <c r="I23" s="4">
        <v>0</v>
      </c>
    </row>
    <row r="24" spans="1:9">
      <c r="A24" s="4">
        <v>2011</v>
      </c>
      <c r="B24" s="8">
        <v>11</v>
      </c>
      <c r="C24" s="8">
        <f t="shared" si="2"/>
        <v>20</v>
      </c>
      <c r="D24" s="4" t="str">
        <f t="shared" ref="D24:D34" si="5">MID(A24,1,1)</f>
        <v>2</v>
      </c>
      <c r="E24" s="4">
        <v>2</v>
      </c>
      <c r="F24" s="4">
        <v>0</v>
      </c>
      <c r="G24" s="4">
        <f>VLOOKUP(B24,Sheet2!A12:F41,6,1)</f>
        <v>320</v>
      </c>
      <c r="H24" s="4">
        <f t="shared" si="4"/>
        <v>1650</v>
      </c>
      <c r="I24" s="4">
        <v>0</v>
      </c>
    </row>
    <row r="25" spans="1:9">
      <c r="A25" s="4">
        <v>2012</v>
      </c>
      <c r="B25" s="8">
        <v>12</v>
      </c>
      <c r="C25" s="8">
        <f t="shared" si="2"/>
        <v>20</v>
      </c>
      <c r="D25" s="4" t="str">
        <f t="shared" si="5"/>
        <v>2</v>
      </c>
      <c r="E25" s="4">
        <v>2</v>
      </c>
      <c r="F25" s="4">
        <v>0</v>
      </c>
      <c r="G25" s="4">
        <f>VLOOKUP(B25,Sheet2!A13:F42,6,1)</f>
        <v>330</v>
      </c>
      <c r="H25" s="4">
        <f t="shared" si="4"/>
        <v>1970</v>
      </c>
      <c r="I25" s="4">
        <v>0</v>
      </c>
    </row>
    <row r="26" spans="1:9">
      <c r="A26" s="4">
        <v>2013</v>
      </c>
      <c r="B26" s="8">
        <v>13</v>
      </c>
      <c r="C26" s="8">
        <f t="shared" si="2"/>
        <v>20</v>
      </c>
      <c r="D26" s="4" t="str">
        <f t="shared" si="5"/>
        <v>2</v>
      </c>
      <c r="E26" s="4">
        <v>2</v>
      </c>
      <c r="F26" s="4">
        <v>0</v>
      </c>
      <c r="G26" s="4">
        <f>VLOOKUP(B26,Sheet2!A14:F43,6,1)</f>
        <v>350</v>
      </c>
      <c r="H26" s="4">
        <f t="shared" si="4"/>
        <v>2300</v>
      </c>
      <c r="I26" s="4">
        <v>0</v>
      </c>
    </row>
    <row r="27" spans="1:9">
      <c r="A27" s="4">
        <v>2014</v>
      </c>
      <c r="B27" s="8">
        <v>14</v>
      </c>
      <c r="C27" s="8">
        <f t="shared" si="2"/>
        <v>20</v>
      </c>
      <c r="D27" s="4" t="str">
        <f t="shared" si="5"/>
        <v>2</v>
      </c>
      <c r="E27" s="4">
        <v>2</v>
      </c>
      <c r="F27" s="4">
        <v>0</v>
      </c>
      <c r="G27" s="4">
        <f>VLOOKUP(B27,Sheet2!A15:F44,6,1)</f>
        <v>360</v>
      </c>
      <c r="H27" s="4">
        <f t="shared" si="4"/>
        <v>2650</v>
      </c>
      <c r="I27" s="4">
        <v>0</v>
      </c>
    </row>
    <row r="28" spans="1:9">
      <c r="A28" s="4">
        <v>2015</v>
      </c>
      <c r="B28" s="8">
        <v>15</v>
      </c>
      <c r="C28" s="8">
        <f t="shared" si="2"/>
        <v>20</v>
      </c>
      <c r="D28" s="4" t="str">
        <f t="shared" si="5"/>
        <v>2</v>
      </c>
      <c r="E28" s="4">
        <v>2</v>
      </c>
      <c r="F28" s="4">
        <v>0</v>
      </c>
      <c r="G28" s="4">
        <f>VLOOKUP(B28,Sheet2!A16:F45,6,1)</f>
        <v>380</v>
      </c>
      <c r="H28" s="4">
        <f t="shared" si="4"/>
        <v>3010</v>
      </c>
      <c r="I28" s="4">
        <v>0</v>
      </c>
    </row>
    <row r="29" spans="1:9">
      <c r="A29" s="4">
        <v>2016</v>
      </c>
      <c r="B29" s="8">
        <v>16</v>
      </c>
      <c r="C29" s="8">
        <f t="shared" si="2"/>
        <v>20</v>
      </c>
      <c r="D29" s="4" t="str">
        <f t="shared" si="5"/>
        <v>2</v>
      </c>
      <c r="E29" s="4">
        <v>2</v>
      </c>
      <c r="F29" s="4">
        <v>0</v>
      </c>
      <c r="G29" s="4">
        <f>VLOOKUP(B29,Sheet2!A17:F46,6,1)</f>
        <v>400</v>
      </c>
      <c r="H29" s="4">
        <f t="shared" si="4"/>
        <v>3390</v>
      </c>
      <c r="I29" s="4">
        <v>0</v>
      </c>
    </row>
    <row r="30" spans="1:9">
      <c r="A30" s="4">
        <v>2017</v>
      </c>
      <c r="B30" s="8">
        <v>17</v>
      </c>
      <c r="C30" s="8">
        <f t="shared" si="2"/>
        <v>20</v>
      </c>
      <c r="D30" s="4" t="str">
        <f t="shared" si="5"/>
        <v>2</v>
      </c>
      <c r="E30" s="4">
        <v>2</v>
      </c>
      <c r="F30" s="4">
        <v>0</v>
      </c>
      <c r="G30" s="4">
        <f>VLOOKUP(B30,Sheet2!A18:F47,6,1)</f>
        <v>420</v>
      </c>
      <c r="H30" s="4">
        <f t="shared" si="4"/>
        <v>3790</v>
      </c>
      <c r="I30" s="4">
        <v>0</v>
      </c>
    </row>
    <row r="31" spans="1:9">
      <c r="A31" s="4">
        <v>2018</v>
      </c>
      <c r="B31" s="8">
        <v>18</v>
      </c>
      <c r="C31" s="8">
        <f t="shared" si="2"/>
        <v>20</v>
      </c>
      <c r="D31" s="4" t="str">
        <f t="shared" si="5"/>
        <v>2</v>
      </c>
      <c r="E31" s="4">
        <v>2</v>
      </c>
      <c r="F31" s="4">
        <v>0</v>
      </c>
      <c r="G31" s="4">
        <f>VLOOKUP(B31,Sheet2!A19:F48,6,1)</f>
        <v>440</v>
      </c>
      <c r="H31" s="4">
        <f t="shared" si="4"/>
        <v>4210</v>
      </c>
      <c r="I31" s="4">
        <v>0</v>
      </c>
    </row>
    <row r="32" spans="1:9">
      <c r="A32" s="4">
        <v>2019</v>
      </c>
      <c r="B32" s="8">
        <v>19</v>
      </c>
      <c r="C32" s="8">
        <f t="shared" si="2"/>
        <v>20</v>
      </c>
      <c r="D32" s="4" t="str">
        <f t="shared" si="5"/>
        <v>2</v>
      </c>
      <c r="E32" s="4">
        <v>2</v>
      </c>
      <c r="F32" s="4">
        <v>0</v>
      </c>
      <c r="G32" s="4">
        <f>VLOOKUP(B32,Sheet2!A20:F49,6,1)</f>
        <v>460</v>
      </c>
      <c r="H32" s="4">
        <f t="shared" si="4"/>
        <v>4650</v>
      </c>
      <c r="I32" s="4">
        <v>0</v>
      </c>
    </row>
    <row r="33" spans="1:9">
      <c r="A33" s="4">
        <v>2020</v>
      </c>
      <c r="B33" s="8">
        <v>20</v>
      </c>
      <c r="C33" s="8">
        <f t="shared" si="2"/>
        <v>20</v>
      </c>
      <c r="D33" s="4" t="str">
        <f t="shared" si="5"/>
        <v>2</v>
      </c>
      <c r="E33" s="4">
        <v>2</v>
      </c>
      <c r="F33" s="4">
        <v>0</v>
      </c>
      <c r="G33" s="4">
        <v>480</v>
      </c>
      <c r="H33" s="4">
        <f t="shared" si="4"/>
        <v>5110</v>
      </c>
      <c r="I33" s="4">
        <v>0</v>
      </c>
    </row>
    <row r="34" spans="1:9">
      <c r="A34" s="4">
        <v>3001</v>
      </c>
      <c r="B34" s="8">
        <v>1</v>
      </c>
      <c r="C34" s="8">
        <v>40</v>
      </c>
      <c r="D34" s="4" t="str">
        <f t="shared" ref="D34:D43" si="6">MID(A34,1,1)</f>
        <v>3</v>
      </c>
      <c r="E34" s="4">
        <v>2</v>
      </c>
      <c r="F34" s="4">
        <v>0</v>
      </c>
      <c r="G34" s="4">
        <f>VLOOKUP(B34,Sheet2!A2:E41,5,1)</f>
        <v>140</v>
      </c>
      <c r="H34" s="4">
        <v>0</v>
      </c>
      <c r="I34" s="4">
        <v>0</v>
      </c>
    </row>
    <row r="35" spans="1:9">
      <c r="A35" s="4">
        <v>3002</v>
      </c>
      <c r="B35" s="8">
        <v>2</v>
      </c>
      <c r="C35" s="8">
        <v>40</v>
      </c>
      <c r="D35" s="4" t="str">
        <f t="shared" si="6"/>
        <v>3</v>
      </c>
      <c r="E35" s="4">
        <v>2</v>
      </c>
      <c r="F35" s="4">
        <v>0</v>
      </c>
      <c r="G35" s="4">
        <f>VLOOKUP(B35,Sheet2!A3:E42,5,1)</f>
        <v>150</v>
      </c>
      <c r="H35" s="4">
        <f>G34+H34</f>
        <v>140</v>
      </c>
      <c r="I35" s="4">
        <v>0</v>
      </c>
    </row>
    <row r="36" spans="1:9">
      <c r="A36" s="4">
        <v>3003</v>
      </c>
      <c r="B36" s="8">
        <v>3</v>
      </c>
      <c r="C36" s="8">
        <v>40</v>
      </c>
      <c r="D36" s="4" t="str">
        <f t="shared" si="6"/>
        <v>3</v>
      </c>
      <c r="E36" s="4">
        <v>2</v>
      </c>
      <c r="F36" s="4">
        <v>0</v>
      </c>
      <c r="G36" s="4">
        <f>VLOOKUP(B36,Sheet2!A4:E43,5,1)</f>
        <v>160</v>
      </c>
      <c r="H36" s="4">
        <f t="shared" ref="H36:H53" si="7">G35+H35</f>
        <v>290</v>
      </c>
      <c r="I36" s="4">
        <v>0</v>
      </c>
    </row>
    <row r="37" spans="1:9">
      <c r="A37" s="4">
        <v>3004</v>
      </c>
      <c r="B37" s="8">
        <v>4</v>
      </c>
      <c r="C37" s="8">
        <v>40</v>
      </c>
      <c r="D37" s="4" t="str">
        <f t="shared" si="6"/>
        <v>3</v>
      </c>
      <c r="E37" s="4">
        <v>2</v>
      </c>
      <c r="F37" s="4">
        <v>0</v>
      </c>
      <c r="G37" s="4">
        <f>VLOOKUP(B37,Sheet2!A5:E44,5,1)</f>
        <v>180</v>
      </c>
      <c r="H37" s="4">
        <f t="shared" si="7"/>
        <v>450</v>
      </c>
      <c r="I37" s="4">
        <v>0</v>
      </c>
    </row>
    <row r="38" spans="1:9">
      <c r="A38" s="4">
        <v>3005</v>
      </c>
      <c r="B38" s="8">
        <v>5</v>
      </c>
      <c r="C38" s="8">
        <v>40</v>
      </c>
      <c r="D38" s="4" t="str">
        <f t="shared" si="6"/>
        <v>3</v>
      </c>
      <c r="E38" s="4">
        <v>2</v>
      </c>
      <c r="F38" s="4">
        <v>0</v>
      </c>
      <c r="G38" s="4">
        <f>VLOOKUP(B38,Sheet2!A6:E45,5,1)</f>
        <v>200</v>
      </c>
      <c r="H38" s="4">
        <f t="shared" si="7"/>
        <v>630</v>
      </c>
      <c r="I38" s="4">
        <v>0</v>
      </c>
    </row>
    <row r="39" spans="1:9">
      <c r="A39" s="4">
        <v>3006</v>
      </c>
      <c r="B39" s="8">
        <v>6</v>
      </c>
      <c r="C39" s="8">
        <v>40</v>
      </c>
      <c r="D39" s="4" t="str">
        <f t="shared" si="6"/>
        <v>3</v>
      </c>
      <c r="E39" s="4">
        <v>2</v>
      </c>
      <c r="F39" s="4">
        <v>0</v>
      </c>
      <c r="G39" s="4">
        <f>VLOOKUP(B39,Sheet2!A7:E46,5,1)</f>
        <v>220</v>
      </c>
      <c r="H39" s="4">
        <f t="shared" si="7"/>
        <v>830</v>
      </c>
      <c r="I39" s="4">
        <v>0</v>
      </c>
    </row>
    <row r="40" spans="1:9">
      <c r="A40" s="4">
        <v>3007</v>
      </c>
      <c r="B40" s="8">
        <v>7</v>
      </c>
      <c r="C40" s="8">
        <v>40</v>
      </c>
      <c r="D40" s="4" t="str">
        <f t="shared" si="6"/>
        <v>3</v>
      </c>
      <c r="E40" s="4">
        <v>2</v>
      </c>
      <c r="F40" s="4">
        <v>0</v>
      </c>
      <c r="G40" s="4">
        <f>VLOOKUP(B40,Sheet2!A8:E47,5,1)</f>
        <v>240</v>
      </c>
      <c r="H40" s="4">
        <f t="shared" si="7"/>
        <v>1050</v>
      </c>
      <c r="I40" s="4">
        <v>0</v>
      </c>
    </row>
    <row r="41" spans="1:9">
      <c r="A41" s="4">
        <v>3008</v>
      </c>
      <c r="B41" s="8">
        <v>8</v>
      </c>
      <c r="C41" s="8">
        <v>40</v>
      </c>
      <c r="D41" s="4" t="str">
        <f t="shared" si="6"/>
        <v>3</v>
      </c>
      <c r="E41" s="4">
        <v>2</v>
      </c>
      <c r="F41" s="4">
        <v>0</v>
      </c>
      <c r="G41" s="4">
        <f>VLOOKUP(B41,Sheet2!A9:E48,5,1)</f>
        <v>260</v>
      </c>
      <c r="H41" s="4">
        <f t="shared" si="7"/>
        <v>1290</v>
      </c>
      <c r="I41" s="4">
        <v>0</v>
      </c>
    </row>
    <row r="42" spans="1:9">
      <c r="A42" s="4">
        <v>3009</v>
      </c>
      <c r="B42" s="8">
        <v>9</v>
      </c>
      <c r="C42" s="8">
        <v>40</v>
      </c>
      <c r="D42" s="4" t="str">
        <f t="shared" si="6"/>
        <v>3</v>
      </c>
      <c r="E42" s="4">
        <v>2</v>
      </c>
      <c r="F42" s="4">
        <v>0</v>
      </c>
      <c r="G42" s="4">
        <f>VLOOKUP(B42,Sheet2!A10:E49,5,1)</f>
        <v>280</v>
      </c>
      <c r="H42" s="4">
        <f t="shared" si="7"/>
        <v>1550</v>
      </c>
      <c r="I42" s="4">
        <v>0</v>
      </c>
    </row>
    <row r="43" spans="1:9">
      <c r="A43" s="4">
        <v>3010</v>
      </c>
      <c r="B43" s="8">
        <v>10</v>
      </c>
      <c r="C43" s="8">
        <v>40</v>
      </c>
      <c r="D43" s="4" t="str">
        <f t="shared" si="6"/>
        <v>3</v>
      </c>
      <c r="E43" s="4">
        <v>2</v>
      </c>
      <c r="F43" s="4">
        <v>1</v>
      </c>
      <c r="G43" s="4">
        <f>VLOOKUP(B43,Sheet2!A11:E50,5,1)</f>
        <v>400</v>
      </c>
      <c r="H43" s="4">
        <f t="shared" si="7"/>
        <v>1830</v>
      </c>
      <c r="I43" s="4">
        <v>0</v>
      </c>
    </row>
    <row r="44" spans="1:9">
      <c r="A44" s="4">
        <v>3011</v>
      </c>
      <c r="B44" s="8">
        <v>11</v>
      </c>
      <c r="C44" s="8">
        <v>40</v>
      </c>
      <c r="D44" s="4" t="str">
        <f t="shared" ref="D44:D54" si="8">MID(A44,1,1)</f>
        <v>3</v>
      </c>
      <c r="E44" s="4">
        <v>2</v>
      </c>
      <c r="F44" s="4">
        <v>1</v>
      </c>
      <c r="G44" s="4">
        <f>VLOOKUP(B44,Sheet2!A12:E51,5,1)</f>
        <v>420</v>
      </c>
      <c r="H44" s="4">
        <f t="shared" si="7"/>
        <v>2230</v>
      </c>
      <c r="I44" s="4">
        <v>0</v>
      </c>
    </row>
    <row r="45" spans="1:9">
      <c r="A45" s="4">
        <v>3012</v>
      </c>
      <c r="B45" s="8">
        <v>12</v>
      </c>
      <c r="C45" s="8">
        <v>40</v>
      </c>
      <c r="D45" s="4" t="str">
        <f t="shared" si="8"/>
        <v>3</v>
      </c>
      <c r="E45" s="4">
        <v>2</v>
      </c>
      <c r="F45" s="4">
        <v>1</v>
      </c>
      <c r="G45" s="4">
        <f>VLOOKUP(B45,Sheet2!A13:E52,5,1)</f>
        <v>440</v>
      </c>
      <c r="H45" s="4">
        <f t="shared" si="7"/>
        <v>2650</v>
      </c>
      <c r="I45" s="4">
        <v>0</v>
      </c>
    </row>
    <row r="46" spans="1:9">
      <c r="A46" s="4">
        <v>3013</v>
      </c>
      <c r="B46" s="8">
        <v>13</v>
      </c>
      <c r="C46" s="8">
        <v>40</v>
      </c>
      <c r="D46" s="4" t="str">
        <f t="shared" si="8"/>
        <v>3</v>
      </c>
      <c r="E46" s="4">
        <v>2</v>
      </c>
      <c r="F46" s="4">
        <v>1</v>
      </c>
      <c r="G46" s="4">
        <f>VLOOKUP(B46,Sheet2!A14:E53,5,1)</f>
        <v>460</v>
      </c>
      <c r="H46" s="4">
        <f t="shared" si="7"/>
        <v>3090</v>
      </c>
      <c r="I46" s="4">
        <v>0</v>
      </c>
    </row>
    <row r="47" spans="1:9">
      <c r="A47" s="4">
        <v>3014</v>
      </c>
      <c r="B47" s="8">
        <v>14</v>
      </c>
      <c r="C47" s="8">
        <v>40</v>
      </c>
      <c r="D47" s="4" t="str">
        <f t="shared" si="8"/>
        <v>3</v>
      </c>
      <c r="E47" s="4">
        <v>2</v>
      </c>
      <c r="F47" s="4">
        <v>1</v>
      </c>
      <c r="G47" s="4">
        <f>VLOOKUP(B47,Sheet2!A15:E54,5,1)</f>
        <v>480</v>
      </c>
      <c r="H47" s="4">
        <f t="shared" si="7"/>
        <v>3550</v>
      </c>
      <c r="I47" s="4">
        <v>0</v>
      </c>
    </row>
    <row r="48" spans="1:9">
      <c r="A48" s="4">
        <v>3015</v>
      </c>
      <c r="B48" s="8">
        <v>15</v>
      </c>
      <c r="C48" s="8">
        <v>40</v>
      </c>
      <c r="D48" s="4" t="str">
        <f t="shared" si="8"/>
        <v>3</v>
      </c>
      <c r="E48" s="4">
        <v>2</v>
      </c>
      <c r="F48" s="4">
        <v>1</v>
      </c>
      <c r="G48" s="4">
        <f>VLOOKUP(B48,Sheet2!A16:E55,5,1)</f>
        <v>510</v>
      </c>
      <c r="H48" s="4">
        <f t="shared" si="7"/>
        <v>4030</v>
      </c>
      <c r="I48" s="4">
        <v>0</v>
      </c>
    </row>
    <row r="49" spans="1:9">
      <c r="A49" s="4">
        <v>3016</v>
      </c>
      <c r="B49" s="8">
        <v>16</v>
      </c>
      <c r="C49" s="8">
        <v>40</v>
      </c>
      <c r="D49" s="4" t="str">
        <f t="shared" si="8"/>
        <v>3</v>
      </c>
      <c r="E49" s="4">
        <v>2</v>
      </c>
      <c r="F49" s="4">
        <v>1</v>
      </c>
      <c r="G49" s="4">
        <f>VLOOKUP(B49,Sheet2!A17:E56,5,1)</f>
        <v>540</v>
      </c>
      <c r="H49" s="4">
        <f t="shared" si="7"/>
        <v>4540</v>
      </c>
      <c r="I49" s="4">
        <v>0</v>
      </c>
    </row>
    <row r="50" spans="1:9">
      <c r="A50" s="4">
        <v>3017</v>
      </c>
      <c r="B50" s="8">
        <v>17</v>
      </c>
      <c r="C50" s="8">
        <v>40</v>
      </c>
      <c r="D50" s="4" t="str">
        <f t="shared" si="8"/>
        <v>3</v>
      </c>
      <c r="E50" s="4">
        <v>2</v>
      </c>
      <c r="F50" s="4">
        <v>1</v>
      </c>
      <c r="G50" s="4">
        <f>VLOOKUP(B50,Sheet2!A18:E57,5,1)</f>
        <v>560</v>
      </c>
      <c r="H50" s="4">
        <f t="shared" si="7"/>
        <v>5080</v>
      </c>
      <c r="I50" s="4">
        <v>0</v>
      </c>
    </row>
    <row r="51" spans="1:9">
      <c r="A51" s="4">
        <v>3018</v>
      </c>
      <c r="B51" s="8">
        <v>18</v>
      </c>
      <c r="C51" s="8">
        <v>40</v>
      </c>
      <c r="D51" s="4" t="str">
        <f t="shared" si="8"/>
        <v>3</v>
      </c>
      <c r="E51" s="4">
        <v>2</v>
      </c>
      <c r="F51" s="4">
        <v>1</v>
      </c>
      <c r="G51" s="4">
        <f>VLOOKUP(B51,Sheet2!A19:E58,5,1)</f>
        <v>590</v>
      </c>
      <c r="H51" s="4">
        <f t="shared" si="7"/>
        <v>5640</v>
      </c>
      <c r="I51" s="4">
        <v>0</v>
      </c>
    </row>
    <row r="52" spans="1:9">
      <c r="A52" s="4">
        <v>3019</v>
      </c>
      <c r="B52" s="8">
        <v>19</v>
      </c>
      <c r="C52" s="8">
        <v>40</v>
      </c>
      <c r="D52" s="4" t="str">
        <f t="shared" si="8"/>
        <v>3</v>
      </c>
      <c r="E52" s="4">
        <v>2</v>
      </c>
      <c r="F52" s="4">
        <v>1</v>
      </c>
      <c r="G52" s="4">
        <f>VLOOKUP(B52,Sheet2!A20:E59,5,1)</f>
        <v>620</v>
      </c>
      <c r="H52" s="4">
        <f t="shared" si="7"/>
        <v>6230</v>
      </c>
      <c r="I52" s="4">
        <v>0</v>
      </c>
    </row>
    <row r="53" spans="1:9">
      <c r="A53" s="4">
        <v>3020</v>
      </c>
      <c r="B53" s="8">
        <v>20</v>
      </c>
      <c r="C53" s="8">
        <v>40</v>
      </c>
      <c r="D53" s="4" t="str">
        <f t="shared" si="8"/>
        <v>3</v>
      </c>
      <c r="E53" s="4">
        <v>2</v>
      </c>
      <c r="F53" s="4">
        <v>2</v>
      </c>
      <c r="G53" s="4">
        <f>VLOOKUP(B53,Sheet2!A21:E60,5,1)</f>
        <v>860</v>
      </c>
      <c r="H53" s="4">
        <f t="shared" si="7"/>
        <v>6850</v>
      </c>
      <c r="I53" s="4" t="s">
        <v>19</v>
      </c>
    </row>
    <row r="54" spans="1:9">
      <c r="A54" s="4">
        <v>3021</v>
      </c>
      <c r="B54" s="8">
        <v>21</v>
      </c>
      <c r="C54" s="8">
        <v>40</v>
      </c>
      <c r="D54" s="4" t="str">
        <f t="shared" si="8"/>
        <v>3</v>
      </c>
      <c r="E54" s="4">
        <v>3</v>
      </c>
      <c r="F54" s="4">
        <v>2</v>
      </c>
      <c r="G54" s="4">
        <f>VLOOKUP(B54,Sheet2!A22:E61,5,1)</f>
        <v>880</v>
      </c>
      <c r="H54" s="4">
        <f t="shared" ref="H54:H73" si="9">G53+H53</f>
        <v>7710</v>
      </c>
      <c r="I54" s="4">
        <v>0</v>
      </c>
    </row>
    <row r="55" spans="1:9">
      <c r="A55" s="4">
        <v>3022</v>
      </c>
      <c r="B55" s="8">
        <v>22</v>
      </c>
      <c r="C55" s="8">
        <v>40</v>
      </c>
      <c r="D55" s="4" t="str">
        <f t="shared" ref="D55:D67" si="10">MID(A55,1,1)</f>
        <v>3</v>
      </c>
      <c r="E55" s="4">
        <v>3</v>
      </c>
      <c r="F55" s="4">
        <v>2</v>
      </c>
      <c r="G55" s="4">
        <f>VLOOKUP(B55,Sheet2!A23:E62,5,1)</f>
        <v>910</v>
      </c>
      <c r="H55" s="4">
        <f t="shared" si="9"/>
        <v>8590</v>
      </c>
      <c r="I55" s="4">
        <v>0</v>
      </c>
    </row>
    <row r="56" spans="1:9">
      <c r="A56" s="4">
        <v>3023</v>
      </c>
      <c r="B56" s="8">
        <v>23</v>
      </c>
      <c r="C56" s="8">
        <v>40</v>
      </c>
      <c r="D56" s="4" t="str">
        <f t="shared" si="10"/>
        <v>3</v>
      </c>
      <c r="E56" s="4">
        <v>3</v>
      </c>
      <c r="F56" s="4">
        <v>2</v>
      </c>
      <c r="G56" s="4">
        <f>VLOOKUP(B56,Sheet2!A24:E63,5,1)</f>
        <v>940</v>
      </c>
      <c r="H56" s="4">
        <f t="shared" si="9"/>
        <v>9500</v>
      </c>
      <c r="I56" s="4">
        <v>0</v>
      </c>
    </row>
    <row r="57" spans="1:9">
      <c r="A57" s="4">
        <v>3024</v>
      </c>
      <c r="B57" s="8">
        <v>24</v>
      </c>
      <c r="C57" s="8">
        <v>40</v>
      </c>
      <c r="D57" s="4" t="str">
        <f t="shared" si="10"/>
        <v>3</v>
      </c>
      <c r="E57" s="4">
        <v>3</v>
      </c>
      <c r="F57" s="4">
        <v>2</v>
      </c>
      <c r="G57" s="4">
        <f>VLOOKUP(B57,Sheet2!A25:E64,5,1)</f>
        <v>960</v>
      </c>
      <c r="H57" s="4">
        <f t="shared" si="9"/>
        <v>10440</v>
      </c>
      <c r="I57" s="4">
        <v>0</v>
      </c>
    </row>
    <row r="58" spans="1:9">
      <c r="A58" s="4">
        <v>3025</v>
      </c>
      <c r="B58" s="8">
        <v>25</v>
      </c>
      <c r="C58" s="8">
        <v>40</v>
      </c>
      <c r="D58" s="4" t="str">
        <f t="shared" si="10"/>
        <v>3</v>
      </c>
      <c r="E58" s="4">
        <v>3</v>
      </c>
      <c r="F58" s="4">
        <v>2</v>
      </c>
      <c r="G58" s="4">
        <f>VLOOKUP(B58,Sheet2!A26:E65,5,1)</f>
        <v>1000</v>
      </c>
      <c r="H58" s="4">
        <f t="shared" si="9"/>
        <v>11400</v>
      </c>
      <c r="I58" s="4">
        <v>0</v>
      </c>
    </row>
    <row r="59" spans="1:9">
      <c r="A59" s="4">
        <v>3026</v>
      </c>
      <c r="B59" s="8">
        <v>26</v>
      </c>
      <c r="C59" s="8">
        <v>40</v>
      </c>
      <c r="D59" s="4" t="str">
        <f t="shared" si="10"/>
        <v>3</v>
      </c>
      <c r="E59" s="4">
        <v>3</v>
      </c>
      <c r="F59" s="4">
        <v>2</v>
      </c>
      <c r="G59" s="4">
        <f>VLOOKUP(B59,Sheet2!A27:E66,5,1)</f>
        <v>1030</v>
      </c>
      <c r="H59" s="4">
        <f t="shared" si="9"/>
        <v>12400</v>
      </c>
      <c r="I59" s="4">
        <v>0</v>
      </c>
    </row>
    <row r="60" spans="1:9">
      <c r="A60" s="4">
        <v>3027</v>
      </c>
      <c r="B60" s="8">
        <v>27</v>
      </c>
      <c r="C60" s="8">
        <v>40</v>
      </c>
      <c r="D60" s="4" t="str">
        <f t="shared" si="10"/>
        <v>3</v>
      </c>
      <c r="E60" s="4">
        <v>3</v>
      </c>
      <c r="F60" s="4">
        <v>2</v>
      </c>
      <c r="G60" s="4">
        <f>VLOOKUP(B60,Sheet2!A28:E67,5,1)</f>
        <v>1060</v>
      </c>
      <c r="H60" s="4">
        <f t="shared" si="9"/>
        <v>13430</v>
      </c>
      <c r="I60" s="4">
        <v>0</v>
      </c>
    </row>
    <row r="61" spans="1:9">
      <c r="A61" s="4">
        <v>3028</v>
      </c>
      <c r="B61" s="8">
        <v>28</v>
      </c>
      <c r="C61" s="8">
        <v>40</v>
      </c>
      <c r="D61" s="4" t="str">
        <f t="shared" si="10"/>
        <v>3</v>
      </c>
      <c r="E61" s="4">
        <v>3</v>
      </c>
      <c r="F61" s="4">
        <v>2</v>
      </c>
      <c r="G61" s="4">
        <f>VLOOKUP(B61,Sheet2!A29:E68,5,1)</f>
        <v>1100</v>
      </c>
      <c r="H61" s="4">
        <f t="shared" si="9"/>
        <v>14490</v>
      </c>
      <c r="I61" s="4">
        <v>0</v>
      </c>
    </row>
    <row r="62" spans="1:9">
      <c r="A62" s="4">
        <v>3029</v>
      </c>
      <c r="B62" s="8">
        <v>29</v>
      </c>
      <c r="C62" s="8">
        <v>40</v>
      </c>
      <c r="D62" s="4" t="str">
        <f t="shared" si="10"/>
        <v>3</v>
      </c>
      <c r="E62" s="4">
        <v>3</v>
      </c>
      <c r="F62" s="4">
        <v>2</v>
      </c>
      <c r="G62" s="4">
        <f>VLOOKUP(B62,Sheet2!A30:E69,5,1)</f>
        <v>1130</v>
      </c>
      <c r="H62" s="4">
        <f t="shared" si="9"/>
        <v>15590</v>
      </c>
      <c r="I62" s="4">
        <v>0</v>
      </c>
    </row>
    <row r="63" spans="1:9">
      <c r="A63" s="4">
        <v>3030</v>
      </c>
      <c r="B63" s="8">
        <v>30</v>
      </c>
      <c r="C63" s="8">
        <v>40</v>
      </c>
      <c r="D63" s="4" t="str">
        <f t="shared" si="10"/>
        <v>3</v>
      </c>
      <c r="E63" s="4">
        <v>3</v>
      </c>
      <c r="F63" s="4">
        <v>3</v>
      </c>
      <c r="G63" s="4">
        <f>VLOOKUP(B63,Sheet2!A31:E70,5,1)</f>
        <v>1480</v>
      </c>
      <c r="H63" s="4">
        <f t="shared" si="9"/>
        <v>16720</v>
      </c>
      <c r="I63" s="4" t="s">
        <v>20</v>
      </c>
    </row>
    <row r="64" spans="1:9">
      <c r="A64" s="4">
        <v>3031</v>
      </c>
      <c r="B64" s="8">
        <v>31</v>
      </c>
      <c r="C64" s="8">
        <v>40</v>
      </c>
      <c r="D64" s="4" t="str">
        <f t="shared" si="10"/>
        <v>3</v>
      </c>
      <c r="E64" s="4">
        <v>4</v>
      </c>
      <c r="F64" s="4">
        <v>3</v>
      </c>
      <c r="G64" s="4">
        <f>VLOOKUP(B64,Sheet2!A32:E71,5,1)</f>
        <v>1520</v>
      </c>
      <c r="H64" s="4">
        <f t="shared" si="9"/>
        <v>18200</v>
      </c>
      <c r="I64" s="4">
        <v>0</v>
      </c>
    </row>
    <row r="65" spans="1:9">
      <c r="A65" s="4">
        <v>3032</v>
      </c>
      <c r="B65" s="8">
        <v>32</v>
      </c>
      <c r="C65" s="8">
        <v>40</v>
      </c>
      <c r="D65" s="4" t="str">
        <f t="shared" si="10"/>
        <v>3</v>
      </c>
      <c r="E65" s="4">
        <v>4</v>
      </c>
      <c r="F65" s="4">
        <v>3</v>
      </c>
      <c r="G65" s="4">
        <f>VLOOKUP(B65,Sheet2!A33:E72,5,1)</f>
        <v>1550</v>
      </c>
      <c r="H65" s="4">
        <f t="shared" si="9"/>
        <v>19720</v>
      </c>
      <c r="I65" s="4">
        <v>0</v>
      </c>
    </row>
    <row r="66" spans="1:9">
      <c r="A66" s="4">
        <v>3033</v>
      </c>
      <c r="B66" s="8">
        <v>33</v>
      </c>
      <c r="C66" s="8">
        <v>40</v>
      </c>
      <c r="D66" s="4" t="str">
        <f t="shared" si="10"/>
        <v>3</v>
      </c>
      <c r="E66" s="4">
        <v>4</v>
      </c>
      <c r="F66" s="4">
        <v>3</v>
      </c>
      <c r="G66" s="4">
        <f>VLOOKUP(B66,Sheet2!A34:E73,5,1)</f>
        <v>1580</v>
      </c>
      <c r="H66" s="4">
        <f t="shared" si="9"/>
        <v>21270</v>
      </c>
      <c r="I66" s="4">
        <v>0</v>
      </c>
    </row>
    <row r="67" spans="1:9">
      <c r="A67" s="4">
        <v>3034</v>
      </c>
      <c r="B67" s="8">
        <v>34</v>
      </c>
      <c r="C67" s="8">
        <v>40</v>
      </c>
      <c r="D67" s="4" t="str">
        <f t="shared" ref="D67:D98" si="11">MID(A67,1,1)</f>
        <v>3</v>
      </c>
      <c r="E67" s="4">
        <v>4</v>
      </c>
      <c r="F67" s="4">
        <v>3</v>
      </c>
      <c r="G67" s="4">
        <f>VLOOKUP(B67,Sheet2!A35:E74,5,1)</f>
        <v>1620</v>
      </c>
      <c r="H67" s="4">
        <f t="shared" si="9"/>
        <v>22850</v>
      </c>
      <c r="I67" s="4">
        <v>0</v>
      </c>
    </row>
    <row r="68" spans="1:9">
      <c r="A68" s="4">
        <v>3035</v>
      </c>
      <c r="B68" s="8">
        <v>35</v>
      </c>
      <c r="C68" s="8">
        <v>40</v>
      </c>
      <c r="D68" s="4" t="str">
        <f t="shared" si="11"/>
        <v>3</v>
      </c>
      <c r="E68" s="4">
        <v>4</v>
      </c>
      <c r="F68" s="4">
        <v>3</v>
      </c>
      <c r="G68" s="4">
        <f>VLOOKUP(B68,Sheet2!A36:E75,5,1)</f>
        <v>1660</v>
      </c>
      <c r="H68" s="4">
        <f t="shared" si="9"/>
        <v>24470</v>
      </c>
      <c r="I68" s="4">
        <v>0</v>
      </c>
    </row>
    <row r="69" spans="1:9">
      <c r="A69" s="4">
        <v>3036</v>
      </c>
      <c r="B69" s="8">
        <v>36</v>
      </c>
      <c r="C69" s="8">
        <v>40</v>
      </c>
      <c r="D69" s="4" t="str">
        <f t="shared" si="11"/>
        <v>3</v>
      </c>
      <c r="E69" s="4">
        <v>4</v>
      </c>
      <c r="F69" s="4">
        <v>3</v>
      </c>
      <c r="G69" s="4">
        <f>VLOOKUP(B69,Sheet2!A37:E76,5,1)</f>
        <v>1700</v>
      </c>
      <c r="H69" s="4">
        <f t="shared" si="9"/>
        <v>26130</v>
      </c>
      <c r="I69" s="4">
        <v>0</v>
      </c>
    </row>
    <row r="70" spans="1:9">
      <c r="A70" s="4">
        <v>3037</v>
      </c>
      <c r="B70" s="8">
        <v>37</v>
      </c>
      <c r="C70" s="8">
        <v>40</v>
      </c>
      <c r="D70" s="4" t="str">
        <f t="shared" si="11"/>
        <v>3</v>
      </c>
      <c r="E70" s="4">
        <v>4</v>
      </c>
      <c r="F70" s="4">
        <v>3</v>
      </c>
      <c r="G70" s="4">
        <f>VLOOKUP(B70,Sheet2!A38:E77,5,1)</f>
        <v>1740</v>
      </c>
      <c r="H70" s="4">
        <f t="shared" si="9"/>
        <v>27830</v>
      </c>
      <c r="I70" s="4">
        <v>0</v>
      </c>
    </row>
    <row r="71" spans="1:9">
      <c r="A71" s="4">
        <v>3038</v>
      </c>
      <c r="B71" s="8">
        <v>38</v>
      </c>
      <c r="C71" s="8">
        <v>40</v>
      </c>
      <c r="D71" s="4" t="str">
        <f t="shared" si="11"/>
        <v>3</v>
      </c>
      <c r="E71" s="4">
        <v>4</v>
      </c>
      <c r="F71" s="4">
        <v>3</v>
      </c>
      <c r="G71" s="4">
        <f>VLOOKUP(B71,Sheet2!A39:E78,5,1)</f>
        <v>1780</v>
      </c>
      <c r="H71" s="4">
        <f t="shared" si="9"/>
        <v>29570</v>
      </c>
      <c r="I71" s="4">
        <v>0</v>
      </c>
    </row>
    <row r="72" spans="1:9">
      <c r="A72" s="4">
        <v>3039</v>
      </c>
      <c r="B72" s="8">
        <v>39</v>
      </c>
      <c r="C72" s="8">
        <v>40</v>
      </c>
      <c r="D72" s="4" t="str">
        <f t="shared" si="11"/>
        <v>3</v>
      </c>
      <c r="E72" s="4">
        <v>4</v>
      </c>
      <c r="F72" s="4">
        <v>3</v>
      </c>
      <c r="G72" s="4">
        <f>VLOOKUP(B72,Sheet2!A40:E79,5,1)</f>
        <v>1820</v>
      </c>
      <c r="H72" s="4">
        <f t="shared" si="9"/>
        <v>31350</v>
      </c>
      <c r="I72" s="4">
        <v>0</v>
      </c>
    </row>
    <row r="73" spans="1:9">
      <c r="A73" s="4">
        <v>3040</v>
      </c>
      <c r="B73" s="8">
        <v>40</v>
      </c>
      <c r="C73" s="8">
        <v>40</v>
      </c>
      <c r="D73" s="4" t="str">
        <f t="shared" si="11"/>
        <v>3</v>
      </c>
      <c r="E73" s="4">
        <v>4</v>
      </c>
      <c r="F73" s="4">
        <v>4</v>
      </c>
      <c r="G73" s="4">
        <v>1860</v>
      </c>
      <c r="H73" s="4">
        <f t="shared" si="9"/>
        <v>33170</v>
      </c>
      <c r="I73" s="4">
        <v>0</v>
      </c>
    </row>
    <row r="74" spans="1:9">
      <c r="A74" s="4">
        <v>4001</v>
      </c>
      <c r="B74" s="8">
        <v>1</v>
      </c>
      <c r="C74" s="8">
        <v>50</v>
      </c>
      <c r="D74" s="4" t="str">
        <f t="shared" si="11"/>
        <v>4</v>
      </c>
      <c r="E74" s="4">
        <v>3</v>
      </c>
      <c r="F74" s="4">
        <f t="shared" ref="F64:F102" si="12">ROUNDDOWN(B74/10,0)</f>
        <v>0</v>
      </c>
      <c r="G74" s="4">
        <f>VLOOKUP(B74,Sheet2!A2:B51,2,1)</f>
        <v>200</v>
      </c>
      <c r="H74" s="4">
        <v>0</v>
      </c>
      <c r="I74" s="4">
        <v>0</v>
      </c>
    </row>
    <row r="75" spans="1:9">
      <c r="A75" s="4">
        <v>4002</v>
      </c>
      <c r="B75" s="8">
        <v>2</v>
      </c>
      <c r="C75" s="8">
        <v>50</v>
      </c>
      <c r="D75" s="4" t="str">
        <f t="shared" si="11"/>
        <v>4</v>
      </c>
      <c r="E75" s="4">
        <v>3</v>
      </c>
      <c r="F75" s="4">
        <f t="shared" si="12"/>
        <v>0</v>
      </c>
      <c r="G75" s="4">
        <f>VLOOKUP(B75,Sheet2!A3:B52,2,1)</f>
        <v>220</v>
      </c>
      <c r="H75" s="4">
        <f>G74+H74</f>
        <v>200</v>
      </c>
      <c r="I75" s="4">
        <v>0</v>
      </c>
    </row>
    <row r="76" spans="1:9">
      <c r="A76" s="4">
        <v>4003</v>
      </c>
      <c r="B76" s="8">
        <v>3</v>
      </c>
      <c r="C76" s="8">
        <v>50</v>
      </c>
      <c r="D76" s="4" t="str">
        <f t="shared" si="11"/>
        <v>4</v>
      </c>
      <c r="E76" s="4">
        <v>3</v>
      </c>
      <c r="F76" s="4">
        <f t="shared" si="12"/>
        <v>0</v>
      </c>
      <c r="G76" s="4">
        <f>VLOOKUP(B76,Sheet2!A4:B53,2,1)</f>
        <v>240</v>
      </c>
      <c r="H76" s="4">
        <f t="shared" ref="H76:H92" si="13">G75+H75</f>
        <v>420</v>
      </c>
      <c r="I76" s="4">
        <v>0</v>
      </c>
    </row>
    <row r="77" spans="1:9">
      <c r="A77" s="4">
        <v>4004</v>
      </c>
      <c r="B77" s="8">
        <v>4</v>
      </c>
      <c r="C77" s="8">
        <v>50</v>
      </c>
      <c r="D77" s="4" t="str">
        <f t="shared" si="11"/>
        <v>4</v>
      </c>
      <c r="E77" s="4">
        <v>3</v>
      </c>
      <c r="F77" s="4">
        <f t="shared" si="12"/>
        <v>0</v>
      </c>
      <c r="G77" s="4">
        <f>VLOOKUP(B77,Sheet2!A5:B54,2,1)</f>
        <v>260</v>
      </c>
      <c r="H77" s="4">
        <f t="shared" si="13"/>
        <v>660</v>
      </c>
      <c r="I77" s="4">
        <v>0</v>
      </c>
    </row>
    <row r="78" spans="1:9">
      <c r="A78" s="4">
        <v>4005</v>
      </c>
      <c r="B78" s="8">
        <v>5</v>
      </c>
      <c r="C78" s="8">
        <v>50</v>
      </c>
      <c r="D78" s="4" t="str">
        <f t="shared" si="11"/>
        <v>4</v>
      </c>
      <c r="E78" s="4">
        <v>3</v>
      </c>
      <c r="F78" s="4">
        <f t="shared" si="12"/>
        <v>0</v>
      </c>
      <c r="G78" s="4">
        <f>VLOOKUP(B78,Sheet2!A6:B55,2,1)</f>
        <v>290</v>
      </c>
      <c r="H78" s="4">
        <f t="shared" si="13"/>
        <v>920</v>
      </c>
      <c r="I78" s="4">
        <v>0</v>
      </c>
    </row>
    <row r="79" spans="1:9">
      <c r="A79" s="4">
        <v>4006</v>
      </c>
      <c r="B79" s="8">
        <v>6</v>
      </c>
      <c r="C79" s="8">
        <v>50</v>
      </c>
      <c r="D79" s="4" t="str">
        <f t="shared" si="11"/>
        <v>4</v>
      </c>
      <c r="E79" s="4">
        <v>3</v>
      </c>
      <c r="F79" s="4">
        <f t="shared" si="12"/>
        <v>0</v>
      </c>
      <c r="G79" s="4">
        <f>VLOOKUP(B79,Sheet2!A7:B56,2,1)</f>
        <v>320</v>
      </c>
      <c r="H79" s="4">
        <f t="shared" si="13"/>
        <v>1210</v>
      </c>
      <c r="I79" s="4">
        <v>0</v>
      </c>
    </row>
    <row r="80" spans="1:9">
      <c r="A80" s="4">
        <v>4007</v>
      </c>
      <c r="B80" s="8">
        <v>7</v>
      </c>
      <c r="C80" s="8">
        <v>50</v>
      </c>
      <c r="D80" s="4" t="str">
        <f t="shared" si="11"/>
        <v>4</v>
      </c>
      <c r="E80" s="4">
        <v>3</v>
      </c>
      <c r="F80" s="4">
        <f t="shared" si="12"/>
        <v>0</v>
      </c>
      <c r="G80" s="4">
        <f>VLOOKUP(B80,Sheet2!A8:B57,2,1)</f>
        <v>350</v>
      </c>
      <c r="H80" s="4">
        <f t="shared" si="13"/>
        <v>1530</v>
      </c>
      <c r="I80" s="4">
        <v>0</v>
      </c>
    </row>
    <row r="81" spans="1:9">
      <c r="A81" s="4">
        <v>4008</v>
      </c>
      <c r="B81" s="8">
        <v>8</v>
      </c>
      <c r="C81" s="8">
        <v>50</v>
      </c>
      <c r="D81" s="4" t="str">
        <f t="shared" si="11"/>
        <v>4</v>
      </c>
      <c r="E81" s="4">
        <v>3</v>
      </c>
      <c r="F81" s="4">
        <f t="shared" si="12"/>
        <v>0</v>
      </c>
      <c r="G81" s="4">
        <f>VLOOKUP(B81,Sheet2!A9:B58,2,1)</f>
        <v>380</v>
      </c>
      <c r="H81" s="4">
        <f t="shared" si="13"/>
        <v>1880</v>
      </c>
      <c r="I81" s="4">
        <v>0</v>
      </c>
    </row>
    <row r="82" spans="1:9">
      <c r="A82" s="4">
        <v>4009</v>
      </c>
      <c r="B82" s="8">
        <v>9</v>
      </c>
      <c r="C82" s="8">
        <v>50</v>
      </c>
      <c r="D82" s="4" t="str">
        <f t="shared" si="11"/>
        <v>4</v>
      </c>
      <c r="E82" s="4">
        <v>3</v>
      </c>
      <c r="F82" s="4">
        <f t="shared" si="12"/>
        <v>0</v>
      </c>
      <c r="G82" s="4">
        <f>VLOOKUP(B82,Sheet2!A10:B59,2,1)</f>
        <v>410</v>
      </c>
      <c r="H82" s="4">
        <f t="shared" si="13"/>
        <v>2260</v>
      </c>
      <c r="I82" s="4">
        <v>0</v>
      </c>
    </row>
    <row r="83" spans="1:9">
      <c r="A83" s="4">
        <v>4010</v>
      </c>
      <c r="B83" s="8">
        <v>10</v>
      </c>
      <c r="C83" s="8">
        <v>50</v>
      </c>
      <c r="D83" s="4" t="str">
        <f t="shared" si="11"/>
        <v>4</v>
      </c>
      <c r="E83" s="4">
        <v>3</v>
      </c>
      <c r="F83" s="4">
        <f t="shared" si="12"/>
        <v>1</v>
      </c>
      <c r="G83" s="4">
        <f>VLOOKUP(B83,Sheet2!A11:B60,2,1)</f>
        <v>600</v>
      </c>
      <c r="H83" s="4">
        <f t="shared" si="13"/>
        <v>2670</v>
      </c>
      <c r="I83" s="4">
        <v>0</v>
      </c>
    </row>
    <row r="84" spans="1:9">
      <c r="A84" s="4">
        <v>4011</v>
      </c>
      <c r="B84" s="8">
        <v>11</v>
      </c>
      <c r="C84" s="8">
        <v>50</v>
      </c>
      <c r="D84" s="4" t="str">
        <f t="shared" si="11"/>
        <v>4</v>
      </c>
      <c r="E84" s="4">
        <v>3</v>
      </c>
      <c r="F84" s="4">
        <f t="shared" si="12"/>
        <v>1</v>
      </c>
      <c r="G84" s="4">
        <f>VLOOKUP(B84,Sheet2!A12:B61,2,1)</f>
        <v>630</v>
      </c>
      <c r="H84" s="4">
        <f t="shared" si="13"/>
        <v>3270</v>
      </c>
      <c r="I84" s="4">
        <v>0</v>
      </c>
    </row>
    <row r="85" spans="1:9">
      <c r="A85" s="4">
        <v>4012</v>
      </c>
      <c r="B85" s="8">
        <v>12</v>
      </c>
      <c r="C85" s="8">
        <v>50</v>
      </c>
      <c r="D85" s="4" t="str">
        <f t="shared" si="11"/>
        <v>4</v>
      </c>
      <c r="E85" s="4">
        <v>3</v>
      </c>
      <c r="F85" s="4">
        <f t="shared" si="12"/>
        <v>1</v>
      </c>
      <c r="G85" s="4">
        <f>VLOOKUP(B85,Sheet2!A13:B62,2,1)</f>
        <v>660</v>
      </c>
      <c r="H85" s="4">
        <f t="shared" si="13"/>
        <v>3900</v>
      </c>
      <c r="I85" s="4">
        <v>0</v>
      </c>
    </row>
    <row r="86" spans="1:9">
      <c r="A86" s="4">
        <v>4013</v>
      </c>
      <c r="B86" s="8">
        <v>13</v>
      </c>
      <c r="C86" s="8">
        <v>50</v>
      </c>
      <c r="D86" s="4" t="str">
        <f t="shared" si="11"/>
        <v>4</v>
      </c>
      <c r="E86" s="4">
        <v>3</v>
      </c>
      <c r="F86" s="4">
        <f t="shared" si="12"/>
        <v>1</v>
      </c>
      <c r="G86" s="4">
        <f>VLOOKUP(B86,Sheet2!A14:B63,2,1)</f>
        <v>690</v>
      </c>
      <c r="H86" s="4">
        <f t="shared" si="13"/>
        <v>4560</v>
      </c>
      <c r="I86" s="4">
        <v>0</v>
      </c>
    </row>
    <row r="87" spans="1:9">
      <c r="A87" s="4">
        <v>4014</v>
      </c>
      <c r="B87" s="8">
        <v>14</v>
      </c>
      <c r="C87" s="8">
        <v>50</v>
      </c>
      <c r="D87" s="4" t="str">
        <f t="shared" si="11"/>
        <v>4</v>
      </c>
      <c r="E87" s="4">
        <v>3</v>
      </c>
      <c r="F87" s="4">
        <f t="shared" si="12"/>
        <v>1</v>
      </c>
      <c r="G87" s="4">
        <f>VLOOKUP(B87,Sheet2!A15:B64,2,1)</f>
        <v>720</v>
      </c>
      <c r="H87" s="4">
        <f t="shared" si="13"/>
        <v>5250</v>
      </c>
      <c r="I87" s="4">
        <v>0</v>
      </c>
    </row>
    <row r="88" spans="1:9">
      <c r="A88" s="4">
        <v>4015</v>
      </c>
      <c r="B88" s="8">
        <v>15</v>
      </c>
      <c r="C88" s="8">
        <v>50</v>
      </c>
      <c r="D88" s="4" t="str">
        <f t="shared" si="11"/>
        <v>4</v>
      </c>
      <c r="E88" s="4">
        <v>3</v>
      </c>
      <c r="F88" s="4">
        <f t="shared" si="12"/>
        <v>1</v>
      </c>
      <c r="G88" s="4">
        <f>VLOOKUP(B88,Sheet2!A16:B65,2,1)</f>
        <v>760</v>
      </c>
      <c r="H88" s="4">
        <f t="shared" si="13"/>
        <v>5970</v>
      </c>
      <c r="I88" s="4">
        <v>0</v>
      </c>
    </row>
    <row r="89" spans="1:9">
      <c r="A89" s="4">
        <v>4016</v>
      </c>
      <c r="B89" s="8">
        <v>16</v>
      </c>
      <c r="C89" s="8">
        <v>50</v>
      </c>
      <c r="D89" s="4" t="str">
        <f t="shared" si="11"/>
        <v>4</v>
      </c>
      <c r="E89" s="4">
        <v>3</v>
      </c>
      <c r="F89" s="4">
        <f t="shared" si="12"/>
        <v>1</v>
      </c>
      <c r="G89" s="4">
        <f>VLOOKUP(B89,Sheet2!A17:B66,2,1)</f>
        <v>800</v>
      </c>
      <c r="H89" s="4">
        <f t="shared" si="13"/>
        <v>6730</v>
      </c>
      <c r="I89" s="4">
        <v>0</v>
      </c>
    </row>
    <row r="90" spans="1:9">
      <c r="A90" s="4">
        <v>4017</v>
      </c>
      <c r="B90" s="8">
        <v>17</v>
      </c>
      <c r="C90" s="8">
        <v>50</v>
      </c>
      <c r="D90" s="4" t="str">
        <f t="shared" si="11"/>
        <v>4</v>
      </c>
      <c r="E90" s="4">
        <v>3</v>
      </c>
      <c r="F90" s="4">
        <f t="shared" si="12"/>
        <v>1</v>
      </c>
      <c r="G90" s="4">
        <f>VLOOKUP(B90,Sheet2!A18:B67,2,1)</f>
        <v>840</v>
      </c>
      <c r="H90" s="4">
        <f t="shared" si="13"/>
        <v>7530</v>
      </c>
      <c r="I90" s="4">
        <v>0</v>
      </c>
    </row>
    <row r="91" spans="1:9">
      <c r="A91" s="4">
        <v>4018</v>
      </c>
      <c r="B91" s="8">
        <v>18</v>
      </c>
      <c r="C91" s="8">
        <v>50</v>
      </c>
      <c r="D91" s="4" t="str">
        <f t="shared" si="11"/>
        <v>4</v>
      </c>
      <c r="E91" s="4">
        <v>3</v>
      </c>
      <c r="F91" s="4">
        <f t="shared" si="12"/>
        <v>1</v>
      </c>
      <c r="G91" s="4">
        <f>VLOOKUP(B91,Sheet2!A19:B68,2,1)</f>
        <v>880</v>
      </c>
      <c r="H91" s="4">
        <f t="shared" si="13"/>
        <v>8370</v>
      </c>
      <c r="I91" s="4">
        <v>0</v>
      </c>
    </row>
    <row r="92" spans="1:9">
      <c r="A92" s="4">
        <v>4019</v>
      </c>
      <c r="B92" s="8">
        <v>19</v>
      </c>
      <c r="C92" s="8">
        <v>50</v>
      </c>
      <c r="D92" s="4" t="str">
        <f t="shared" si="11"/>
        <v>4</v>
      </c>
      <c r="E92" s="4">
        <v>3</v>
      </c>
      <c r="F92" s="4">
        <f t="shared" si="12"/>
        <v>1</v>
      </c>
      <c r="G92" s="4">
        <f>VLOOKUP(B92,Sheet2!A20:B69,2,1)</f>
        <v>920</v>
      </c>
      <c r="H92" s="4">
        <f t="shared" si="13"/>
        <v>9250</v>
      </c>
      <c r="I92" s="4">
        <v>0</v>
      </c>
    </row>
    <row r="93" spans="1:9">
      <c r="A93" s="4">
        <v>4020</v>
      </c>
      <c r="B93" s="8">
        <v>20</v>
      </c>
      <c r="C93" s="8">
        <v>50</v>
      </c>
      <c r="D93" s="4" t="str">
        <f t="shared" ref="D93:D113" si="14">MID(A93,1,1)</f>
        <v>4</v>
      </c>
      <c r="E93" s="4">
        <v>3</v>
      </c>
      <c r="F93" s="4">
        <f t="shared" si="12"/>
        <v>2</v>
      </c>
      <c r="G93" s="4">
        <v>1300</v>
      </c>
      <c r="H93" s="4">
        <f t="shared" ref="H93:H117" si="15">G92+H92</f>
        <v>10170</v>
      </c>
      <c r="I93" s="4" t="s">
        <v>21</v>
      </c>
    </row>
    <row r="94" spans="1:9">
      <c r="A94" s="4">
        <v>4021</v>
      </c>
      <c r="B94" s="8">
        <v>21</v>
      </c>
      <c r="C94" s="8">
        <v>50</v>
      </c>
      <c r="D94" s="4" t="str">
        <f t="shared" si="14"/>
        <v>4</v>
      </c>
      <c r="E94" s="4">
        <v>3</v>
      </c>
      <c r="F94" s="4">
        <f t="shared" si="12"/>
        <v>2</v>
      </c>
      <c r="G94" s="4">
        <f>VLOOKUP(B94,Sheet2!A21:B70,2,1)</f>
        <v>1320</v>
      </c>
      <c r="H94" s="4">
        <f t="shared" si="15"/>
        <v>11470</v>
      </c>
      <c r="I94" s="4">
        <v>0</v>
      </c>
    </row>
    <row r="95" spans="1:9">
      <c r="A95" s="4">
        <v>4022</v>
      </c>
      <c r="B95" s="8">
        <v>22</v>
      </c>
      <c r="C95" s="8">
        <v>50</v>
      </c>
      <c r="D95" s="4" t="str">
        <f t="shared" si="14"/>
        <v>4</v>
      </c>
      <c r="E95" s="4">
        <v>3</v>
      </c>
      <c r="F95" s="4">
        <f t="shared" si="12"/>
        <v>2</v>
      </c>
      <c r="G95" s="4">
        <f>VLOOKUP(B95,Sheet2!A22:B71,2,1)</f>
        <v>1360</v>
      </c>
      <c r="H95" s="4">
        <f t="shared" si="15"/>
        <v>12790</v>
      </c>
      <c r="I95" s="4">
        <v>0</v>
      </c>
    </row>
    <row r="96" spans="1:9">
      <c r="A96" s="4">
        <v>4023</v>
      </c>
      <c r="B96" s="8">
        <v>23</v>
      </c>
      <c r="C96" s="8">
        <v>50</v>
      </c>
      <c r="D96" s="4" t="str">
        <f t="shared" si="14"/>
        <v>4</v>
      </c>
      <c r="E96" s="4">
        <v>3</v>
      </c>
      <c r="F96" s="4">
        <f t="shared" si="12"/>
        <v>2</v>
      </c>
      <c r="G96" s="4">
        <f>VLOOKUP(B96,Sheet2!A23:B72,2,1)</f>
        <v>1400</v>
      </c>
      <c r="H96" s="4">
        <f t="shared" si="15"/>
        <v>14150</v>
      </c>
      <c r="I96" s="4">
        <v>0</v>
      </c>
    </row>
    <row r="97" spans="1:9">
      <c r="A97" s="4">
        <v>4024</v>
      </c>
      <c r="B97" s="8">
        <v>24</v>
      </c>
      <c r="C97" s="8">
        <v>50</v>
      </c>
      <c r="D97" s="4" t="str">
        <f t="shared" si="14"/>
        <v>4</v>
      </c>
      <c r="E97" s="4">
        <v>3</v>
      </c>
      <c r="F97" s="4">
        <f t="shared" si="12"/>
        <v>2</v>
      </c>
      <c r="G97" s="4">
        <f>VLOOKUP(B97,Sheet2!A24:B73,2,1)</f>
        <v>1440</v>
      </c>
      <c r="H97" s="4">
        <f t="shared" si="15"/>
        <v>15550</v>
      </c>
      <c r="I97" s="4">
        <v>0</v>
      </c>
    </row>
    <row r="98" spans="1:9">
      <c r="A98" s="4">
        <v>4025</v>
      </c>
      <c r="B98" s="8">
        <v>25</v>
      </c>
      <c r="C98" s="8">
        <v>50</v>
      </c>
      <c r="D98" s="4" t="str">
        <f t="shared" si="14"/>
        <v>4</v>
      </c>
      <c r="E98" s="4">
        <v>3</v>
      </c>
      <c r="F98" s="4">
        <f t="shared" si="12"/>
        <v>2</v>
      </c>
      <c r="G98" s="4">
        <f>VLOOKUP(B98,Sheet2!A25:B74,2,1)</f>
        <v>1490</v>
      </c>
      <c r="H98" s="4">
        <f t="shared" si="15"/>
        <v>16990</v>
      </c>
      <c r="I98" s="4">
        <v>0</v>
      </c>
    </row>
    <row r="99" spans="1:9">
      <c r="A99" s="4">
        <v>4026</v>
      </c>
      <c r="B99" s="8">
        <v>26</v>
      </c>
      <c r="C99" s="8">
        <v>50</v>
      </c>
      <c r="D99" s="4" t="str">
        <f t="shared" si="14"/>
        <v>4</v>
      </c>
      <c r="E99" s="4">
        <v>3</v>
      </c>
      <c r="F99" s="4">
        <f t="shared" si="12"/>
        <v>2</v>
      </c>
      <c r="G99" s="4">
        <f>VLOOKUP(B99,Sheet2!A26:B75,2,1)</f>
        <v>1540</v>
      </c>
      <c r="H99" s="4">
        <f t="shared" si="15"/>
        <v>18480</v>
      </c>
      <c r="I99" s="4">
        <v>0</v>
      </c>
    </row>
    <row r="100" spans="1:9">
      <c r="A100" s="4">
        <v>4027</v>
      </c>
      <c r="B100" s="8">
        <v>27</v>
      </c>
      <c r="C100" s="8">
        <v>50</v>
      </c>
      <c r="D100" s="4" t="str">
        <f t="shared" si="14"/>
        <v>4</v>
      </c>
      <c r="E100" s="4">
        <v>3</v>
      </c>
      <c r="F100" s="4">
        <f t="shared" si="12"/>
        <v>2</v>
      </c>
      <c r="G100" s="4">
        <f>VLOOKUP(B100,Sheet2!A27:B76,2,1)</f>
        <v>1590</v>
      </c>
      <c r="H100" s="4">
        <f t="shared" si="15"/>
        <v>20020</v>
      </c>
      <c r="I100" s="4">
        <v>0</v>
      </c>
    </row>
    <row r="101" spans="1:9">
      <c r="A101" s="4">
        <v>4028</v>
      </c>
      <c r="B101" s="8">
        <v>28</v>
      </c>
      <c r="C101" s="8">
        <v>50</v>
      </c>
      <c r="D101" s="4" t="str">
        <f t="shared" si="14"/>
        <v>4</v>
      </c>
      <c r="E101" s="4">
        <v>3</v>
      </c>
      <c r="F101" s="4">
        <f t="shared" si="12"/>
        <v>2</v>
      </c>
      <c r="G101" s="4">
        <f>VLOOKUP(B101,Sheet2!A28:B77,2,1)</f>
        <v>1640</v>
      </c>
      <c r="H101" s="4">
        <f t="shared" si="15"/>
        <v>21610</v>
      </c>
      <c r="I101" s="4">
        <v>0</v>
      </c>
    </row>
    <row r="102" spans="1:9">
      <c r="A102" s="4">
        <v>4029</v>
      </c>
      <c r="B102" s="8">
        <v>29</v>
      </c>
      <c r="C102" s="8">
        <v>50</v>
      </c>
      <c r="D102" s="4" t="str">
        <f t="shared" si="14"/>
        <v>4</v>
      </c>
      <c r="E102" s="4">
        <v>3</v>
      </c>
      <c r="F102" s="4">
        <f t="shared" si="12"/>
        <v>2</v>
      </c>
      <c r="G102" s="4">
        <f>VLOOKUP(B102,Sheet2!A29:B78,2,1)</f>
        <v>1690</v>
      </c>
      <c r="H102" s="4">
        <f t="shared" si="15"/>
        <v>23250</v>
      </c>
      <c r="I102" s="4">
        <v>0</v>
      </c>
    </row>
    <row r="103" spans="1:9">
      <c r="A103" s="4">
        <v>4030</v>
      </c>
      <c r="B103" s="8">
        <v>30</v>
      </c>
      <c r="C103" s="8">
        <v>50</v>
      </c>
      <c r="D103" s="4" t="str">
        <f t="shared" si="14"/>
        <v>4</v>
      </c>
      <c r="E103" s="4">
        <v>3</v>
      </c>
      <c r="F103" s="4">
        <f t="shared" ref="F103:F124" si="16">ROUNDDOWN(B103/10,0)</f>
        <v>3</v>
      </c>
      <c r="G103" s="4">
        <v>2250</v>
      </c>
      <c r="H103" s="4">
        <f t="shared" si="15"/>
        <v>24940</v>
      </c>
      <c r="I103" s="4" t="s">
        <v>22</v>
      </c>
    </row>
    <row r="104" spans="1:9">
      <c r="A104" s="4">
        <v>4031</v>
      </c>
      <c r="B104" s="8">
        <v>31</v>
      </c>
      <c r="C104" s="8">
        <v>50</v>
      </c>
      <c r="D104" s="4" t="str">
        <f t="shared" si="14"/>
        <v>4</v>
      </c>
      <c r="E104" s="4">
        <v>4</v>
      </c>
      <c r="F104" s="4">
        <f t="shared" si="16"/>
        <v>3</v>
      </c>
      <c r="G104" s="4">
        <f>VLOOKUP(B104,Sheet2!A32:B81,2,1)</f>
        <v>2270</v>
      </c>
      <c r="H104" s="4">
        <f t="shared" si="15"/>
        <v>27190</v>
      </c>
      <c r="I104" s="4">
        <v>0</v>
      </c>
    </row>
    <row r="105" spans="1:9">
      <c r="A105" s="4">
        <v>4032</v>
      </c>
      <c r="B105" s="8">
        <v>32</v>
      </c>
      <c r="C105" s="8">
        <v>50</v>
      </c>
      <c r="D105" s="4" t="str">
        <f t="shared" si="14"/>
        <v>4</v>
      </c>
      <c r="E105" s="4">
        <v>4</v>
      </c>
      <c r="F105" s="4">
        <f t="shared" si="16"/>
        <v>3</v>
      </c>
      <c r="G105" s="4">
        <f>VLOOKUP(B105,Sheet2!A32:B81,2,1)</f>
        <v>2320</v>
      </c>
      <c r="H105" s="4">
        <f t="shared" si="15"/>
        <v>29460</v>
      </c>
      <c r="I105" s="4">
        <v>0</v>
      </c>
    </row>
    <row r="106" spans="1:9">
      <c r="A106" s="4">
        <v>4033</v>
      </c>
      <c r="B106" s="8">
        <v>33</v>
      </c>
      <c r="C106" s="8">
        <v>50</v>
      </c>
      <c r="D106" s="4" t="str">
        <f t="shared" si="14"/>
        <v>4</v>
      </c>
      <c r="E106" s="4">
        <v>4</v>
      </c>
      <c r="F106" s="4">
        <f t="shared" si="16"/>
        <v>3</v>
      </c>
      <c r="G106" s="4">
        <f>VLOOKUP(B106,Sheet2!A33:B82,2,1)</f>
        <v>2370</v>
      </c>
      <c r="H106" s="4">
        <f t="shared" si="15"/>
        <v>31780</v>
      </c>
      <c r="I106" s="4">
        <v>0</v>
      </c>
    </row>
    <row r="107" spans="1:9">
      <c r="A107" s="4">
        <v>4034</v>
      </c>
      <c r="B107" s="8">
        <v>34</v>
      </c>
      <c r="C107" s="8">
        <v>50</v>
      </c>
      <c r="D107" s="4" t="str">
        <f t="shared" si="14"/>
        <v>4</v>
      </c>
      <c r="E107" s="4">
        <v>4</v>
      </c>
      <c r="F107" s="4">
        <f t="shared" si="16"/>
        <v>3</v>
      </c>
      <c r="G107" s="4">
        <f>VLOOKUP(B107,Sheet2!A34:B83,2,1)</f>
        <v>2420</v>
      </c>
      <c r="H107" s="4">
        <f t="shared" si="15"/>
        <v>34150</v>
      </c>
      <c r="I107" s="4">
        <v>0</v>
      </c>
    </row>
    <row r="108" spans="1:9">
      <c r="A108" s="4">
        <v>4035</v>
      </c>
      <c r="B108" s="8">
        <v>35</v>
      </c>
      <c r="C108" s="8">
        <v>50</v>
      </c>
      <c r="D108" s="4" t="str">
        <f t="shared" si="14"/>
        <v>4</v>
      </c>
      <c r="E108" s="4">
        <v>4</v>
      </c>
      <c r="F108" s="4">
        <f t="shared" si="16"/>
        <v>3</v>
      </c>
      <c r="G108" s="4">
        <f>VLOOKUP(B108,Sheet2!A35:B84,2,1)</f>
        <v>2480</v>
      </c>
      <c r="H108" s="4">
        <f t="shared" si="15"/>
        <v>36570</v>
      </c>
      <c r="I108" s="4">
        <v>0</v>
      </c>
    </row>
    <row r="109" spans="1:9">
      <c r="A109" s="4">
        <v>4036</v>
      </c>
      <c r="B109" s="8">
        <v>36</v>
      </c>
      <c r="C109" s="8">
        <v>50</v>
      </c>
      <c r="D109" s="4" t="str">
        <f t="shared" si="14"/>
        <v>4</v>
      </c>
      <c r="E109" s="4">
        <v>4</v>
      </c>
      <c r="F109" s="4">
        <f t="shared" si="16"/>
        <v>3</v>
      </c>
      <c r="G109" s="4">
        <f>VLOOKUP(B109,Sheet2!A36:B85,2,1)</f>
        <v>2540</v>
      </c>
      <c r="H109" s="4">
        <f t="shared" si="15"/>
        <v>39050</v>
      </c>
      <c r="I109" s="4">
        <v>0</v>
      </c>
    </row>
    <row r="110" spans="1:9">
      <c r="A110" s="4">
        <v>4037</v>
      </c>
      <c r="B110" s="8">
        <v>37</v>
      </c>
      <c r="C110" s="8">
        <v>50</v>
      </c>
      <c r="D110" s="4" t="str">
        <f t="shared" si="14"/>
        <v>4</v>
      </c>
      <c r="E110" s="4">
        <v>4</v>
      </c>
      <c r="F110" s="4">
        <f t="shared" si="16"/>
        <v>3</v>
      </c>
      <c r="G110" s="4">
        <f>VLOOKUP(B110,Sheet2!A37:B86,2,1)</f>
        <v>2600</v>
      </c>
      <c r="H110" s="4">
        <f t="shared" si="15"/>
        <v>41590</v>
      </c>
      <c r="I110" s="4">
        <v>0</v>
      </c>
    </row>
    <row r="111" spans="1:9">
      <c r="A111" s="4">
        <v>4038</v>
      </c>
      <c r="B111" s="8">
        <v>38</v>
      </c>
      <c r="C111" s="8">
        <v>50</v>
      </c>
      <c r="D111" s="4" t="str">
        <f t="shared" si="14"/>
        <v>4</v>
      </c>
      <c r="E111" s="4">
        <v>4</v>
      </c>
      <c r="F111" s="4">
        <f t="shared" si="16"/>
        <v>3</v>
      </c>
      <c r="G111" s="4">
        <f>VLOOKUP(B111,Sheet2!A38:B87,2,1)</f>
        <v>2660</v>
      </c>
      <c r="H111" s="4">
        <f t="shared" si="15"/>
        <v>44190</v>
      </c>
      <c r="I111" s="4">
        <v>0</v>
      </c>
    </row>
    <row r="112" spans="1:9">
      <c r="A112" s="4">
        <v>4039</v>
      </c>
      <c r="B112" s="8">
        <v>39</v>
      </c>
      <c r="C112" s="8">
        <v>50</v>
      </c>
      <c r="D112" s="4" t="str">
        <f t="shared" si="14"/>
        <v>4</v>
      </c>
      <c r="E112" s="4">
        <v>4</v>
      </c>
      <c r="F112" s="4">
        <f t="shared" si="16"/>
        <v>3</v>
      </c>
      <c r="G112" s="4">
        <f>VLOOKUP(B112,Sheet2!A39:B88,2,1)</f>
        <v>2720</v>
      </c>
      <c r="H112" s="4">
        <f t="shared" si="15"/>
        <v>46850</v>
      </c>
      <c r="I112" s="4">
        <v>0</v>
      </c>
    </row>
    <row r="113" spans="1:9">
      <c r="A113" s="4">
        <v>4040</v>
      </c>
      <c r="B113" s="8">
        <v>40</v>
      </c>
      <c r="C113" s="8">
        <v>50</v>
      </c>
      <c r="D113" s="4" t="str">
        <f t="shared" si="14"/>
        <v>4</v>
      </c>
      <c r="E113" s="4">
        <v>4</v>
      </c>
      <c r="F113" s="4">
        <f t="shared" si="16"/>
        <v>4</v>
      </c>
      <c r="G113" s="4">
        <f>VLOOKUP(B113,Sheet2!A40:B89,2,1)</f>
        <v>3410</v>
      </c>
      <c r="H113" s="4">
        <f t="shared" si="15"/>
        <v>49570</v>
      </c>
      <c r="I113" s="4" t="s">
        <v>23</v>
      </c>
    </row>
    <row r="114" spans="1:9">
      <c r="A114" s="4">
        <v>4041</v>
      </c>
      <c r="B114" s="8">
        <v>41</v>
      </c>
      <c r="C114" s="8">
        <v>50</v>
      </c>
      <c r="D114" s="4" t="str">
        <f t="shared" ref="D114:D123" si="17">MID(A114,1,1)</f>
        <v>4</v>
      </c>
      <c r="E114" s="4">
        <v>5</v>
      </c>
      <c r="F114" s="4">
        <f t="shared" si="16"/>
        <v>4</v>
      </c>
      <c r="G114" s="4">
        <f>VLOOKUP(B114,Sheet2!A42:B91,2,1)</f>
        <v>3470</v>
      </c>
      <c r="H114" s="4">
        <f t="shared" si="15"/>
        <v>52980</v>
      </c>
      <c r="I114" s="4">
        <v>0</v>
      </c>
    </row>
    <row r="115" spans="1:9">
      <c r="A115" s="4">
        <v>4042</v>
      </c>
      <c r="B115" s="8">
        <v>42</v>
      </c>
      <c r="C115" s="8">
        <v>50</v>
      </c>
      <c r="D115" s="4" t="str">
        <f t="shared" si="17"/>
        <v>4</v>
      </c>
      <c r="E115" s="4">
        <v>5</v>
      </c>
      <c r="F115" s="4">
        <f t="shared" si="16"/>
        <v>4</v>
      </c>
      <c r="G115" s="4">
        <f>VLOOKUP(B115,Sheet2!A42:B91,2,1)</f>
        <v>3530</v>
      </c>
      <c r="H115" s="4">
        <f t="shared" si="15"/>
        <v>56450</v>
      </c>
      <c r="I115" s="4">
        <v>0</v>
      </c>
    </row>
    <row r="116" spans="1:9">
      <c r="A116" s="4">
        <v>4043</v>
      </c>
      <c r="B116" s="8">
        <v>43</v>
      </c>
      <c r="C116" s="8">
        <v>50</v>
      </c>
      <c r="D116" s="4" t="str">
        <f t="shared" si="17"/>
        <v>4</v>
      </c>
      <c r="E116" s="4">
        <v>5</v>
      </c>
      <c r="F116" s="4">
        <f t="shared" si="16"/>
        <v>4</v>
      </c>
      <c r="G116" s="4">
        <f>VLOOKUP(B116,Sheet2!A43:B92,2,1)</f>
        <v>3590</v>
      </c>
      <c r="H116" s="4">
        <f t="shared" si="15"/>
        <v>59980</v>
      </c>
      <c r="I116" s="4">
        <v>0</v>
      </c>
    </row>
    <row r="117" spans="1:9">
      <c r="A117" s="4">
        <v>4044</v>
      </c>
      <c r="B117" s="8">
        <v>44</v>
      </c>
      <c r="C117" s="8">
        <v>50</v>
      </c>
      <c r="D117" s="4" t="str">
        <f t="shared" si="17"/>
        <v>4</v>
      </c>
      <c r="E117" s="4">
        <v>5</v>
      </c>
      <c r="F117" s="4">
        <f t="shared" si="16"/>
        <v>4</v>
      </c>
      <c r="G117" s="4">
        <f>VLOOKUP(B117,Sheet2!A44:B93,2,1)</f>
        <v>3650</v>
      </c>
      <c r="H117" s="4">
        <f t="shared" si="15"/>
        <v>63570</v>
      </c>
      <c r="I117" s="4">
        <v>0</v>
      </c>
    </row>
    <row r="118" spans="1:9">
      <c r="A118" s="4">
        <v>4045</v>
      </c>
      <c r="B118" s="8">
        <v>45</v>
      </c>
      <c r="C118" s="8">
        <v>50</v>
      </c>
      <c r="D118" s="4" t="str">
        <f t="shared" si="17"/>
        <v>4</v>
      </c>
      <c r="E118" s="4">
        <v>5</v>
      </c>
      <c r="F118" s="4">
        <f t="shared" si="16"/>
        <v>4</v>
      </c>
      <c r="G118" s="4">
        <f>VLOOKUP(B118,Sheet2!A45:B94,2,1)</f>
        <v>3720</v>
      </c>
      <c r="H118" s="4">
        <f t="shared" ref="H118:H123" si="18">G117+H117</f>
        <v>67220</v>
      </c>
      <c r="I118" s="4">
        <v>0</v>
      </c>
    </row>
    <row r="119" spans="1:9">
      <c r="A119" s="4">
        <v>4046</v>
      </c>
      <c r="B119" s="8">
        <v>46</v>
      </c>
      <c r="C119" s="8">
        <v>50</v>
      </c>
      <c r="D119" s="4" t="str">
        <f t="shared" si="17"/>
        <v>4</v>
      </c>
      <c r="E119" s="4">
        <v>5</v>
      </c>
      <c r="F119" s="4">
        <f t="shared" si="16"/>
        <v>4</v>
      </c>
      <c r="G119" s="4">
        <f>VLOOKUP(B119,Sheet2!A46:B95,2,1)</f>
        <v>3790</v>
      </c>
      <c r="H119" s="4">
        <f t="shared" si="18"/>
        <v>70940</v>
      </c>
      <c r="I119" s="4">
        <v>0</v>
      </c>
    </row>
    <row r="120" spans="1:9">
      <c r="A120" s="4">
        <v>4047</v>
      </c>
      <c r="B120" s="8">
        <v>47</v>
      </c>
      <c r="C120" s="8">
        <v>50</v>
      </c>
      <c r="D120" s="4" t="str">
        <f t="shared" si="17"/>
        <v>4</v>
      </c>
      <c r="E120" s="4">
        <v>5</v>
      </c>
      <c r="F120" s="4">
        <f t="shared" si="16"/>
        <v>4</v>
      </c>
      <c r="G120" s="4">
        <f>VLOOKUP(B120,Sheet2!A47:B96,2,1)</f>
        <v>3860</v>
      </c>
      <c r="H120" s="4">
        <f t="shared" si="18"/>
        <v>74730</v>
      </c>
      <c r="I120" s="4">
        <v>0</v>
      </c>
    </row>
    <row r="121" spans="1:9">
      <c r="A121" s="4">
        <v>4048</v>
      </c>
      <c r="B121" s="8">
        <v>48</v>
      </c>
      <c r="C121" s="8">
        <v>50</v>
      </c>
      <c r="D121" s="4" t="str">
        <f t="shared" si="17"/>
        <v>4</v>
      </c>
      <c r="E121" s="4">
        <v>5</v>
      </c>
      <c r="F121" s="4">
        <f t="shared" si="16"/>
        <v>4</v>
      </c>
      <c r="G121" s="4">
        <f>VLOOKUP(B121,Sheet2!A48:B97,2,1)</f>
        <v>3930</v>
      </c>
      <c r="H121" s="4">
        <f t="shared" si="18"/>
        <v>78590</v>
      </c>
      <c r="I121" s="4">
        <v>0</v>
      </c>
    </row>
    <row r="122" spans="1:9">
      <c r="A122" s="4">
        <v>4049</v>
      </c>
      <c r="B122" s="8">
        <v>49</v>
      </c>
      <c r="C122" s="8">
        <v>50</v>
      </c>
      <c r="D122" s="4" t="str">
        <f t="shared" si="17"/>
        <v>4</v>
      </c>
      <c r="E122" s="4">
        <v>5</v>
      </c>
      <c r="F122" s="4">
        <f t="shared" si="16"/>
        <v>4</v>
      </c>
      <c r="G122" s="4">
        <f>VLOOKUP(B122,Sheet2!A49:B98,2,1)</f>
        <v>4000</v>
      </c>
      <c r="H122" s="4">
        <f t="shared" si="18"/>
        <v>82520</v>
      </c>
      <c r="I122" s="4">
        <v>0</v>
      </c>
    </row>
    <row r="123" spans="1:9">
      <c r="A123" s="4">
        <v>4050</v>
      </c>
      <c r="B123" s="8">
        <v>50</v>
      </c>
      <c r="C123" s="8">
        <v>50</v>
      </c>
      <c r="D123" s="4" t="str">
        <f t="shared" si="17"/>
        <v>4</v>
      </c>
      <c r="E123" s="4">
        <v>5</v>
      </c>
      <c r="F123" s="4">
        <f t="shared" si="16"/>
        <v>5</v>
      </c>
      <c r="G123" s="4">
        <v>4070</v>
      </c>
      <c r="H123" s="4">
        <f t="shared" si="18"/>
        <v>86520</v>
      </c>
      <c r="I123" s="4">
        <v>0</v>
      </c>
    </row>
  </sheetData>
  <autoFilter ref="A3:XFD123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E42" sqref="E42"/>
    </sheetView>
  </sheetViews>
  <sheetFormatPr defaultColWidth="9" defaultRowHeight="13.5"/>
  <cols>
    <col min="1" max="2" width="9" style="1"/>
    <col min="4" max="16382" width="9" style="1"/>
    <col min="16384" max="16384" width="9" style="1"/>
  </cols>
  <sheetData>
    <row r="1" spans="1:17">
      <c r="A1" s="2" t="s">
        <v>24</v>
      </c>
      <c r="B1" s="2" t="s">
        <v>25</v>
      </c>
      <c r="E1" s="2" t="s">
        <v>26</v>
      </c>
      <c r="F1" s="2" t="s">
        <v>27</v>
      </c>
      <c r="G1" s="2" t="s">
        <v>28</v>
      </c>
      <c r="I1" s="1" t="s">
        <v>26</v>
      </c>
      <c r="J1" s="1">
        <v>1.5</v>
      </c>
      <c r="L1" s="2" t="s">
        <v>13</v>
      </c>
      <c r="M1" s="2">
        <v>4</v>
      </c>
      <c r="N1" s="2" t="s">
        <v>29</v>
      </c>
      <c r="O1" s="3">
        <v>20</v>
      </c>
      <c r="P1" s="2" t="s">
        <v>30</v>
      </c>
      <c r="Q1" s="3">
        <v>11.97</v>
      </c>
    </row>
    <row r="2" spans="1:10">
      <c r="A2" s="2">
        <v>1</v>
      </c>
      <c r="B2" s="2">
        <v>200</v>
      </c>
      <c r="E2" s="2">
        <f>ROUNDUP(B2/$J$1,-1)</f>
        <v>140</v>
      </c>
      <c r="F2" s="2">
        <f>ROUNDUP(B2/$J$2,-1)</f>
        <v>100</v>
      </c>
      <c r="G2" s="2">
        <f>ROUNDUP(B2/$J$3,-1)</f>
        <v>70</v>
      </c>
      <c r="I2" s="1" t="s">
        <v>27</v>
      </c>
      <c r="J2" s="1">
        <v>2</v>
      </c>
    </row>
    <row r="3" spans="1:10">
      <c r="A3" s="2">
        <v>2</v>
      </c>
      <c r="B3" s="2">
        <f>ROUNDUP(B2+C3,-1)</f>
        <v>220</v>
      </c>
      <c r="C3">
        <f>ROUND($O$1+A3,-1)</f>
        <v>20</v>
      </c>
      <c r="E3" s="2">
        <f t="shared" ref="E3:E30" si="0">ROUNDUP(B3/$J$1,-1)</f>
        <v>150</v>
      </c>
      <c r="F3" s="2">
        <f>ROUNDUP(B3/$J$2,-1)</f>
        <v>110</v>
      </c>
      <c r="G3" s="2">
        <f>ROUNDUP(B3/$J$3,-1)</f>
        <v>80</v>
      </c>
      <c r="I3" s="1" t="s">
        <v>28</v>
      </c>
      <c r="J3" s="1">
        <v>3</v>
      </c>
    </row>
    <row r="4" spans="1:7">
      <c r="A4" s="2">
        <v>3</v>
      </c>
      <c r="B4" s="2">
        <f t="shared" ref="B4:B10" si="1">ROUNDUP(B3+C4,-1)</f>
        <v>240</v>
      </c>
      <c r="C4">
        <f>ROUND($O$1+A4,-1)</f>
        <v>20</v>
      </c>
      <c r="E4" s="2">
        <f t="shared" si="0"/>
        <v>160</v>
      </c>
      <c r="F4" s="2">
        <f>ROUNDUP(B4/$J$2,-1)</f>
        <v>120</v>
      </c>
      <c r="G4" s="2">
        <f>ROUNDUP(B4/$J$3,-1)</f>
        <v>80</v>
      </c>
    </row>
    <row r="5" spans="1:7">
      <c r="A5" s="2">
        <v>4</v>
      </c>
      <c r="B5" s="2">
        <f t="shared" si="1"/>
        <v>260</v>
      </c>
      <c r="C5">
        <f>ROUND($O$1+A5,-1)</f>
        <v>20</v>
      </c>
      <c r="E5" s="2">
        <f t="shared" si="0"/>
        <v>180</v>
      </c>
      <c r="F5" s="2">
        <f>ROUNDUP(B5/$J$2,-1)</f>
        <v>130</v>
      </c>
      <c r="G5" s="2">
        <f>ROUNDUP(B5/$J$3,-1)</f>
        <v>90</v>
      </c>
    </row>
    <row r="6" spans="1:7">
      <c r="A6" s="2">
        <v>5</v>
      </c>
      <c r="B6" s="2">
        <f t="shared" si="1"/>
        <v>290</v>
      </c>
      <c r="C6">
        <f>ROUND($O$1+A6,-1)</f>
        <v>30</v>
      </c>
      <c r="E6" s="2">
        <f t="shared" si="0"/>
        <v>200</v>
      </c>
      <c r="F6" s="2">
        <f>ROUNDUP(B6/$J$2,-1)</f>
        <v>150</v>
      </c>
      <c r="G6" s="2">
        <f>ROUNDUP(B6/$J$3,-1)</f>
        <v>100</v>
      </c>
    </row>
    <row r="7" spans="1:7">
      <c r="A7" s="2">
        <v>6</v>
      </c>
      <c r="B7" s="2">
        <f t="shared" si="1"/>
        <v>320</v>
      </c>
      <c r="C7">
        <f>ROUND($O$1+A7,-1)</f>
        <v>30</v>
      </c>
      <c r="E7" s="2">
        <f t="shared" si="0"/>
        <v>220</v>
      </c>
      <c r="F7" s="2">
        <f>ROUNDUP(B7/$J$2,-1)</f>
        <v>160</v>
      </c>
      <c r="G7" s="2">
        <f>ROUNDUP(B7/$J$3,-1)</f>
        <v>110</v>
      </c>
    </row>
    <row r="8" spans="1:7">
      <c r="A8" s="2">
        <v>7</v>
      </c>
      <c r="B8" s="2">
        <f t="shared" si="1"/>
        <v>350</v>
      </c>
      <c r="C8">
        <f>ROUND($O$1+A8,-1)</f>
        <v>30</v>
      </c>
      <c r="E8" s="2">
        <f t="shared" si="0"/>
        <v>240</v>
      </c>
      <c r="F8" s="2">
        <f>ROUNDUP(B8/$J$2,-1)</f>
        <v>180</v>
      </c>
      <c r="G8" s="2">
        <f>ROUNDUP(B8/$J$3,-1)</f>
        <v>120</v>
      </c>
    </row>
    <row r="9" spans="1:7">
      <c r="A9" s="2">
        <v>8</v>
      </c>
      <c r="B9" s="2">
        <f t="shared" si="1"/>
        <v>380</v>
      </c>
      <c r="C9">
        <f>ROUND($O$1+A9,-1)</f>
        <v>30</v>
      </c>
      <c r="E9" s="2">
        <f t="shared" si="0"/>
        <v>260</v>
      </c>
      <c r="F9" s="2">
        <f>ROUNDUP(B9/$J$2,-1)</f>
        <v>190</v>
      </c>
      <c r="G9" s="2">
        <f>ROUNDUP(B9/$J$3,-1)</f>
        <v>130</v>
      </c>
    </row>
    <row r="10" spans="1:7">
      <c r="A10" s="2">
        <v>9</v>
      </c>
      <c r="B10" s="2">
        <f t="shared" si="1"/>
        <v>410</v>
      </c>
      <c r="C10">
        <f>ROUND($O$1+A10,-1)</f>
        <v>30</v>
      </c>
      <c r="E10" s="2">
        <f t="shared" si="0"/>
        <v>280</v>
      </c>
      <c r="F10" s="2">
        <f>ROUNDUP(B10/$J$2,-1)</f>
        <v>210</v>
      </c>
      <c r="G10" s="2">
        <f>ROUNDUP(B10/$J$3,-1)</f>
        <v>140</v>
      </c>
    </row>
    <row r="11" spans="1:7">
      <c r="A11" s="2">
        <v>10</v>
      </c>
      <c r="B11" s="2">
        <f t="shared" ref="B11:B50" si="2">ROUNDUP(B10+C11,-1)</f>
        <v>600</v>
      </c>
      <c r="C11">
        <f>ROUND($O$1+A11+D11,-1)</f>
        <v>190</v>
      </c>
      <c r="D11" s="1">
        <f>$M$1*(A11-1)+$Q$1*A11</f>
        <v>155.7</v>
      </c>
      <c r="E11" s="2">
        <f t="shared" si="0"/>
        <v>400</v>
      </c>
      <c r="F11" s="2">
        <f t="shared" ref="F11:F30" si="3">ROUNDUP(B11/$J$2,-1)</f>
        <v>300</v>
      </c>
      <c r="G11" s="2">
        <v>0</v>
      </c>
    </row>
    <row r="12" spans="1:7">
      <c r="A12" s="2">
        <v>11</v>
      </c>
      <c r="B12" s="2">
        <f t="shared" si="2"/>
        <v>630</v>
      </c>
      <c r="C12">
        <f>ROUND($O$1+A12+D12,-1)</f>
        <v>30</v>
      </c>
      <c r="E12" s="2">
        <f t="shared" si="0"/>
        <v>420</v>
      </c>
      <c r="F12" s="2">
        <f t="shared" si="3"/>
        <v>320</v>
      </c>
      <c r="G12" s="2"/>
    </row>
    <row r="13" spans="1:7">
      <c r="A13" s="2">
        <v>12</v>
      </c>
      <c r="B13" s="2">
        <f t="shared" si="2"/>
        <v>660</v>
      </c>
      <c r="C13">
        <f t="shared" ref="C13:C51" si="4">ROUND($O$1+A13+D13,-1)</f>
        <v>30</v>
      </c>
      <c r="E13" s="2">
        <f t="shared" si="0"/>
        <v>440</v>
      </c>
      <c r="F13" s="2">
        <f t="shared" si="3"/>
        <v>330</v>
      </c>
      <c r="G13" s="2"/>
    </row>
    <row r="14" spans="1:7">
      <c r="A14" s="2">
        <v>13</v>
      </c>
      <c r="B14" s="2">
        <f t="shared" si="2"/>
        <v>690</v>
      </c>
      <c r="C14">
        <f t="shared" si="4"/>
        <v>30</v>
      </c>
      <c r="E14" s="2">
        <f t="shared" si="0"/>
        <v>460</v>
      </c>
      <c r="F14" s="2">
        <f t="shared" si="3"/>
        <v>350</v>
      </c>
      <c r="G14" s="2"/>
    </row>
    <row r="15" spans="1:7">
      <c r="A15" s="2">
        <v>14</v>
      </c>
      <c r="B15" s="2">
        <f t="shared" si="2"/>
        <v>720</v>
      </c>
      <c r="C15">
        <f t="shared" si="4"/>
        <v>30</v>
      </c>
      <c r="E15" s="2">
        <f t="shared" si="0"/>
        <v>480</v>
      </c>
      <c r="F15" s="2">
        <f t="shared" si="3"/>
        <v>360</v>
      </c>
      <c r="G15" s="2"/>
    </row>
    <row r="16" spans="1:7">
      <c r="A16" s="2">
        <v>15</v>
      </c>
      <c r="B16" s="2">
        <f t="shared" si="2"/>
        <v>760</v>
      </c>
      <c r="C16">
        <f t="shared" si="4"/>
        <v>40</v>
      </c>
      <c r="E16" s="2">
        <f t="shared" si="0"/>
        <v>510</v>
      </c>
      <c r="F16" s="2">
        <f t="shared" si="3"/>
        <v>380</v>
      </c>
      <c r="G16" s="2"/>
    </row>
    <row r="17" spans="1:7">
      <c r="A17" s="2">
        <v>16</v>
      </c>
      <c r="B17" s="2">
        <f t="shared" si="2"/>
        <v>800</v>
      </c>
      <c r="C17">
        <f t="shared" si="4"/>
        <v>40</v>
      </c>
      <c r="E17" s="2">
        <f t="shared" si="0"/>
        <v>540</v>
      </c>
      <c r="F17" s="2">
        <f t="shared" si="3"/>
        <v>400</v>
      </c>
      <c r="G17" s="2"/>
    </row>
    <row r="18" spans="1:7">
      <c r="A18" s="2">
        <v>17</v>
      </c>
      <c r="B18" s="2">
        <f t="shared" si="2"/>
        <v>840</v>
      </c>
      <c r="C18">
        <f t="shared" si="4"/>
        <v>40</v>
      </c>
      <c r="E18" s="2">
        <f t="shared" si="0"/>
        <v>560</v>
      </c>
      <c r="F18" s="2">
        <f t="shared" si="3"/>
        <v>420</v>
      </c>
      <c r="G18" s="2"/>
    </row>
    <row r="19" spans="1:7">
      <c r="A19" s="2">
        <v>18</v>
      </c>
      <c r="B19" s="2">
        <f t="shared" si="2"/>
        <v>880</v>
      </c>
      <c r="C19">
        <f t="shared" si="4"/>
        <v>40</v>
      </c>
      <c r="E19" s="2">
        <f t="shared" si="0"/>
        <v>590</v>
      </c>
      <c r="F19" s="2">
        <f t="shared" si="3"/>
        <v>440</v>
      </c>
      <c r="G19" s="2"/>
    </row>
    <row r="20" spans="1:7">
      <c r="A20" s="2">
        <v>19</v>
      </c>
      <c r="B20" s="2">
        <f t="shared" si="2"/>
        <v>920</v>
      </c>
      <c r="C20">
        <f t="shared" si="4"/>
        <v>40</v>
      </c>
      <c r="E20" s="2">
        <f t="shared" si="0"/>
        <v>620</v>
      </c>
      <c r="F20" s="2">
        <f t="shared" si="3"/>
        <v>460</v>
      </c>
      <c r="G20" s="2"/>
    </row>
    <row r="21" spans="1:6">
      <c r="A21" s="2">
        <v>20</v>
      </c>
      <c r="B21" s="2">
        <f t="shared" si="2"/>
        <v>1280</v>
      </c>
      <c r="C21">
        <f t="shared" si="4"/>
        <v>360</v>
      </c>
      <c r="D21" s="1">
        <f>$M$1*(A21-1)+$Q$1*A21</f>
        <v>315.4</v>
      </c>
      <c r="E21" s="2">
        <f t="shared" si="0"/>
        <v>860</v>
      </c>
      <c r="F21" s="2">
        <v>0</v>
      </c>
    </row>
    <row r="22" spans="1:6">
      <c r="A22" s="2">
        <v>21</v>
      </c>
      <c r="B22" s="2">
        <f t="shared" si="2"/>
        <v>1320</v>
      </c>
      <c r="C22">
        <f t="shared" si="4"/>
        <v>40</v>
      </c>
      <c r="E22" s="2">
        <f t="shared" si="0"/>
        <v>880</v>
      </c>
      <c r="F22" s="2"/>
    </row>
    <row r="23" spans="1:6">
      <c r="A23" s="2">
        <v>22</v>
      </c>
      <c r="B23" s="2">
        <f t="shared" si="2"/>
        <v>1360</v>
      </c>
      <c r="C23">
        <f t="shared" si="4"/>
        <v>40</v>
      </c>
      <c r="E23" s="2">
        <f t="shared" si="0"/>
        <v>910</v>
      </c>
      <c r="F23" s="2"/>
    </row>
    <row r="24" spans="1:6">
      <c r="A24" s="2">
        <v>23</v>
      </c>
      <c r="B24" s="2">
        <f t="shared" si="2"/>
        <v>1400</v>
      </c>
      <c r="C24">
        <f t="shared" si="4"/>
        <v>40</v>
      </c>
      <c r="E24" s="2">
        <f t="shared" si="0"/>
        <v>940</v>
      </c>
      <c r="F24" s="2"/>
    </row>
    <row r="25" spans="1:6">
      <c r="A25" s="2">
        <v>24</v>
      </c>
      <c r="B25" s="2">
        <f t="shared" si="2"/>
        <v>1440</v>
      </c>
      <c r="C25">
        <f t="shared" si="4"/>
        <v>40</v>
      </c>
      <c r="E25" s="2">
        <f t="shared" si="0"/>
        <v>960</v>
      </c>
      <c r="F25" s="2"/>
    </row>
    <row r="26" spans="1:6">
      <c r="A26" s="2">
        <v>25</v>
      </c>
      <c r="B26" s="2">
        <f t="shared" si="2"/>
        <v>1490</v>
      </c>
      <c r="C26">
        <f t="shared" si="4"/>
        <v>50</v>
      </c>
      <c r="E26" s="2">
        <f t="shared" si="0"/>
        <v>1000</v>
      </c>
      <c r="F26" s="2"/>
    </row>
    <row r="27" spans="1:6">
      <c r="A27" s="2">
        <v>26</v>
      </c>
      <c r="B27" s="2">
        <f t="shared" si="2"/>
        <v>1540</v>
      </c>
      <c r="C27">
        <f t="shared" si="4"/>
        <v>50</v>
      </c>
      <c r="E27" s="2">
        <f t="shared" si="0"/>
        <v>1030</v>
      </c>
      <c r="F27" s="2"/>
    </row>
    <row r="28" spans="1:6">
      <c r="A28" s="2">
        <v>27</v>
      </c>
      <c r="B28" s="2">
        <f t="shared" si="2"/>
        <v>1590</v>
      </c>
      <c r="C28">
        <f t="shared" si="4"/>
        <v>50</v>
      </c>
      <c r="E28" s="2">
        <f t="shared" si="0"/>
        <v>1060</v>
      </c>
      <c r="F28" s="2"/>
    </row>
    <row r="29" spans="1:6">
      <c r="A29" s="2">
        <v>28</v>
      </c>
      <c r="B29" s="2">
        <f t="shared" si="2"/>
        <v>1640</v>
      </c>
      <c r="C29">
        <f t="shared" si="4"/>
        <v>50</v>
      </c>
      <c r="E29" s="2">
        <f t="shared" si="0"/>
        <v>1100</v>
      </c>
      <c r="F29" s="2"/>
    </row>
    <row r="30" spans="1:6">
      <c r="A30" s="2">
        <v>29</v>
      </c>
      <c r="B30" s="2">
        <f t="shared" si="2"/>
        <v>1690</v>
      </c>
      <c r="C30">
        <f t="shared" si="4"/>
        <v>50</v>
      </c>
      <c r="E30" s="2">
        <f t="shared" si="0"/>
        <v>1130</v>
      </c>
      <c r="F30" s="2"/>
    </row>
    <row r="31" spans="1:6">
      <c r="A31" s="2">
        <v>30</v>
      </c>
      <c r="B31" s="2">
        <f t="shared" si="2"/>
        <v>2220</v>
      </c>
      <c r="C31">
        <f t="shared" si="4"/>
        <v>530</v>
      </c>
      <c r="D31" s="1">
        <f>$M$1*(A31-1)+$Q$1*A31</f>
        <v>475.1</v>
      </c>
      <c r="E31" s="2">
        <f t="shared" ref="E31:E40" si="5">ROUNDUP(B31/$J$1,-1)</f>
        <v>1480</v>
      </c>
      <c r="F31" s="2"/>
    </row>
    <row r="32" spans="1:6">
      <c r="A32" s="2">
        <v>31</v>
      </c>
      <c r="B32" s="2">
        <f t="shared" si="2"/>
        <v>2270</v>
      </c>
      <c r="C32">
        <f t="shared" si="4"/>
        <v>50</v>
      </c>
      <c r="E32" s="2">
        <f t="shared" si="5"/>
        <v>1520</v>
      </c>
      <c r="F32" s="2"/>
    </row>
    <row r="33" spans="1:6">
      <c r="A33" s="2">
        <v>32</v>
      </c>
      <c r="B33" s="2">
        <f t="shared" si="2"/>
        <v>2320</v>
      </c>
      <c r="C33">
        <f t="shared" si="4"/>
        <v>50</v>
      </c>
      <c r="E33" s="2">
        <f t="shared" si="5"/>
        <v>1550</v>
      </c>
      <c r="F33" s="2"/>
    </row>
    <row r="34" spans="1:6">
      <c r="A34" s="2">
        <v>33</v>
      </c>
      <c r="B34" s="2">
        <f t="shared" si="2"/>
        <v>2370</v>
      </c>
      <c r="C34">
        <f t="shared" si="4"/>
        <v>50</v>
      </c>
      <c r="E34" s="2">
        <f t="shared" si="5"/>
        <v>1580</v>
      </c>
      <c r="F34" s="2"/>
    </row>
    <row r="35" spans="1:6">
      <c r="A35" s="2">
        <v>34</v>
      </c>
      <c r="B35" s="2">
        <f t="shared" si="2"/>
        <v>2420</v>
      </c>
      <c r="C35">
        <f t="shared" si="4"/>
        <v>50</v>
      </c>
      <c r="E35" s="2">
        <f t="shared" si="5"/>
        <v>1620</v>
      </c>
      <c r="F35" s="2"/>
    </row>
    <row r="36" spans="1:6">
      <c r="A36" s="2">
        <v>35</v>
      </c>
      <c r="B36" s="2">
        <f t="shared" si="2"/>
        <v>2480</v>
      </c>
      <c r="C36">
        <f t="shared" si="4"/>
        <v>60</v>
      </c>
      <c r="E36" s="2">
        <f t="shared" si="5"/>
        <v>1660</v>
      </c>
      <c r="F36" s="2"/>
    </row>
    <row r="37" spans="1:6">
      <c r="A37" s="2">
        <v>36</v>
      </c>
      <c r="B37" s="2">
        <f t="shared" si="2"/>
        <v>2540</v>
      </c>
      <c r="C37">
        <f t="shared" si="4"/>
        <v>60</v>
      </c>
      <c r="E37" s="2">
        <f t="shared" si="5"/>
        <v>1700</v>
      </c>
      <c r="F37" s="2"/>
    </row>
    <row r="38" spans="1:6">
      <c r="A38" s="2">
        <v>37</v>
      </c>
      <c r="B38" s="2">
        <f t="shared" si="2"/>
        <v>2600</v>
      </c>
      <c r="C38">
        <f t="shared" si="4"/>
        <v>60</v>
      </c>
      <c r="E38" s="2">
        <f t="shared" si="5"/>
        <v>1740</v>
      </c>
      <c r="F38" s="2"/>
    </row>
    <row r="39" spans="1:6">
      <c r="A39" s="2">
        <v>38</v>
      </c>
      <c r="B39" s="2">
        <f t="shared" si="2"/>
        <v>2660</v>
      </c>
      <c r="C39">
        <f t="shared" si="4"/>
        <v>60</v>
      </c>
      <c r="E39" s="2">
        <f t="shared" si="5"/>
        <v>1780</v>
      </c>
      <c r="F39" s="2"/>
    </row>
    <row r="40" spans="1:6">
      <c r="A40" s="2">
        <v>39</v>
      </c>
      <c r="B40" s="2">
        <f t="shared" si="2"/>
        <v>2720</v>
      </c>
      <c r="C40">
        <f t="shared" si="4"/>
        <v>60</v>
      </c>
      <c r="E40" s="2">
        <f t="shared" si="5"/>
        <v>1820</v>
      </c>
      <c r="F40" s="2"/>
    </row>
    <row r="41" spans="1:5">
      <c r="A41" s="2">
        <v>40</v>
      </c>
      <c r="B41" s="2">
        <f t="shared" si="2"/>
        <v>3410</v>
      </c>
      <c r="C41">
        <f t="shared" si="4"/>
        <v>690</v>
      </c>
      <c r="D41" s="1">
        <f>$M$1*(A41-1)+$Q$1*A41</f>
        <v>634.8</v>
      </c>
      <c r="E41" s="1">
        <v>0</v>
      </c>
    </row>
    <row r="42" spans="1:6">
      <c r="A42" s="2">
        <v>41</v>
      </c>
      <c r="B42" s="2">
        <f t="shared" si="2"/>
        <v>3470</v>
      </c>
      <c r="C42">
        <f t="shared" si="4"/>
        <v>60</v>
      </c>
      <c r="E42" s="2"/>
      <c r="F42" s="2"/>
    </row>
    <row r="43" spans="1:6">
      <c r="A43" s="2">
        <v>42</v>
      </c>
      <c r="B43" s="2">
        <f t="shared" si="2"/>
        <v>3530</v>
      </c>
      <c r="C43">
        <f t="shared" si="4"/>
        <v>60</v>
      </c>
      <c r="E43" s="2"/>
      <c r="F43" s="2"/>
    </row>
    <row r="44" spans="1:6">
      <c r="A44" s="2">
        <v>43</v>
      </c>
      <c r="B44" s="2">
        <f t="shared" si="2"/>
        <v>3590</v>
      </c>
      <c r="C44">
        <f t="shared" si="4"/>
        <v>60</v>
      </c>
      <c r="E44" s="2"/>
      <c r="F44" s="2"/>
    </row>
    <row r="45" spans="1:6">
      <c r="A45" s="2">
        <v>44</v>
      </c>
      <c r="B45" s="2">
        <f t="shared" si="2"/>
        <v>3650</v>
      </c>
      <c r="C45">
        <f t="shared" si="4"/>
        <v>60</v>
      </c>
      <c r="E45" s="2"/>
      <c r="F45" s="2"/>
    </row>
    <row r="46" spans="1:6">
      <c r="A46" s="2">
        <v>45</v>
      </c>
      <c r="B46" s="2">
        <f t="shared" si="2"/>
        <v>3720</v>
      </c>
      <c r="C46">
        <f t="shared" si="4"/>
        <v>70</v>
      </c>
      <c r="E46" s="2"/>
      <c r="F46" s="2"/>
    </row>
    <row r="47" spans="1:6">
      <c r="A47" s="2">
        <v>46</v>
      </c>
      <c r="B47" s="2">
        <f t="shared" si="2"/>
        <v>3790</v>
      </c>
      <c r="C47">
        <f t="shared" si="4"/>
        <v>70</v>
      </c>
      <c r="E47" s="2"/>
      <c r="F47" s="2"/>
    </row>
    <row r="48" spans="1:6">
      <c r="A48" s="2">
        <v>47</v>
      </c>
      <c r="B48" s="2">
        <f t="shared" si="2"/>
        <v>3860</v>
      </c>
      <c r="C48">
        <f t="shared" si="4"/>
        <v>70</v>
      </c>
      <c r="E48" s="2"/>
      <c r="F48" s="2"/>
    </row>
    <row r="49" spans="1:6">
      <c r="A49" s="2">
        <v>48</v>
      </c>
      <c r="B49" s="2">
        <f t="shared" si="2"/>
        <v>3930</v>
      </c>
      <c r="C49">
        <f t="shared" si="4"/>
        <v>70</v>
      </c>
      <c r="E49" s="2"/>
      <c r="F49" s="2"/>
    </row>
    <row r="50" spans="1:6">
      <c r="A50" s="2">
        <v>49</v>
      </c>
      <c r="B50" s="2">
        <f t="shared" si="2"/>
        <v>4000</v>
      </c>
      <c r="C50">
        <f t="shared" si="4"/>
        <v>70</v>
      </c>
      <c r="E50" s="2"/>
      <c r="F50" s="2"/>
    </row>
    <row r="51" spans="1:6">
      <c r="A51" s="2">
        <v>50</v>
      </c>
      <c r="B51" s="1">
        <v>0</v>
      </c>
      <c r="C51">
        <f t="shared" si="4"/>
        <v>70</v>
      </c>
      <c r="E51" s="2"/>
      <c r="F51" s="2"/>
    </row>
    <row r="52" spans="1:5">
      <c r="A52" s="2"/>
      <c r="B52" s="2"/>
      <c r="E52" s="2"/>
    </row>
    <row r="53" spans="2:7">
      <c r="B53" s="2">
        <f>SUM(B2:B52)</f>
        <v>86470</v>
      </c>
      <c r="E53" s="1">
        <f>SUM(E2:E52)</f>
        <v>33170</v>
      </c>
      <c r="F53" s="1">
        <f>SUM(F2:F52)</f>
        <v>5110</v>
      </c>
      <c r="G53" s="1">
        <f>SUM(G2:G52)</f>
        <v>920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EquipLv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2024-09-27T06:37:40Z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