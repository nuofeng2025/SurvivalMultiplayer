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ummonpoo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<sst xmlns="http://schemas.openxmlformats.org/spreadsheetml/2006/main" count="178" uniqueCount="127">
  <si>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Id</t>
  </si>
  <si>
    <t>Item</t>
  </si>
  <si>
    <t>Gl</t>
  </si>
  <si>
    <t>int</t>
  </si>
  <si>
    <t>奖池id</t>
  </si>
  <si>
    <t>道具</t>
  </si>
  <si>
    <t>权重</t>
  </si>
  <si>
    <t>11001</t>
  </si>
  <si>
    <t>12001</t>
  </si>
  <si>
    <t>13001</t>
  </si>
  <si>
    <t>14001</t>
  </si>
  <si>
    <t>关卡步骤</t>
  </si>
  <si>
    <t>新手引导</t>
  </si>
  <si>
    <t>抽技能</t>
  </si>
  <si>
    <t>安装技能</t>
  </si>
  <si>
    <t>替换技能</t>
  </si>
  <si>
    <t>卸载技能</t>
  </si>
  <si>
    <t>抽装备</t>
  </si>
  <si>
    <t>安装装备</t>
  </si>
  <si>
    <t>抽部队</t>
  </si>
  <si>
    <t>替换部队</t>
  </si>
  <si>
    <t>英雄加经验</t>
  </si>
  <si>
    <t>铁匠铺到达级数</t>
  </si>
  <si>
    <t>添加副英雄</t>
  </si>
  <si>
    <t>获得N个部队</t>
  </si>
  <si>
    <t>获得N个技能</t>
  </si>
  <si>
    <t>通关指定玩法1</t>
  </si>
  <si>
    <t>玩家等级到达级数</t>
  </si>
  <si>
    <t>通关指定玩法2</t>
  </si>
  <si>
    <t>通关指定玩法3</t>
  </si>
  <si>
    <t>通关指定玩法4</t>
  </si>
  <si>
    <t>N部队升到N级</t>
  </si>
  <si>
    <t>奖励</t>
  </si>
  <si>
    <t>升级武学0/1</t>
  </si>
  <si>
    <t>八卦50经验20</t>
  </si>
  <si>
    <t>一步一步引导的</t>
  </si>
  <si>
    <t>通关1-1牛家村</t>
  </si>
  <si>
    <t>口诀(攻击+22)</t>
  </si>
  <si>
    <t>文案属性克制</t>
  </si>
  <si>
    <t>上阵口诀</t>
  </si>
  <si>
    <t>通关1-2</t>
  </si>
  <si>
    <t>奖励口诀+抽卡券</t>
  </si>
  <si>
    <t>奖励元宝50</t>
  </si>
  <si>
    <t>弱引导一步一步引导的</t>
  </si>
  <si>
    <t>激活图鉴</t>
  </si>
  <si>
    <t>通关1-3</t>
  </si>
  <si>
    <t>奖励技能</t>
  </si>
  <si>
    <t>提升武学境界</t>
  </si>
  <si>
    <t>奖励口诀（气血+176）</t>
  </si>
  <si>
    <t>通关1-4</t>
  </si>
  <si>
    <t>奖励口诀</t>
  </si>
  <si>
    <t>通关1-5</t>
  </si>
  <si>
    <t>彩石60，染草30</t>
  </si>
  <si>
    <t>引导安装内功</t>
  </si>
  <si>
    <t>变装</t>
  </si>
  <si>
    <t>通关1-6</t>
  </si>
  <si>
    <t>武学突破书10</t>
  </si>
  <si>
    <t>升级武学(7/10)次</t>
  </si>
  <si>
    <t>通关1-7</t>
  </si>
  <si>
    <t>领取挂机奖励</t>
  </si>
  <si>
    <t>奖励随机技能</t>
  </si>
  <si>
    <t>通关1-8</t>
  </si>
  <si>
    <t>通关1-9</t>
  </si>
  <si>
    <t>引导安装轻功</t>
  </si>
  <si>
    <t>通关1-10</t>
  </si>
  <si>
    <t>奖励剑</t>
  </si>
  <si>
    <t>穿戴装备0/1次</t>
  </si>
  <si>
    <t>通关2-3</t>
  </si>
  <si>
    <t>练功1次</t>
  </si>
  <si>
    <t>元宝100金币1000</t>
  </si>
  <si>
    <t>通关2-6</t>
  </si>
  <si>
    <t>奖励鞋子</t>
  </si>
  <si>
    <t>添加好友</t>
  </si>
  <si>
    <t>抽卡10次</t>
  </si>
  <si>
    <t>2-5开加速(2-20出现跳过)</t>
  </si>
  <si>
    <t>千机阁抽取10个技能</t>
  </si>
  <si>
    <t>通关2-9</t>
  </si>
  <si>
    <t>奖励镯子</t>
  </si>
  <si>
    <t>2-8出现其它玩家</t>
  </si>
  <si>
    <t>通关金钱副本</t>
  </si>
  <si>
    <t>元宝100</t>
  </si>
  <si>
    <t>通关2-12</t>
  </si>
  <si>
    <t>通关2-16</t>
  </si>
  <si>
    <t>奇遇记</t>
  </si>
  <si>
    <t>小游戏</t>
  </si>
  <si>
    <t>找线索。划水果。解密。飞行躲障碍。解密</t>
  </si>
  <si>
    <t>10分钟左右</t>
  </si>
  <si>
    <t>通关2-20</t>
  </si>
  <si>
    <t>奖励武学奖励手镯</t>
  </si>
  <si>
    <t>开启武学招式</t>
  </si>
  <si>
    <t>精进点100</t>
  </si>
  <si>
    <t>开启精武阁精进</t>
  </si>
  <si>
    <t>通关2-24</t>
  </si>
  <si>
    <t>元宝200</t>
  </si>
  <si>
    <t>参与擂台</t>
  </si>
  <si>
    <t>擂台卷</t>
  </si>
  <si>
    <t>通关3-4</t>
  </si>
  <si>
    <t>修决堂 修身口诀</t>
  </si>
  <si>
    <t>快速挂机1次</t>
  </si>
  <si>
    <t>奖励学习点</t>
  </si>
  <si>
    <t>通关3-8</t>
  </si>
  <si>
    <t>通关3-12</t>
  </si>
  <si>
    <t>5分钟</t>
  </si>
  <si>
    <t>奖励擂台卷</t>
  </si>
  <si>
    <t>通关3-16</t>
  </si>
  <si>
    <t>江湖卖艺1次</t>
  </si>
  <si>
    <t>通关3-20</t>
  </si>
  <si>
    <t>强化石3</t>
  </si>
  <si>
    <t>强化装备</t>
  </si>
  <si>
    <t>强化石5</t>
  </si>
  <si>
    <t>通关3-24</t>
  </si>
  <si>
    <t>奖励武器</t>
  </si>
  <si>
    <t>千机卷</t>
  </si>
  <si>
    <t>通关木人巷5关</t>
  </si>
  <si>
    <t>通关3-30</t>
  </si>
  <si>
    <t>奖励强化石和衣服</t>
  </si>
  <si>
    <t>提升修为</t>
  </si>
  <si>
    <t>绝学残卷</t>
  </si>
  <si>
    <t>1小时</t>
  </si>
  <si>
    <t>通关4-3</t>
  </si>
  <si>
    <t>绝学残卷和混元功法</t>
  </si>
  <si>
    <t>上阵内动+1</t>
  </si>
  <si>
    <t>奖励项链和强化石</t>
  </si>
  <si>
    <t>通关4-6</t>
  </si>
  <si>
    <t>提升角色等级至22</t>
  </si>
  <si>
    <t>卡住了过不去</t>
  </si>
  <si>
    <t>通关4-9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</si>
</sst>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workbookViewId="0">
      <selection activeCell="H13" sqref="H13"/>
    </sheetView>
  </sheetViews>
  <sheetFormatPr defaultColWidth="9" defaultRowHeight="13.5"/>
  <cols>
    <col min="1" max="1" width="11.875" customWidth="1"/>
    <col min="2" max="2" width="13.875" customWidth="1"/>
    <col min="12" max="12" width="12.625"/>
    <col min="14" max="14" width="12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="1" customFormat="1" spans="1:9">
      <c r="A4" s="1">
        <v>1001</v>
      </c>
      <c r="B4" s="2" t="s">
        <v>7</v>
      </c>
      <c r="C4" s="1">
        <v>1503</v>
      </c>
      <c r="G4" s="1">
        <v>1540</v>
      </c>
      <c r="H4" s="1">
        <f>G4/$G$28</f>
        <v>0.154</v>
      </c>
      <c r="I4" s="1" t="str">
        <f>H4*100&amp;"%"</f>
        <v>15.4%</v>
      </c>
    </row>
    <row r="5" s="1" customFormat="1" spans="1:9">
      <c r="A5" s="1">
        <v>1002</v>
      </c>
      <c r="B5" s="2" t="s">
        <v>8</v>
      </c>
      <c r="C5" s="1">
        <v>1503</v>
      </c>
      <c r="G5" s="1">
        <v>1540</v>
      </c>
      <c r="H5" s="1">
        <f t="shared" ref="H5:H17" si="0">G5/$G$28</f>
        <v>0.154</v>
      </c>
      <c r="I5" s="1" t="str">
        <f t="shared" ref="I5:I27" si="1">H5*100&amp;"%"</f>
        <v>15.4%</v>
      </c>
    </row>
    <row r="6" s="1" customFormat="1" spans="1:9">
      <c r="A6" s="1">
        <v>1003</v>
      </c>
      <c r="B6" s="2" t="s">
        <v>9</v>
      </c>
      <c r="C6" s="1">
        <v>1503</v>
      </c>
      <c r="G6" s="1">
        <v>1540</v>
      </c>
      <c r="H6" s="1">
        <f t="shared" si="0"/>
        <v>0.154</v>
      </c>
      <c r="I6" s="1" t="str">
        <f t="shared" si="1"/>
        <v>15.4%</v>
      </c>
    </row>
    <row r="7" s="1" customFormat="1" spans="1:9">
      <c r="A7" s="1">
        <v>1004</v>
      </c>
      <c r="B7" s="2" t="s">
        <v>10</v>
      </c>
      <c r="C7" s="1">
        <v>1503</v>
      </c>
      <c r="G7" s="1">
        <v>1540</v>
      </c>
      <c r="H7" s="1">
        <f t="shared" si="0"/>
        <v>0.154</v>
      </c>
      <c r="I7" s="1" t="str">
        <f t="shared" si="1"/>
        <v>15.4%</v>
      </c>
    </row>
    <row r="8" s="1" customFormat="1" spans="1:9">
      <c r="A8" s="1">
        <v>1005</v>
      </c>
      <c r="B8" s="3">
        <v>15001</v>
      </c>
      <c r="C8" s="1">
        <v>1503</v>
      </c>
      <c r="G8" s="1">
        <v>1540</v>
      </c>
      <c r="H8" s="1">
        <f t="shared" si="0"/>
        <v>0.154</v>
      </c>
      <c r="I8" s="1" t="str">
        <f t="shared" si="1"/>
        <v>15.4%</v>
      </c>
    </row>
    <row r="9" s="1" customFormat="1" spans="1:9">
      <c r="A9" s="1">
        <v>1006</v>
      </c>
      <c r="B9" s="3">
        <v>16001</v>
      </c>
      <c r="C9" s="1">
        <v>1503</v>
      </c>
      <c r="G9" s="1">
        <v>1540</v>
      </c>
      <c r="H9" s="1">
        <f t="shared" si="0"/>
        <v>0.154</v>
      </c>
      <c r="I9" s="1" t="str">
        <f t="shared" si="1"/>
        <v>15.4%</v>
      </c>
    </row>
    <row r="10" s="1" customFormat="1" spans="1:9">
      <c r="A10" s="1">
        <v>2001</v>
      </c>
      <c r="B10" s="3">
        <v>21001</v>
      </c>
      <c r="C10" s="1">
        <v>101</v>
      </c>
      <c r="G10" s="1">
        <v>85</v>
      </c>
      <c r="H10" s="1">
        <f t="shared" si="0"/>
        <v>0.0085</v>
      </c>
      <c r="I10" s="1" t="str">
        <f t="shared" si="1"/>
        <v>0.85%</v>
      </c>
    </row>
    <row r="11" s="1" customFormat="1" spans="1:9">
      <c r="A11" s="1">
        <v>2002</v>
      </c>
      <c r="B11" s="3">
        <v>22001</v>
      </c>
      <c r="C11" s="1">
        <v>101</v>
      </c>
      <c r="G11" s="1">
        <v>85</v>
      </c>
      <c r="H11" s="1">
        <f t="shared" si="0"/>
        <v>0.0085</v>
      </c>
      <c r="I11" s="1" t="str">
        <f t="shared" si="1"/>
        <v>0.85%</v>
      </c>
    </row>
    <row r="12" s="1" customFormat="1" spans="1:9">
      <c r="A12" s="1">
        <v>2003</v>
      </c>
      <c r="B12" s="3">
        <v>23001</v>
      </c>
      <c r="C12" s="1">
        <v>101</v>
      </c>
      <c r="G12" s="1">
        <v>85</v>
      </c>
      <c r="H12" s="1">
        <f t="shared" si="0"/>
        <v>0.0085</v>
      </c>
      <c r="I12" s="1" t="str">
        <f t="shared" si="1"/>
        <v>0.85%</v>
      </c>
    </row>
    <row r="13" s="1" customFormat="1" spans="1:9">
      <c r="A13" s="1">
        <v>2004</v>
      </c>
      <c r="B13" s="3">
        <v>24001</v>
      </c>
      <c r="C13" s="1">
        <v>101</v>
      </c>
      <c r="G13" s="1">
        <v>85</v>
      </c>
      <c r="H13" s="1">
        <f t="shared" si="0"/>
        <v>0.0085</v>
      </c>
      <c r="I13" s="1" t="str">
        <f t="shared" si="1"/>
        <v>0.85%</v>
      </c>
    </row>
    <row r="14" s="1" customFormat="1" spans="1:9">
      <c r="A14" s="1">
        <v>2005</v>
      </c>
      <c r="B14" s="3">
        <v>25001</v>
      </c>
      <c r="C14" s="1">
        <v>101</v>
      </c>
      <c r="G14" s="1">
        <v>85</v>
      </c>
      <c r="H14" s="1">
        <f t="shared" si="0"/>
        <v>0.0085</v>
      </c>
      <c r="I14" s="1" t="str">
        <f t="shared" si="1"/>
        <v>0.85%</v>
      </c>
    </row>
    <row r="15" s="1" customFormat="1" spans="1:14">
      <c r="A15" s="1">
        <v>2006</v>
      </c>
      <c r="B15" s="3">
        <v>26001</v>
      </c>
      <c r="C15" s="1">
        <v>101</v>
      </c>
      <c r="G15" s="1">
        <v>85</v>
      </c>
      <c r="H15" s="1">
        <f t="shared" si="0"/>
        <v>0.0085</v>
      </c>
      <c r="I15" s="1" t="str">
        <f t="shared" si="1"/>
        <v>0.85%</v>
      </c>
      <c r="M15" s="1">
        <f>10000-275-707</f>
        <v>9018</v>
      </c>
      <c r="N15" s="1">
        <f>M15/6</f>
        <v>1503</v>
      </c>
    </row>
    <row r="16" s="1" customFormat="1" spans="1:9">
      <c r="A16" s="1">
        <v>2007</v>
      </c>
      <c r="B16" s="3">
        <v>28001</v>
      </c>
      <c r="C16" s="1">
        <v>101</v>
      </c>
      <c r="G16" s="1">
        <v>85</v>
      </c>
      <c r="H16" s="1">
        <f t="shared" si="0"/>
        <v>0.0085</v>
      </c>
      <c r="I16" s="1" t="str">
        <f t="shared" si="1"/>
        <v>0.85%</v>
      </c>
    </row>
    <row r="17" s="1" customFormat="1" spans="1:9">
      <c r="A17" s="1">
        <v>3001</v>
      </c>
      <c r="B17" s="3">
        <v>31001</v>
      </c>
      <c r="C17" s="1">
        <v>25</v>
      </c>
      <c r="G17" s="1">
        <v>15</v>
      </c>
      <c r="H17" s="1">
        <f t="shared" si="0"/>
        <v>0.0015</v>
      </c>
      <c r="I17" s="1" t="str">
        <f t="shared" si="1"/>
        <v>0.15%</v>
      </c>
    </row>
    <row r="18" spans="1:9">
      <c r="A18" s="4">
        <v>3002</v>
      </c>
      <c r="B18" s="5">
        <v>31002</v>
      </c>
      <c r="C18">
        <v>25</v>
      </c>
      <c r="G18">
        <v>15</v>
      </c>
      <c r="H18">
        <f t="shared" ref="H18:H28" si="2">G18/$G$28</f>
        <v>0.0015</v>
      </c>
      <c r="I18" t="str">
        <f t="shared" si="1"/>
        <v>0.15%</v>
      </c>
    </row>
    <row r="19" s="1" customFormat="1" spans="1:9">
      <c r="A19" s="1">
        <v>3003</v>
      </c>
      <c r="B19" s="3">
        <v>32001</v>
      </c>
      <c r="C19" s="1">
        <v>25</v>
      </c>
      <c r="G19" s="1">
        <v>15</v>
      </c>
      <c r="H19" s="1">
        <f t="shared" si="2"/>
        <v>0.0015</v>
      </c>
      <c r="I19" s="1" t="str">
        <f t="shared" si="1"/>
        <v>0.15%</v>
      </c>
    </row>
    <row r="20" spans="1:9">
      <c r="A20" s="4">
        <v>3004</v>
      </c>
      <c r="B20" s="5">
        <v>33001</v>
      </c>
      <c r="C20">
        <v>25</v>
      </c>
      <c r="G20">
        <v>15</v>
      </c>
      <c r="H20">
        <f t="shared" si="2"/>
        <v>0.0015</v>
      </c>
      <c r="I20" t="str">
        <f t="shared" si="1"/>
        <v>0.15%</v>
      </c>
    </row>
    <row r="21" s="1" customFormat="1" spans="1:9">
      <c r="A21" s="1">
        <v>3005</v>
      </c>
      <c r="B21" s="3">
        <v>34001</v>
      </c>
      <c r="C21" s="1">
        <v>25</v>
      </c>
      <c r="G21" s="1">
        <v>15</v>
      </c>
      <c r="H21" s="1">
        <f t="shared" si="2"/>
        <v>0.0015</v>
      </c>
      <c r="I21" s="1" t="str">
        <f t="shared" si="1"/>
        <v>0.15%</v>
      </c>
    </row>
    <row r="22" s="1" customFormat="1" spans="1:9">
      <c r="A22" s="1">
        <v>3006</v>
      </c>
      <c r="B22" s="3">
        <v>35001</v>
      </c>
      <c r="C22" s="1">
        <v>25</v>
      </c>
      <c r="G22" s="1">
        <v>15</v>
      </c>
      <c r="H22" s="1">
        <f t="shared" si="2"/>
        <v>0.0015</v>
      </c>
      <c r="I22" s="1" t="str">
        <f t="shared" si="1"/>
        <v>0.15%</v>
      </c>
    </row>
    <row r="23" s="1" customFormat="1" spans="1:9">
      <c r="A23" s="1">
        <v>3007</v>
      </c>
      <c r="B23" s="3">
        <v>36001</v>
      </c>
      <c r="C23" s="1">
        <v>25</v>
      </c>
      <c r="G23" s="1">
        <v>15</v>
      </c>
      <c r="H23" s="1">
        <f t="shared" si="2"/>
        <v>0.0015</v>
      </c>
      <c r="I23" s="1" t="str">
        <f t="shared" si="1"/>
        <v>0.15%</v>
      </c>
    </row>
    <row r="24" spans="1:9">
      <c r="A24" s="4">
        <v>3008</v>
      </c>
      <c r="B24" s="5">
        <v>37001</v>
      </c>
      <c r="C24">
        <v>25</v>
      </c>
      <c r="G24">
        <v>15</v>
      </c>
      <c r="H24">
        <f t="shared" si="2"/>
        <v>0.0015</v>
      </c>
      <c r="I24" t="str">
        <f t="shared" si="1"/>
        <v>0.15%</v>
      </c>
    </row>
    <row r="25" spans="1:9">
      <c r="A25" s="4">
        <v>3009</v>
      </c>
      <c r="B25" s="5">
        <v>37002</v>
      </c>
      <c r="C25">
        <v>25</v>
      </c>
      <c r="G25">
        <v>15</v>
      </c>
      <c r="H25">
        <f t="shared" si="2"/>
        <v>0.0015</v>
      </c>
      <c r="I25" t="str">
        <f t="shared" si="1"/>
        <v>0.15%</v>
      </c>
    </row>
    <row r="26" spans="1:9">
      <c r="A26" s="4">
        <v>3010</v>
      </c>
      <c r="B26" s="5">
        <v>38001</v>
      </c>
      <c r="C26">
        <v>25</v>
      </c>
      <c r="G26">
        <v>15</v>
      </c>
      <c r="H26">
        <f t="shared" si="2"/>
        <v>0.0015</v>
      </c>
      <c r="I26" t="str">
        <f t="shared" si="1"/>
        <v>0.15%</v>
      </c>
    </row>
    <row r="27" spans="1:9">
      <c r="A27" s="4">
        <v>3011</v>
      </c>
      <c r="B27" s="5">
        <v>38002</v>
      </c>
      <c r="C27">
        <v>25</v>
      </c>
      <c r="G27">
        <v>15</v>
      </c>
      <c r="H27">
        <f t="shared" si="2"/>
        <v>0.0015</v>
      </c>
      <c r="I27" t="str">
        <f t="shared" si="1"/>
        <v>0.15%</v>
      </c>
    </row>
    <row r="28" spans="1:7">
      <c r="A28" s="4">
        <v>1101</v>
      </c>
      <c r="B28" s="6" t="s">
        <v>7</v>
      </c>
      <c r="C28">
        <v>1540</v>
      </c>
      <c r="G28">
        <f>SUM(G4:G27)</f>
        <v>10000</v>
      </c>
    </row>
    <row r="29" spans="1:3">
      <c r="A29" s="4">
        <v>1102</v>
      </c>
      <c r="B29" s="6" t="s">
        <v>8</v>
      </c>
      <c r="C29">
        <v>1540</v>
      </c>
    </row>
    <row r="30" spans="1:3">
      <c r="A30" s="4">
        <v>1103</v>
      </c>
      <c r="B30" s="6" t="s">
        <v>9</v>
      </c>
      <c r="C30">
        <v>1540</v>
      </c>
    </row>
    <row r="31" spans="1:3">
      <c r="A31" s="4">
        <v>1104</v>
      </c>
      <c r="B31" s="6" t="s">
        <v>10</v>
      </c>
      <c r="C31">
        <v>1540</v>
      </c>
    </row>
    <row r="32" spans="1:3">
      <c r="A32" s="4">
        <v>1105</v>
      </c>
      <c r="B32" s="5">
        <v>15001</v>
      </c>
      <c r="C32">
        <v>1540</v>
      </c>
    </row>
    <row r="33" spans="1:3">
      <c r="A33" s="4">
        <v>1106</v>
      </c>
      <c r="B33" s="5">
        <v>16001</v>
      </c>
      <c r="C33">
        <v>1540</v>
      </c>
    </row>
    <row r="34" spans="1:3">
      <c r="A34" s="4">
        <v>2101</v>
      </c>
      <c r="B34" s="5">
        <v>21001</v>
      </c>
      <c r="C34">
        <v>85</v>
      </c>
    </row>
    <row r="35" spans="1:3">
      <c r="A35" s="4">
        <v>2102</v>
      </c>
      <c r="B35" s="5">
        <v>22001</v>
      </c>
      <c r="C35">
        <v>85</v>
      </c>
    </row>
    <row r="36" spans="1:3">
      <c r="A36" s="4">
        <v>2103</v>
      </c>
      <c r="B36" s="5">
        <v>23001</v>
      </c>
      <c r="C36">
        <v>85</v>
      </c>
    </row>
    <row r="37" spans="1:3">
      <c r="A37" s="4">
        <v>2104</v>
      </c>
      <c r="B37" s="5">
        <v>24001</v>
      </c>
      <c r="C37">
        <v>85</v>
      </c>
    </row>
    <row r="38" spans="1:3">
      <c r="A38" s="4">
        <v>2105</v>
      </c>
      <c r="B38" s="5">
        <v>25001</v>
      </c>
      <c r="C38">
        <v>85</v>
      </c>
    </row>
    <row r="39" spans="1:3">
      <c r="A39" s="4">
        <v>2106</v>
      </c>
      <c r="B39" s="5">
        <v>26001</v>
      </c>
      <c r="C39">
        <v>85</v>
      </c>
    </row>
    <row r="40" spans="1:3">
      <c r="A40" s="4">
        <v>2107</v>
      </c>
      <c r="B40" s="5">
        <v>28001</v>
      </c>
      <c r="C40">
        <v>85</v>
      </c>
    </row>
    <row r="41" spans="1:3">
      <c r="A41" s="4">
        <v>3101</v>
      </c>
      <c r="B41" s="5">
        <v>31001</v>
      </c>
      <c r="C41">
        <v>15</v>
      </c>
    </row>
    <row r="42" spans="1:3">
      <c r="A42" s="4">
        <v>3102</v>
      </c>
      <c r="B42" s="5">
        <v>31002</v>
      </c>
      <c r="C42">
        <v>15</v>
      </c>
    </row>
    <row r="43" spans="1:3">
      <c r="A43" s="4">
        <v>3103</v>
      </c>
      <c r="B43" s="5">
        <v>32001</v>
      </c>
      <c r="C43">
        <v>15</v>
      </c>
    </row>
    <row r="44" spans="1:3">
      <c r="A44" s="4">
        <v>3104</v>
      </c>
      <c r="B44" s="5">
        <v>33001</v>
      </c>
      <c r="C44">
        <v>15</v>
      </c>
    </row>
    <row r="45" spans="1:3">
      <c r="A45" s="4">
        <v>3105</v>
      </c>
      <c r="B45" s="5">
        <v>34001</v>
      </c>
      <c r="C45">
        <v>15</v>
      </c>
    </row>
    <row r="46" spans="1:3">
      <c r="A46" s="4">
        <v>3106</v>
      </c>
      <c r="B46" s="5">
        <v>35001</v>
      </c>
      <c r="C46">
        <v>15</v>
      </c>
    </row>
    <row r="47" spans="1:3">
      <c r="A47" s="4">
        <v>3107</v>
      </c>
      <c r="B47" s="5">
        <v>36001</v>
      </c>
      <c r="C47">
        <v>15</v>
      </c>
    </row>
    <row r="48" spans="1:3">
      <c r="A48" s="4">
        <v>3108</v>
      </c>
      <c r="B48" s="5">
        <v>37001</v>
      </c>
      <c r="C48">
        <v>15</v>
      </c>
    </row>
    <row r="49" spans="1:3">
      <c r="A49" s="4">
        <v>3109</v>
      </c>
      <c r="B49" s="5">
        <v>37002</v>
      </c>
      <c r="C49">
        <v>15</v>
      </c>
    </row>
    <row r="50" spans="1:3">
      <c r="A50" s="4">
        <v>3110</v>
      </c>
      <c r="B50" s="5">
        <v>38001</v>
      </c>
      <c r="C50">
        <v>15</v>
      </c>
    </row>
    <row r="51" spans="1:3">
      <c r="A51" s="4">
        <v>3111</v>
      </c>
      <c r="B51" s="5">
        <v>38002</v>
      </c>
      <c r="C51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4"/>
  <sheetViews>
    <sheetView workbookViewId="0">
      <selection activeCell="J20" sqref="J20"/>
    </sheetView>
  </sheetViews>
  <sheetFormatPr defaultColWidth="9" defaultRowHeight="13.5" outlineLevelCol="6"/>
  <cols>
    <col min="2" max="2" width="14.5" customWidth="1"/>
    <col min="7" max="7" width="15.625" customWidth="1"/>
  </cols>
  <sheetData>
    <row r="4" spans="2:7">
      <c r="B4" t="s">
        <v>11</v>
      </c>
      <c r="C4">
        <v>1</v>
      </c>
      <c r="D4">
        <v>1</v>
      </c>
      <c r="F4" t="s">
        <v>12</v>
      </c>
      <c r="G4" s="1" t="s">
        <v>13</v>
      </c>
    </row>
    <row r="5" spans="2:7">
      <c r="B5" t="s">
        <v>11</v>
      </c>
      <c r="C5">
        <v>1</v>
      </c>
      <c r="D5">
        <v>2</v>
      </c>
      <c r="G5" s="1" t="s">
        <v>14</v>
      </c>
    </row>
    <row r="6" spans="2:7">
      <c r="B6" t="s">
        <v>11</v>
      </c>
      <c r="C6">
        <v>1</v>
      </c>
      <c r="D6">
        <v>3</v>
      </c>
      <c r="G6" s="1" t="s">
        <v>15</v>
      </c>
    </row>
    <row r="7" spans="2:7">
      <c r="B7" t="s">
        <v>11</v>
      </c>
      <c r="C7">
        <v>1</v>
      </c>
      <c r="D7">
        <v>4</v>
      </c>
      <c r="G7" s="1" t="s">
        <v>16</v>
      </c>
    </row>
    <row r="8" spans="2:7">
      <c r="B8" t="s">
        <v>11</v>
      </c>
      <c r="C8">
        <v>1</v>
      </c>
      <c r="D8">
        <v>5</v>
      </c>
      <c r="G8" s="1"/>
    </row>
    <row r="9" spans="2:7">
      <c r="B9" t="s">
        <v>11</v>
      </c>
      <c r="C9">
        <v>1</v>
      </c>
      <c r="D9">
        <v>6</v>
      </c>
      <c r="G9" s="1" t="s">
        <v>17</v>
      </c>
    </row>
    <row r="10" spans="2:7">
      <c r="B10" t="s">
        <v>11</v>
      </c>
      <c r="C10">
        <v>2</v>
      </c>
      <c r="D10">
        <v>1</v>
      </c>
      <c r="G10" s="1" t="s">
        <v>18</v>
      </c>
    </row>
    <row r="11" spans="2:7">
      <c r="B11" t="s">
        <v>11</v>
      </c>
      <c r="C11">
        <v>2</v>
      </c>
      <c r="D11">
        <v>2</v>
      </c>
      <c r="G11" s="1"/>
    </row>
    <row r="12" spans="2:7">
      <c r="B12" t="s">
        <v>11</v>
      </c>
      <c r="C12">
        <v>2</v>
      </c>
      <c r="D12">
        <v>3</v>
      </c>
      <c r="G12" s="1"/>
    </row>
    <row r="13" spans="2:7">
      <c r="B13" t="s">
        <v>11</v>
      </c>
      <c r="C13">
        <v>2</v>
      </c>
      <c r="D13">
        <v>4</v>
      </c>
      <c r="G13" s="1" t="s">
        <v>19</v>
      </c>
    </row>
    <row r="14" spans="2:7">
      <c r="B14" t="s">
        <v>11</v>
      </c>
      <c r="C14">
        <v>2</v>
      </c>
      <c r="D14">
        <v>5</v>
      </c>
      <c r="G14" s="1" t="s">
        <v>20</v>
      </c>
    </row>
    <row r="15" spans="2:7">
      <c r="B15" t="s">
        <v>11</v>
      </c>
      <c r="C15">
        <v>2</v>
      </c>
      <c r="D15">
        <v>6</v>
      </c>
      <c r="G15" s="1"/>
    </row>
    <row r="16" spans="7:7">
      <c r="G16" s="1" t="s">
        <v>21</v>
      </c>
    </row>
    <row r="17" spans="7:7">
      <c r="G17" s="1"/>
    </row>
    <row r="18" spans="2:7">
      <c r="B18" t="s">
        <v>22</v>
      </c>
      <c r="C18">
        <v>1</v>
      </c>
      <c r="G18" s="1" t="s">
        <v>23</v>
      </c>
    </row>
    <row r="19" spans="3:3">
      <c r="C19">
        <v>2</v>
      </c>
    </row>
    <row r="20" spans="3:3">
      <c r="C20">
        <v>3</v>
      </c>
    </row>
    <row r="21" spans="3:3">
      <c r="C21">
        <v>4</v>
      </c>
    </row>
    <row r="22" spans="3:7">
      <c r="C22">
        <v>5</v>
      </c>
      <c r="G22" t="s">
        <v>24</v>
      </c>
    </row>
    <row r="23" spans="3:3">
      <c r="C23">
        <v>6</v>
      </c>
    </row>
    <row r="24" spans="3:3">
      <c r="C24">
        <v>7</v>
      </c>
    </row>
    <row r="25" spans="7:7">
      <c r="G25" t="s">
        <v>25</v>
      </c>
    </row>
    <row r="27" spans="7:7">
      <c r="G27" t="s">
        <v>26</v>
      </c>
    </row>
    <row r="28" spans="2:7">
      <c r="B28" t="s">
        <v>27</v>
      </c>
      <c r="C28">
        <v>1</v>
      </c>
      <c r="G28" t="s">
        <v>28</v>
      </c>
    </row>
    <row r="29" spans="3:7">
      <c r="C29">
        <v>2</v>
      </c>
      <c r="G29" t="s">
        <v>29</v>
      </c>
    </row>
    <row r="30" spans="3:7">
      <c r="C30">
        <v>3</v>
      </c>
      <c r="G30" t="s">
        <v>30</v>
      </c>
    </row>
    <row r="31" spans="3:3">
      <c r="C31">
        <v>4</v>
      </c>
    </row>
    <row r="32" spans="3:3">
      <c r="C32">
        <v>5</v>
      </c>
    </row>
    <row r="33" spans="3:7">
      <c r="C33">
        <v>6</v>
      </c>
      <c r="G33" t="s">
        <v>31</v>
      </c>
    </row>
    <row r="34" spans="3:3">
      <c r="C34">
        <v>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A13" workbookViewId="0">
      <selection activeCell="G50" sqref="G50"/>
    </sheetView>
  </sheetViews>
  <sheetFormatPr defaultColWidth="9" defaultRowHeight="13.5" outlineLevelCol="4"/>
  <cols>
    <col min="2" max="2" width="25.375" customWidth="1"/>
    <col min="3" max="3" width="16.625" customWidth="1"/>
    <col min="4" max="4" width="37.375" customWidth="1"/>
    <col min="5" max="5" width="22.5" customWidth="1"/>
  </cols>
  <sheetData>
    <row r="2" spans="3:3">
      <c r="C2" t="s">
        <v>32</v>
      </c>
    </row>
    <row r="3" spans="1:4">
      <c r="A3">
        <v>1</v>
      </c>
      <c r="B3" t="s">
        <v>33</v>
      </c>
      <c r="C3" t="s">
        <v>34</v>
      </c>
      <c r="D3" t="s">
        <v>35</v>
      </c>
    </row>
    <row r="4" spans="1:4">
      <c r="A4">
        <v>2</v>
      </c>
      <c r="B4" t="s">
        <v>36</v>
      </c>
      <c r="C4" t="s">
        <v>37</v>
      </c>
      <c r="D4" t="s">
        <v>38</v>
      </c>
    </row>
    <row r="5" spans="1:4">
      <c r="A5">
        <v>3</v>
      </c>
      <c r="B5" t="s">
        <v>39</v>
      </c>
      <c r="D5" t="s">
        <v>35</v>
      </c>
    </row>
    <row r="6" spans="1:3">
      <c r="A6">
        <v>4</v>
      </c>
      <c r="B6" t="s">
        <v>40</v>
      </c>
      <c r="C6" t="s">
        <v>41</v>
      </c>
    </row>
    <row r="7" spans="1:4">
      <c r="A7">
        <v>5</v>
      </c>
      <c r="B7" t="s">
        <v>13</v>
      </c>
      <c r="C7" t="s">
        <v>42</v>
      </c>
      <c r="D7" t="s">
        <v>43</v>
      </c>
    </row>
    <row r="8" spans="1:3">
      <c r="A8">
        <v>6</v>
      </c>
      <c r="B8" t="s">
        <v>44</v>
      </c>
      <c r="C8" t="s">
        <v>42</v>
      </c>
    </row>
    <row r="9" spans="1:3">
      <c r="A9">
        <v>7</v>
      </c>
      <c r="B9" t="s">
        <v>45</v>
      </c>
      <c r="C9" t="s">
        <v>46</v>
      </c>
    </row>
    <row r="10" spans="1:3">
      <c r="A10">
        <v>8</v>
      </c>
      <c r="B10" t="s">
        <v>47</v>
      </c>
      <c r="C10" t="s">
        <v>48</v>
      </c>
    </row>
    <row r="11" spans="1:3">
      <c r="A11">
        <v>9</v>
      </c>
      <c r="B11" t="s">
        <v>49</v>
      </c>
      <c r="C11" t="s">
        <v>50</v>
      </c>
    </row>
    <row r="12" spans="1:4">
      <c r="A12">
        <v>10</v>
      </c>
      <c r="B12" t="s">
        <v>51</v>
      </c>
      <c r="C12" t="s">
        <v>52</v>
      </c>
      <c r="D12" t="s">
        <v>53</v>
      </c>
    </row>
    <row r="13" spans="1:3">
      <c r="A13">
        <v>11</v>
      </c>
      <c r="B13" t="s">
        <v>54</v>
      </c>
      <c r="C13" t="s">
        <v>42</v>
      </c>
    </row>
    <row r="14" spans="1:3">
      <c r="A14">
        <v>12</v>
      </c>
      <c r="B14" t="s">
        <v>55</v>
      </c>
      <c r="C14" t="s">
        <v>56</v>
      </c>
    </row>
    <row r="15" spans="1:3">
      <c r="A15">
        <v>13</v>
      </c>
      <c r="B15" t="s">
        <v>57</v>
      </c>
      <c r="C15" t="s">
        <v>50</v>
      </c>
    </row>
    <row r="16" spans="1:3">
      <c r="A16">
        <v>14</v>
      </c>
      <c r="B16" t="s">
        <v>58</v>
      </c>
      <c r="C16" t="s">
        <v>50</v>
      </c>
    </row>
    <row r="17" spans="1:3">
      <c r="A17">
        <v>15</v>
      </c>
      <c r="B17" t="s">
        <v>59</v>
      </c>
      <c r="C17" t="s">
        <v>60</v>
      </c>
    </row>
    <row r="18" spans="1:3">
      <c r="A18">
        <v>16</v>
      </c>
      <c r="B18" t="s">
        <v>61</v>
      </c>
      <c r="C18" t="s">
        <v>50</v>
      </c>
    </row>
    <row r="19" spans="1:4">
      <c r="A19">
        <v>17</v>
      </c>
      <c r="B19" t="s">
        <v>62</v>
      </c>
      <c r="C19" t="s">
        <v>50</v>
      </c>
      <c r="D19" t="s">
        <v>63</v>
      </c>
    </row>
    <row r="20" spans="1:3">
      <c r="A20">
        <v>18</v>
      </c>
      <c r="B20" t="s">
        <v>64</v>
      </c>
      <c r="C20" t="s">
        <v>65</v>
      </c>
    </row>
    <row r="21" spans="1:3">
      <c r="A21">
        <v>19</v>
      </c>
      <c r="B21" t="s">
        <v>66</v>
      </c>
      <c r="C21" t="s">
        <v>50</v>
      </c>
    </row>
    <row r="22" spans="1:3">
      <c r="A22">
        <v>20</v>
      </c>
      <c r="B22" t="s">
        <v>67</v>
      </c>
      <c r="C22" t="s">
        <v>56</v>
      </c>
    </row>
    <row r="23" spans="1:3">
      <c r="A23">
        <v>21</v>
      </c>
      <c r="B23" t="s">
        <v>68</v>
      </c>
      <c r="C23" t="s">
        <v>69</v>
      </c>
    </row>
    <row r="24" spans="1:3">
      <c r="A24">
        <v>22</v>
      </c>
      <c r="B24" t="s">
        <v>70</v>
      </c>
      <c r="C24" t="s">
        <v>71</v>
      </c>
    </row>
    <row r="25" spans="1:4">
      <c r="A25">
        <v>23</v>
      </c>
      <c r="B25" t="s">
        <v>72</v>
      </c>
      <c r="C25" t="s">
        <v>73</v>
      </c>
      <c r="D25" t="s">
        <v>74</v>
      </c>
    </row>
    <row r="26" spans="1:2">
      <c r="A26">
        <v>24</v>
      </c>
      <c r="B26" t="s">
        <v>75</v>
      </c>
    </row>
    <row r="27" spans="1:4">
      <c r="A27">
        <v>25</v>
      </c>
      <c r="B27" t="s">
        <v>76</v>
      </c>
      <c r="C27" t="s">
        <v>77</v>
      </c>
      <c r="D27" t="s">
        <v>78</v>
      </c>
    </row>
    <row r="28" spans="1:3">
      <c r="A28">
        <v>26</v>
      </c>
      <c r="B28" t="s">
        <v>79</v>
      </c>
      <c r="C28" t="s">
        <v>80</v>
      </c>
    </row>
    <row r="29" spans="1:3">
      <c r="A29">
        <v>27</v>
      </c>
      <c r="B29" t="s">
        <v>81</v>
      </c>
      <c r="C29" t="s">
        <v>80</v>
      </c>
    </row>
    <row r="30" spans="1:3">
      <c r="A30">
        <v>28</v>
      </c>
      <c r="B30" t="s">
        <v>82</v>
      </c>
      <c r="C30" t="s">
        <v>80</v>
      </c>
    </row>
    <row r="31" spans="1:5">
      <c r="A31">
        <v>29</v>
      </c>
      <c r="B31" t="s">
        <v>83</v>
      </c>
      <c r="C31" t="s">
        <v>84</v>
      </c>
      <c r="D31" t="s">
        <v>85</v>
      </c>
      <c r="E31" t="s">
        <v>86</v>
      </c>
    </row>
    <row r="32" spans="1:3">
      <c r="A32">
        <v>30</v>
      </c>
      <c r="B32" t="s">
        <v>87</v>
      </c>
      <c r="C32" t="s">
        <v>88</v>
      </c>
    </row>
    <row r="33" spans="1:3">
      <c r="A33">
        <v>31</v>
      </c>
      <c r="B33" t="s">
        <v>89</v>
      </c>
      <c r="C33" t="s">
        <v>90</v>
      </c>
    </row>
    <row r="34" spans="1:3">
      <c r="A34">
        <v>32</v>
      </c>
      <c r="B34" t="s">
        <v>91</v>
      </c>
      <c r="C34" t="s">
        <v>90</v>
      </c>
    </row>
    <row r="35" spans="1:3">
      <c r="A35">
        <v>33</v>
      </c>
      <c r="B35" t="s">
        <v>92</v>
      </c>
      <c r="C35" t="s">
        <v>93</v>
      </c>
    </row>
    <row r="36" spans="1:3">
      <c r="A36">
        <v>34</v>
      </c>
      <c r="B36" t="s">
        <v>94</v>
      </c>
      <c r="C36" t="s">
        <v>95</v>
      </c>
    </row>
    <row r="37" spans="2:3">
      <c r="B37" t="s">
        <v>96</v>
      </c>
      <c r="C37" t="s">
        <v>97</v>
      </c>
    </row>
    <row r="38" spans="2:3">
      <c r="B38" t="s">
        <v>98</v>
      </c>
      <c r="C38" t="s">
        <v>99</v>
      </c>
    </row>
    <row r="39" spans="2:3">
      <c r="B39" t="s">
        <v>100</v>
      </c>
      <c r="C39" t="s">
        <v>56</v>
      </c>
    </row>
    <row r="40" spans="2:5">
      <c r="B40" t="s">
        <v>101</v>
      </c>
      <c r="C40" t="s">
        <v>50</v>
      </c>
      <c r="E40" t="s">
        <v>102</v>
      </c>
    </row>
    <row r="41" spans="2:5">
      <c r="B41" t="s">
        <v>94</v>
      </c>
      <c r="C41" t="s">
        <v>103</v>
      </c>
      <c r="E41" t="s">
        <v>102</v>
      </c>
    </row>
    <row r="42" spans="2:5">
      <c r="B42" t="s">
        <v>104</v>
      </c>
      <c r="C42" t="s">
        <v>56</v>
      </c>
      <c r="E42" t="s">
        <v>102</v>
      </c>
    </row>
    <row r="43" spans="2:5">
      <c r="B43" t="s">
        <v>105</v>
      </c>
      <c r="C43" t="s">
        <v>80</v>
      </c>
      <c r="E43" t="s">
        <v>102</v>
      </c>
    </row>
    <row r="44" spans="2:5">
      <c r="B44" t="s">
        <v>106</v>
      </c>
      <c r="C44" t="s">
        <v>107</v>
      </c>
      <c r="E44" t="s">
        <v>102</v>
      </c>
    </row>
    <row r="45" spans="2:5">
      <c r="B45" t="s">
        <v>108</v>
      </c>
      <c r="C45" t="s">
        <v>109</v>
      </c>
      <c r="E45" t="s">
        <v>102</v>
      </c>
    </row>
    <row r="46" spans="2:5">
      <c r="B46" t="s">
        <v>110</v>
      </c>
      <c r="C46" t="s">
        <v>111</v>
      </c>
      <c r="E46" t="s">
        <v>102</v>
      </c>
    </row>
    <row r="47" spans="2:5">
      <c r="B47" t="s">
        <v>59</v>
      </c>
      <c r="C47" t="s">
        <v>112</v>
      </c>
      <c r="E47" t="s">
        <v>102</v>
      </c>
    </row>
    <row r="48" spans="2:5">
      <c r="B48" t="s">
        <v>113</v>
      </c>
      <c r="C48" t="s">
        <v>80</v>
      </c>
      <c r="E48" t="s">
        <v>102</v>
      </c>
    </row>
    <row r="49" spans="2:5">
      <c r="B49" t="s">
        <v>114</v>
      </c>
      <c r="C49" t="s">
        <v>115</v>
      </c>
      <c r="E49" t="s">
        <v>102</v>
      </c>
    </row>
    <row r="50" spans="2:5">
      <c r="B50" t="s">
        <v>116</v>
      </c>
      <c r="C50" t="s">
        <v>117</v>
      </c>
      <c r="E50" t="s">
        <v>118</v>
      </c>
    </row>
    <row r="51" spans="2:5">
      <c r="B51" t="s">
        <v>119</v>
      </c>
      <c r="C51" t="s">
        <v>120</v>
      </c>
      <c r="E51" t="s">
        <v>102</v>
      </c>
    </row>
    <row r="52" spans="2:5">
      <c r="B52" t="s">
        <v>121</v>
      </c>
      <c r="C52" t="s">
        <v>122</v>
      </c>
      <c r="E52" t="s">
        <v>102</v>
      </c>
    </row>
    <row r="53" spans="2:5">
      <c r="B53" t="s">
        <v>123</v>
      </c>
      <c r="C53" t="s">
        <v>117</v>
      </c>
      <c r="E53" t="s">
        <v>102</v>
      </c>
    </row>
    <row r="54" spans="2:5">
      <c r="B54" t="s">
        <v>124</v>
      </c>
      <c r="C54" t="s">
        <v>112</v>
      </c>
      <c r="E54" t="s">
        <v>125</v>
      </c>
    </row>
    <row r="55" spans="2:2">
      <c r="B55" t="s">
        <v>126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Summonpool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2023-06-24T04:24:00Z</dcterms:created>
  <dcterms:modified xsi:type="dcterms:W3CDTF">2025-01-08T09:37:35Z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