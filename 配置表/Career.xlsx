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Career" sheetId="1" r:id="rId1"/>
    <sheet name="链接表" sheetId="2" r:id="rId2"/>
    <sheet name="Sheet3" sheetId="3" r:id="rId3"/>
    <sheet name="Sheet1" sheetId="4" r:id="rId4"/>
  </sheets>
  <definedNames>
    <definedName name="_xlnm._FilterDatabase" localSheetId="0" hidden="1">Career!$A$3:$AE$97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  <author>Administrator</author>
  </authors>
  <commentList>
    <comment ref="B1" authorId="0">
      <text>
        <r>
          <rPr>
            <sz val="9"/>
            <rFont val="宋体"/>
            <charset val="134"/>
          </rPr>
          <t>十万：品阶
万： 0为单线，1左分支，2右分支
千：分支做和右，0为单线
千内：预留英雄ID</t>
        </r>
      </text>
    </comment>
    <comment ref="N1" authorId="0">
      <text>
        <r>
          <rPr>
            <sz val="9"/>
            <rFont val="宋体"/>
            <charset val="134"/>
          </rPr>
          <t>职业链</t>
        </r>
      </text>
    </comment>
    <comment ref="Q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实际显示和计算时，除以100
</t>
        </r>
      </text>
    </comment>
    <comment ref="F3" authorId="0">
      <text>
        <r>
          <rPr>
            <sz val="9"/>
            <rFont val="宋体"/>
            <charset val="134"/>
          </rPr>
          <t xml:space="preserve">1.近战
2.远程
</t>
        </r>
      </text>
    </comment>
    <comment ref="J3" authorId="0">
      <text>
        <r>
          <rPr>
            <sz val="9"/>
            <rFont val="宋体"/>
            <charset val="134"/>
          </rPr>
          <t>1.物理
2.法术</t>
        </r>
      </text>
    </comment>
    <comment ref="K3" authorId="0">
      <text>
        <r>
          <rPr>
            <sz val="9"/>
            <rFont val="宋体"/>
            <charset val="134"/>
          </rPr>
          <t>1步兵  2骑兵 3弓兵  4飞兵  5魔法 6神圣  7魔物  8野兽
克制：
步兵＞野兽＞骑兵＞步兵
弓兵＞飞兵＞魔法＞弓兵
神圣＞魔物
魔物属性越高</t>
        </r>
      </text>
    </comment>
    <comment ref="O3" authorId="0">
      <text>
        <r>
          <rPr>
            <sz val="9"/>
            <rFont val="宋体"/>
            <charset val="134"/>
          </rPr>
          <t xml:space="preserve">1.全体
2.地面
3.空中
</t>
        </r>
      </text>
    </comment>
  </commentList>
</comments>
</file>

<file path=xl/comments2.xml><?xml version="1.0" encoding="utf-8"?>
<comments xmlns="http://schemas.openxmlformats.org/spreadsheetml/2006/main">
  <authors>
    <author>NINGMEI</author>
    <author>Administrator</author>
  </authors>
  <commentList>
    <comment ref="B1" authorId="0">
      <text>
        <r>
          <rPr>
            <sz val="9"/>
            <rFont val="宋体"/>
            <charset val="134"/>
          </rPr>
          <t>十万：品阶
万： 0为单线，1左分支，2右分支
千：分支做和右，0为单线
千内：预留英雄ID</t>
        </r>
      </text>
    </comment>
    <comment ref="L1" authorId="0">
      <text>
        <r>
          <rPr>
            <sz val="9"/>
            <rFont val="宋体"/>
            <charset val="134"/>
          </rPr>
          <t>职业链</t>
        </r>
      </text>
    </comment>
    <comment ref="N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实际显示和计算时，除以100
</t>
        </r>
      </text>
    </comment>
    <comment ref="E3" authorId="0">
      <text>
        <r>
          <rPr>
            <sz val="9"/>
            <rFont val="宋体"/>
            <charset val="134"/>
          </rPr>
          <t xml:space="preserve">1.近战
2.远程
</t>
        </r>
      </text>
    </comment>
    <comment ref="H3" authorId="0">
      <text>
        <r>
          <rPr>
            <sz val="9"/>
            <rFont val="宋体"/>
            <charset val="134"/>
          </rPr>
          <t>1.物理
2.法术</t>
        </r>
      </text>
    </comment>
  </commentList>
</comments>
</file>

<file path=xl/sharedStrings.xml><?xml version="1.0" encoding="utf-8"?>
<sst xmlns="http://schemas.openxmlformats.org/spreadsheetml/2006/main" count="1815" uniqueCount="356">
  <si>
    <t>ID</t>
  </si>
  <si>
    <t>CareerId</t>
  </si>
  <si>
    <t>HeroId</t>
  </si>
  <si>
    <t>Lv</t>
  </si>
  <si>
    <t>Name</t>
  </si>
  <si>
    <t>AtkScope</t>
  </si>
  <si>
    <t>Icon</t>
  </si>
  <si>
    <t>Icon1</t>
  </si>
  <si>
    <t>Amplify2</t>
  </si>
  <si>
    <t>Type</t>
  </si>
  <si>
    <t>TypeHero</t>
  </si>
  <si>
    <t>Grade</t>
  </si>
  <si>
    <t>UpGrade</t>
  </si>
  <si>
    <t>AtkGoal</t>
  </si>
  <si>
    <t>HP</t>
  </si>
  <si>
    <t>Atk</t>
  </si>
  <si>
    <t>Def</t>
  </si>
  <si>
    <t>Ap</t>
  </si>
  <si>
    <t>Mdef</t>
  </si>
  <si>
    <t>Dex</t>
  </si>
  <si>
    <t>Range</t>
  </si>
  <si>
    <t>Warn</t>
  </si>
  <si>
    <t>Move</t>
  </si>
  <si>
    <t>AtkCd</t>
  </si>
  <si>
    <t>InitTroop</t>
  </si>
  <si>
    <t>InitSkill</t>
  </si>
  <si>
    <t>Skills</t>
  </si>
  <si>
    <t>Add</t>
  </si>
  <si>
    <t>UnlockTroop</t>
  </si>
  <si>
    <t>UnlockSkill</t>
  </si>
  <si>
    <t>int</t>
  </si>
  <si>
    <t>string</t>
  </si>
  <si>
    <t>float</t>
  </si>
  <si>
    <t>职业ID</t>
  </si>
  <si>
    <t>英雄ID</t>
  </si>
  <si>
    <t>转职等级需求</t>
  </si>
  <si>
    <t>职业名称</t>
  </si>
  <si>
    <t>近战距离</t>
  </si>
  <si>
    <t>模型</t>
  </si>
  <si>
    <t>图标</t>
  </si>
  <si>
    <t>地图模型放大</t>
  </si>
  <si>
    <t>职业属性</t>
  </si>
  <si>
    <t>职业</t>
  </si>
  <si>
    <t>职业品阶</t>
  </si>
  <si>
    <t>职业资源</t>
  </si>
  <si>
    <t>上位职业ID</t>
  </si>
  <si>
    <t>攻击目标</t>
  </si>
  <si>
    <t>生命值</t>
  </si>
  <si>
    <t>攻击</t>
  </si>
  <si>
    <t>防御</t>
  </si>
  <si>
    <t>魔力</t>
  </si>
  <si>
    <t>魔防</t>
  </si>
  <si>
    <t>技巧</t>
  </si>
  <si>
    <t>攻击距离</t>
  </si>
  <si>
    <t>警戒范围</t>
  </si>
  <si>
    <t>移速</t>
  </si>
  <si>
    <t>攻击间隔/12</t>
  </si>
  <si>
    <t>初始士兵</t>
  </si>
  <si>
    <t>初始技能</t>
  </si>
  <si>
    <t>关卡技能</t>
  </si>
  <si>
    <t>战力提升</t>
  </si>
  <si>
    <t>转职解锁兵种</t>
  </si>
  <si>
    <t>转职解锁技能</t>
  </si>
  <si>
    <t>剑士</t>
  </si>
  <si>
    <t>Mahlon.1</t>
  </si>
  <si>
    <t>1</t>
  </si>
  <si>
    <t>111002|121001</t>
  </si>
  <si>
    <t>41001|41002|41003|41004|41005</t>
  </si>
  <si>
    <t>剑士长</t>
  </si>
  <si>
    <t>Mahlon.2</t>
  </si>
  <si>
    <t>2</t>
  </si>
  <si>
    <t>131001|141001</t>
  </si>
  <si>
    <t>勇士</t>
  </si>
  <si>
    <t>Mahlon.3</t>
  </si>
  <si>
    <t>3</t>
  </si>
  <si>
    <t>151001|161002</t>
  </si>
  <si>
    <t>210031|210041</t>
  </si>
  <si>
    <t>骑士</t>
  </si>
  <si>
    <t>Kress.1</t>
  </si>
  <si>
    <t>811001|821001</t>
  </si>
  <si>
    <t>41006|41007|41008</t>
  </si>
  <si>
    <t>骑士长</t>
  </si>
  <si>
    <t>Kress.2</t>
  </si>
  <si>
    <t>731001|241001</t>
  </si>
  <si>
    <t>骑士统领</t>
  </si>
  <si>
    <t>Kress.3</t>
  </si>
  <si>
    <t>251001|161001</t>
  </si>
  <si>
    <t>210091|210101</t>
  </si>
  <si>
    <t>射手</t>
  </si>
  <si>
    <t>Eileen.1</t>
  </si>
  <si>
    <t>111002|321001</t>
  </si>
  <si>
    <t>41009|41010|41011|41012|41013|44001</t>
  </si>
  <si>
    <t>游侠</t>
  </si>
  <si>
    <t>Eileen.2</t>
  </si>
  <si>
    <t>331001|341001</t>
  </si>
  <si>
    <t>狙击手</t>
  </si>
  <si>
    <t>Eileen.3</t>
  </si>
  <si>
    <t>351001|361001</t>
  </si>
  <si>
    <t>210141|210151</t>
  </si>
  <si>
    <t>飞马骑士</t>
  </si>
  <si>
    <t>Lela.1</t>
  </si>
  <si>
    <t>4</t>
  </si>
  <si>
    <t>411001|121001</t>
  </si>
  <si>
    <t>41014|41015|41016</t>
  </si>
  <si>
    <t>飞马统帅</t>
  </si>
  <si>
    <t>Lela.2</t>
  </si>
  <si>
    <t>431001|441001</t>
  </si>
  <si>
    <t>神天马统帅</t>
  </si>
  <si>
    <t>Lela.3</t>
  </si>
  <si>
    <t>451001|461001</t>
  </si>
  <si>
    <t>210191|210201</t>
  </si>
  <si>
    <t>魔法师</t>
  </si>
  <si>
    <t>Farad.1</t>
  </si>
  <si>
    <t>5</t>
  </si>
  <si>
    <t>111001|521001</t>
  </si>
  <si>
    <t>41017|41018|41019|44001</t>
  </si>
  <si>
    <t>大魔法师</t>
  </si>
  <si>
    <t>Farad.2</t>
  </si>
  <si>
    <t>531001|541001</t>
  </si>
  <si>
    <t>元素法师</t>
  </si>
  <si>
    <t>Farad.3</t>
  </si>
  <si>
    <t>351001|561001</t>
  </si>
  <si>
    <t>210241|210251</t>
  </si>
  <si>
    <t>修女</t>
  </si>
  <si>
    <t>Mina.1</t>
  </si>
  <si>
    <t>6</t>
  </si>
  <si>
    <t>111001|621001</t>
  </si>
  <si>
    <t>41020|41021|41022|44001</t>
  </si>
  <si>
    <t>神官</t>
  </si>
  <si>
    <t>Mina.2</t>
  </si>
  <si>
    <t>631001|641001</t>
  </si>
  <si>
    <t>大祭司</t>
  </si>
  <si>
    <t>Mina.3</t>
  </si>
  <si>
    <t>651001|661001</t>
  </si>
  <si>
    <t>210291|210301</t>
  </si>
  <si>
    <t>Meissen.1</t>
  </si>
  <si>
    <t>42001|42002|42003</t>
  </si>
  <si>
    <t>Meissen.2</t>
  </si>
  <si>
    <t>131001|341002</t>
  </si>
  <si>
    <t>220031|220041</t>
  </si>
  <si>
    <t>Meissen.3</t>
  </si>
  <si>
    <t>220051|220061</t>
  </si>
  <si>
    <t>Glay.1</t>
  </si>
  <si>
    <t>111002|221001</t>
  </si>
  <si>
    <t>42004|42005|42006|42007|42008</t>
  </si>
  <si>
    <t>Glay.2</t>
  </si>
  <si>
    <t>231001|341002</t>
  </si>
  <si>
    <t>220091|220101</t>
  </si>
  <si>
    <t>Glay.3</t>
  </si>
  <si>
    <t>151001|261001</t>
  </si>
  <si>
    <t>220111|220121</t>
  </si>
  <si>
    <t>Tia.1</t>
  </si>
  <si>
    <t>42009|42010|42011|44001</t>
  </si>
  <si>
    <t>Tia.2</t>
  </si>
  <si>
    <t>331001|341002</t>
  </si>
  <si>
    <t>220151|220161</t>
  </si>
  <si>
    <t>Tia.3</t>
  </si>
  <si>
    <t>220171|220181</t>
  </si>
  <si>
    <t>Kachuya.1</t>
  </si>
  <si>
    <t>411001|221001</t>
  </si>
  <si>
    <t>42012|42013|42014</t>
  </si>
  <si>
    <t>Kachuya.2</t>
  </si>
  <si>
    <t>220211|220221</t>
  </si>
  <si>
    <t>Kachuya.3</t>
  </si>
  <si>
    <t>451001|461002</t>
  </si>
  <si>
    <t>220231|220241</t>
  </si>
  <si>
    <t>Sonia.1</t>
  </si>
  <si>
    <t>111002|521001</t>
  </si>
  <si>
    <t>42015|42016|42017|44001</t>
  </si>
  <si>
    <t>Sonia.2</t>
  </si>
  <si>
    <t>531002|541001</t>
  </si>
  <si>
    <t>220271|220281</t>
  </si>
  <si>
    <t>Sonia.3</t>
  </si>
  <si>
    <t>151001|561001</t>
  </si>
  <si>
    <t>220291|220301</t>
  </si>
  <si>
    <t>牧师</t>
  </si>
  <si>
    <t>Ryan.1</t>
  </si>
  <si>
    <t>111002|621001</t>
  </si>
  <si>
    <t>42018|42019|42020|44001</t>
  </si>
  <si>
    <t>祭祀</t>
  </si>
  <si>
    <t>Ryan.2</t>
  </si>
  <si>
    <t>631001|641002</t>
  </si>
  <si>
    <t>220331|220341</t>
  </si>
  <si>
    <t>Ryan.3</t>
  </si>
  <si>
    <t>220351|220361</t>
  </si>
  <si>
    <t>狼战士</t>
  </si>
  <si>
    <t>Mudo.1</t>
  </si>
  <si>
    <t>8</t>
  </si>
  <si>
    <t>711001|721001</t>
  </si>
  <si>
    <t>42021|42022|42023</t>
  </si>
  <si>
    <t>狼统领</t>
  </si>
  <si>
    <t>Mudo.2</t>
  </si>
  <si>
    <t>831001|741002</t>
  </si>
  <si>
    <t>220391|220401</t>
  </si>
  <si>
    <t>狼王</t>
  </si>
  <si>
    <t>Mudo.3</t>
  </si>
  <si>
    <t>751001|161001</t>
  </si>
  <si>
    <t>220411|220421</t>
  </si>
  <si>
    <t>Arthur.1</t>
  </si>
  <si>
    <t>231001|232001</t>
  </si>
  <si>
    <t>330001|330002|330003</t>
  </si>
  <si>
    <t>剑士统领</t>
  </si>
  <si>
    <t>Arthur.2</t>
  </si>
  <si>
    <t>231001|141002</t>
  </si>
  <si>
    <t>亚瑟王</t>
  </si>
  <si>
    <t>Arthur.3</t>
  </si>
  <si>
    <t>Arthur.4</t>
  </si>
  <si>
    <t>皇家骑士</t>
  </si>
  <si>
    <t>Arthur.5</t>
  </si>
  <si>
    <t>Rebecca.1</t>
  </si>
  <si>
    <t>231002|232002</t>
  </si>
  <si>
    <t>330004|330005|330006</t>
  </si>
  <si>
    <t>Rebecca.2</t>
  </si>
  <si>
    <t>黄金骑士</t>
  </si>
  <si>
    <t>Rebecca.3</t>
  </si>
  <si>
    <t>银骑士</t>
  </si>
  <si>
    <t>Rebecca.4</t>
  </si>
  <si>
    <t>银骑元帅</t>
  </si>
  <si>
    <t>Rebecca.5</t>
  </si>
  <si>
    <t>Robin.1</t>
  </si>
  <si>
    <t>231003|232003</t>
  </si>
  <si>
    <t>330007|330008|330009|44001</t>
  </si>
  <si>
    <t>Robin.2</t>
  </si>
  <si>
    <t>弓之女神</t>
  </si>
  <si>
    <t>Robin.3</t>
  </si>
  <si>
    <t>迅游猎手</t>
  </si>
  <si>
    <t>Robin.4</t>
  </si>
  <si>
    <t>月之女神</t>
  </si>
  <si>
    <t>Robin.5</t>
  </si>
  <si>
    <t>禁卫</t>
  </si>
  <si>
    <t>Lance.1</t>
  </si>
  <si>
    <t>231004|232004</t>
  </si>
  <si>
    <t>330010|330011|330012</t>
  </si>
  <si>
    <t>守护者</t>
  </si>
  <si>
    <t>Lance.2</t>
  </si>
  <si>
    <t>男爵</t>
  </si>
  <si>
    <t>Lance.3</t>
  </si>
  <si>
    <t>重装骑士</t>
  </si>
  <si>
    <t>Lance.4</t>
  </si>
  <si>
    <t>大元帅</t>
  </si>
  <si>
    <t>Lance.5</t>
  </si>
  <si>
    <t>Bel.1</t>
  </si>
  <si>
    <t>231005|232005</t>
  </si>
  <si>
    <t>330013|330014|330015</t>
  </si>
  <si>
    <t>圣天马骑士</t>
  </si>
  <si>
    <t>Bel.2</t>
  </si>
  <si>
    <t>431001|741003</t>
  </si>
  <si>
    <t>凌空骑士</t>
  </si>
  <si>
    <t>Bel.3</t>
  </si>
  <si>
    <t>龙骑士</t>
  </si>
  <si>
    <t>Bel.4</t>
  </si>
  <si>
    <t>龙骑统帅</t>
  </si>
  <si>
    <t>Bel.5</t>
  </si>
  <si>
    <t>法师</t>
  </si>
  <si>
    <t>Lucius.1</t>
  </si>
  <si>
    <t>231006|232006</t>
  </si>
  <si>
    <t>711001|721002</t>
  </si>
  <si>
    <t>330016|330017|330018|44001</t>
  </si>
  <si>
    <t>大法师</t>
  </si>
  <si>
    <t>Lucius.2</t>
  </si>
  <si>
    <t>731002|741001</t>
  </si>
  <si>
    <t>大魔导师</t>
  </si>
  <si>
    <t>Lucius.3</t>
  </si>
  <si>
    <t>火焰使</t>
  </si>
  <si>
    <t>Lucius.4</t>
  </si>
  <si>
    <t>炎魔</t>
  </si>
  <si>
    <t>Lucius.5</t>
  </si>
  <si>
    <t>Liz.1</t>
  </si>
  <si>
    <t>231007|232007</t>
  </si>
  <si>
    <t>330019|330020|330021|44001</t>
  </si>
  <si>
    <t>圣女</t>
  </si>
  <si>
    <t>Liz.2</t>
  </si>
  <si>
    <t>主教</t>
  </si>
  <si>
    <t>Liz.3</t>
  </si>
  <si>
    <t>Liz.4</t>
  </si>
  <si>
    <t>圣辉女皇</t>
  </si>
  <si>
    <t>Liz.5</t>
  </si>
  <si>
    <t>魔战士</t>
  </si>
  <si>
    <t>Otis.1</t>
  </si>
  <si>
    <t>7</t>
  </si>
  <si>
    <t>231008|232008</t>
  </si>
  <si>
    <t>811001|721002</t>
  </si>
  <si>
    <t>330022|330023|330024</t>
  </si>
  <si>
    <t>魔化领袖</t>
  </si>
  <si>
    <t>Otis.2</t>
  </si>
  <si>
    <t>731002|741002</t>
  </si>
  <si>
    <t>地狱男爵</t>
  </si>
  <si>
    <t>Otis.3</t>
  </si>
  <si>
    <t>恶魔战士</t>
  </si>
  <si>
    <t>Otis.4</t>
  </si>
  <si>
    <t>邪魔</t>
  </si>
  <si>
    <t>Otis.5</t>
  </si>
  <si>
    <t>兽灵</t>
  </si>
  <si>
    <t>Ruby.1</t>
  </si>
  <si>
    <t>231009|232009</t>
  </si>
  <si>
    <t>711001|821001</t>
  </si>
  <si>
    <t>330025|330026|330027</t>
  </si>
  <si>
    <t>黯龙</t>
  </si>
  <si>
    <t>Ruby.2</t>
  </si>
  <si>
    <t>混沌利维坦</t>
  </si>
  <si>
    <t>Ruby.3</t>
  </si>
  <si>
    <t>仙女龙</t>
  </si>
  <si>
    <t>Ruby.4</t>
  </si>
  <si>
    <t>翡翠梦境</t>
  </si>
  <si>
    <t>Ruby.5</t>
  </si>
  <si>
    <t>女妖</t>
  </si>
  <si>
    <t>Monica.1</t>
  </si>
  <si>
    <t>231010|232010</t>
  </si>
  <si>
    <t>330028|330029|330030</t>
  </si>
  <si>
    <t>上古者</t>
  </si>
  <si>
    <t>Monica.2</t>
  </si>
  <si>
    <t>831001|841001</t>
  </si>
  <si>
    <t>氏族始祖</t>
  </si>
  <si>
    <t>Monica.3</t>
  </si>
  <si>
    <t>魔物使</t>
  </si>
  <si>
    <t>Monica.4</t>
  </si>
  <si>
    <t>生命掌控者</t>
  </si>
  <si>
    <t>Monica.5</t>
  </si>
  <si>
    <t>Dimon.1</t>
  </si>
  <si>
    <t>231011|232011</t>
  </si>
  <si>
    <t>330031|330032|330033</t>
  </si>
  <si>
    <t>雪巨人</t>
  </si>
  <si>
    <t>Dimon.2</t>
  </si>
  <si>
    <t>雪原霸主</t>
  </si>
  <si>
    <t>Dimon.3</t>
  </si>
  <si>
    <t>晶兽</t>
  </si>
  <si>
    <t>Dimon.4</t>
  </si>
  <si>
    <t>上古晶兽</t>
  </si>
  <si>
    <t>Dimon.5</t>
  </si>
  <si>
    <t>职业类型</t>
  </si>
  <si>
    <t>攻击间隔/10</t>
  </si>
  <si>
    <t>41001|41002|41003</t>
  </si>
  <si>
    <t>41004|41005|41006</t>
  </si>
  <si>
    <t>41007|41008|41009</t>
  </si>
  <si>
    <t>41010|41011|41012</t>
  </si>
  <si>
    <t>41013|41014|41015</t>
  </si>
  <si>
    <t>41016|41017|41018</t>
  </si>
  <si>
    <t>42004|42005|42006</t>
  </si>
  <si>
    <t>42007|42008|42009</t>
  </si>
  <si>
    <t>42010|42011|42012</t>
  </si>
  <si>
    <t>42013|42014|42015</t>
  </si>
  <si>
    <t>42016|42017|42018</t>
  </si>
  <si>
    <t>42019|42020|42021</t>
  </si>
  <si>
    <t>43001|43002|43003</t>
  </si>
  <si>
    <t>43004|43005|43006</t>
  </si>
  <si>
    <t>43007|43008|43009</t>
  </si>
  <si>
    <t>43010|43011|43012</t>
  </si>
  <si>
    <t>43013|43014|43015</t>
  </si>
  <si>
    <t>43016|43017|43018</t>
  </si>
  <si>
    <t>43019|43020|43021</t>
  </si>
  <si>
    <t>43022|43023|43024</t>
  </si>
  <si>
    <t>43025|43026|43027</t>
  </si>
  <si>
    <t>43028|43029|43030</t>
  </si>
  <si>
    <t>43031|43032|43033</t>
  </si>
  <si>
    <t>基础值</t>
  </si>
  <si>
    <t>品阶加成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</si>
</sst>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7"/>
  <sheetViews>
    <sheetView tabSelected="1" workbookViewId="0">
      <pane xSplit="5" ySplit="3" topLeftCell="T67" activePane="bottomRight" state="frozen"/>
      <selection/>
      <selection pane="topRight"/>
      <selection pane="bottomLeft"/>
      <selection pane="bottomRight" activeCell="AD81" sqref="AD81"/>
    </sheetView>
  </sheetViews>
  <sheetFormatPr defaultColWidth="9" defaultRowHeight="16.5"/>
  <cols>
    <col min="1" max="8" width="9" style="1"/>
    <col min="9" max="9" width="11.25" style="1" customWidth="1"/>
    <col min="10" max="13" width="9" style="1"/>
    <col min="14" max="15" width="15.5" style="1" customWidth="1"/>
    <col min="16" max="21" width="14.125" style="1" customWidth="1"/>
    <col min="22" max="22" width="14.25" style="1" customWidth="1"/>
    <col min="23" max="23" width="14.125" style="1" customWidth="1"/>
    <col min="24" max="24" width="14.25" style="1" customWidth="1"/>
    <col min="25" max="25" width="13.875" style="1" customWidth="1"/>
    <col min="26" max="26" width="15.125" style="1" customWidth="1"/>
    <col min="27" max="27" width="14.625" style="1" customWidth="1"/>
    <col min="28" max="28" width="9" style="8"/>
    <col min="29" max="29" width="9" style="1"/>
    <col min="30" max="30" width="21.875" style="1" customWidth="1"/>
    <col min="31" max="31" width="18.625" style="1" customWidth="1"/>
    <col min="32" max="16384" width="9" style="1"/>
  </cols>
  <sheetData>
    <row r="1" s="1" customFormat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</v>
      </c>
      <c r="N1" s="1" t="s">
        <v>12</v>
      </c>
      <c r="O1" s="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" t="s">
        <v>20</v>
      </c>
      <c r="W1" s="14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="1" customFormat="1" spans="1:31">
      <c r="A2" s="1" t="s">
        <v>30</v>
      </c>
      <c r="B2" s="1" t="s">
        <v>30</v>
      </c>
      <c r="C2" s="1" t="s">
        <v>30</v>
      </c>
      <c r="D2" s="1" t="s">
        <v>30</v>
      </c>
      <c r="E2" s="1" t="s">
        <v>31</v>
      </c>
      <c r="F2" s="1" t="s">
        <v>30</v>
      </c>
      <c r="G2" s="1" t="s">
        <v>31</v>
      </c>
      <c r="H2" s="1" t="s">
        <v>31</v>
      </c>
      <c r="I2" s="1" t="s">
        <v>32</v>
      </c>
      <c r="J2" s="1" t="s">
        <v>30</v>
      </c>
      <c r="K2" s="1" t="s">
        <v>30</v>
      </c>
      <c r="L2" s="1" t="s">
        <v>30</v>
      </c>
      <c r="M2" s="1" t="s">
        <v>31</v>
      </c>
      <c r="N2" s="1" t="s">
        <v>31</v>
      </c>
      <c r="O2" s="1" t="s">
        <v>30</v>
      </c>
      <c r="P2" s="4" t="s">
        <v>30</v>
      </c>
      <c r="Q2" s="4" t="s">
        <v>30</v>
      </c>
      <c r="R2" s="4" t="s">
        <v>30</v>
      </c>
      <c r="S2" s="4" t="s">
        <v>30</v>
      </c>
      <c r="T2" s="4" t="s">
        <v>30</v>
      </c>
      <c r="U2" s="4" t="s">
        <v>30</v>
      </c>
      <c r="V2" s="1" t="s">
        <v>30</v>
      </c>
      <c r="W2" s="15" t="s">
        <v>30</v>
      </c>
      <c r="X2" s="1" t="s">
        <v>30</v>
      </c>
      <c r="Y2" s="1" t="s">
        <v>30</v>
      </c>
      <c r="Z2" s="1" t="s">
        <v>31</v>
      </c>
      <c r="AA2" s="1" t="s">
        <v>31</v>
      </c>
      <c r="AB2" s="1" t="s">
        <v>31</v>
      </c>
      <c r="AC2" s="1" t="s">
        <v>30</v>
      </c>
      <c r="AD2" s="1" t="s">
        <v>31</v>
      </c>
      <c r="AE2" s="1" t="s">
        <v>31</v>
      </c>
    </row>
    <row r="3" s="1" customFormat="1" spans="1:31">
      <c r="A3" s="1" t="s">
        <v>0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2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4" t="s">
        <v>47</v>
      </c>
      <c r="Q3" s="4" t="s">
        <v>48</v>
      </c>
      <c r="R3" s="4" t="s">
        <v>49</v>
      </c>
      <c r="S3" s="4" t="s">
        <v>50</v>
      </c>
      <c r="T3" s="4" t="s">
        <v>51</v>
      </c>
      <c r="U3" s="4" t="s">
        <v>52</v>
      </c>
      <c r="V3" s="1" t="s">
        <v>53</v>
      </c>
      <c r="W3" s="15" t="s">
        <v>54</v>
      </c>
      <c r="X3" s="1" t="s">
        <v>55</v>
      </c>
      <c r="Y3" s="1" t="s">
        <v>56</v>
      </c>
      <c r="Z3" s="1" t="s">
        <v>57</v>
      </c>
      <c r="AA3" s="1" t="s">
        <v>58</v>
      </c>
      <c r="AB3" s="1" t="s">
        <v>59</v>
      </c>
      <c r="AC3" s="1" t="s">
        <v>60</v>
      </c>
      <c r="AD3" s="1" t="s">
        <v>61</v>
      </c>
      <c r="AE3" s="1" t="s">
        <v>62</v>
      </c>
    </row>
    <row r="4" s="3" customFormat="1" spans="1:31">
      <c r="A4" s="3">
        <v>110011</v>
      </c>
      <c r="B4" s="3">
        <v>110002</v>
      </c>
      <c r="C4" s="9">
        <v>11001</v>
      </c>
      <c r="D4" s="9">
        <v>1</v>
      </c>
      <c r="E4" s="3" t="s">
        <v>63</v>
      </c>
      <c r="F4" s="3">
        <v>1</v>
      </c>
      <c r="G4" s="3" t="s">
        <v>64</v>
      </c>
      <c r="H4" s="3" t="s">
        <v>64</v>
      </c>
      <c r="I4" s="3">
        <v>1.3</v>
      </c>
      <c r="J4" s="3">
        <v>1</v>
      </c>
      <c r="K4" s="4" t="s">
        <v>65</v>
      </c>
      <c r="L4" s="3" t="s">
        <v>65</v>
      </c>
      <c r="M4" s="3">
        <v>0</v>
      </c>
      <c r="N4" s="3">
        <v>210002</v>
      </c>
      <c r="O4" s="4">
        <f>_xlfn.IFS(OR(K4="1",K4="2",K4="7",K4="8"),2,OR(K4="3",K4="4",K4="5",K4="6"),1)</f>
        <v>2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250</v>
      </c>
      <c r="W4" s="3">
        <f t="shared" ref="W4:W35" si="0">MIN(V4+450,1300)</f>
        <v>700</v>
      </c>
      <c r="X4" s="3">
        <v>400</v>
      </c>
      <c r="Y4" s="3">
        <f>_xlfn.IFS(V4&lt;=400,10,V4&gt;400,12)</f>
        <v>10</v>
      </c>
      <c r="Z4" s="3" t="s">
        <v>66</v>
      </c>
      <c r="AA4" s="3">
        <v>210051</v>
      </c>
      <c r="AB4" s="8" t="s">
        <v>67</v>
      </c>
      <c r="AC4" s="3">
        <v>50</v>
      </c>
      <c r="AD4" s="3">
        <v>0</v>
      </c>
      <c r="AE4" s="3">
        <v>210011</v>
      </c>
    </row>
    <row r="5" s="3" customFormat="1" spans="1:31">
      <c r="A5" s="3">
        <v>110012</v>
      </c>
      <c r="B5" s="3">
        <v>210002</v>
      </c>
      <c r="C5" s="9">
        <v>11001</v>
      </c>
      <c r="D5" s="9">
        <v>20</v>
      </c>
      <c r="E5" s="3" t="s">
        <v>68</v>
      </c>
      <c r="F5" s="3">
        <v>1</v>
      </c>
      <c r="G5" s="3" t="s">
        <v>69</v>
      </c>
      <c r="H5" s="3" t="s">
        <v>69</v>
      </c>
      <c r="I5" s="3">
        <v>1.3</v>
      </c>
      <c r="J5" s="3">
        <v>1</v>
      </c>
      <c r="K5" s="4" t="s">
        <v>65</v>
      </c>
      <c r="L5" s="3" t="s">
        <v>70</v>
      </c>
      <c r="M5" s="3">
        <v>0</v>
      </c>
      <c r="N5" s="3">
        <v>310002</v>
      </c>
      <c r="O5" s="4">
        <f t="shared" ref="O5:O36" si="1">_xlfn.IFS(OR(K5="1",K5="2",K5="7",K5="8"),2,OR(K5="3",K5="4",K5="5",K5="6"),1)</f>
        <v>2</v>
      </c>
      <c r="P5" s="3">
        <v>80</v>
      </c>
      <c r="Q5" s="3">
        <v>16</v>
      </c>
      <c r="R5" s="3">
        <v>8</v>
      </c>
      <c r="S5" s="3">
        <v>16</v>
      </c>
      <c r="T5" s="3">
        <v>8</v>
      </c>
      <c r="U5" s="3">
        <v>3</v>
      </c>
      <c r="V5" s="3">
        <v>250</v>
      </c>
      <c r="W5" s="3">
        <f t="shared" si="0"/>
        <v>700</v>
      </c>
      <c r="X5" s="3">
        <v>400</v>
      </c>
      <c r="Y5" s="3">
        <f>_xlfn.IFS(V5&lt;=400,10,V5&gt;400,12)</f>
        <v>10</v>
      </c>
      <c r="Z5" s="3">
        <v>0</v>
      </c>
      <c r="AA5" s="3">
        <v>0</v>
      </c>
      <c r="AB5" s="8" t="s">
        <v>67</v>
      </c>
      <c r="AC5" s="3">
        <v>50</v>
      </c>
      <c r="AD5" s="3" t="s">
        <v>71</v>
      </c>
      <c r="AE5" s="3">
        <v>210021</v>
      </c>
    </row>
    <row r="6" s="3" customFormat="1" spans="1:31">
      <c r="A6" s="3">
        <v>110013</v>
      </c>
      <c r="B6" s="3">
        <v>310002</v>
      </c>
      <c r="C6" s="9">
        <v>11001</v>
      </c>
      <c r="D6" s="9">
        <v>30</v>
      </c>
      <c r="E6" s="3" t="s">
        <v>72</v>
      </c>
      <c r="F6" s="3">
        <v>1</v>
      </c>
      <c r="G6" s="3" t="s">
        <v>73</v>
      </c>
      <c r="H6" s="3" t="s">
        <v>73</v>
      </c>
      <c r="I6" s="3">
        <v>1.3</v>
      </c>
      <c r="J6" s="3">
        <v>1</v>
      </c>
      <c r="K6" s="4" t="s">
        <v>65</v>
      </c>
      <c r="L6" s="3" t="s">
        <v>74</v>
      </c>
      <c r="M6" s="3">
        <v>0</v>
      </c>
      <c r="N6" s="3">
        <v>0</v>
      </c>
      <c r="O6" s="4">
        <f t="shared" si="1"/>
        <v>2</v>
      </c>
      <c r="P6" s="3">
        <v>120</v>
      </c>
      <c r="Q6" s="3">
        <v>24</v>
      </c>
      <c r="R6" s="3">
        <v>12</v>
      </c>
      <c r="S6" s="3">
        <v>24</v>
      </c>
      <c r="T6" s="3">
        <v>12</v>
      </c>
      <c r="U6" s="3">
        <v>4</v>
      </c>
      <c r="V6" s="3">
        <v>250</v>
      </c>
      <c r="W6" s="3">
        <f t="shared" si="0"/>
        <v>700</v>
      </c>
      <c r="X6" s="3">
        <v>400</v>
      </c>
      <c r="Y6" s="3">
        <f>_xlfn.IFS(V6&lt;=400,10,V6&gt;400,12)</f>
        <v>10</v>
      </c>
      <c r="Z6" s="3">
        <v>0</v>
      </c>
      <c r="AA6" s="3">
        <v>0</v>
      </c>
      <c r="AB6" s="8" t="s">
        <v>67</v>
      </c>
      <c r="AC6" s="3">
        <v>50</v>
      </c>
      <c r="AD6" s="3" t="s">
        <v>75</v>
      </c>
      <c r="AE6" s="3" t="s">
        <v>76</v>
      </c>
    </row>
    <row r="7" s="3" customFormat="1" spans="1:31">
      <c r="A7" s="3">
        <v>120011</v>
      </c>
      <c r="B7" s="3">
        <v>110003</v>
      </c>
      <c r="C7" s="9">
        <v>12001</v>
      </c>
      <c r="D7" s="9">
        <v>1</v>
      </c>
      <c r="E7" s="3" t="s">
        <v>77</v>
      </c>
      <c r="F7" s="3">
        <v>1</v>
      </c>
      <c r="G7" s="3" t="s">
        <v>78</v>
      </c>
      <c r="H7" s="3" t="s">
        <v>78</v>
      </c>
      <c r="I7" s="3">
        <v>1.3</v>
      </c>
      <c r="J7" s="3">
        <v>1</v>
      </c>
      <c r="K7" s="4" t="s">
        <v>70</v>
      </c>
      <c r="L7" s="3" t="s">
        <v>65</v>
      </c>
      <c r="M7" s="3">
        <v>0</v>
      </c>
      <c r="N7" s="3">
        <v>210003</v>
      </c>
      <c r="O7" s="4">
        <f t="shared" si="1"/>
        <v>2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250</v>
      </c>
      <c r="W7" s="3">
        <f t="shared" si="0"/>
        <v>700</v>
      </c>
      <c r="X7" s="3">
        <v>400</v>
      </c>
      <c r="Y7" s="3">
        <f>_xlfn.IFS(V7&lt;=400,10,V7&gt;400,12)</f>
        <v>10</v>
      </c>
      <c r="Z7" s="3" t="s">
        <v>79</v>
      </c>
      <c r="AA7" s="3">
        <v>210061</v>
      </c>
      <c r="AB7" s="8" t="s">
        <v>80</v>
      </c>
      <c r="AC7" s="3">
        <v>50</v>
      </c>
      <c r="AD7" s="3">
        <v>0</v>
      </c>
      <c r="AE7" s="3">
        <v>210071</v>
      </c>
    </row>
    <row r="8" s="3" customFormat="1" spans="1:31">
      <c r="A8" s="3">
        <v>120012</v>
      </c>
      <c r="B8" s="3">
        <v>210003</v>
      </c>
      <c r="C8" s="9">
        <v>12001</v>
      </c>
      <c r="D8" s="9">
        <v>20</v>
      </c>
      <c r="E8" s="3" t="s">
        <v>81</v>
      </c>
      <c r="F8" s="3">
        <v>1</v>
      </c>
      <c r="G8" s="3" t="s">
        <v>82</v>
      </c>
      <c r="H8" s="3" t="s">
        <v>82</v>
      </c>
      <c r="I8" s="3">
        <v>1.3</v>
      </c>
      <c r="J8" s="3">
        <v>1</v>
      </c>
      <c r="K8" s="4" t="s">
        <v>70</v>
      </c>
      <c r="L8" s="3" t="s">
        <v>70</v>
      </c>
      <c r="M8" s="3">
        <v>0</v>
      </c>
      <c r="N8" s="3">
        <v>310003</v>
      </c>
      <c r="O8" s="4">
        <f t="shared" si="1"/>
        <v>2</v>
      </c>
      <c r="P8" s="3">
        <v>80</v>
      </c>
      <c r="Q8" s="3">
        <v>16</v>
      </c>
      <c r="R8" s="3">
        <v>8</v>
      </c>
      <c r="S8" s="3">
        <v>16</v>
      </c>
      <c r="T8" s="3">
        <v>8</v>
      </c>
      <c r="U8" s="3">
        <v>3</v>
      </c>
      <c r="V8" s="3">
        <v>250</v>
      </c>
      <c r="W8" s="3">
        <f t="shared" si="0"/>
        <v>700</v>
      </c>
      <c r="X8" s="3">
        <v>400</v>
      </c>
      <c r="Y8" s="3">
        <f>_xlfn.IFS(V10&lt;=400,10,V10&gt;400,12)</f>
        <v>12</v>
      </c>
      <c r="Z8" s="3">
        <v>0</v>
      </c>
      <c r="AA8" s="3">
        <v>0</v>
      </c>
      <c r="AB8" s="8" t="s">
        <v>80</v>
      </c>
      <c r="AC8" s="3">
        <v>50</v>
      </c>
      <c r="AD8" s="3" t="s">
        <v>83</v>
      </c>
      <c r="AE8" s="3">
        <v>210081</v>
      </c>
    </row>
    <row r="9" s="3" customFormat="1" spans="1:31">
      <c r="A9" s="3">
        <v>120013</v>
      </c>
      <c r="B9" s="3">
        <v>310003</v>
      </c>
      <c r="C9" s="9">
        <v>12001</v>
      </c>
      <c r="D9" s="9">
        <v>30</v>
      </c>
      <c r="E9" s="3" t="s">
        <v>84</v>
      </c>
      <c r="F9" s="3">
        <v>1</v>
      </c>
      <c r="G9" s="3" t="s">
        <v>85</v>
      </c>
      <c r="H9" s="3" t="s">
        <v>85</v>
      </c>
      <c r="I9" s="3">
        <v>1.3</v>
      </c>
      <c r="J9" s="3">
        <v>1</v>
      </c>
      <c r="K9" s="4" t="s">
        <v>70</v>
      </c>
      <c r="L9" s="3" t="s">
        <v>74</v>
      </c>
      <c r="M9" s="3">
        <v>0</v>
      </c>
      <c r="N9" s="3">
        <v>0</v>
      </c>
      <c r="O9" s="4">
        <f t="shared" si="1"/>
        <v>2</v>
      </c>
      <c r="P9" s="3">
        <v>120</v>
      </c>
      <c r="Q9" s="3">
        <v>24</v>
      </c>
      <c r="R9" s="3">
        <v>12</v>
      </c>
      <c r="S9" s="3">
        <v>24</v>
      </c>
      <c r="T9" s="3">
        <v>12</v>
      </c>
      <c r="U9" s="3">
        <v>4</v>
      </c>
      <c r="V9" s="3">
        <v>250</v>
      </c>
      <c r="W9" s="3">
        <f t="shared" si="0"/>
        <v>700</v>
      </c>
      <c r="X9" s="3">
        <v>400</v>
      </c>
      <c r="Y9" s="3">
        <f>_xlfn.IFS(V9&lt;=400,10,V9&gt;400,12)</f>
        <v>10</v>
      </c>
      <c r="Z9" s="3">
        <v>0</v>
      </c>
      <c r="AA9" s="3">
        <v>0</v>
      </c>
      <c r="AB9" s="8" t="s">
        <v>80</v>
      </c>
      <c r="AC9" s="3">
        <v>50</v>
      </c>
      <c r="AD9" s="3" t="s">
        <v>86</v>
      </c>
      <c r="AE9" s="3" t="s">
        <v>87</v>
      </c>
    </row>
    <row r="10" s="7" customFormat="1" spans="1:31">
      <c r="A10" s="7">
        <v>130011</v>
      </c>
      <c r="B10" s="7">
        <v>110004</v>
      </c>
      <c r="C10" s="10">
        <v>13001</v>
      </c>
      <c r="D10" s="10">
        <v>1</v>
      </c>
      <c r="E10" s="7" t="s">
        <v>88</v>
      </c>
      <c r="F10" s="7">
        <v>2</v>
      </c>
      <c r="G10" s="7" t="s">
        <v>89</v>
      </c>
      <c r="H10" s="3" t="s">
        <v>89</v>
      </c>
      <c r="I10" s="3">
        <v>1.3</v>
      </c>
      <c r="J10" s="3">
        <v>1</v>
      </c>
      <c r="K10" s="4" t="s">
        <v>74</v>
      </c>
      <c r="L10" s="3" t="s">
        <v>65</v>
      </c>
      <c r="M10" s="3">
        <v>0</v>
      </c>
      <c r="N10" s="3">
        <v>210004</v>
      </c>
      <c r="O10" s="4">
        <f t="shared" si="1"/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3">
        <f>IF(F10=1,150,1200)</f>
        <v>1200</v>
      </c>
      <c r="W10" s="3">
        <f t="shared" si="0"/>
        <v>1300</v>
      </c>
      <c r="X10" s="3">
        <v>400</v>
      </c>
      <c r="Y10" s="3">
        <f>_xlfn.IFS(V12&lt;=400,10,V12&gt;400,12)</f>
        <v>12</v>
      </c>
      <c r="Z10" s="3" t="s">
        <v>90</v>
      </c>
      <c r="AA10" s="3">
        <v>210111</v>
      </c>
      <c r="AB10" s="8" t="s">
        <v>91</v>
      </c>
      <c r="AC10" s="3">
        <v>50</v>
      </c>
      <c r="AD10" s="7">
        <v>0</v>
      </c>
      <c r="AE10" s="7">
        <v>210121</v>
      </c>
    </row>
    <row r="11" s="7" customFormat="1" spans="1:31">
      <c r="A11" s="7">
        <v>130012</v>
      </c>
      <c r="B11" s="7">
        <v>210004</v>
      </c>
      <c r="C11" s="10">
        <v>13001</v>
      </c>
      <c r="D11" s="10">
        <v>20</v>
      </c>
      <c r="E11" s="7" t="s">
        <v>92</v>
      </c>
      <c r="F11" s="7">
        <v>2</v>
      </c>
      <c r="G11" s="7" t="s">
        <v>93</v>
      </c>
      <c r="H11" s="3" t="s">
        <v>93</v>
      </c>
      <c r="I11" s="3">
        <v>1.3</v>
      </c>
      <c r="J11" s="3">
        <v>1</v>
      </c>
      <c r="K11" s="4" t="s">
        <v>74</v>
      </c>
      <c r="L11" s="3" t="s">
        <v>70</v>
      </c>
      <c r="M11" s="3">
        <v>0</v>
      </c>
      <c r="N11" s="3">
        <v>310004</v>
      </c>
      <c r="O11" s="4">
        <f t="shared" si="1"/>
        <v>1</v>
      </c>
      <c r="P11" s="12">
        <v>80</v>
      </c>
      <c r="Q11" s="13">
        <v>16</v>
      </c>
      <c r="R11" s="13">
        <v>8</v>
      </c>
      <c r="S11" s="13">
        <v>16</v>
      </c>
      <c r="T11" s="13">
        <v>8</v>
      </c>
      <c r="U11" s="13">
        <v>3</v>
      </c>
      <c r="V11" s="3">
        <f>IF(F11=1,150,1200)</f>
        <v>1200</v>
      </c>
      <c r="W11" s="3">
        <f t="shared" si="0"/>
        <v>1300</v>
      </c>
      <c r="X11" s="3">
        <v>400</v>
      </c>
      <c r="Y11" s="3">
        <f t="shared" ref="Y11:Y17" si="2">_xlfn.IFS(V11&lt;=400,10,V11&gt;400,12)</f>
        <v>12</v>
      </c>
      <c r="Z11" s="3">
        <v>0</v>
      </c>
      <c r="AA11" s="3">
        <v>0</v>
      </c>
      <c r="AB11" s="8" t="s">
        <v>91</v>
      </c>
      <c r="AC11" s="3">
        <v>50</v>
      </c>
      <c r="AD11" s="7" t="s">
        <v>94</v>
      </c>
      <c r="AE11" s="7">
        <v>210131</v>
      </c>
    </row>
    <row r="12" s="7" customFormat="1" spans="1:31">
      <c r="A12" s="7">
        <v>130013</v>
      </c>
      <c r="B12" s="7">
        <v>310004</v>
      </c>
      <c r="C12" s="10">
        <v>13001</v>
      </c>
      <c r="D12" s="10">
        <v>30</v>
      </c>
      <c r="E12" s="7" t="s">
        <v>95</v>
      </c>
      <c r="F12" s="7">
        <v>2</v>
      </c>
      <c r="G12" s="7" t="s">
        <v>96</v>
      </c>
      <c r="H12" s="3" t="s">
        <v>96</v>
      </c>
      <c r="I12" s="3">
        <v>1.3</v>
      </c>
      <c r="J12" s="3">
        <v>1</v>
      </c>
      <c r="K12" s="4" t="s">
        <v>74</v>
      </c>
      <c r="L12" s="3" t="s">
        <v>74</v>
      </c>
      <c r="M12" s="3">
        <v>0</v>
      </c>
      <c r="N12" s="3">
        <v>0</v>
      </c>
      <c r="O12" s="4">
        <f t="shared" si="1"/>
        <v>1</v>
      </c>
      <c r="P12" s="12">
        <v>120</v>
      </c>
      <c r="Q12" s="13">
        <v>24</v>
      </c>
      <c r="R12" s="13">
        <v>12</v>
      </c>
      <c r="S12" s="13">
        <v>24</v>
      </c>
      <c r="T12" s="13">
        <v>12</v>
      </c>
      <c r="U12" s="13">
        <v>4</v>
      </c>
      <c r="V12" s="3">
        <f>IF(F12=1,150,1200)</f>
        <v>1200</v>
      </c>
      <c r="W12" s="3">
        <f t="shared" si="0"/>
        <v>1300</v>
      </c>
      <c r="X12" s="3">
        <v>400</v>
      </c>
      <c r="Y12" s="3">
        <f t="shared" si="2"/>
        <v>12</v>
      </c>
      <c r="Z12" s="3">
        <v>0</v>
      </c>
      <c r="AA12" s="3">
        <v>0</v>
      </c>
      <c r="AB12" s="8" t="s">
        <v>91</v>
      </c>
      <c r="AC12" s="3">
        <v>50</v>
      </c>
      <c r="AD12" s="7" t="s">
        <v>97</v>
      </c>
      <c r="AE12" s="7" t="s">
        <v>98</v>
      </c>
    </row>
    <row r="13" spans="1:31">
      <c r="A13" s="1">
        <v>140011</v>
      </c>
      <c r="B13" s="1">
        <v>110005</v>
      </c>
      <c r="C13" s="2">
        <v>14001</v>
      </c>
      <c r="D13" s="2">
        <v>1</v>
      </c>
      <c r="E13" s="1" t="s">
        <v>99</v>
      </c>
      <c r="F13" s="1">
        <v>1</v>
      </c>
      <c r="G13" s="1" t="s">
        <v>100</v>
      </c>
      <c r="H13" s="3" t="s">
        <v>100</v>
      </c>
      <c r="I13" s="3">
        <v>1.3</v>
      </c>
      <c r="J13" s="3">
        <v>1</v>
      </c>
      <c r="K13" s="4" t="s">
        <v>101</v>
      </c>
      <c r="L13" s="3" t="s">
        <v>65</v>
      </c>
      <c r="M13" s="3">
        <v>0</v>
      </c>
      <c r="N13" s="3">
        <v>210005</v>
      </c>
      <c r="O13" s="4">
        <f t="shared" si="1"/>
        <v>1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3">
        <v>250</v>
      </c>
      <c r="W13" s="3">
        <f t="shared" si="0"/>
        <v>700</v>
      </c>
      <c r="X13" s="3">
        <v>400</v>
      </c>
      <c r="Y13" s="3">
        <f t="shared" si="2"/>
        <v>10</v>
      </c>
      <c r="Z13" s="3" t="s">
        <v>102</v>
      </c>
      <c r="AA13" s="3">
        <v>210161</v>
      </c>
      <c r="AB13" s="8" t="s">
        <v>103</v>
      </c>
      <c r="AC13" s="3">
        <v>50</v>
      </c>
      <c r="AD13" s="1">
        <v>0</v>
      </c>
      <c r="AE13" s="1">
        <v>210171</v>
      </c>
    </row>
    <row r="14" spans="1:31">
      <c r="A14" s="1">
        <v>140012</v>
      </c>
      <c r="B14" s="1">
        <v>210005</v>
      </c>
      <c r="C14" s="2">
        <v>14001</v>
      </c>
      <c r="D14" s="2">
        <v>20</v>
      </c>
      <c r="E14" s="1" t="s">
        <v>104</v>
      </c>
      <c r="F14" s="1">
        <v>1</v>
      </c>
      <c r="G14" s="1" t="s">
        <v>105</v>
      </c>
      <c r="H14" s="3" t="s">
        <v>105</v>
      </c>
      <c r="I14" s="3">
        <v>1.3</v>
      </c>
      <c r="J14" s="3">
        <v>1</v>
      </c>
      <c r="K14" s="4" t="s">
        <v>101</v>
      </c>
      <c r="L14" s="3" t="s">
        <v>70</v>
      </c>
      <c r="M14" s="3">
        <v>0</v>
      </c>
      <c r="N14" s="3">
        <v>310005</v>
      </c>
      <c r="O14" s="4">
        <f t="shared" si="1"/>
        <v>1</v>
      </c>
      <c r="P14" s="3">
        <v>80</v>
      </c>
      <c r="Q14" s="1">
        <v>16</v>
      </c>
      <c r="R14" s="1">
        <v>8</v>
      </c>
      <c r="S14" s="1">
        <v>16</v>
      </c>
      <c r="T14" s="1">
        <v>8</v>
      </c>
      <c r="U14" s="1">
        <v>3</v>
      </c>
      <c r="V14" s="3">
        <v>250</v>
      </c>
      <c r="W14" s="3">
        <f t="shared" si="0"/>
        <v>700</v>
      </c>
      <c r="X14" s="3">
        <v>400</v>
      </c>
      <c r="Y14" s="3">
        <f t="shared" si="2"/>
        <v>10</v>
      </c>
      <c r="Z14" s="3">
        <v>0</v>
      </c>
      <c r="AA14" s="3">
        <v>0</v>
      </c>
      <c r="AB14" s="8" t="s">
        <v>103</v>
      </c>
      <c r="AC14" s="3">
        <v>50</v>
      </c>
      <c r="AD14" s="1" t="s">
        <v>106</v>
      </c>
      <c r="AE14" s="1">
        <v>210181</v>
      </c>
    </row>
    <row r="15" spans="1:31">
      <c r="A15" s="1">
        <v>140013</v>
      </c>
      <c r="B15" s="1">
        <v>310005</v>
      </c>
      <c r="C15" s="2">
        <v>14001</v>
      </c>
      <c r="D15" s="2">
        <v>30</v>
      </c>
      <c r="E15" s="1" t="s">
        <v>107</v>
      </c>
      <c r="F15" s="1">
        <v>1</v>
      </c>
      <c r="G15" s="1" t="s">
        <v>108</v>
      </c>
      <c r="H15" s="1" t="s">
        <v>108</v>
      </c>
      <c r="I15" s="3">
        <v>1.3</v>
      </c>
      <c r="J15" s="3">
        <v>1</v>
      </c>
      <c r="K15" s="4" t="s">
        <v>101</v>
      </c>
      <c r="L15" s="1" t="s">
        <v>74</v>
      </c>
      <c r="M15" s="1">
        <v>0</v>
      </c>
      <c r="N15" s="1">
        <v>0</v>
      </c>
      <c r="O15" s="4">
        <f t="shared" si="1"/>
        <v>1</v>
      </c>
      <c r="P15" s="1">
        <v>120</v>
      </c>
      <c r="Q15" s="1">
        <v>24</v>
      </c>
      <c r="R15" s="1">
        <v>12</v>
      </c>
      <c r="S15" s="1">
        <v>24</v>
      </c>
      <c r="T15" s="1">
        <v>12</v>
      </c>
      <c r="U15" s="1">
        <v>4</v>
      </c>
      <c r="V15" s="3">
        <v>250</v>
      </c>
      <c r="W15" s="3">
        <f t="shared" si="0"/>
        <v>700</v>
      </c>
      <c r="X15" s="3">
        <v>400</v>
      </c>
      <c r="Y15" s="3">
        <f t="shared" si="2"/>
        <v>10</v>
      </c>
      <c r="Z15" s="3">
        <v>0</v>
      </c>
      <c r="AA15" s="3">
        <v>0</v>
      </c>
      <c r="AB15" s="8" t="s">
        <v>103</v>
      </c>
      <c r="AC15" s="3">
        <v>50</v>
      </c>
      <c r="AD15" s="1" t="s">
        <v>109</v>
      </c>
      <c r="AE15" s="1" t="s">
        <v>110</v>
      </c>
    </row>
    <row r="16" spans="1:31">
      <c r="A16" s="1">
        <v>150011</v>
      </c>
      <c r="B16" s="1">
        <v>110006</v>
      </c>
      <c r="C16" s="2">
        <v>15001</v>
      </c>
      <c r="D16" s="2">
        <v>1</v>
      </c>
      <c r="E16" s="1" t="s">
        <v>111</v>
      </c>
      <c r="F16" s="1">
        <v>2</v>
      </c>
      <c r="G16" s="1" t="s">
        <v>112</v>
      </c>
      <c r="H16" s="1" t="s">
        <v>112</v>
      </c>
      <c r="I16" s="3">
        <v>1.3</v>
      </c>
      <c r="J16" s="3">
        <v>2</v>
      </c>
      <c r="K16" s="4" t="s">
        <v>113</v>
      </c>
      <c r="L16" s="1" t="s">
        <v>65</v>
      </c>
      <c r="M16" s="1">
        <v>0</v>
      </c>
      <c r="N16" s="1">
        <v>210006</v>
      </c>
      <c r="O16" s="4">
        <f t="shared" si="1"/>
        <v>1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f t="shared" ref="V16:V21" si="3">IF(F16=1,150,1200)</f>
        <v>1200</v>
      </c>
      <c r="W16" s="3">
        <f t="shared" si="0"/>
        <v>1300</v>
      </c>
      <c r="X16" s="3">
        <v>400</v>
      </c>
      <c r="Y16" s="3">
        <f t="shared" si="2"/>
        <v>12</v>
      </c>
      <c r="Z16" s="3" t="s">
        <v>114</v>
      </c>
      <c r="AA16" s="3">
        <v>210211</v>
      </c>
      <c r="AB16" s="8" t="s">
        <v>115</v>
      </c>
      <c r="AC16" s="3">
        <v>50</v>
      </c>
      <c r="AD16" s="1">
        <v>0</v>
      </c>
      <c r="AE16" s="1">
        <v>210221</v>
      </c>
    </row>
    <row r="17" spans="1:31">
      <c r="A17" s="1">
        <v>150012</v>
      </c>
      <c r="B17" s="1">
        <v>210006</v>
      </c>
      <c r="C17" s="2">
        <v>15001</v>
      </c>
      <c r="D17" s="2">
        <v>20</v>
      </c>
      <c r="E17" s="1" t="s">
        <v>116</v>
      </c>
      <c r="F17" s="1">
        <v>2</v>
      </c>
      <c r="G17" s="1" t="s">
        <v>117</v>
      </c>
      <c r="H17" s="1" t="s">
        <v>117</v>
      </c>
      <c r="I17" s="3">
        <v>1.3</v>
      </c>
      <c r="J17" s="3">
        <v>2</v>
      </c>
      <c r="K17" s="4" t="s">
        <v>113</v>
      </c>
      <c r="L17" s="1" t="s">
        <v>70</v>
      </c>
      <c r="M17" s="1">
        <v>0</v>
      </c>
      <c r="N17" s="1">
        <v>310006</v>
      </c>
      <c r="O17" s="4">
        <f t="shared" si="1"/>
        <v>1</v>
      </c>
      <c r="P17" s="1">
        <v>80</v>
      </c>
      <c r="Q17" s="1">
        <v>16</v>
      </c>
      <c r="R17" s="1">
        <v>8</v>
      </c>
      <c r="S17" s="1">
        <v>16</v>
      </c>
      <c r="T17" s="1">
        <v>8</v>
      </c>
      <c r="U17" s="1">
        <v>3</v>
      </c>
      <c r="V17" s="3">
        <f t="shared" si="3"/>
        <v>1200</v>
      </c>
      <c r="W17" s="3">
        <f t="shared" si="0"/>
        <v>1300</v>
      </c>
      <c r="X17" s="3">
        <v>400</v>
      </c>
      <c r="Y17" s="3">
        <f t="shared" si="2"/>
        <v>12</v>
      </c>
      <c r="Z17" s="3">
        <v>0</v>
      </c>
      <c r="AA17" s="3">
        <v>0</v>
      </c>
      <c r="AB17" s="8" t="s">
        <v>115</v>
      </c>
      <c r="AC17" s="3">
        <v>50</v>
      </c>
      <c r="AD17" s="1" t="s">
        <v>118</v>
      </c>
      <c r="AE17" s="1">
        <v>210231</v>
      </c>
    </row>
    <row r="18" spans="1:31">
      <c r="A18" s="1">
        <v>150013</v>
      </c>
      <c r="B18" s="1">
        <v>310006</v>
      </c>
      <c r="C18" s="2">
        <v>15001</v>
      </c>
      <c r="D18" s="2">
        <v>30</v>
      </c>
      <c r="E18" s="1" t="s">
        <v>119</v>
      </c>
      <c r="F18" s="1">
        <v>2</v>
      </c>
      <c r="G18" s="1" t="s">
        <v>120</v>
      </c>
      <c r="H18" s="1" t="s">
        <v>120</v>
      </c>
      <c r="I18" s="3">
        <v>1.3</v>
      </c>
      <c r="J18" s="3">
        <v>2</v>
      </c>
      <c r="K18" s="4" t="s">
        <v>113</v>
      </c>
      <c r="L18" s="1" t="s">
        <v>74</v>
      </c>
      <c r="M18" s="1">
        <v>0</v>
      </c>
      <c r="N18" s="1">
        <v>0</v>
      </c>
      <c r="O18" s="4">
        <f t="shared" si="1"/>
        <v>1</v>
      </c>
      <c r="P18" s="1">
        <v>120</v>
      </c>
      <c r="Q18" s="1">
        <v>24</v>
      </c>
      <c r="R18" s="1">
        <v>12</v>
      </c>
      <c r="S18" s="1">
        <v>24</v>
      </c>
      <c r="T18" s="1">
        <v>12</v>
      </c>
      <c r="U18" s="1">
        <v>4</v>
      </c>
      <c r="V18" s="3">
        <f t="shared" si="3"/>
        <v>1200</v>
      </c>
      <c r="W18" s="3">
        <f t="shared" si="0"/>
        <v>1300</v>
      </c>
      <c r="X18" s="3">
        <v>400</v>
      </c>
      <c r="Y18" s="3">
        <f>_xlfn.IFS(V10&lt;=400,10,V10&gt;400,12)</f>
        <v>12</v>
      </c>
      <c r="Z18" s="1">
        <v>0</v>
      </c>
      <c r="AA18" s="3">
        <v>0</v>
      </c>
      <c r="AB18" s="8" t="s">
        <v>115</v>
      </c>
      <c r="AC18" s="3">
        <v>50</v>
      </c>
      <c r="AD18" s="1" t="s">
        <v>121</v>
      </c>
      <c r="AE18" s="1" t="s">
        <v>122</v>
      </c>
    </row>
    <row r="19" spans="1:31">
      <c r="A19" s="1">
        <v>160011</v>
      </c>
      <c r="B19" s="1">
        <v>110007</v>
      </c>
      <c r="C19" s="2">
        <v>16001</v>
      </c>
      <c r="D19" s="2">
        <v>1</v>
      </c>
      <c r="E19" s="1" t="s">
        <v>123</v>
      </c>
      <c r="F19" s="1">
        <v>2</v>
      </c>
      <c r="G19" s="1" t="s">
        <v>124</v>
      </c>
      <c r="H19" s="1" t="s">
        <v>124</v>
      </c>
      <c r="I19" s="3">
        <v>1.3</v>
      </c>
      <c r="J19" s="3">
        <v>2</v>
      </c>
      <c r="K19" s="4" t="s">
        <v>125</v>
      </c>
      <c r="L19" s="1" t="s">
        <v>65</v>
      </c>
      <c r="M19" s="1">
        <v>0</v>
      </c>
      <c r="N19" s="1">
        <v>210007</v>
      </c>
      <c r="O19" s="4">
        <f t="shared" si="1"/>
        <v>1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f t="shared" si="3"/>
        <v>1200</v>
      </c>
      <c r="W19" s="3">
        <f t="shared" si="0"/>
        <v>1300</v>
      </c>
      <c r="X19" s="3">
        <v>400</v>
      </c>
      <c r="Y19" s="3">
        <f t="shared" ref="Y19:Y27" si="4">_xlfn.IFS(V19&lt;=400,10,V19&gt;400,12)</f>
        <v>12</v>
      </c>
      <c r="Z19" s="1" t="s">
        <v>126</v>
      </c>
      <c r="AA19" s="3">
        <v>210261</v>
      </c>
      <c r="AB19" s="8" t="s">
        <v>127</v>
      </c>
      <c r="AC19" s="3">
        <v>50</v>
      </c>
      <c r="AD19" s="1">
        <v>0</v>
      </c>
      <c r="AE19" s="1">
        <v>210271</v>
      </c>
    </row>
    <row r="20" spans="1:31">
      <c r="A20" s="1">
        <v>160012</v>
      </c>
      <c r="B20" s="1">
        <v>210007</v>
      </c>
      <c r="C20" s="2">
        <v>16001</v>
      </c>
      <c r="D20" s="2">
        <v>20</v>
      </c>
      <c r="E20" s="1" t="s">
        <v>128</v>
      </c>
      <c r="F20" s="1">
        <v>2</v>
      </c>
      <c r="G20" s="1" t="s">
        <v>129</v>
      </c>
      <c r="H20" s="1" t="s">
        <v>129</v>
      </c>
      <c r="I20" s="3">
        <v>1.3</v>
      </c>
      <c r="J20" s="3">
        <v>2</v>
      </c>
      <c r="K20" s="4" t="s">
        <v>125</v>
      </c>
      <c r="L20" s="1" t="s">
        <v>70</v>
      </c>
      <c r="M20" s="1">
        <v>0</v>
      </c>
      <c r="N20" s="1">
        <v>310007</v>
      </c>
      <c r="O20" s="4">
        <f t="shared" si="1"/>
        <v>1</v>
      </c>
      <c r="P20" s="1">
        <v>80</v>
      </c>
      <c r="Q20" s="1">
        <v>16</v>
      </c>
      <c r="R20" s="1">
        <v>8</v>
      </c>
      <c r="S20" s="1">
        <v>16</v>
      </c>
      <c r="T20" s="1">
        <v>8</v>
      </c>
      <c r="U20" s="1">
        <v>3</v>
      </c>
      <c r="V20" s="3">
        <f t="shared" si="3"/>
        <v>1200</v>
      </c>
      <c r="W20" s="3">
        <f t="shared" si="0"/>
        <v>1300</v>
      </c>
      <c r="X20" s="3">
        <v>400</v>
      </c>
      <c r="Y20" s="3">
        <f t="shared" si="4"/>
        <v>12</v>
      </c>
      <c r="Z20" s="1">
        <v>0</v>
      </c>
      <c r="AA20" s="3">
        <v>0</v>
      </c>
      <c r="AB20" s="8" t="s">
        <v>127</v>
      </c>
      <c r="AC20" s="3">
        <v>50</v>
      </c>
      <c r="AD20" s="1" t="s">
        <v>130</v>
      </c>
      <c r="AE20" s="1">
        <v>210281</v>
      </c>
    </row>
    <row r="21" spans="1:31">
      <c r="A21" s="1">
        <v>160013</v>
      </c>
      <c r="B21" s="1">
        <v>310007</v>
      </c>
      <c r="C21" s="2">
        <v>16001</v>
      </c>
      <c r="D21" s="2">
        <v>30</v>
      </c>
      <c r="E21" s="1" t="s">
        <v>131</v>
      </c>
      <c r="F21" s="1">
        <v>2</v>
      </c>
      <c r="G21" s="1" t="s">
        <v>132</v>
      </c>
      <c r="H21" s="1" t="s">
        <v>132</v>
      </c>
      <c r="I21" s="3">
        <v>1.3</v>
      </c>
      <c r="J21" s="3">
        <v>2</v>
      </c>
      <c r="K21" s="4" t="s">
        <v>125</v>
      </c>
      <c r="L21" s="1" t="s">
        <v>74</v>
      </c>
      <c r="M21" s="1">
        <v>0</v>
      </c>
      <c r="N21" s="1">
        <v>0</v>
      </c>
      <c r="O21" s="4">
        <f t="shared" si="1"/>
        <v>1</v>
      </c>
      <c r="P21" s="1">
        <v>120</v>
      </c>
      <c r="Q21" s="1">
        <v>24</v>
      </c>
      <c r="R21" s="1">
        <v>12</v>
      </c>
      <c r="S21" s="1">
        <v>24</v>
      </c>
      <c r="T21" s="1">
        <v>12</v>
      </c>
      <c r="U21" s="1">
        <v>4</v>
      </c>
      <c r="V21" s="3">
        <f t="shared" si="3"/>
        <v>1200</v>
      </c>
      <c r="W21" s="3">
        <f t="shared" si="0"/>
        <v>1300</v>
      </c>
      <c r="X21" s="3">
        <v>400</v>
      </c>
      <c r="Y21" s="3">
        <f t="shared" si="4"/>
        <v>12</v>
      </c>
      <c r="Z21" s="1">
        <v>0</v>
      </c>
      <c r="AA21" s="3">
        <v>0</v>
      </c>
      <c r="AB21" s="8" t="s">
        <v>127</v>
      </c>
      <c r="AC21" s="3">
        <v>50</v>
      </c>
      <c r="AD21" s="1" t="s">
        <v>133</v>
      </c>
      <c r="AE21" s="1" t="s">
        <v>134</v>
      </c>
    </row>
    <row r="22" spans="1:31">
      <c r="A22" s="1">
        <v>210011</v>
      </c>
      <c r="B22" s="1">
        <v>120001</v>
      </c>
      <c r="C22" s="2">
        <v>21001</v>
      </c>
      <c r="D22" s="2">
        <v>1</v>
      </c>
      <c r="E22" s="1" t="s">
        <v>63</v>
      </c>
      <c r="F22" s="1">
        <v>1</v>
      </c>
      <c r="G22" s="1" t="s">
        <v>135</v>
      </c>
      <c r="H22" s="1" t="s">
        <v>135</v>
      </c>
      <c r="I22" s="3">
        <v>1.3</v>
      </c>
      <c r="J22" s="3">
        <v>1</v>
      </c>
      <c r="K22" s="4" t="s">
        <v>65</v>
      </c>
      <c r="L22" s="1" t="s">
        <v>65</v>
      </c>
      <c r="M22" s="1">
        <v>0</v>
      </c>
      <c r="N22" s="1">
        <v>220001</v>
      </c>
      <c r="O22" s="4">
        <f t="shared" si="1"/>
        <v>2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250</v>
      </c>
      <c r="W22" s="3">
        <f t="shared" si="0"/>
        <v>700</v>
      </c>
      <c r="X22" s="3">
        <v>400</v>
      </c>
      <c r="Y22" s="3">
        <f t="shared" si="4"/>
        <v>10</v>
      </c>
      <c r="Z22" s="1" t="s">
        <v>66</v>
      </c>
      <c r="AA22" s="3">
        <v>220011</v>
      </c>
      <c r="AB22" s="8" t="s">
        <v>136</v>
      </c>
      <c r="AC22" s="3">
        <v>50</v>
      </c>
      <c r="AD22" s="1">
        <v>0</v>
      </c>
      <c r="AE22" s="1">
        <v>220021</v>
      </c>
    </row>
    <row r="23" spans="1:31">
      <c r="A23" s="1">
        <v>210012</v>
      </c>
      <c r="B23" s="1">
        <v>220001</v>
      </c>
      <c r="C23" s="2">
        <v>21001</v>
      </c>
      <c r="D23" s="2">
        <v>20</v>
      </c>
      <c r="E23" s="1" t="s">
        <v>68</v>
      </c>
      <c r="F23" s="1">
        <v>1</v>
      </c>
      <c r="G23" s="1" t="s">
        <v>137</v>
      </c>
      <c r="H23" s="1" t="s">
        <v>137</v>
      </c>
      <c r="I23" s="3">
        <v>1.3</v>
      </c>
      <c r="J23" s="3">
        <v>1</v>
      </c>
      <c r="K23" s="4" t="s">
        <v>65</v>
      </c>
      <c r="L23" s="1" t="s">
        <v>70</v>
      </c>
      <c r="M23" s="1">
        <v>0</v>
      </c>
      <c r="N23" s="1">
        <v>320001</v>
      </c>
      <c r="O23" s="4">
        <f t="shared" si="1"/>
        <v>2</v>
      </c>
      <c r="P23" s="1">
        <v>80</v>
      </c>
      <c r="Q23" s="1">
        <v>16</v>
      </c>
      <c r="R23" s="1">
        <v>8</v>
      </c>
      <c r="S23" s="1">
        <v>16</v>
      </c>
      <c r="T23" s="1">
        <v>8</v>
      </c>
      <c r="U23" s="1">
        <v>3</v>
      </c>
      <c r="V23" s="3">
        <v>250</v>
      </c>
      <c r="W23" s="3">
        <f t="shared" si="0"/>
        <v>700</v>
      </c>
      <c r="X23" s="3">
        <v>400</v>
      </c>
      <c r="Y23" s="3">
        <f t="shared" si="4"/>
        <v>10</v>
      </c>
      <c r="Z23" s="1">
        <v>0</v>
      </c>
      <c r="AA23" s="3">
        <v>0</v>
      </c>
      <c r="AB23" s="8" t="s">
        <v>136</v>
      </c>
      <c r="AC23" s="3">
        <v>50</v>
      </c>
      <c r="AD23" s="1" t="s">
        <v>138</v>
      </c>
      <c r="AE23" s="1" t="s">
        <v>139</v>
      </c>
    </row>
    <row r="24" spans="1:31">
      <c r="A24" s="1">
        <v>210013</v>
      </c>
      <c r="B24" s="1">
        <v>320001</v>
      </c>
      <c r="C24" s="2">
        <v>21001</v>
      </c>
      <c r="D24" s="2">
        <v>30</v>
      </c>
      <c r="E24" s="1" t="s">
        <v>72</v>
      </c>
      <c r="F24" s="1">
        <v>1</v>
      </c>
      <c r="G24" s="1" t="s">
        <v>140</v>
      </c>
      <c r="H24" s="1" t="s">
        <v>140</v>
      </c>
      <c r="I24" s="3">
        <v>1.3</v>
      </c>
      <c r="J24" s="3">
        <v>1</v>
      </c>
      <c r="K24" s="4" t="s">
        <v>65</v>
      </c>
      <c r="L24" s="1" t="s">
        <v>74</v>
      </c>
      <c r="M24" s="1">
        <v>0</v>
      </c>
      <c r="N24" s="1">
        <v>0</v>
      </c>
      <c r="O24" s="4">
        <f t="shared" si="1"/>
        <v>2</v>
      </c>
      <c r="P24" s="1">
        <v>120</v>
      </c>
      <c r="Q24" s="1">
        <v>24</v>
      </c>
      <c r="R24" s="1">
        <v>12</v>
      </c>
      <c r="S24" s="1">
        <v>24</v>
      </c>
      <c r="T24" s="1">
        <v>12</v>
      </c>
      <c r="U24" s="1">
        <v>4</v>
      </c>
      <c r="V24" s="3">
        <v>250</v>
      </c>
      <c r="W24" s="3">
        <f t="shared" si="0"/>
        <v>700</v>
      </c>
      <c r="X24" s="3">
        <v>400</v>
      </c>
      <c r="Y24" s="3">
        <f t="shared" si="4"/>
        <v>10</v>
      </c>
      <c r="Z24" s="1">
        <v>0</v>
      </c>
      <c r="AA24" s="3">
        <v>0</v>
      </c>
      <c r="AB24" s="8" t="s">
        <v>136</v>
      </c>
      <c r="AC24" s="3">
        <v>50</v>
      </c>
      <c r="AD24" s="1" t="s">
        <v>75</v>
      </c>
      <c r="AE24" s="1" t="s">
        <v>141</v>
      </c>
    </row>
    <row r="25" spans="1:31">
      <c r="A25" s="1">
        <v>220011</v>
      </c>
      <c r="B25" s="1">
        <v>120002</v>
      </c>
      <c r="C25" s="2">
        <v>22001</v>
      </c>
      <c r="D25" s="2">
        <v>1</v>
      </c>
      <c r="E25" s="1" t="s">
        <v>77</v>
      </c>
      <c r="F25" s="1">
        <v>1</v>
      </c>
      <c r="G25" s="1" t="s">
        <v>142</v>
      </c>
      <c r="H25" s="1" t="s">
        <v>142</v>
      </c>
      <c r="I25" s="3">
        <v>1.3</v>
      </c>
      <c r="J25" s="3">
        <v>1</v>
      </c>
      <c r="K25" s="4" t="s">
        <v>70</v>
      </c>
      <c r="L25" s="1" t="s">
        <v>65</v>
      </c>
      <c r="M25" s="1">
        <v>0</v>
      </c>
      <c r="N25" s="1">
        <v>220002</v>
      </c>
      <c r="O25" s="4">
        <f t="shared" si="1"/>
        <v>2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250</v>
      </c>
      <c r="W25" s="3">
        <f t="shared" si="0"/>
        <v>700</v>
      </c>
      <c r="X25" s="3">
        <v>400</v>
      </c>
      <c r="Y25" s="3">
        <f t="shared" si="4"/>
        <v>10</v>
      </c>
      <c r="Z25" s="1" t="s">
        <v>143</v>
      </c>
      <c r="AA25" s="3">
        <v>220071</v>
      </c>
      <c r="AB25" s="16" t="s">
        <v>144</v>
      </c>
      <c r="AC25" s="3">
        <v>50</v>
      </c>
      <c r="AD25" s="1">
        <v>0</v>
      </c>
      <c r="AE25" s="1">
        <v>220081</v>
      </c>
    </row>
    <row r="26" spans="1:31">
      <c r="A26" s="1">
        <v>220012</v>
      </c>
      <c r="B26" s="1">
        <v>220002</v>
      </c>
      <c r="C26" s="2">
        <v>22001</v>
      </c>
      <c r="D26" s="2">
        <v>20</v>
      </c>
      <c r="E26" s="1" t="s">
        <v>81</v>
      </c>
      <c r="F26" s="1">
        <v>1</v>
      </c>
      <c r="G26" s="1" t="s">
        <v>145</v>
      </c>
      <c r="H26" s="1" t="s">
        <v>145</v>
      </c>
      <c r="I26" s="3">
        <v>1.3</v>
      </c>
      <c r="J26" s="3">
        <v>1</v>
      </c>
      <c r="K26" s="4" t="s">
        <v>70</v>
      </c>
      <c r="L26" s="1" t="s">
        <v>70</v>
      </c>
      <c r="M26" s="1">
        <v>0</v>
      </c>
      <c r="N26" s="1">
        <v>320002</v>
      </c>
      <c r="O26" s="4">
        <f t="shared" si="1"/>
        <v>2</v>
      </c>
      <c r="P26" s="1">
        <v>80</v>
      </c>
      <c r="Q26" s="1">
        <v>16</v>
      </c>
      <c r="R26" s="1">
        <v>8</v>
      </c>
      <c r="S26" s="1">
        <v>16</v>
      </c>
      <c r="T26" s="1">
        <v>8</v>
      </c>
      <c r="U26" s="1">
        <v>3</v>
      </c>
      <c r="V26" s="3">
        <v>250</v>
      </c>
      <c r="W26" s="3">
        <f t="shared" si="0"/>
        <v>700</v>
      </c>
      <c r="X26" s="3">
        <v>400</v>
      </c>
      <c r="Y26" s="3">
        <f t="shared" si="4"/>
        <v>10</v>
      </c>
      <c r="Z26" s="1">
        <v>0</v>
      </c>
      <c r="AA26" s="3">
        <v>0</v>
      </c>
      <c r="AB26" s="16" t="s">
        <v>144</v>
      </c>
      <c r="AC26" s="3">
        <v>50</v>
      </c>
      <c r="AD26" s="1" t="s">
        <v>146</v>
      </c>
      <c r="AE26" s="1" t="s">
        <v>147</v>
      </c>
    </row>
    <row r="27" spans="1:31">
      <c r="A27" s="1">
        <v>220013</v>
      </c>
      <c r="B27" s="1">
        <v>320002</v>
      </c>
      <c r="C27" s="2">
        <v>22001</v>
      </c>
      <c r="D27" s="2">
        <v>30</v>
      </c>
      <c r="E27" s="1" t="s">
        <v>84</v>
      </c>
      <c r="F27" s="1">
        <v>1</v>
      </c>
      <c r="G27" s="1" t="s">
        <v>148</v>
      </c>
      <c r="H27" s="1" t="s">
        <v>148</v>
      </c>
      <c r="I27" s="3">
        <v>1.3</v>
      </c>
      <c r="J27" s="3">
        <v>1</v>
      </c>
      <c r="K27" s="4" t="s">
        <v>70</v>
      </c>
      <c r="L27" s="1" t="s">
        <v>74</v>
      </c>
      <c r="M27" s="1">
        <v>0</v>
      </c>
      <c r="N27" s="1">
        <v>0</v>
      </c>
      <c r="O27" s="4">
        <f t="shared" si="1"/>
        <v>2</v>
      </c>
      <c r="P27" s="1">
        <v>120</v>
      </c>
      <c r="Q27" s="1">
        <v>24</v>
      </c>
      <c r="R27" s="1">
        <v>12</v>
      </c>
      <c r="S27" s="1">
        <v>24</v>
      </c>
      <c r="T27" s="1">
        <v>12</v>
      </c>
      <c r="U27" s="1">
        <v>4</v>
      </c>
      <c r="V27" s="3">
        <v>250</v>
      </c>
      <c r="W27" s="3">
        <f t="shared" si="0"/>
        <v>700</v>
      </c>
      <c r="X27" s="3">
        <v>400</v>
      </c>
      <c r="Y27" s="3">
        <f t="shared" si="4"/>
        <v>10</v>
      </c>
      <c r="Z27" s="1">
        <v>0</v>
      </c>
      <c r="AA27" s="3">
        <v>0</v>
      </c>
      <c r="AB27" s="16" t="s">
        <v>144</v>
      </c>
      <c r="AC27" s="3">
        <v>50</v>
      </c>
      <c r="AD27" s="1" t="s">
        <v>149</v>
      </c>
      <c r="AE27" s="1" t="s">
        <v>150</v>
      </c>
    </row>
    <row r="28" spans="1:31">
      <c r="A28" s="1">
        <v>230011</v>
      </c>
      <c r="B28" s="1">
        <v>120003</v>
      </c>
      <c r="C28" s="2">
        <v>23001</v>
      </c>
      <c r="D28" s="2">
        <v>1</v>
      </c>
      <c r="E28" s="1" t="s">
        <v>88</v>
      </c>
      <c r="F28" s="1">
        <v>2</v>
      </c>
      <c r="G28" s="1" t="s">
        <v>151</v>
      </c>
      <c r="H28" s="1" t="s">
        <v>151</v>
      </c>
      <c r="I28" s="3">
        <v>1.3</v>
      </c>
      <c r="J28" s="3">
        <v>1</v>
      </c>
      <c r="K28" s="4" t="s">
        <v>74</v>
      </c>
      <c r="L28" s="1" t="s">
        <v>65</v>
      </c>
      <c r="M28" s="1">
        <v>0</v>
      </c>
      <c r="N28" s="1">
        <v>220003</v>
      </c>
      <c r="O28" s="4">
        <f t="shared" si="1"/>
        <v>1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f>IF(F28=1,150,1200)</f>
        <v>1200</v>
      </c>
      <c r="W28" s="3">
        <f t="shared" si="0"/>
        <v>1300</v>
      </c>
      <c r="X28" s="3">
        <v>400</v>
      </c>
      <c r="Y28" s="3">
        <f>_xlfn.IFS(V12&lt;=400,10,V12&gt;400,12)</f>
        <v>12</v>
      </c>
      <c r="Z28" s="1" t="s">
        <v>90</v>
      </c>
      <c r="AA28" s="3">
        <v>220131</v>
      </c>
      <c r="AB28" s="8" t="s">
        <v>152</v>
      </c>
      <c r="AC28" s="3">
        <v>50</v>
      </c>
      <c r="AD28" s="1">
        <v>0</v>
      </c>
      <c r="AE28" s="1">
        <v>220141</v>
      </c>
    </row>
    <row r="29" spans="1:31">
      <c r="A29" s="1">
        <v>230012</v>
      </c>
      <c r="B29" s="1">
        <v>220003</v>
      </c>
      <c r="C29" s="2">
        <v>23001</v>
      </c>
      <c r="D29" s="2">
        <v>20</v>
      </c>
      <c r="E29" s="1" t="s">
        <v>92</v>
      </c>
      <c r="F29" s="1">
        <v>2</v>
      </c>
      <c r="G29" s="1" t="s">
        <v>153</v>
      </c>
      <c r="H29" s="1" t="s">
        <v>153</v>
      </c>
      <c r="I29" s="3">
        <v>1.3</v>
      </c>
      <c r="J29" s="3">
        <v>1</v>
      </c>
      <c r="K29" s="4" t="s">
        <v>74</v>
      </c>
      <c r="L29" s="1" t="s">
        <v>70</v>
      </c>
      <c r="M29" s="1">
        <v>0</v>
      </c>
      <c r="N29" s="1">
        <v>320003</v>
      </c>
      <c r="O29" s="4">
        <f t="shared" si="1"/>
        <v>1</v>
      </c>
      <c r="P29" s="1">
        <v>80</v>
      </c>
      <c r="Q29" s="1">
        <v>16</v>
      </c>
      <c r="R29" s="1">
        <v>8</v>
      </c>
      <c r="S29" s="1">
        <v>16</v>
      </c>
      <c r="T29" s="1">
        <v>8</v>
      </c>
      <c r="U29" s="1">
        <v>3</v>
      </c>
      <c r="V29" s="3">
        <f>IF(F29=1,150,1200)</f>
        <v>1200</v>
      </c>
      <c r="W29" s="3">
        <f t="shared" si="0"/>
        <v>1300</v>
      </c>
      <c r="X29" s="3">
        <v>400</v>
      </c>
      <c r="Y29" s="3">
        <f t="shared" ref="Y29:Y37" si="5">_xlfn.IFS(V29&lt;=400,10,V29&gt;400,12)</f>
        <v>12</v>
      </c>
      <c r="Z29" s="1">
        <v>0</v>
      </c>
      <c r="AA29" s="3">
        <v>0</v>
      </c>
      <c r="AB29" s="8" t="s">
        <v>152</v>
      </c>
      <c r="AC29" s="3">
        <v>50</v>
      </c>
      <c r="AD29" s="1" t="s">
        <v>154</v>
      </c>
      <c r="AE29" s="1" t="s">
        <v>155</v>
      </c>
    </row>
    <row r="30" spans="1:31">
      <c r="A30" s="1">
        <v>230013</v>
      </c>
      <c r="B30" s="1">
        <v>320003</v>
      </c>
      <c r="C30" s="2">
        <v>23001</v>
      </c>
      <c r="D30" s="2">
        <v>30</v>
      </c>
      <c r="E30" s="1" t="s">
        <v>95</v>
      </c>
      <c r="F30" s="1">
        <v>2</v>
      </c>
      <c r="G30" s="1" t="s">
        <v>156</v>
      </c>
      <c r="H30" s="1" t="s">
        <v>156</v>
      </c>
      <c r="I30" s="3">
        <v>1.3</v>
      </c>
      <c r="J30" s="3">
        <v>1</v>
      </c>
      <c r="K30" s="4" t="s">
        <v>74</v>
      </c>
      <c r="L30" s="1" t="s">
        <v>74</v>
      </c>
      <c r="M30" s="1">
        <v>0</v>
      </c>
      <c r="N30" s="1">
        <v>0</v>
      </c>
      <c r="O30" s="4">
        <f t="shared" si="1"/>
        <v>1</v>
      </c>
      <c r="P30" s="1">
        <v>120</v>
      </c>
      <c r="Q30" s="1">
        <v>24</v>
      </c>
      <c r="R30" s="1">
        <v>12</v>
      </c>
      <c r="S30" s="1">
        <v>24</v>
      </c>
      <c r="T30" s="1">
        <v>12</v>
      </c>
      <c r="U30" s="1">
        <v>4</v>
      </c>
      <c r="V30" s="3">
        <f>IF(F30=1,150,1200)</f>
        <v>1200</v>
      </c>
      <c r="W30" s="3">
        <f t="shared" si="0"/>
        <v>1300</v>
      </c>
      <c r="X30" s="3">
        <v>400</v>
      </c>
      <c r="Y30" s="3">
        <f t="shared" si="5"/>
        <v>12</v>
      </c>
      <c r="Z30" s="1">
        <v>0</v>
      </c>
      <c r="AA30" s="3">
        <v>0</v>
      </c>
      <c r="AB30" s="8" t="s">
        <v>152</v>
      </c>
      <c r="AC30" s="3">
        <v>50</v>
      </c>
      <c r="AD30" s="1" t="s">
        <v>97</v>
      </c>
      <c r="AE30" s="1" t="s">
        <v>157</v>
      </c>
    </row>
    <row r="31" spans="1:31">
      <c r="A31" s="1">
        <v>240011</v>
      </c>
      <c r="B31" s="1">
        <v>120004</v>
      </c>
      <c r="C31" s="2">
        <v>24001</v>
      </c>
      <c r="D31" s="2">
        <v>1</v>
      </c>
      <c r="E31" s="1" t="s">
        <v>99</v>
      </c>
      <c r="F31" s="1">
        <v>1</v>
      </c>
      <c r="G31" s="1" t="s">
        <v>158</v>
      </c>
      <c r="H31" s="1" t="s">
        <v>158</v>
      </c>
      <c r="I31" s="3">
        <v>1.3</v>
      </c>
      <c r="J31" s="3">
        <v>1</v>
      </c>
      <c r="K31" s="4" t="s">
        <v>101</v>
      </c>
      <c r="L31" s="1" t="s">
        <v>65</v>
      </c>
      <c r="M31" s="1">
        <v>0</v>
      </c>
      <c r="N31" s="1">
        <v>220004</v>
      </c>
      <c r="O31" s="4">
        <f t="shared" si="1"/>
        <v>1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250</v>
      </c>
      <c r="W31" s="3">
        <f t="shared" si="0"/>
        <v>700</v>
      </c>
      <c r="X31" s="3">
        <v>400</v>
      </c>
      <c r="Y31" s="3">
        <f t="shared" si="5"/>
        <v>10</v>
      </c>
      <c r="Z31" s="1" t="s">
        <v>159</v>
      </c>
      <c r="AA31" s="3">
        <v>220191</v>
      </c>
      <c r="AB31" s="8" t="s">
        <v>160</v>
      </c>
      <c r="AC31" s="3">
        <v>50</v>
      </c>
      <c r="AD31" s="1">
        <v>0</v>
      </c>
      <c r="AE31" s="1">
        <v>220201</v>
      </c>
    </row>
    <row r="32" spans="1:31">
      <c r="A32" s="1">
        <v>240012</v>
      </c>
      <c r="B32" s="1">
        <v>220004</v>
      </c>
      <c r="C32" s="2">
        <v>24001</v>
      </c>
      <c r="D32" s="2">
        <v>20</v>
      </c>
      <c r="E32" s="1" t="s">
        <v>104</v>
      </c>
      <c r="F32" s="1">
        <v>1</v>
      </c>
      <c r="G32" s="1" t="s">
        <v>161</v>
      </c>
      <c r="H32" s="1" t="s">
        <v>161</v>
      </c>
      <c r="I32" s="3">
        <v>1.3</v>
      </c>
      <c r="J32" s="3">
        <v>1</v>
      </c>
      <c r="K32" s="4" t="s">
        <v>101</v>
      </c>
      <c r="L32" s="1" t="s">
        <v>70</v>
      </c>
      <c r="M32" s="1">
        <v>0</v>
      </c>
      <c r="N32" s="1">
        <v>320004</v>
      </c>
      <c r="O32" s="4">
        <f t="shared" si="1"/>
        <v>1</v>
      </c>
      <c r="P32" s="1">
        <v>80</v>
      </c>
      <c r="Q32" s="1">
        <v>16</v>
      </c>
      <c r="R32" s="1">
        <v>8</v>
      </c>
      <c r="S32" s="1">
        <v>16</v>
      </c>
      <c r="T32" s="1">
        <v>8</v>
      </c>
      <c r="U32" s="1">
        <v>3</v>
      </c>
      <c r="V32" s="3">
        <v>250</v>
      </c>
      <c r="W32" s="3">
        <f t="shared" si="0"/>
        <v>700</v>
      </c>
      <c r="X32" s="3">
        <v>400</v>
      </c>
      <c r="Y32" s="3">
        <f t="shared" si="5"/>
        <v>10</v>
      </c>
      <c r="Z32" s="1">
        <v>0</v>
      </c>
      <c r="AA32" s="3">
        <v>0</v>
      </c>
      <c r="AB32" s="8" t="s">
        <v>160</v>
      </c>
      <c r="AC32" s="3">
        <v>50</v>
      </c>
      <c r="AD32" s="1" t="s">
        <v>106</v>
      </c>
      <c r="AE32" s="1" t="s">
        <v>162</v>
      </c>
    </row>
    <row r="33" spans="1:31">
      <c r="A33" s="1">
        <v>240013</v>
      </c>
      <c r="B33" s="1">
        <v>320004</v>
      </c>
      <c r="C33" s="2">
        <v>24001</v>
      </c>
      <c r="D33" s="2">
        <v>30</v>
      </c>
      <c r="E33" s="1" t="s">
        <v>107</v>
      </c>
      <c r="F33" s="1">
        <v>1</v>
      </c>
      <c r="G33" s="1" t="s">
        <v>163</v>
      </c>
      <c r="H33" s="1" t="s">
        <v>163</v>
      </c>
      <c r="I33" s="3">
        <v>1.3</v>
      </c>
      <c r="J33" s="3">
        <v>1</v>
      </c>
      <c r="K33" s="4" t="s">
        <v>101</v>
      </c>
      <c r="L33" s="1" t="s">
        <v>74</v>
      </c>
      <c r="M33" s="1">
        <v>0</v>
      </c>
      <c r="N33" s="1">
        <v>0</v>
      </c>
      <c r="O33" s="4">
        <f t="shared" si="1"/>
        <v>1</v>
      </c>
      <c r="P33" s="1">
        <v>120</v>
      </c>
      <c r="Q33" s="1">
        <v>24</v>
      </c>
      <c r="R33" s="1">
        <v>12</v>
      </c>
      <c r="S33" s="1">
        <v>24</v>
      </c>
      <c r="T33" s="1">
        <v>12</v>
      </c>
      <c r="U33" s="1">
        <v>4</v>
      </c>
      <c r="V33" s="3">
        <v>250</v>
      </c>
      <c r="W33" s="3">
        <f t="shared" si="0"/>
        <v>700</v>
      </c>
      <c r="X33" s="3">
        <v>400</v>
      </c>
      <c r="Y33" s="3">
        <f t="shared" si="5"/>
        <v>10</v>
      </c>
      <c r="Z33" s="1">
        <v>0</v>
      </c>
      <c r="AA33" s="3">
        <v>0</v>
      </c>
      <c r="AB33" s="8" t="s">
        <v>160</v>
      </c>
      <c r="AC33" s="3">
        <v>50</v>
      </c>
      <c r="AD33" s="1" t="s">
        <v>164</v>
      </c>
      <c r="AE33" s="1" t="s">
        <v>165</v>
      </c>
    </row>
    <row r="34" spans="1:31">
      <c r="A34" s="1">
        <v>250011</v>
      </c>
      <c r="B34" s="1">
        <v>120005</v>
      </c>
      <c r="C34" s="2">
        <v>25001</v>
      </c>
      <c r="D34" s="2">
        <v>1</v>
      </c>
      <c r="E34" s="1" t="s">
        <v>111</v>
      </c>
      <c r="F34" s="1">
        <v>2</v>
      </c>
      <c r="G34" s="1" t="s">
        <v>166</v>
      </c>
      <c r="H34" s="1" t="s">
        <v>166</v>
      </c>
      <c r="I34" s="3">
        <v>1.3</v>
      </c>
      <c r="J34" s="3">
        <v>2</v>
      </c>
      <c r="K34" s="4" t="s">
        <v>113</v>
      </c>
      <c r="L34" s="1" t="s">
        <v>65</v>
      </c>
      <c r="M34" s="1">
        <v>0</v>
      </c>
      <c r="N34" s="1">
        <v>220005</v>
      </c>
      <c r="O34" s="4">
        <f t="shared" si="1"/>
        <v>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f t="shared" ref="V34:V39" si="6">IF(F34=1,150,1200)</f>
        <v>1200</v>
      </c>
      <c r="W34" s="3">
        <f t="shared" si="0"/>
        <v>1300</v>
      </c>
      <c r="X34" s="3">
        <v>400</v>
      </c>
      <c r="Y34" s="3">
        <f t="shared" si="5"/>
        <v>12</v>
      </c>
      <c r="Z34" s="1" t="s">
        <v>167</v>
      </c>
      <c r="AA34" s="3">
        <v>220251</v>
      </c>
      <c r="AB34" s="8" t="s">
        <v>168</v>
      </c>
      <c r="AC34" s="3">
        <v>50</v>
      </c>
      <c r="AD34" s="1">
        <v>0</v>
      </c>
      <c r="AE34" s="1">
        <v>220261</v>
      </c>
    </row>
    <row r="35" spans="1:31">
      <c r="A35" s="1">
        <v>250012</v>
      </c>
      <c r="B35" s="1">
        <v>220005</v>
      </c>
      <c r="C35" s="2">
        <v>25001</v>
      </c>
      <c r="D35" s="2">
        <v>20</v>
      </c>
      <c r="E35" s="1" t="s">
        <v>116</v>
      </c>
      <c r="F35" s="1">
        <v>2</v>
      </c>
      <c r="G35" s="1" t="s">
        <v>169</v>
      </c>
      <c r="H35" s="1" t="s">
        <v>169</v>
      </c>
      <c r="I35" s="3">
        <v>1.3</v>
      </c>
      <c r="J35" s="3">
        <v>2</v>
      </c>
      <c r="K35" s="4" t="s">
        <v>113</v>
      </c>
      <c r="L35" s="1" t="s">
        <v>70</v>
      </c>
      <c r="M35" s="1">
        <v>0</v>
      </c>
      <c r="N35" s="1">
        <v>320005</v>
      </c>
      <c r="O35" s="4">
        <f t="shared" si="1"/>
        <v>1</v>
      </c>
      <c r="P35" s="1">
        <v>80</v>
      </c>
      <c r="Q35" s="1">
        <v>16</v>
      </c>
      <c r="R35" s="1">
        <v>8</v>
      </c>
      <c r="S35" s="1">
        <v>16</v>
      </c>
      <c r="T35" s="1">
        <v>8</v>
      </c>
      <c r="U35" s="1">
        <v>3</v>
      </c>
      <c r="V35" s="3">
        <f t="shared" si="6"/>
        <v>1200</v>
      </c>
      <c r="W35" s="3">
        <f t="shared" si="0"/>
        <v>1300</v>
      </c>
      <c r="X35" s="3">
        <v>400</v>
      </c>
      <c r="Y35" s="3">
        <f t="shared" si="5"/>
        <v>12</v>
      </c>
      <c r="Z35" s="1">
        <v>0</v>
      </c>
      <c r="AA35" s="3">
        <v>0</v>
      </c>
      <c r="AB35" s="8" t="s">
        <v>168</v>
      </c>
      <c r="AC35" s="3">
        <v>50</v>
      </c>
      <c r="AD35" s="1" t="s">
        <v>170</v>
      </c>
      <c r="AE35" s="1" t="s">
        <v>171</v>
      </c>
    </row>
    <row r="36" spans="1:31">
      <c r="A36" s="1">
        <v>250013</v>
      </c>
      <c r="B36" s="1">
        <v>320005</v>
      </c>
      <c r="C36" s="2">
        <v>25001</v>
      </c>
      <c r="D36" s="2">
        <v>30</v>
      </c>
      <c r="E36" s="1" t="s">
        <v>119</v>
      </c>
      <c r="F36" s="1">
        <v>2</v>
      </c>
      <c r="G36" s="1" t="s">
        <v>172</v>
      </c>
      <c r="H36" s="1" t="s">
        <v>172</v>
      </c>
      <c r="I36" s="3">
        <v>1.3</v>
      </c>
      <c r="J36" s="3">
        <v>2</v>
      </c>
      <c r="K36" s="4" t="s">
        <v>113</v>
      </c>
      <c r="L36" s="1" t="s">
        <v>74</v>
      </c>
      <c r="M36" s="1">
        <v>0</v>
      </c>
      <c r="N36" s="1">
        <v>0</v>
      </c>
      <c r="O36" s="4">
        <f t="shared" si="1"/>
        <v>1</v>
      </c>
      <c r="P36" s="1">
        <v>120</v>
      </c>
      <c r="Q36" s="1">
        <v>24</v>
      </c>
      <c r="R36" s="1">
        <v>12</v>
      </c>
      <c r="S36" s="1">
        <v>24</v>
      </c>
      <c r="T36" s="1">
        <v>12</v>
      </c>
      <c r="U36" s="1">
        <v>4</v>
      </c>
      <c r="V36" s="3">
        <f t="shared" si="6"/>
        <v>1200</v>
      </c>
      <c r="W36" s="3">
        <f t="shared" ref="W36:W67" si="7">MIN(V36+450,1300)</f>
        <v>1300</v>
      </c>
      <c r="X36" s="3">
        <v>400</v>
      </c>
      <c r="Y36" s="3">
        <f t="shared" si="5"/>
        <v>12</v>
      </c>
      <c r="Z36" s="1">
        <v>0</v>
      </c>
      <c r="AA36" s="3">
        <v>0</v>
      </c>
      <c r="AB36" s="8" t="s">
        <v>168</v>
      </c>
      <c r="AC36" s="3">
        <v>50</v>
      </c>
      <c r="AD36" s="1" t="s">
        <v>173</v>
      </c>
      <c r="AE36" s="1" t="s">
        <v>174</v>
      </c>
    </row>
    <row r="37" spans="1:31">
      <c r="A37" s="1">
        <v>260011</v>
      </c>
      <c r="B37" s="1">
        <v>120006</v>
      </c>
      <c r="C37" s="2">
        <v>26001</v>
      </c>
      <c r="D37" s="2">
        <v>1</v>
      </c>
      <c r="E37" s="1" t="s">
        <v>175</v>
      </c>
      <c r="F37" s="1">
        <v>2</v>
      </c>
      <c r="G37" s="1" t="s">
        <v>176</v>
      </c>
      <c r="H37" s="1" t="s">
        <v>176</v>
      </c>
      <c r="I37" s="3">
        <v>1.3</v>
      </c>
      <c r="J37" s="3">
        <v>2</v>
      </c>
      <c r="K37" s="4" t="s">
        <v>125</v>
      </c>
      <c r="L37" s="1" t="s">
        <v>65</v>
      </c>
      <c r="M37" s="1">
        <v>0</v>
      </c>
      <c r="N37" s="1">
        <v>220006</v>
      </c>
      <c r="O37" s="4">
        <f t="shared" ref="O37:O68" si="8">_xlfn.IFS(OR(K37="1",K37="2",K37="7",K37="8"),2,OR(K37="3",K37="4",K37="5",K37="6"),1)</f>
        <v>1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f t="shared" si="6"/>
        <v>1200</v>
      </c>
      <c r="W37" s="3">
        <f t="shared" si="7"/>
        <v>1300</v>
      </c>
      <c r="X37" s="3">
        <v>400</v>
      </c>
      <c r="Y37" s="3">
        <f t="shared" si="5"/>
        <v>12</v>
      </c>
      <c r="Z37" s="1" t="s">
        <v>177</v>
      </c>
      <c r="AA37" s="3">
        <v>220311</v>
      </c>
      <c r="AB37" s="8" t="s">
        <v>178</v>
      </c>
      <c r="AC37" s="3">
        <v>50</v>
      </c>
      <c r="AD37" s="1">
        <v>0</v>
      </c>
      <c r="AE37" s="1">
        <v>220321</v>
      </c>
    </row>
    <row r="38" spans="1:31">
      <c r="A38" s="1">
        <v>260012</v>
      </c>
      <c r="B38" s="1">
        <v>220006</v>
      </c>
      <c r="C38" s="2">
        <v>26001</v>
      </c>
      <c r="D38" s="2">
        <v>20</v>
      </c>
      <c r="E38" s="1" t="s">
        <v>179</v>
      </c>
      <c r="F38" s="1">
        <v>2</v>
      </c>
      <c r="G38" s="1" t="s">
        <v>180</v>
      </c>
      <c r="H38" s="1" t="s">
        <v>180</v>
      </c>
      <c r="I38" s="3">
        <v>1.3</v>
      </c>
      <c r="J38" s="3">
        <v>2</v>
      </c>
      <c r="K38" s="4" t="s">
        <v>125</v>
      </c>
      <c r="L38" s="1" t="s">
        <v>70</v>
      </c>
      <c r="M38" s="1">
        <v>0</v>
      </c>
      <c r="N38" s="1">
        <v>320006</v>
      </c>
      <c r="O38" s="4">
        <f t="shared" si="8"/>
        <v>1</v>
      </c>
      <c r="P38" s="1">
        <v>80</v>
      </c>
      <c r="Q38" s="1">
        <v>16</v>
      </c>
      <c r="R38" s="1">
        <v>8</v>
      </c>
      <c r="S38" s="1">
        <v>16</v>
      </c>
      <c r="T38" s="1">
        <v>8</v>
      </c>
      <c r="U38" s="1">
        <v>3</v>
      </c>
      <c r="V38" s="3">
        <f t="shared" si="6"/>
        <v>1200</v>
      </c>
      <c r="W38" s="3">
        <f t="shared" si="7"/>
        <v>1300</v>
      </c>
      <c r="X38" s="3">
        <v>400</v>
      </c>
      <c r="Y38" s="3">
        <f>_xlfn.IFS(V310&lt;=400,10,V310&gt;400,12)</f>
        <v>10</v>
      </c>
      <c r="Z38" s="1">
        <v>0</v>
      </c>
      <c r="AA38" s="3">
        <v>0</v>
      </c>
      <c r="AB38" s="8" t="s">
        <v>178</v>
      </c>
      <c r="AC38" s="3">
        <v>50</v>
      </c>
      <c r="AD38" s="1" t="s">
        <v>181</v>
      </c>
      <c r="AE38" s="1" t="s">
        <v>182</v>
      </c>
    </row>
    <row r="39" spans="1:31">
      <c r="A39" s="1">
        <v>260013</v>
      </c>
      <c r="B39" s="1">
        <v>320006</v>
      </c>
      <c r="C39" s="2">
        <v>26001</v>
      </c>
      <c r="D39" s="2">
        <v>30</v>
      </c>
      <c r="E39" s="1" t="s">
        <v>131</v>
      </c>
      <c r="F39" s="1">
        <v>2</v>
      </c>
      <c r="G39" s="1" t="s">
        <v>183</v>
      </c>
      <c r="H39" s="1" t="s">
        <v>183</v>
      </c>
      <c r="I39" s="3">
        <v>1.3</v>
      </c>
      <c r="J39" s="3">
        <v>2</v>
      </c>
      <c r="K39" s="4" t="s">
        <v>125</v>
      </c>
      <c r="L39" s="1" t="s">
        <v>74</v>
      </c>
      <c r="M39" s="1">
        <v>0</v>
      </c>
      <c r="N39" s="1">
        <v>0</v>
      </c>
      <c r="O39" s="4">
        <f t="shared" si="8"/>
        <v>1</v>
      </c>
      <c r="P39" s="1">
        <v>120</v>
      </c>
      <c r="Q39" s="1">
        <v>24</v>
      </c>
      <c r="R39" s="1">
        <v>12</v>
      </c>
      <c r="S39" s="1">
        <v>24</v>
      </c>
      <c r="T39" s="1">
        <v>12</v>
      </c>
      <c r="U39" s="1">
        <v>4</v>
      </c>
      <c r="V39" s="3">
        <f t="shared" si="6"/>
        <v>1200</v>
      </c>
      <c r="W39" s="3">
        <f t="shared" si="7"/>
        <v>1300</v>
      </c>
      <c r="X39" s="3">
        <v>400</v>
      </c>
      <c r="Y39" s="3">
        <f t="shared" ref="Y39:Y47" si="9">_xlfn.IFS(V39&lt;=400,10,V39&gt;400,12)</f>
        <v>12</v>
      </c>
      <c r="Z39" s="1">
        <v>0</v>
      </c>
      <c r="AA39" s="3">
        <v>0</v>
      </c>
      <c r="AB39" s="8" t="s">
        <v>178</v>
      </c>
      <c r="AC39" s="3">
        <v>50</v>
      </c>
      <c r="AD39" s="1" t="s">
        <v>133</v>
      </c>
      <c r="AE39" s="1" t="s">
        <v>184</v>
      </c>
    </row>
    <row r="40" spans="1:31">
      <c r="A40" s="1">
        <v>280011</v>
      </c>
      <c r="B40" s="1">
        <v>120007</v>
      </c>
      <c r="C40" s="2">
        <v>28001</v>
      </c>
      <c r="D40" s="2">
        <v>1</v>
      </c>
      <c r="E40" s="1" t="s">
        <v>185</v>
      </c>
      <c r="F40" s="1">
        <v>1</v>
      </c>
      <c r="G40" s="1" t="s">
        <v>186</v>
      </c>
      <c r="H40" s="1" t="s">
        <v>186</v>
      </c>
      <c r="I40" s="3">
        <v>1.3</v>
      </c>
      <c r="J40" s="3">
        <v>1</v>
      </c>
      <c r="K40" s="4" t="s">
        <v>187</v>
      </c>
      <c r="L40" s="1" t="s">
        <v>65</v>
      </c>
      <c r="M40" s="1">
        <v>0</v>
      </c>
      <c r="N40" s="1">
        <v>220007</v>
      </c>
      <c r="O40" s="4">
        <f t="shared" si="8"/>
        <v>2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250</v>
      </c>
      <c r="W40" s="3">
        <f t="shared" si="7"/>
        <v>700</v>
      </c>
      <c r="X40" s="3">
        <v>400</v>
      </c>
      <c r="Y40" s="3">
        <f t="shared" si="9"/>
        <v>10</v>
      </c>
      <c r="Z40" s="1" t="s">
        <v>188</v>
      </c>
      <c r="AA40" s="3">
        <v>220371</v>
      </c>
      <c r="AB40" s="8" t="s">
        <v>189</v>
      </c>
      <c r="AC40" s="3">
        <v>50</v>
      </c>
      <c r="AD40" s="1">
        <v>0</v>
      </c>
      <c r="AE40" s="1">
        <v>220381</v>
      </c>
    </row>
    <row r="41" spans="1:31">
      <c r="A41" s="1">
        <v>280012</v>
      </c>
      <c r="B41" s="1">
        <v>220007</v>
      </c>
      <c r="C41" s="2">
        <v>28001</v>
      </c>
      <c r="D41" s="2">
        <v>20</v>
      </c>
      <c r="E41" s="1" t="s">
        <v>190</v>
      </c>
      <c r="F41" s="1">
        <v>1</v>
      </c>
      <c r="G41" s="1" t="s">
        <v>191</v>
      </c>
      <c r="H41" s="1" t="s">
        <v>191</v>
      </c>
      <c r="I41" s="3">
        <v>1.3</v>
      </c>
      <c r="J41" s="3">
        <v>1</v>
      </c>
      <c r="K41" s="4" t="s">
        <v>187</v>
      </c>
      <c r="L41" s="1" t="s">
        <v>70</v>
      </c>
      <c r="M41" s="1">
        <v>0</v>
      </c>
      <c r="N41" s="1">
        <v>320007</v>
      </c>
      <c r="O41" s="4">
        <f t="shared" si="8"/>
        <v>2</v>
      </c>
      <c r="P41" s="1">
        <v>80</v>
      </c>
      <c r="Q41" s="1">
        <v>16</v>
      </c>
      <c r="R41" s="1">
        <v>8</v>
      </c>
      <c r="S41" s="1">
        <v>16</v>
      </c>
      <c r="T41" s="1">
        <v>8</v>
      </c>
      <c r="U41" s="1">
        <v>3</v>
      </c>
      <c r="V41" s="3">
        <v>250</v>
      </c>
      <c r="W41" s="3">
        <f t="shared" si="7"/>
        <v>700</v>
      </c>
      <c r="X41" s="3">
        <v>400</v>
      </c>
      <c r="Y41" s="3">
        <f t="shared" si="9"/>
        <v>10</v>
      </c>
      <c r="Z41" s="1">
        <v>0</v>
      </c>
      <c r="AA41" s="3">
        <v>0</v>
      </c>
      <c r="AB41" s="8" t="s">
        <v>189</v>
      </c>
      <c r="AC41" s="3">
        <v>50</v>
      </c>
      <c r="AD41" s="1" t="s">
        <v>192</v>
      </c>
      <c r="AE41" s="1" t="s">
        <v>193</v>
      </c>
    </row>
    <row r="42" spans="1:31">
      <c r="A42" s="1">
        <v>280013</v>
      </c>
      <c r="B42" s="1">
        <v>320007</v>
      </c>
      <c r="C42" s="2">
        <v>28001</v>
      </c>
      <c r="D42" s="2">
        <v>30</v>
      </c>
      <c r="E42" s="1" t="s">
        <v>194</v>
      </c>
      <c r="F42" s="1">
        <v>1</v>
      </c>
      <c r="G42" s="1" t="s">
        <v>195</v>
      </c>
      <c r="H42" s="1" t="s">
        <v>195</v>
      </c>
      <c r="I42" s="3">
        <v>1.3</v>
      </c>
      <c r="J42" s="3">
        <v>1</v>
      </c>
      <c r="K42" s="4" t="s">
        <v>187</v>
      </c>
      <c r="L42" s="1" t="s">
        <v>74</v>
      </c>
      <c r="M42" s="1">
        <v>0</v>
      </c>
      <c r="N42" s="1">
        <v>0</v>
      </c>
      <c r="O42" s="4">
        <f t="shared" si="8"/>
        <v>2</v>
      </c>
      <c r="P42" s="1">
        <v>120</v>
      </c>
      <c r="Q42" s="1">
        <v>24</v>
      </c>
      <c r="R42" s="1">
        <v>12</v>
      </c>
      <c r="S42" s="1">
        <v>24</v>
      </c>
      <c r="T42" s="1">
        <v>12</v>
      </c>
      <c r="U42" s="1">
        <v>4</v>
      </c>
      <c r="V42" s="3">
        <v>250</v>
      </c>
      <c r="W42" s="3">
        <f t="shared" si="7"/>
        <v>700</v>
      </c>
      <c r="X42" s="3">
        <v>400</v>
      </c>
      <c r="Y42" s="3">
        <f t="shared" si="9"/>
        <v>10</v>
      </c>
      <c r="Z42" s="1">
        <v>0</v>
      </c>
      <c r="AA42" s="3">
        <v>0</v>
      </c>
      <c r="AB42" s="8" t="s">
        <v>189</v>
      </c>
      <c r="AC42" s="3">
        <v>50</v>
      </c>
      <c r="AD42" s="1" t="s">
        <v>196</v>
      </c>
      <c r="AE42" s="1" t="s">
        <v>197</v>
      </c>
    </row>
    <row r="43" spans="1:31">
      <c r="A43" s="1">
        <v>310011</v>
      </c>
      <c r="B43" s="1">
        <v>130001</v>
      </c>
      <c r="C43" s="2">
        <v>31001</v>
      </c>
      <c r="D43" s="2">
        <v>1</v>
      </c>
      <c r="E43" s="1" t="s">
        <v>63</v>
      </c>
      <c r="F43" s="1">
        <v>1</v>
      </c>
      <c r="G43" s="1" t="s">
        <v>198</v>
      </c>
      <c r="H43" s="1" t="s">
        <v>198</v>
      </c>
      <c r="I43" s="3">
        <v>1.3</v>
      </c>
      <c r="J43" s="3">
        <v>1</v>
      </c>
      <c r="K43" s="4" t="s">
        <v>65</v>
      </c>
      <c r="L43" s="1" t="s">
        <v>65</v>
      </c>
      <c r="M43" s="1">
        <v>0</v>
      </c>
      <c r="N43" s="1" t="s">
        <v>199</v>
      </c>
      <c r="O43" s="4">
        <f t="shared" si="8"/>
        <v>2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250</v>
      </c>
      <c r="W43" s="3">
        <f t="shared" si="7"/>
        <v>700</v>
      </c>
      <c r="X43" s="3">
        <v>400</v>
      </c>
      <c r="Y43" s="3">
        <f t="shared" si="9"/>
        <v>10</v>
      </c>
      <c r="Z43" s="1" t="s">
        <v>143</v>
      </c>
      <c r="AA43" s="3">
        <v>2300011</v>
      </c>
      <c r="AB43" s="8" t="s">
        <v>200</v>
      </c>
      <c r="AC43" s="3">
        <v>50</v>
      </c>
      <c r="AD43" s="1">
        <v>0</v>
      </c>
      <c r="AE43" s="1">
        <v>0</v>
      </c>
    </row>
    <row r="44" spans="1:31">
      <c r="A44" s="1">
        <v>310012</v>
      </c>
      <c r="B44" s="1">
        <v>231001</v>
      </c>
      <c r="C44" s="2">
        <v>31001</v>
      </c>
      <c r="D44" s="2">
        <v>20</v>
      </c>
      <c r="E44" s="1" t="s">
        <v>201</v>
      </c>
      <c r="F44" s="1">
        <v>1</v>
      </c>
      <c r="G44" s="1" t="s">
        <v>202</v>
      </c>
      <c r="H44" s="1" t="s">
        <v>202</v>
      </c>
      <c r="I44" s="3">
        <v>1.3</v>
      </c>
      <c r="J44" s="3">
        <v>1</v>
      </c>
      <c r="K44" s="4" t="s">
        <v>65</v>
      </c>
      <c r="L44" s="1" t="s">
        <v>70</v>
      </c>
      <c r="M44" s="1">
        <v>0</v>
      </c>
      <c r="N44" s="1">
        <v>331001</v>
      </c>
      <c r="O44" s="4">
        <f t="shared" si="8"/>
        <v>2</v>
      </c>
      <c r="P44" s="1">
        <v>80</v>
      </c>
      <c r="Q44" s="1">
        <v>16</v>
      </c>
      <c r="R44" s="1">
        <v>8</v>
      </c>
      <c r="S44" s="1">
        <v>16</v>
      </c>
      <c r="T44" s="1">
        <v>8</v>
      </c>
      <c r="U44" s="1">
        <v>3</v>
      </c>
      <c r="V44" s="3">
        <v>250</v>
      </c>
      <c r="W44" s="3">
        <f t="shared" si="7"/>
        <v>700</v>
      </c>
      <c r="X44" s="3">
        <v>400</v>
      </c>
      <c r="Y44" s="3">
        <f t="shared" si="9"/>
        <v>10</v>
      </c>
      <c r="Z44" s="1">
        <v>0</v>
      </c>
      <c r="AA44" s="3">
        <v>0</v>
      </c>
      <c r="AB44" s="8" t="s">
        <v>200</v>
      </c>
      <c r="AC44" s="3">
        <v>50</v>
      </c>
      <c r="AD44" s="1" t="s">
        <v>203</v>
      </c>
      <c r="AE44" s="1">
        <v>2300021</v>
      </c>
    </row>
    <row r="45" spans="1:31">
      <c r="A45" s="1">
        <v>310013</v>
      </c>
      <c r="B45" s="1">
        <v>331001</v>
      </c>
      <c r="C45" s="2">
        <v>31001</v>
      </c>
      <c r="D45" s="2">
        <v>30</v>
      </c>
      <c r="E45" s="1" t="s">
        <v>204</v>
      </c>
      <c r="F45" s="1">
        <v>1</v>
      </c>
      <c r="G45" s="1" t="s">
        <v>205</v>
      </c>
      <c r="H45" s="1" t="s">
        <v>205</v>
      </c>
      <c r="I45" s="3">
        <v>1.3</v>
      </c>
      <c r="J45" s="3">
        <v>1</v>
      </c>
      <c r="K45" s="4" t="s">
        <v>65</v>
      </c>
      <c r="L45" s="1" t="s">
        <v>74</v>
      </c>
      <c r="M45" s="1">
        <v>0</v>
      </c>
      <c r="N45" s="1">
        <v>0</v>
      </c>
      <c r="O45" s="4">
        <f t="shared" si="8"/>
        <v>2</v>
      </c>
      <c r="P45" s="1">
        <v>120</v>
      </c>
      <c r="Q45" s="1">
        <v>24</v>
      </c>
      <c r="R45" s="1">
        <v>12</v>
      </c>
      <c r="S45" s="1">
        <v>24</v>
      </c>
      <c r="T45" s="1">
        <v>12</v>
      </c>
      <c r="U45" s="1">
        <v>4</v>
      </c>
      <c r="V45" s="3">
        <v>250</v>
      </c>
      <c r="W45" s="3">
        <f t="shared" si="7"/>
        <v>700</v>
      </c>
      <c r="X45" s="3">
        <v>400</v>
      </c>
      <c r="Y45" s="3">
        <f t="shared" si="9"/>
        <v>10</v>
      </c>
      <c r="Z45" s="1">
        <v>0</v>
      </c>
      <c r="AA45" s="3">
        <v>0</v>
      </c>
      <c r="AB45" s="8" t="s">
        <v>200</v>
      </c>
      <c r="AC45" s="3">
        <v>50</v>
      </c>
      <c r="AD45" s="1">
        <v>261001</v>
      </c>
      <c r="AE45" s="1">
        <v>2300041</v>
      </c>
    </row>
    <row r="46" spans="1:31">
      <c r="A46" s="1">
        <v>310014</v>
      </c>
      <c r="B46" s="1">
        <v>232001</v>
      </c>
      <c r="C46" s="2">
        <v>31001</v>
      </c>
      <c r="D46" s="2">
        <v>20</v>
      </c>
      <c r="E46" s="1" t="s">
        <v>81</v>
      </c>
      <c r="F46" s="1">
        <v>1</v>
      </c>
      <c r="G46" s="1" t="s">
        <v>206</v>
      </c>
      <c r="H46" s="1" t="s">
        <v>206</v>
      </c>
      <c r="I46" s="3">
        <v>1.3</v>
      </c>
      <c r="J46" s="3">
        <v>1</v>
      </c>
      <c r="K46" s="4" t="s">
        <v>70</v>
      </c>
      <c r="L46" s="1" t="s">
        <v>70</v>
      </c>
      <c r="M46" s="1">
        <v>0</v>
      </c>
      <c r="N46" s="1">
        <v>332001</v>
      </c>
      <c r="O46" s="4">
        <f t="shared" si="8"/>
        <v>2</v>
      </c>
      <c r="P46" s="1">
        <v>80</v>
      </c>
      <c r="Q46" s="1">
        <v>16</v>
      </c>
      <c r="R46" s="1">
        <v>8</v>
      </c>
      <c r="S46" s="1">
        <v>16</v>
      </c>
      <c r="T46" s="1">
        <v>8</v>
      </c>
      <c r="U46" s="1">
        <v>3</v>
      </c>
      <c r="V46" s="3">
        <v>250</v>
      </c>
      <c r="W46" s="3">
        <f t="shared" si="7"/>
        <v>700</v>
      </c>
      <c r="X46" s="3">
        <v>400</v>
      </c>
      <c r="Y46" s="3">
        <f t="shared" si="9"/>
        <v>10</v>
      </c>
      <c r="Z46" s="1">
        <v>0</v>
      </c>
      <c r="AA46" s="3">
        <v>0</v>
      </c>
      <c r="AB46" s="8" t="s">
        <v>200</v>
      </c>
      <c r="AC46" s="3">
        <v>50</v>
      </c>
      <c r="AD46" s="1">
        <v>351001</v>
      </c>
      <c r="AE46" s="1">
        <v>2300031</v>
      </c>
    </row>
    <row r="47" spans="1:31">
      <c r="A47" s="1">
        <v>310015</v>
      </c>
      <c r="B47" s="1">
        <v>332001</v>
      </c>
      <c r="C47" s="2">
        <v>31001</v>
      </c>
      <c r="D47" s="2">
        <v>30</v>
      </c>
      <c r="E47" s="1" t="s">
        <v>207</v>
      </c>
      <c r="F47" s="1">
        <v>1</v>
      </c>
      <c r="G47" s="1" t="s">
        <v>208</v>
      </c>
      <c r="H47" s="1" t="s">
        <v>208</v>
      </c>
      <c r="I47" s="3">
        <v>1.3</v>
      </c>
      <c r="J47" s="3">
        <v>1</v>
      </c>
      <c r="K47" s="4" t="s">
        <v>70</v>
      </c>
      <c r="L47" s="1" t="s">
        <v>74</v>
      </c>
      <c r="M47" s="1">
        <v>0</v>
      </c>
      <c r="N47" s="1">
        <v>0</v>
      </c>
      <c r="O47" s="4">
        <f t="shared" si="8"/>
        <v>2</v>
      </c>
      <c r="P47" s="1">
        <v>120</v>
      </c>
      <c r="Q47" s="1">
        <v>24</v>
      </c>
      <c r="R47" s="1">
        <v>12</v>
      </c>
      <c r="S47" s="1">
        <v>24</v>
      </c>
      <c r="T47" s="1">
        <v>12</v>
      </c>
      <c r="U47" s="1">
        <v>4</v>
      </c>
      <c r="V47" s="3">
        <v>250</v>
      </c>
      <c r="W47" s="3">
        <f t="shared" si="7"/>
        <v>700</v>
      </c>
      <c r="X47" s="3">
        <v>400</v>
      </c>
      <c r="Y47" s="3">
        <f t="shared" si="9"/>
        <v>10</v>
      </c>
      <c r="Z47" s="1">
        <v>0</v>
      </c>
      <c r="AA47" s="3">
        <v>0</v>
      </c>
      <c r="AB47" s="8" t="s">
        <v>200</v>
      </c>
      <c r="AC47" s="3">
        <v>50</v>
      </c>
      <c r="AD47" s="1">
        <v>161002</v>
      </c>
      <c r="AE47" s="1">
        <v>2300051</v>
      </c>
    </row>
    <row r="48" spans="1:31">
      <c r="A48" s="1">
        <v>310021</v>
      </c>
      <c r="B48" s="1">
        <v>130002</v>
      </c>
      <c r="C48" s="2">
        <v>31002</v>
      </c>
      <c r="D48" s="2">
        <v>1</v>
      </c>
      <c r="E48" s="1" t="s">
        <v>77</v>
      </c>
      <c r="F48" s="1">
        <v>1</v>
      </c>
      <c r="G48" s="1" t="s">
        <v>209</v>
      </c>
      <c r="H48" s="1" t="s">
        <v>209</v>
      </c>
      <c r="I48" s="3">
        <v>1.3</v>
      </c>
      <c r="J48" s="3">
        <v>1</v>
      </c>
      <c r="K48" s="4" t="s">
        <v>70</v>
      </c>
      <c r="L48" s="1" t="s">
        <v>65</v>
      </c>
      <c r="M48" s="1">
        <v>0</v>
      </c>
      <c r="N48" s="1" t="s">
        <v>210</v>
      </c>
      <c r="O48" s="4">
        <f t="shared" si="8"/>
        <v>2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250</v>
      </c>
      <c r="W48" s="3">
        <f t="shared" si="7"/>
        <v>700</v>
      </c>
      <c r="X48" s="3">
        <v>400</v>
      </c>
      <c r="Y48" s="3">
        <f>_xlfn.IFS(V410&lt;=400,10,V410&gt;400,12)</f>
        <v>10</v>
      </c>
      <c r="Z48" s="1" t="s">
        <v>143</v>
      </c>
      <c r="AA48" s="3">
        <v>2300061</v>
      </c>
      <c r="AB48" s="8" t="s">
        <v>211</v>
      </c>
      <c r="AC48" s="3">
        <v>50</v>
      </c>
      <c r="AD48" s="1">
        <v>0</v>
      </c>
      <c r="AE48" s="1">
        <v>0</v>
      </c>
    </row>
    <row r="49" spans="1:31">
      <c r="A49" s="1">
        <v>310022</v>
      </c>
      <c r="B49" s="1">
        <v>231002</v>
      </c>
      <c r="C49" s="2">
        <v>31002</v>
      </c>
      <c r="D49" s="2">
        <v>20</v>
      </c>
      <c r="E49" s="1" t="s">
        <v>81</v>
      </c>
      <c r="F49" s="1">
        <v>1</v>
      </c>
      <c r="G49" s="1" t="s">
        <v>212</v>
      </c>
      <c r="H49" s="1" t="s">
        <v>212</v>
      </c>
      <c r="I49" s="3">
        <v>1.3</v>
      </c>
      <c r="J49" s="3">
        <v>1</v>
      </c>
      <c r="K49" s="4" t="s">
        <v>70</v>
      </c>
      <c r="L49" s="1" t="s">
        <v>70</v>
      </c>
      <c r="M49" s="1">
        <v>0</v>
      </c>
      <c r="N49" s="1">
        <v>331002</v>
      </c>
      <c r="O49" s="4">
        <f t="shared" si="8"/>
        <v>2</v>
      </c>
      <c r="P49" s="1">
        <v>80</v>
      </c>
      <c r="Q49" s="1">
        <v>16</v>
      </c>
      <c r="R49" s="1">
        <v>8</v>
      </c>
      <c r="S49" s="1">
        <v>16</v>
      </c>
      <c r="T49" s="1">
        <v>8</v>
      </c>
      <c r="U49" s="1">
        <v>3</v>
      </c>
      <c r="V49" s="3">
        <v>250</v>
      </c>
      <c r="W49" s="3">
        <f t="shared" si="7"/>
        <v>700</v>
      </c>
      <c r="X49" s="3">
        <v>400</v>
      </c>
      <c r="Y49" s="3">
        <f t="shared" ref="Y49:Y57" si="10">_xlfn.IFS(V49&lt;=400,10,V49&gt;400,12)</f>
        <v>10</v>
      </c>
      <c r="Z49" s="1">
        <v>0</v>
      </c>
      <c r="AA49" s="3">
        <v>0</v>
      </c>
      <c r="AB49" s="8" t="s">
        <v>211</v>
      </c>
      <c r="AC49" s="3">
        <v>50</v>
      </c>
      <c r="AD49" s="1" t="s">
        <v>146</v>
      </c>
      <c r="AE49" s="1">
        <v>2300071</v>
      </c>
    </row>
    <row r="50" spans="1:31">
      <c r="A50" s="1">
        <v>310023</v>
      </c>
      <c r="B50" s="1">
        <v>331002</v>
      </c>
      <c r="C50" s="2">
        <v>31002</v>
      </c>
      <c r="D50" s="2">
        <v>30</v>
      </c>
      <c r="E50" s="1" t="s">
        <v>213</v>
      </c>
      <c r="F50" s="1">
        <v>1</v>
      </c>
      <c r="G50" s="1" t="s">
        <v>214</v>
      </c>
      <c r="H50" s="1" t="s">
        <v>214</v>
      </c>
      <c r="I50" s="3">
        <v>1.3</v>
      </c>
      <c r="J50" s="3">
        <v>1</v>
      </c>
      <c r="K50" s="4" t="s">
        <v>70</v>
      </c>
      <c r="L50" s="1" t="s">
        <v>74</v>
      </c>
      <c r="M50" s="1">
        <v>0</v>
      </c>
      <c r="N50" s="1">
        <v>0</v>
      </c>
      <c r="O50" s="4">
        <f t="shared" si="8"/>
        <v>2</v>
      </c>
      <c r="P50" s="1">
        <v>120</v>
      </c>
      <c r="Q50" s="1">
        <v>24</v>
      </c>
      <c r="R50" s="1">
        <v>12</v>
      </c>
      <c r="S50" s="1">
        <v>24</v>
      </c>
      <c r="T50" s="1">
        <v>12</v>
      </c>
      <c r="U50" s="1">
        <v>4</v>
      </c>
      <c r="V50" s="3">
        <v>250</v>
      </c>
      <c r="W50" s="3">
        <f t="shared" si="7"/>
        <v>700</v>
      </c>
      <c r="X50" s="3">
        <v>400</v>
      </c>
      <c r="Y50" s="3">
        <f t="shared" si="10"/>
        <v>10</v>
      </c>
      <c r="Z50" s="1">
        <v>0</v>
      </c>
      <c r="AA50" s="3">
        <v>0</v>
      </c>
      <c r="AB50" s="8" t="s">
        <v>211</v>
      </c>
      <c r="AC50" s="3">
        <v>50</v>
      </c>
      <c r="AD50" s="1">
        <v>261001</v>
      </c>
      <c r="AE50" s="1">
        <v>2300091</v>
      </c>
    </row>
    <row r="51" spans="1:31">
      <c r="A51" s="1">
        <v>310024</v>
      </c>
      <c r="B51" s="1">
        <v>232002</v>
      </c>
      <c r="C51" s="2">
        <v>31002</v>
      </c>
      <c r="D51" s="2">
        <v>20</v>
      </c>
      <c r="E51" s="1" t="s">
        <v>215</v>
      </c>
      <c r="F51" s="1">
        <v>1</v>
      </c>
      <c r="G51" s="1" t="s">
        <v>216</v>
      </c>
      <c r="H51" s="1" t="s">
        <v>216</v>
      </c>
      <c r="I51" s="3">
        <v>1.3</v>
      </c>
      <c r="J51" s="3">
        <v>1</v>
      </c>
      <c r="K51" s="4" t="s">
        <v>70</v>
      </c>
      <c r="L51" s="1" t="s">
        <v>70</v>
      </c>
      <c r="M51" s="1">
        <v>0</v>
      </c>
      <c r="N51" s="1">
        <v>332002</v>
      </c>
      <c r="O51" s="4">
        <f t="shared" si="8"/>
        <v>2</v>
      </c>
      <c r="P51" s="1">
        <v>80</v>
      </c>
      <c r="Q51" s="1">
        <v>16</v>
      </c>
      <c r="R51" s="1">
        <v>8</v>
      </c>
      <c r="S51" s="1">
        <v>16</v>
      </c>
      <c r="T51" s="1">
        <v>8</v>
      </c>
      <c r="U51" s="1">
        <v>3</v>
      </c>
      <c r="V51" s="3">
        <v>250</v>
      </c>
      <c r="W51" s="3">
        <f t="shared" si="7"/>
        <v>700</v>
      </c>
      <c r="X51" s="3">
        <v>400</v>
      </c>
      <c r="Y51" s="3">
        <f t="shared" si="10"/>
        <v>10</v>
      </c>
      <c r="Z51" s="1">
        <v>0</v>
      </c>
      <c r="AA51" s="3">
        <v>0</v>
      </c>
      <c r="AB51" s="8" t="s">
        <v>211</v>
      </c>
      <c r="AC51" s="3">
        <v>50</v>
      </c>
      <c r="AD51" s="1">
        <v>151001</v>
      </c>
      <c r="AE51" s="1">
        <v>2300081</v>
      </c>
    </row>
    <row r="52" spans="1:31">
      <c r="A52" s="1">
        <v>310025</v>
      </c>
      <c r="B52" s="1">
        <v>332002</v>
      </c>
      <c r="C52" s="2">
        <v>31002</v>
      </c>
      <c r="D52" s="2">
        <v>30</v>
      </c>
      <c r="E52" s="1" t="s">
        <v>217</v>
      </c>
      <c r="F52" s="1">
        <v>1</v>
      </c>
      <c r="G52" s="1" t="s">
        <v>218</v>
      </c>
      <c r="H52" s="1" t="s">
        <v>218</v>
      </c>
      <c r="I52" s="3">
        <v>1.3</v>
      </c>
      <c r="J52" s="3">
        <v>1</v>
      </c>
      <c r="K52" s="4" t="s">
        <v>70</v>
      </c>
      <c r="L52" s="1" t="s">
        <v>74</v>
      </c>
      <c r="M52" s="1">
        <v>0</v>
      </c>
      <c r="N52" s="1">
        <v>0</v>
      </c>
      <c r="O52" s="4">
        <f t="shared" si="8"/>
        <v>2</v>
      </c>
      <c r="P52" s="1">
        <v>120</v>
      </c>
      <c r="Q52" s="1">
        <v>24</v>
      </c>
      <c r="R52" s="1">
        <v>12</v>
      </c>
      <c r="S52" s="1">
        <v>24</v>
      </c>
      <c r="T52" s="1">
        <v>12</v>
      </c>
      <c r="U52" s="1">
        <v>4</v>
      </c>
      <c r="V52" s="3">
        <v>250</v>
      </c>
      <c r="W52" s="3">
        <f t="shared" si="7"/>
        <v>700</v>
      </c>
      <c r="X52" s="3">
        <v>400</v>
      </c>
      <c r="Y52" s="3">
        <f t="shared" si="10"/>
        <v>10</v>
      </c>
      <c r="Z52" s="1">
        <v>0</v>
      </c>
      <c r="AA52" s="3">
        <v>0</v>
      </c>
      <c r="AB52" s="8" t="s">
        <v>211</v>
      </c>
      <c r="AC52" s="3">
        <v>50</v>
      </c>
      <c r="AD52" s="1">
        <v>161002</v>
      </c>
      <c r="AE52" s="1">
        <v>2300101</v>
      </c>
    </row>
    <row r="53" spans="1:31">
      <c r="A53" s="1">
        <v>320011</v>
      </c>
      <c r="B53" s="1">
        <v>130003</v>
      </c>
      <c r="C53" s="2">
        <v>32001</v>
      </c>
      <c r="D53" s="2">
        <v>1</v>
      </c>
      <c r="E53" s="1" t="s">
        <v>88</v>
      </c>
      <c r="F53" s="1">
        <v>2</v>
      </c>
      <c r="G53" s="1" t="s">
        <v>219</v>
      </c>
      <c r="H53" s="1" t="s">
        <v>219</v>
      </c>
      <c r="I53" s="3">
        <v>1.3</v>
      </c>
      <c r="J53" s="3">
        <v>1</v>
      </c>
      <c r="K53" s="4" t="s">
        <v>74</v>
      </c>
      <c r="L53" s="1" t="s">
        <v>65</v>
      </c>
      <c r="M53" s="1">
        <v>0</v>
      </c>
      <c r="N53" s="1" t="s">
        <v>220</v>
      </c>
      <c r="O53" s="4">
        <f t="shared" si="8"/>
        <v>1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f>IF(F53=1,150,1200)</f>
        <v>1200</v>
      </c>
      <c r="W53" s="3">
        <f t="shared" si="7"/>
        <v>1300</v>
      </c>
      <c r="X53" s="3">
        <v>400</v>
      </c>
      <c r="Y53" s="3">
        <f t="shared" si="10"/>
        <v>12</v>
      </c>
      <c r="Z53" s="1" t="s">
        <v>90</v>
      </c>
      <c r="AA53" s="3">
        <v>2300111</v>
      </c>
      <c r="AB53" s="8" t="s">
        <v>221</v>
      </c>
      <c r="AC53" s="3">
        <v>50</v>
      </c>
      <c r="AD53" s="1">
        <v>0</v>
      </c>
      <c r="AE53" s="1">
        <v>0</v>
      </c>
    </row>
    <row r="54" spans="1:31">
      <c r="A54" s="1">
        <v>320012</v>
      </c>
      <c r="B54" s="1">
        <v>231003</v>
      </c>
      <c r="C54" s="2">
        <v>32001</v>
      </c>
      <c r="D54" s="2">
        <v>20</v>
      </c>
      <c r="E54" s="1" t="s">
        <v>92</v>
      </c>
      <c r="F54" s="1">
        <v>2</v>
      </c>
      <c r="G54" s="1" t="s">
        <v>222</v>
      </c>
      <c r="H54" s="1" t="s">
        <v>222</v>
      </c>
      <c r="I54" s="3">
        <v>1.3</v>
      </c>
      <c r="J54" s="3">
        <v>1</v>
      </c>
      <c r="K54" s="4" t="s">
        <v>74</v>
      </c>
      <c r="L54" s="1" t="s">
        <v>70</v>
      </c>
      <c r="M54" s="1">
        <v>0</v>
      </c>
      <c r="N54" s="1">
        <v>331003</v>
      </c>
      <c r="O54" s="4">
        <f t="shared" si="8"/>
        <v>1</v>
      </c>
      <c r="P54" s="1">
        <v>80</v>
      </c>
      <c r="Q54" s="1">
        <v>16</v>
      </c>
      <c r="R54" s="1">
        <v>8</v>
      </c>
      <c r="S54" s="1">
        <v>16</v>
      </c>
      <c r="T54" s="1">
        <v>8</v>
      </c>
      <c r="U54" s="1">
        <v>3</v>
      </c>
      <c r="V54" s="3">
        <f>IF(F54=1,150,1200)</f>
        <v>1200</v>
      </c>
      <c r="W54" s="3">
        <f t="shared" si="7"/>
        <v>1300</v>
      </c>
      <c r="X54" s="3">
        <v>400</v>
      </c>
      <c r="Y54" s="3">
        <f t="shared" si="10"/>
        <v>12</v>
      </c>
      <c r="Z54" s="1">
        <v>0</v>
      </c>
      <c r="AA54" s="3">
        <v>0</v>
      </c>
      <c r="AB54" s="8" t="s">
        <v>221</v>
      </c>
      <c r="AC54" s="3">
        <v>50</v>
      </c>
      <c r="AD54" s="1" t="s">
        <v>154</v>
      </c>
      <c r="AE54" s="1">
        <v>2300121</v>
      </c>
    </row>
    <row r="55" spans="1:31">
      <c r="A55" s="1">
        <v>320013</v>
      </c>
      <c r="B55" s="1">
        <v>331003</v>
      </c>
      <c r="C55" s="2">
        <v>32001</v>
      </c>
      <c r="D55" s="2">
        <v>30</v>
      </c>
      <c r="E55" s="1" t="s">
        <v>223</v>
      </c>
      <c r="F55" s="1">
        <v>2</v>
      </c>
      <c r="G55" s="1" t="s">
        <v>224</v>
      </c>
      <c r="H55" s="1" t="s">
        <v>224</v>
      </c>
      <c r="I55" s="3">
        <v>1.3</v>
      </c>
      <c r="J55" s="3">
        <v>1</v>
      </c>
      <c r="K55" s="4" t="s">
        <v>74</v>
      </c>
      <c r="L55" s="1" t="s">
        <v>74</v>
      </c>
      <c r="M55" s="1">
        <v>0</v>
      </c>
      <c r="N55" s="1">
        <v>0</v>
      </c>
      <c r="O55" s="4">
        <f t="shared" si="8"/>
        <v>1</v>
      </c>
      <c r="P55" s="1">
        <v>120</v>
      </c>
      <c r="Q55" s="1">
        <v>24</v>
      </c>
      <c r="R55" s="1">
        <v>12</v>
      </c>
      <c r="S55" s="1">
        <v>24</v>
      </c>
      <c r="T55" s="1">
        <v>12</v>
      </c>
      <c r="U55" s="1">
        <v>4</v>
      </c>
      <c r="V55" s="3">
        <f>IF(F55=1,150,1200)</f>
        <v>1200</v>
      </c>
      <c r="W55" s="3">
        <f t="shared" si="7"/>
        <v>1300</v>
      </c>
      <c r="X55" s="3">
        <v>400</v>
      </c>
      <c r="Y55" s="3">
        <f t="shared" si="10"/>
        <v>12</v>
      </c>
      <c r="Z55" s="1">
        <v>0</v>
      </c>
      <c r="AA55" s="3">
        <v>0</v>
      </c>
      <c r="AB55" s="8" t="s">
        <v>221</v>
      </c>
      <c r="AC55" s="3">
        <v>50</v>
      </c>
      <c r="AD55" s="1">
        <v>361001</v>
      </c>
      <c r="AE55" s="1">
        <v>2300141</v>
      </c>
    </row>
    <row r="56" spans="1:31">
      <c r="A56" s="1">
        <v>320014</v>
      </c>
      <c r="B56" s="1">
        <v>232003</v>
      </c>
      <c r="C56" s="2">
        <v>32001</v>
      </c>
      <c r="D56" s="2">
        <v>20</v>
      </c>
      <c r="E56" s="1" t="s">
        <v>225</v>
      </c>
      <c r="F56" s="1">
        <v>2</v>
      </c>
      <c r="G56" s="1" t="s">
        <v>226</v>
      </c>
      <c r="H56" s="1" t="s">
        <v>226</v>
      </c>
      <c r="I56" s="3">
        <v>1.3</v>
      </c>
      <c r="J56" s="3">
        <v>1</v>
      </c>
      <c r="K56" s="4" t="s">
        <v>74</v>
      </c>
      <c r="L56" s="1" t="s">
        <v>70</v>
      </c>
      <c r="M56" s="1">
        <v>0</v>
      </c>
      <c r="N56" s="1">
        <v>332003</v>
      </c>
      <c r="O56" s="4">
        <f t="shared" si="8"/>
        <v>1</v>
      </c>
      <c r="P56" s="1">
        <v>80</v>
      </c>
      <c r="Q56" s="1">
        <v>16</v>
      </c>
      <c r="R56" s="1">
        <v>8</v>
      </c>
      <c r="S56" s="1">
        <v>16</v>
      </c>
      <c r="T56" s="1">
        <v>8</v>
      </c>
      <c r="U56" s="1">
        <v>3</v>
      </c>
      <c r="V56" s="3">
        <f>IF(F56=1,150,1200)</f>
        <v>1200</v>
      </c>
      <c r="W56" s="3">
        <f t="shared" si="7"/>
        <v>1300</v>
      </c>
      <c r="X56" s="3">
        <v>400</v>
      </c>
      <c r="Y56" s="3">
        <f t="shared" si="10"/>
        <v>12</v>
      </c>
      <c r="Z56" s="1">
        <v>0</v>
      </c>
      <c r="AA56" s="3">
        <v>0</v>
      </c>
      <c r="AB56" s="8" t="s">
        <v>221</v>
      </c>
      <c r="AC56" s="3">
        <v>50</v>
      </c>
      <c r="AD56" s="1">
        <v>751002</v>
      </c>
      <c r="AE56" s="1">
        <v>2300131</v>
      </c>
    </row>
    <row r="57" spans="1:31">
      <c r="A57" s="1">
        <v>320015</v>
      </c>
      <c r="B57" s="1">
        <v>332003</v>
      </c>
      <c r="C57" s="2">
        <v>32001</v>
      </c>
      <c r="D57" s="2">
        <v>30</v>
      </c>
      <c r="E57" s="1" t="s">
        <v>227</v>
      </c>
      <c r="F57" s="1">
        <v>2</v>
      </c>
      <c r="G57" s="1" t="s">
        <v>228</v>
      </c>
      <c r="H57" s="1" t="s">
        <v>228</v>
      </c>
      <c r="I57" s="3">
        <v>1.3</v>
      </c>
      <c r="J57" s="3">
        <v>1</v>
      </c>
      <c r="K57" s="4" t="s">
        <v>74</v>
      </c>
      <c r="L57" s="1" t="s">
        <v>74</v>
      </c>
      <c r="M57" s="1">
        <v>0</v>
      </c>
      <c r="N57" s="1">
        <v>0</v>
      </c>
      <c r="O57" s="4">
        <f t="shared" si="8"/>
        <v>1</v>
      </c>
      <c r="P57" s="1">
        <v>120</v>
      </c>
      <c r="Q57" s="1">
        <v>24</v>
      </c>
      <c r="R57" s="1">
        <v>12</v>
      </c>
      <c r="S57" s="1">
        <v>24</v>
      </c>
      <c r="T57" s="1">
        <v>12</v>
      </c>
      <c r="U57" s="1">
        <v>4</v>
      </c>
      <c r="V57" s="3">
        <f>IF(F57=1,150,1200)</f>
        <v>1200</v>
      </c>
      <c r="W57" s="3">
        <f t="shared" si="7"/>
        <v>1300</v>
      </c>
      <c r="X57" s="3">
        <v>400</v>
      </c>
      <c r="Y57" s="3">
        <f t="shared" si="10"/>
        <v>12</v>
      </c>
      <c r="Z57" s="1">
        <v>0</v>
      </c>
      <c r="AA57" s="3">
        <v>0</v>
      </c>
      <c r="AB57" s="8" t="s">
        <v>221</v>
      </c>
      <c r="AC57" s="3">
        <v>50</v>
      </c>
      <c r="AD57" s="1">
        <v>361002</v>
      </c>
      <c r="AE57" s="1">
        <v>2300151</v>
      </c>
    </row>
    <row r="58" spans="1:31">
      <c r="A58" s="1">
        <v>330011</v>
      </c>
      <c r="B58" s="1">
        <v>130004</v>
      </c>
      <c r="C58" s="2">
        <v>33001</v>
      </c>
      <c r="D58" s="2">
        <v>1</v>
      </c>
      <c r="E58" s="1" t="s">
        <v>229</v>
      </c>
      <c r="F58" s="1">
        <v>1</v>
      </c>
      <c r="G58" s="1" t="s">
        <v>230</v>
      </c>
      <c r="H58" s="1" t="s">
        <v>230</v>
      </c>
      <c r="I58" s="3">
        <v>1.3</v>
      </c>
      <c r="J58" s="3">
        <v>1</v>
      </c>
      <c r="K58" s="4" t="s">
        <v>65</v>
      </c>
      <c r="L58" s="1" t="s">
        <v>65</v>
      </c>
      <c r="M58" s="1">
        <v>0</v>
      </c>
      <c r="N58" s="1" t="s">
        <v>231</v>
      </c>
      <c r="O58" s="4">
        <f t="shared" si="8"/>
        <v>2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250</v>
      </c>
      <c r="W58" s="3">
        <f t="shared" si="7"/>
        <v>700</v>
      </c>
      <c r="X58" s="3">
        <v>400</v>
      </c>
      <c r="Y58" s="3">
        <f>_xlfn.IFS(V510&lt;=400,10,V510&gt;400,12)</f>
        <v>10</v>
      </c>
      <c r="Z58" s="1" t="s">
        <v>143</v>
      </c>
      <c r="AA58" s="3">
        <v>2300161</v>
      </c>
      <c r="AB58" s="8" t="s">
        <v>232</v>
      </c>
      <c r="AC58" s="3">
        <v>50</v>
      </c>
      <c r="AD58" s="1">
        <v>0</v>
      </c>
      <c r="AE58" s="1">
        <v>0</v>
      </c>
    </row>
    <row r="59" spans="1:31">
      <c r="A59" s="1">
        <v>330012</v>
      </c>
      <c r="B59" s="1">
        <v>231004</v>
      </c>
      <c r="C59" s="2">
        <v>33001</v>
      </c>
      <c r="D59" s="2">
        <v>20</v>
      </c>
      <c r="E59" s="1" t="s">
        <v>233</v>
      </c>
      <c r="F59" s="1">
        <v>1</v>
      </c>
      <c r="G59" s="1" t="s">
        <v>234</v>
      </c>
      <c r="H59" s="1" t="s">
        <v>234</v>
      </c>
      <c r="I59" s="3">
        <v>1.3</v>
      </c>
      <c r="J59" s="3">
        <v>1</v>
      </c>
      <c r="K59" s="4" t="s">
        <v>65</v>
      </c>
      <c r="L59" s="1" t="s">
        <v>70</v>
      </c>
      <c r="M59" s="1">
        <v>0</v>
      </c>
      <c r="N59" s="1">
        <v>331004</v>
      </c>
      <c r="O59" s="4">
        <f t="shared" si="8"/>
        <v>2</v>
      </c>
      <c r="P59" s="1">
        <v>80</v>
      </c>
      <c r="Q59" s="1">
        <v>16</v>
      </c>
      <c r="R59" s="1">
        <v>8</v>
      </c>
      <c r="S59" s="1">
        <v>16</v>
      </c>
      <c r="T59" s="1">
        <v>8</v>
      </c>
      <c r="U59" s="1">
        <v>3</v>
      </c>
      <c r="V59" s="3">
        <v>250</v>
      </c>
      <c r="W59" s="3">
        <f t="shared" si="7"/>
        <v>700</v>
      </c>
      <c r="X59" s="3">
        <v>400</v>
      </c>
      <c r="Y59" s="3">
        <f t="shared" ref="Y59:Y67" si="11">_xlfn.IFS(V59&lt;=400,10,V59&gt;400,12)</f>
        <v>10</v>
      </c>
      <c r="Z59" s="1">
        <v>0</v>
      </c>
      <c r="AA59" s="3">
        <v>0</v>
      </c>
      <c r="AB59" s="8" t="s">
        <v>232</v>
      </c>
      <c r="AC59" s="3">
        <v>50</v>
      </c>
      <c r="AD59" s="1" t="s">
        <v>203</v>
      </c>
      <c r="AE59" s="1">
        <v>2300171</v>
      </c>
    </row>
    <row r="60" spans="1:31">
      <c r="A60" s="1">
        <v>330013</v>
      </c>
      <c r="B60" s="1">
        <v>331004</v>
      </c>
      <c r="C60" s="2">
        <v>33001</v>
      </c>
      <c r="D60" s="2">
        <v>30</v>
      </c>
      <c r="E60" s="1" t="s">
        <v>235</v>
      </c>
      <c r="F60" s="1">
        <v>1</v>
      </c>
      <c r="G60" s="1" t="s">
        <v>236</v>
      </c>
      <c r="H60" s="1" t="s">
        <v>236</v>
      </c>
      <c r="I60" s="3">
        <v>1.3</v>
      </c>
      <c r="J60" s="3">
        <v>1</v>
      </c>
      <c r="K60" s="4" t="s">
        <v>65</v>
      </c>
      <c r="L60" s="1" t="s">
        <v>74</v>
      </c>
      <c r="M60" s="1">
        <v>0</v>
      </c>
      <c r="N60" s="1">
        <v>0</v>
      </c>
      <c r="O60" s="4">
        <f t="shared" si="8"/>
        <v>2</v>
      </c>
      <c r="P60" s="1">
        <v>120</v>
      </c>
      <c r="Q60" s="1">
        <v>24</v>
      </c>
      <c r="R60" s="1">
        <v>12</v>
      </c>
      <c r="S60" s="1">
        <v>24</v>
      </c>
      <c r="T60" s="1">
        <v>12</v>
      </c>
      <c r="U60" s="1">
        <v>4</v>
      </c>
      <c r="V60" s="3">
        <v>250</v>
      </c>
      <c r="W60" s="3">
        <f t="shared" si="7"/>
        <v>700</v>
      </c>
      <c r="X60" s="3">
        <v>400</v>
      </c>
      <c r="Y60" s="3">
        <f t="shared" si="11"/>
        <v>10</v>
      </c>
      <c r="Z60" s="1">
        <v>0</v>
      </c>
      <c r="AA60" s="3">
        <v>0</v>
      </c>
      <c r="AB60" s="8" t="s">
        <v>232</v>
      </c>
      <c r="AC60" s="3">
        <v>50</v>
      </c>
      <c r="AD60" s="1">
        <v>261001</v>
      </c>
      <c r="AE60" s="1">
        <v>2300191</v>
      </c>
    </row>
    <row r="61" spans="1:31">
      <c r="A61" s="1">
        <v>330014</v>
      </c>
      <c r="B61" s="1">
        <v>232004</v>
      </c>
      <c r="C61" s="2">
        <v>33001</v>
      </c>
      <c r="D61" s="2">
        <v>20</v>
      </c>
      <c r="E61" s="1" t="s">
        <v>237</v>
      </c>
      <c r="F61" s="1">
        <v>1</v>
      </c>
      <c r="G61" s="1" t="s">
        <v>238</v>
      </c>
      <c r="H61" s="1" t="s">
        <v>238</v>
      </c>
      <c r="I61" s="3">
        <v>1.3</v>
      </c>
      <c r="J61" s="3">
        <v>1</v>
      </c>
      <c r="K61" s="4" t="s">
        <v>70</v>
      </c>
      <c r="L61" s="1" t="s">
        <v>70</v>
      </c>
      <c r="M61" s="1">
        <v>0</v>
      </c>
      <c r="N61" s="1">
        <v>332004</v>
      </c>
      <c r="O61" s="4">
        <f t="shared" si="8"/>
        <v>2</v>
      </c>
      <c r="P61" s="1">
        <v>80</v>
      </c>
      <c r="Q61" s="1">
        <v>16</v>
      </c>
      <c r="R61" s="1">
        <v>8</v>
      </c>
      <c r="S61" s="1">
        <v>16</v>
      </c>
      <c r="T61" s="1">
        <v>8</v>
      </c>
      <c r="U61" s="1">
        <v>3</v>
      </c>
      <c r="V61" s="3">
        <v>250</v>
      </c>
      <c r="W61" s="3">
        <f t="shared" si="7"/>
        <v>700</v>
      </c>
      <c r="X61" s="3">
        <v>400</v>
      </c>
      <c r="Y61" s="3">
        <f t="shared" si="11"/>
        <v>10</v>
      </c>
      <c r="Z61" s="1">
        <v>0</v>
      </c>
      <c r="AA61" s="3">
        <v>0</v>
      </c>
      <c r="AB61" s="8" t="s">
        <v>232</v>
      </c>
      <c r="AC61" s="3">
        <v>50</v>
      </c>
      <c r="AD61" s="1">
        <v>351001</v>
      </c>
      <c r="AE61" s="1">
        <v>2300181</v>
      </c>
    </row>
    <row r="62" spans="1:31">
      <c r="A62" s="1">
        <v>330015</v>
      </c>
      <c r="B62" s="1">
        <v>332004</v>
      </c>
      <c r="C62" s="2">
        <v>33001</v>
      </c>
      <c r="D62" s="2">
        <v>30</v>
      </c>
      <c r="E62" s="1" t="s">
        <v>239</v>
      </c>
      <c r="F62" s="1">
        <v>1</v>
      </c>
      <c r="G62" s="1" t="s">
        <v>240</v>
      </c>
      <c r="H62" s="1" t="s">
        <v>240</v>
      </c>
      <c r="I62" s="3">
        <v>1.3</v>
      </c>
      <c r="J62" s="3">
        <v>1</v>
      </c>
      <c r="K62" s="4" t="s">
        <v>70</v>
      </c>
      <c r="L62" s="1" t="s">
        <v>74</v>
      </c>
      <c r="M62" s="1">
        <v>0</v>
      </c>
      <c r="N62" s="1">
        <v>0</v>
      </c>
      <c r="O62" s="4">
        <f t="shared" si="8"/>
        <v>2</v>
      </c>
      <c r="P62" s="1">
        <v>120</v>
      </c>
      <c r="Q62" s="1">
        <v>24</v>
      </c>
      <c r="R62" s="1">
        <v>12</v>
      </c>
      <c r="S62" s="1">
        <v>24</v>
      </c>
      <c r="T62" s="1">
        <v>12</v>
      </c>
      <c r="U62" s="1">
        <v>4</v>
      </c>
      <c r="V62" s="3">
        <v>250</v>
      </c>
      <c r="W62" s="3">
        <f t="shared" si="7"/>
        <v>700</v>
      </c>
      <c r="X62" s="3">
        <v>400</v>
      </c>
      <c r="Y62" s="3">
        <f t="shared" si="11"/>
        <v>10</v>
      </c>
      <c r="Z62" s="1">
        <v>0</v>
      </c>
      <c r="AA62" s="3">
        <v>0</v>
      </c>
      <c r="AB62" s="8" t="s">
        <v>232</v>
      </c>
      <c r="AC62" s="3">
        <v>50</v>
      </c>
      <c r="AD62" s="1">
        <v>361001</v>
      </c>
      <c r="AE62" s="1">
        <v>2300201</v>
      </c>
    </row>
    <row r="63" spans="1:31">
      <c r="A63" s="1">
        <v>340011</v>
      </c>
      <c r="B63" s="1">
        <v>130005</v>
      </c>
      <c r="C63" s="2">
        <v>34001</v>
      </c>
      <c r="D63" s="2">
        <v>1</v>
      </c>
      <c r="E63" s="1" t="s">
        <v>99</v>
      </c>
      <c r="F63" s="1">
        <v>1</v>
      </c>
      <c r="G63" s="1" t="s">
        <v>241</v>
      </c>
      <c r="H63" s="1" t="s">
        <v>241</v>
      </c>
      <c r="I63" s="3">
        <v>1.3</v>
      </c>
      <c r="J63" s="3">
        <v>1</v>
      </c>
      <c r="K63" s="4" t="s">
        <v>101</v>
      </c>
      <c r="L63" s="1" t="s">
        <v>65</v>
      </c>
      <c r="M63" s="1">
        <v>0</v>
      </c>
      <c r="N63" s="1" t="s">
        <v>242</v>
      </c>
      <c r="O63" s="4">
        <f t="shared" si="8"/>
        <v>1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250</v>
      </c>
      <c r="W63" s="3">
        <f t="shared" si="7"/>
        <v>700</v>
      </c>
      <c r="X63" s="3">
        <v>400</v>
      </c>
      <c r="Y63" s="3">
        <f t="shared" si="11"/>
        <v>10</v>
      </c>
      <c r="Z63" s="1" t="s">
        <v>159</v>
      </c>
      <c r="AA63" s="3">
        <v>2300211</v>
      </c>
      <c r="AB63" s="8" t="s">
        <v>243</v>
      </c>
      <c r="AC63" s="3">
        <v>50</v>
      </c>
      <c r="AD63" s="1">
        <v>0</v>
      </c>
      <c r="AE63" s="1">
        <v>0</v>
      </c>
    </row>
    <row r="64" spans="1:31">
      <c r="A64" s="1">
        <v>340012</v>
      </c>
      <c r="B64" s="1">
        <v>231005</v>
      </c>
      <c r="C64" s="2">
        <v>34001</v>
      </c>
      <c r="D64" s="2">
        <v>20</v>
      </c>
      <c r="E64" s="1" t="s">
        <v>244</v>
      </c>
      <c r="F64" s="1">
        <v>1</v>
      </c>
      <c r="G64" s="1" t="s">
        <v>245</v>
      </c>
      <c r="H64" s="1" t="s">
        <v>245</v>
      </c>
      <c r="I64" s="3">
        <v>1.3</v>
      </c>
      <c r="J64" s="3">
        <v>1</v>
      </c>
      <c r="K64" s="4" t="s">
        <v>101</v>
      </c>
      <c r="L64" s="1" t="s">
        <v>70</v>
      </c>
      <c r="M64" s="1">
        <v>0</v>
      </c>
      <c r="N64" s="1">
        <v>331005</v>
      </c>
      <c r="O64" s="4">
        <f t="shared" si="8"/>
        <v>1</v>
      </c>
      <c r="P64" s="1">
        <v>80</v>
      </c>
      <c r="Q64" s="1">
        <v>16</v>
      </c>
      <c r="R64" s="1">
        <v>8</v>
      </c>
      <c r="S64" s="1">
        <v>16</v>
      </c>
      <c r="T64" s="1">
        <v>8</v>
      </c>
      <c r="U64" s="1">
        <v>3</v>
      </c>
      <c r="V64" s="3">
        <v>250</v>
      </c>
      <c r="W64" s="3">
        <f t="shared" si="7"/>
        <v>700</v>
      </c>
      <c r="X64" s="3">
        <v>400</v>
      </c>
      <c r="Y64" s="3">
        <f t="shared" si="11"/>
        <v>10</v>
      </c>
      <c r="Z64" s="1">
        <v>0</v>
      </c>
      <c r="AA64" s="3">
        <v>0</v>
      </c>
      <c r="AB64" s="8" t="s">
        <v>243</v>
      </c>
      <c r="AC64" s="3">
        <v>50</v>
      </c>
      <c r="AD64" s="1" t="s">
        <v>246</v>
      </c>
      <c r="AE64" s="1">
        <v>2300221</v>
      </c>
    </row>
    <row r="65" spans="1:31">
      <c r="A65" s="1">
        <v>340013</v>
      </c>
      <c r="B65" s="1">
        <v>331005</v>
      </c>
      <c r="C65" s="2">
        <v>34001</v>
      </c>
      <c r="D65" s="2">
        <v>30</v>
      </c>
      <c r="E65" s="1" t="s">
        <v>247</v>
      </c>
      <c r="F65" s="1">
        <v>1</v>
      </c>
      <c r="G65" s="1" t="s">
        <v>248</v>
      </c>
      <c r="H65" s="1" t="s">
        <v>248</v>
      </c>
      <c r="I65" s="3">
        <v>1.3</v>
      </c>
      <c r="J65" s="3">
        <v>1</v>
      </c>
      <c r="K65" s="4" t="s">
        <v>101</v>
      </c>
      <c r="L65" s="1" t="s">
        <v>74</v>
      </c>
      <c r="M65" s="1">
        <v>0</v>
      </c>
      <c r="N65" s="1">
        <v>0</v>
      </c>
      <c r="O65" s="4">
        <f t="shared" si="8"/>
        <v>1</v>
      </c>
      <c r="P65" s="1">
        <v>120</v>
      </c>
      <c r="Q65" s="1">
        <v>24</v>
      </c>
      <c r="R65" s="1">
        <v>12</v>
      </c>
      <c r="S65" s="1">
        <v>24</v>
      </c>
      <c r="T65" s="1">
        <v>12</v>
      </c>
      <c r="U65" s="1">
        <v>4</v>
      </c>
      <c r="V65" s="3">
        <v>250</v>
      </c>
      <c r="W65" s="3">
        <f t="shared" si="7"/>
        <v>700</v>
      </c>
      <c r="X65" s="3">
        <v>400</v>
      </c>
      <c r="Y65" s="3">
        <f t="shared" si="11"/>
        <v>10</v>
      </c>
      <c r="Z65" s="1">
        <v>0</v>
      </c>
      <c r="AA65" s="3">
        <v>0</v>
      </c>
      <c r="AB65" s="8" t="s">
        <v>243</v>
      </c>
      <c r="AC65" s="3">
        <v>50</v>
      </c>
      <c r="AD65" s="1">
        <v>761002</v>
      </c>
      <c r="AE65" s="1">
        <v>2300241</v>
      </c>
    </row>
    <row r="66" spans="1:31">
      <c r="A66" s="1">
        <v>340014</v>
      </c>
      <c r="B66" s="1">
        <v>232005</v>
      </c>
      <c r="C66" s="2">
        <v>34001</v>
      </c>
      <c r="D66" s="2">
        <v>20</v>
      </c>
      <c r="E66" s="1" t="s">
        <v>249</v>
      </c>
      <c r="F66" s="1">
        <v>1</v>
      </c>
      <c r="G66" s="1" t="s">
        <v>250</v>
      </c>
      <c r="H66" s="1" t="s">
        <v>250</v>
      </c>
      <c r="I66" s="3">
        <v>1.3</v>
      </c>
      <c r="J66" s="3">
        <v>1</v>
      </c>
      <c r="K66" s="4" t="s">
        <v>101</v>
      </c>
      <c r="L66" s="1" t="s">
        <v>70</v>
      </c>
      <c r="M66" s="1">
        <v>0</v>
      </c>
      <c r="N66" s="1">
        <v>332005</v>
      </c>
      <c r="O66" s="4">
        <f t="shared" si="8"/>
        <v>1</v>
      </c>
      <c r="P66" s="1">
        <v>80</v>
      </c>
      <c r="Q66" s="1">
        <v>16</v>
      </c>
      <c r="R66" s="1">
        <v>8</v>
      </c>
      <c r="S66" s="1">
        <v>16</v>
      </c>
      <c r="T66" s="1">
        <v>8</v>
      </c>
      <c r="U66" s="1">
        <v>3</v>
      </c>
      <c r="V66" s="3">
        <v>250</v>
      </c>
      <c r="W66" s="3">
        <f t="shared" si="7"/>
        <v>700</v>
      </c>
      <c r="X66" s="3">
        <v>400</v>
      </c>
      <c r="Y66" s="3">
        <f t="shared" si="11"/>
        <v>10</v>
      </c>
      <c r="Z66" s="1">
        <v>0</v>
      </c>
      <c r="AA66" s="3">
        <v>0</v>
      </c>
      <c r="AB66" s="8" t="s">
        <v>243</v>
      </c>
      <c r="AC66" s="3">
        <v>50</v>
      </c>
      <c r="AD66" s="1">
        <v>451001</v>
      </c>
      <c r="AE66" s="1">
        <v>2300231</v>
      </c>
    </row>
    <row r="67" spans="1:31">
      <c r="A67" s="1">
        <v>340015</v>
      </c>
      <c r="B67" s="1">
        <v>332005</v>
      </c>
      <c r="C67" s="2">
        <v>34001</v>
      </c>
      <c r="D67" s="2">
        <v>30</v>
      </c>
      <c r="E67" s="1" t="s">
        <v>251</v>
      </c>
      <c r="F67" s="1">
        <v>1</v>
      </c>
      <c r="G67" s="1" t="s">
        <v>252</v>
      </c>
      <c r="H67" s="1" t="s">
        <v>252</v>
      </c>
      <c r="I67" s="3">
        <v>1.3</v>
      </c>
      <c r="J67" s="3">
        <v>1</v>
      </c>
      <c r="K67" s="4" t="s">
        <v>101</v>
      </c>
      <c r="L67" s="1" t="s">
        <v>74</v>
      </c>
      <c r="M67" s="1">
        <v>0</v>
      </c>
      <c r="N67" s="1">
        <v>0</v>
      </c>
      <c r="O67" s="4">
        <f t="shared" si="8"/>
        <v>1</v>
      </c>
      <c r="P67" s="1">
        <v>120</v>
      </c>
      <c r="Q67" s="1">
        <v>24</v>
      </c>
      <c r="R67" s="1">
        <v>12</v>
      </c>
      <c r="S67" s="1">
        <v>24</v>
      </c>
      <c r="T67" s="1">
        <v>12</v>
      </c>
      <c r="U67" s="1">
        <v>4</v>
      </c>
      <c r="V67" s="3">
        <v>250</v>
      </c>
      <c r="W67" s="3">
        <f t="shared" si="7"/>
        <v>700</v>
      </c>
      <c r="X67" s="3">
        <v>400</v>
      </c>
      <c r="Y67" s="3">
        <f t="shared" si="11"/>
        <v>10</v>
      </c>
      <c r="Z67" s="1">
        <v>0</v>
      </c>
      <c r="AA67" s="3">
        <v>0</v>
      </c>
      <c r="AB67" s="8" t="s">
        <v>243</v>
      </c>
      <c r="AC67" s="3">
        <v>50</v>
      </c>
      <c r="AD67" s="1">
        <v>861001</v>
      </c>
      <c r="AE67" s="1">
        <v>2300251</v>
      </c>
    </row>
    <row r="68" spans="1:31">
      <c r="A68" s="1">
        <v>350011</v>
      </c>
      <c r="B68" s="1">
        <v>130006</v>
      </c>
      <c r="C68" s="2">
        <v>35001</v>
      </c>
      <c r="D68" s="2">
        <v>1</v>
      </c>
      <c r="E68" s="1" t="s">
        <v>253</v>
      </c>
      <c r="F68" s="1">
        <v>2</v>
      </c>
      <c r="G68" s="1" t="s">
        <v>254</v>
      </c>
      <c r="H68" s="1" t="s">
        <v>254</v>
      </c>
      <c r="I68" s="3">
        <v>1.3</v>
      </c>
      <c r="J68" s="3">
        <v>2</v>
      </c>
      <c r="K68" s="4" t="s">
        <v>113</v>
      </c>
      <c r="L68" s="1" t="s">
        <v>65</v>
      </c>
      <c r="M68" s="1">
        <v>0</v>
      </c>
      <c r="N68" s="1" t="s">
        <v>255</v>
      </c>
      <c r="O68" s="4">
        <f t="shared" si="8"/>
        <v>1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f t="shared" ref="V68:V77" si="12">IF(F68=1,150,1200)</f>
        <v>1200</v>
      </c>
      <c r="W68" s="3">
        <f t="shared" ref="W68:W87" si="13">MIN(V68+450,1300)</f>
        <v>1300</v>
      </c>
      <c r="X68" s="3">
        <v>400</v>
      </c>
      <c r="Y68" s="3">
        <f>_xlfn.IFS(V610&lt;=400,10,V610&gt;400,12)</f>
        <v>10</v>
      </c>
      <c r="Z68" s="1" t="s">
        <v>256</v>
      </c>
      <c r="AA68" s="3">
        <v>2300261</v>
      </c>
      <c r="AB68" s="8" t="s">
        <v>257</v>
      </c>
      <c r="AC68" s="3">
        <v>50</v>
      </c>
      <c r="AD68" s="1">
        <v>0</v>
      </c>
      <c r="AE68" s="1">
        <v>0</v>
      </c>
    </row>
    <row r="69" spans="1:31">
      <c r="A69" s="1">
        <v>350012</v>
      </c>
      <c r="B69" s="1">
        <v>231006</v>
      </c>
      <c r="C69" s="2">
        <v>35001</v>
      </c>
      <c r="D69" s="2">
        <v>20</v>
      </c>
      <c r="E69" s="1" t="s">
        <v>258</v>
      </c>
      <c r="F69" s="1">
        <v>2</v>
      </c>
      <c r="G69" s="1" t="s">
        <v>259</v>
      </c>
      <c r="H69" s="1" t="s">
        <v>259</v>
      </c>
      <c r="I69" s="3">
        <v>1.3</v>
      </c>
      <c r="J69" s="3">
        <v>2</v>
      </c>
      <c r="K69" s="4" t="s">
        <v>113</v>
      </c>
      <c r="L69" s="1" t="s">
        <v>70</v>
      </c>
      <c r="M69" s="1">
        <v>0</v>
      </c>
      <c r="N69" s="1">
        <v>331006</v>
      </c>
      <c r="O69" s="4">
        <f t="shared" ref="O69:O97" si="14">_xlfn.IFS(OR(K69="1",K69="2",K69="7",K69="8"),2,OR(K69="3",K69="4",K69="5",K69="6"),1)</f>
        <v>1</v>
      </c>
      <c r="P69" s="1">
        <v>80</v>
      </c>
      <c r="Q69" s="1">
        <v>16</v>
      </c>
      <c r="R69" s="1">
        <v>8</v>
      </c>
      <c r="S69" s="1">
        <v>16</v>
      </c>
      <c r="T69" s="1">
        <v>8</v>
      </c>
      <c r="U69" s="1">
        <v>3</v>
      </c>
      <c r="V69" s="3">
        <f t="shared" si="12"/>
        <v>1200</v>
      </c>
      <c r="W69" s="3">
        <f t="shared" si="13"/>
        <v>1300</v>
      </c>
      <c r="X69" s="3">
        <v>400</v>
      </c>
      <c r="Y69" s="3">
        <f t="shared" ref="Y69:Y77" si="15">_xlfn.IFS(V69&lt;=400,10,V69&gt;400,12)</f>
        <v>12</v>
      </c>
      <c r="Z69" s="1">
        <v>0</v>
      </c>
      <c r="AA69" s="3">
        <v>0</v>
      </c>
      <c r="AB69" s="8" t="s">
        <v>257</v>
      </c>
      <c r="AC69" s="3">
        <v>50</v>
      </c>
      <c r="AD69" s="1" t="s">
        <v>260</v>
      </c>
      <c r="AE69" s="1">
        <v>2300271</v>
      </c>
    </row>
    <row r="70" spans="1:31">
      <c r="A70" s="1">
        <v>350013</v>
      </c>
      <c r="B70" s="1">
        <v>331006</v>
      </c>
      <c r="C70" s="2">
        <v>35001</v>
      </c>
      <c r="D70" s="2">
        <v>30</v>
      </c>
      <c r="E70" s="1" t="s">
        <v>261</v>
      </c>
      <c r="F70" s="1">
        <v>2</v>
      </c>
      <c r="G70" s="1" t="s">
        <v>262</v>
      </c>
      <c r="H70" s="1" t="s">
        <v>262</v>
      </c>
      <c r="I70" s="3">
        <v>1.3</v>
      </c>
      <c r="J70" s="3">
        <v>2</v>
      </c>
      <c r="K70" s="4" t="s">
        <v>113</v>
      </c>
      <c r="L70" s="1" t="s">
        <v>74</v>
      </c>
      <c r="M70" s="1">
        <v>0</v>
      </c>
      <c r="N70" s="1">
        <v>0</v>
      </c>
      <c r="O70" s="4">
        <f t="shared" si="14"/>
        <v>1</v>
      </c>
      <c r="P70" s="1">
        <v>120</v>
      </c>
      <c r="Q70" s="1">
        <v>24</v>
      </c>
      <c r="R70" s="1">
        <v>12</v>
      </c>
      <c r="S70" s="1">
        <v>24</v>
      </c>
      <c r="T70" s="1">
        <v>12</v>
      </c>
      <c r="U70" s="1">
        <v>4</v>
      </c>
      <c r="V70" s="3">
        <f t="shared" si="12"/>
        <v>1200</v>
      </c>
      <c r="W70" s="3">
        <f t="shared" si="13"/>
        <v>1300</v>
      </c>
      <c r="X70" s="3">
        <v>400</v>
      </c>
      <c r="Y70" s="3">
        <f t="shared" si="15"/>
        <v>12</v>
      </c>
      <c r="Z70" s="1">
        <v>0</v>
      </c>
      <c r="AA70" s="3">
        <v>0</v>
      </c>
      <c r="AB70" s="8" t="s">
        <v>257</v>
      </c>
      <c r="AC70" s="3">
        <v>50</v>
      </c>
      <c r="AD70" s="1">
        <v>761001</v>
      </c>
      <c r="AE70" s="1">
        <v>2300291</v>
      </c>
    </row>
    <row r="71" spans="1:31">
      <c r="A71" s="1">
        <v>350014</v>
      </c>
      <c r="B71" s="1">
        <v>232006</v>
      </c>
      <c r="C71" s="2">
        <v>35001</v>
      </c>
      <c r="D71" s="2">
        <v>20</v>
      </c>
      <c r="E71" s="1" t="s">
        <v>263</v>
      </c>
      <c r="F71" s="1">
        <v>2</v>
      </c>
      <c r="G71" s="1" t="s">
        <v>264</v>
      </c>
      <c r="H71" s="1" t="s">
        <v>264</v>
      </c>
      <c r="I71" s="3">
        <v>1.3</v>
      </c>
      <c r="J71" s="3">
        <v>2</v>
      </c>
      <c r="K71" s="4" t="s">
        <v>113</v>
      </c>
      <c r="L71" s="1" t="s">
        <v>70</v>
      </c>
      <c r="M71" s="1">
        <v>0</v>
      </c>
      <c r="N71" s="1">
        <v>332006</v>
      </c>
      <c r="O71" s="4">
        <f t="shared" si="14"/>
        <v>1</v>
      </c>
      <c r="P71" s="1">
        <v>80</v>
      </c>
      <c r="Q71" s="1">
        <v>16</v>
      </c>
      <c r="R71" s="1">
        <v>8</v>
      </c>
      <c r="S71" s="1">
        <v>16</v>
      </c>
      <c r="T71" s="1">
        <v>8</v>
      </c>
      <c r="U71" s="1">
        <v>3</v>
      </c>
      <c r="V71" s="3">
        <f t="shared" si="12"/>
        <v>1200</v>
      </c>
      <c r="W71" s="3">
        <f t="shared" si="13"/>
        <v>1300</v>
      </c>
      <c r="X71" s="3">
        <v>400</v>
      </c>
      <c r="Y71" s="3">
        <f t="shared" si="15"/>
        <v>12</v>
      </c>
      <c r="Z71" s="1">
        <v>0</v>
      </c>
      <c r="AA71" s="3">
        <v>0</v>
      </c>
      <c r="AB71" s="8" t="s">
        <v>257</v>
      </c>
      <c r="AC71" s="3">
        <v>50</v>
      </c>
      <c r="AD71" s="1">
        <v>651002</v>
      </c>
      <c r="AE71" s="1">
        <v>2300281</v>
      </c>
    </row>
    <row r="72" spans="1:31">
      <c r="A72" s="1">
        <v>350015</v>
      </c>
      <c r="B72" s="1">
        <v>332006</v>
      </c>
      <c r="C72" s="2">
        <v>35001</v>
      </c>
      <c r="D72" s="2">
        <v>30</v>
      </c>
      <c r="E72" s="1" t="s">
        <v>265</v>
      </c>
      <c r="F72" s="1">
        <v>2</v>
      </c>
      <c r="G72" s="1" t="s">
        <v>266</v>
      </c>
      <c r="H72" s="1" t="s">
        <v>266</v>
      </c>
      <c r="I72" s="3">
        <v>1.3</v>
      </c>
      <c r="J72" s="3">
        <v>2</v>
      </c>
      <c r="K72" s="4" t="s">
        <v>113</v>
      </c>
      <c r="L72" s="1" t="s">
        <v>74</v>
      </c>
      <c r="M72" s="1">
        <v>0</v>
      </c>
      <c r="N72" s="1">
        <v>0</v>
      </c>
      <c r="O72" s="4">
        <f t="shared" si="14"/>
        <v>1</v>
      </c>
      <c r="P72" s="1">
        <v>120</v>
      </c>
      <c r="Q72" s="1">
        <v>24</v>
      </c>
      <c r="R72" s="1">
        <v>12</v>
      </c>
      <c r="S72" s="1">
        <v>24</v>
      </c>
      <c r="T72" s="1">
        <v>12</v>
      </c>
      <c r="U72" s="1">
        <v>4</v>
      </c>
      <c r="V72" s="3">
        <f t="shared" si="12"/>
        <v>1200</v>
      </c>
      <c r="W72" s="3">
        <f t="shared" si="13"/>
        <v>1300</v>
      </c>
      <c r="X72" s="3">
        <v>400</v>
      </c>
      <c r="Y72" s="3">
        <f t="shared" si="15"/>
        <v>12</v>
      </c>
      <c r="Z72" s="1">
        <v>0</v>
      </c>
      <c r="AA72" s="3">
        <v>0</v>
      </c>
      <c r="AB72" s="8" t="s">
        <v>257</v>
      </c>
      <c r="AC72" s="3">
        <v>50</v>
      </c>
      <c r="AD72" s="1">
        <v>861002</v>
      </c>
      <c r="AE72" s="1">
        <v>2300301</v>
      </c>
    </row>
    <row r="73" spans="1:31">
      <c r="A73" s="1">
        <v>360011</v>
      </c>
      <c r="B73" s="1">
        <v>130007</v>
      </c>
      <c r="C73" s="2">
        <v>36001</v>
      </c>
      <c r="D73" s="2">
        <v>1</v>
      </c>
      <c r="E73" s="1" t="s">
        <v>175</v>
      </c>
      <c r="F73" s="1">
        <v>2</v>
      </c>
      <c r="G73" s="1" t="s">
        <v>267</v>
      </c>
      <c r="H73" s="1" t="s">
        <v>267</v>
      </c>
      <c r="I73" s="3">
        <v>1.3</v>
      </c>
      <c r="J73" s="3">
        <v>2</v>
      </c>
      <c r="K73" s="4" t="s">
        <v>125</v>
      </c>
      <c r="L73" s="1" t="s">
        <v>65</v>
      </c>
      <c r="M73" s="1">
        <v>0</v>
      </c>
      <c r="N73" s="1" t="s">
        <v>268</v>
      </c>
      <c r="O73" s="4">
        <f t="shared" si="14"/>
        <v>1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f t="shared" si="12"/>
        <v>1200</v>
      </c>
      <c r="W73" s="3">
        <f t="shared" si="13"/>
        <v>1300</v>
      </c>
      <c r="X73" s="3">
        <v>400</v>
      </c>
      <c r="Y73" s="3">
        <f t="shared" si="15"/>
        <v>12</v>
      </c>
      <c r="Z73" s="1" t="s">
        <v>177</v>
      </c>
      <c r="AA73" s="3">
        <v>2300311</v>
      </c>
      <c r="AB73" s="8" t="s">
        <v>269</v>
      </c>
      <c r="AC73" s="3">
        <v>50</v>
      </c>
      <c r="AD73" s="1">
        <v>0</v>
      </c>
      <c r="AE73" s="1">
        <v>0</v>
      </c>
    </row>
    <row r="74" spans="1:31">
      <c r="A74" s="1">
        <v>360012</v>
      </c>
      <c r="B74" s="1">
        <v>231007</v>
      </c>
      <c r="C74" s="2">
        <v>36001</v>
      </c>
      <c r="D74" s="2">
        <v>20</v>
      </c>
      <c r="E74" s="1" t="s">
        <v>270</v>
      </c>
      <c r="F74" s="1">
        <v>2</v>
      </c>
      <c r="G74" s="1" t="s">
        <v>271</v>
      </c>
      <c r="H74" s="1" t="s">
        <v>271</v>
      </c>
      <c r="I74" s="3">
        <v>1.3</v>
      </c>
      <c r="J74" s="3">
        <v>2</v>
      </c>
      <c r="K74" s="4" t="s">
        <v>125</v>
      </c>
      <c r="L74" s="1" t="s">
        <v>70</v>
      </c>
      <c r="M74" s="1">
        <v>0</v>
      </c>
      <c r="N74" s="1">
        <v>331007</v>
      </c>
      <c r="O74" s="4">
        <f t="shared" si="14"/>
        <v>1</v>
      </c>
      <c r="P74" s="1">
        <v>80</v>
      </c>
      <c r="Q74" s="1">
        <v>16</v>
      </c>
      <c r="R74" s="1">
        <v>8</v>
      </c>
      <c r="S74" s="1">
        <v>16</v>
      </c>
      <c r="T74" s="1">
        <v>8</v>
      </c>
      <c r="U74" s="1">
        <v>3</v>
      </c>
      <c r="V74" s="3">
        <f t="shared" si="12"/>
        <v>1200</v>
      </c>
      <c r="W74" s="3">
        <f t="shared" si="13"/>
        <v>1300</v>
      </c>
      <c r="X74" s="3">
        <v>400</v>
      </c>
      <c r="Y74" s="3">
        <f t="shared" si="15"/>
        <v>12</v>
      </c>
      <c r="Z74" s="1">
        <v>0</v>
      </c>
      <c r="AA74" s="3">
        <v>0</v>
      </c>
      <c r="AB74" s="8" t="s">
        <v>269</v>
      </c>
      <c r="AC74" s="3">
        <v>50</v>
      </c>
      <c r="AD74" s="1" t="s">
        <v>181</v>
      </c>
      <c r="AE74" s="1">
        <v>2300321</v>
      </c>
    </row>
    <row r="75" spans="1:31">
      <c r="A75" s="1">
        <v>360013</v>
      </c>
      <c r="B75" s="1">
        <v>331007</v>
      </c>
      <c r="C75" s="2">
        <v>36001</v>
      </c>
      <c r="D75" s="2">
        <v>30</v>
      </c>
      <c r="E75" s="1" t="s">
        <v>272</v>
      </c>
      <c r="F75" s="1">
        <v>2</v>
      </c>
      <c r="G75" s="1" t="s">
        <v>273</v>
      </c>
      <c r="H75" s="1" t="s">
        <v>273</v>
      </c>
      <c r="I75" s="3">
        <v>1.3</v>
      </c>
      <c r="J75" s="3">
        <v>2</v>
      </c>
      <c r="K75" s="4" t="s">
        <v>125</v>
      </c>
      <c r="L75" s="1" t="s">
        <v>74</v>
      </c>
      <c r="M75" s="1">
        <v>0</v>
      </c>
      <c r="N75" s="1">
        <v>0</v>
      </c>
      <c r="O75" s="4">
        <f t="shared" si="14"/>
        <v>1</v>
      </c>
      <c r="P75" s="1">
        <v>120</v>
      </c>
      <c r="Q75" s="1">
        <v>24</v>
      </c>
      <c r="R75" s="1">
        <v>12</v>
      </c>
      <c r="S75" s="1">
        <v>24</v>
      </c>
      <c r="T75" s="1">
        <v>12</v>
      </c>
      <c r="U75" s="1">
        <v>4</v>
      </c>
      <c r="V75" s="3">
        <f t="shared" si="12"/>
        <v>1200</v>
      </c>
      <c r="W75" s="3">
        <f t="shared" si="13"/>
        <v>1300</v>
      </c>
      <c r="X75" s="3">
        <v>400</v>
      </c>
      <c r="Y75" s="3">
        <f t="shared" si="15"/>
        <v>12</v>
      </c>
      <c r="Z75" s="1">
        <v>0</v>
      </c>
      <c r="AA75" s="3">
        <v>0</v>
      </c>
      <c r="AB75" s="8" t="s">
        <v>269</v>
      </c>
      <c r="AC75" s="3">
        <v>50</v>
      </c>
      <c r="AD75" s="1">
        <v>661001</v>
      </c>
      <c r="AE75" s="1">
        <v>2300341</v>
      </c>
    </row>
    <row r="76" spans="1:31">
      <c r="A76" s="1">
        <v>360014</v>
      </c>
      <c r="B76" s="1">
        <v>232007</v>
      </c>
      <c r="C76" s="2">
        <v>36001</v>
      </c>
      <c r="D76" s="2">
        <v>20</v>
      </c>
      <c r="E76" s="1" t="s">
        <v>116</v>
      </c>
      <c r="F76" s="1">
        <v>2</v>
      </c>
      <c r="G76" s="1" t="s">
        <v>274</v>
      </c>
      <c r="H76" s="1" t="s">
        <v>274</v>
      </c>
      <c r="I76" s="3">
        <v>1.3</v>
      </c>
      <c r="J76" s="3">
        <v>2</v>
      </c>
      <c r="K76" s="4" t="s">
        <v>113</v>
      </c>
      <c r="L76" s="1" t="s">
        <v>70</v>
      </c>
      <c r="M76" s="1">
        <v>0</v>
      </c>
      <c r="N76" s="1">
        <v>332007</v>
      </c>
      <c r="O76" s="4">
        <f t="shared" si="14"/>
        <v>1</v>
      </c>
      <c r="P76" s="1">
        <v>80</v>
      </c>
      <c r="Q76" s="1">
        <v>16</v>
      </c>
      <c r="R76" s="1">
        <v>8</v>
      </c>
      <c r="S76" s="1">
        <v>16</v>
      </c>
      <c r="T76" s="1">
        <v>8</v>
      </c>
      <c r="U76" s="1">
        <v>3</v>
      </c>
      <c r="V76" s="3">
        <f t="shared" si="12"/>
        <v>1200</v>
      </c>
      <c r="W76" s="3">
        <f t="shared" si="13"/>
        <v>1300</v>
      </c>
      <c r="X76" s="3">
        <v>400</v>
      </c>
      <c r="Y76" s="3">
        <f t="shared" si="15"/>
        <v>12</v>
      </c>
      <c r="Z76" s="1">
        <v>0</v>
      </c>
      <c r="AA76" s="3">
        <v>0</v>
      </c>
      <c r="AB76" s="8" t="s">
        <v>269</v>
      </c>
      <c r="AC76" s="3">
        <v>50</v>
      </c>
      <c r="AD76" s="1">
        <v>651001</v>
      </c>
      <c r="AE76" s="1">
        <v>2300331</v>
      </c>
    </row>
    <row r="77" spans="1:31">
      <c r="A77" s="1">
        <v>360015</v>
      </c>
      <c r="B77" s="1">
        <v>332007</v>
      </c>
      <c r="C77" s="2">
        <v>36001</v>
      </c>
      <c r="D77" s="2">
        <v>30</v>
      </c>
      <c r="E77" s="1" t="s">
        <v>275</v>
      </c>
      <c r="F77" s="1">
        <v>2</v>
      </c>
      <c r="G77" s="1" t="s">
        <v>276</v>
      </c>
      <c r="H77" s="1" t="s">
        <v>276</v>
      </c>
      <c r="I77" s="3">
        <v>1.3</v>
      </c>
      <c r="J77" s="3">
        <v>2</v>
      </c>
      <c r="K77" s="4" t="s">
        <v>125</v>
      </c>
      <c r="L77" s="1" t="s">
        <v>74</v>
      </c>
      <c r="M77" s="1">
        <v>0</v>
      </c>
      <c r="N77" s="1">
        <v>0</v>
      </c>
      <c r="O77" s="4">
        <f t="shared" si="14"/>
        <v>1</v>
      </c>
      <c r="P77" s="1">
        <v>120</v>
      </c>
      <c r="Q77" s="1">
        <v>24</v>
      </c>
      <c r="R77" s="1">
        <v>12</v>
      </c>
      <c r="S77" s="1">
        <v>24</v>
      </c>
      <c r="T77" s="1">
        <v>12</v>
      </c>
      <c r="U77" s="1">
        <v>4</v>
      </c>
      <c r="V77" s="3">
        <f t="shared" si="12"/>
        <v>1200</v>
      </c>
      <c r="W77" s="3">
        <f t="shared" si="13"/>
        <v>1300</v>
      </c>
      <c r="X77" s="3">
        <v>400</v>
      </c>
      <c r="Y77" s="3">
        <f t="shared" si="15"/>
        <v>12</v>
      </c>
      <c r="Z77" s="1">
        <v>0</v>
      </c>
      <c r="AA77" s="3">
        <v>0</v>
      </c>
      <c r="AB77" s="8" t="s">
        <v>269</v>
      </c>
      <c r="AC77" s="3">
        <v>50</v>
      </c>
      <c r="AD77" s="1">
        <v>561001</v>
      </c>
      <c r="AE77" s="1">
        <v>2300351</v>
      </c>
    </row>
    <row r="78" spans="1:31">
      <c r="A78" s="1">
        <v>370011</v>
      </c>
      <c r="B78" s="1">
        <v>130008</v>
      </c>
      <c r="C78" s="2">
        <v>37001</v>
      </c>
      <c r="D78" s="2">
        <v>1</v>
      </c>
      <c r="E78" s="1" t="s">
        <v>277</v>
      </c>
      <c r="F78" s="1">
        <v>1</v>
      </c>
      <c r="G78" s="1" t="s">
        <v>278</v>
      </c>
      <c r="H78" s="1" t="s">
        <v>278</v>
      </c>
      <c r="I78" s="3">
        <v>1.3</v>
      </c>
      <c r="J78" s="3">
        <v>1</v>
      </c>
      <c r="K78" s="4" t="s">
        <v>279</v>
      </c>
      <c r="L78" s="1" t="s">
        <v>65</v>
      </c>
      <c r="M78" s="1">
        <v>0</v>
      </c>
      <c r="N78" s="1" t="s">
        <v>280</v>
      </c>
      <c r="O78" s="4">
        <f t="shared" si="14"/>
        <v>2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250</v>
      </c>
      <c r="W78" s="3">
        <f t="shared" si="13"/>
        <v>700</v>
      </c>
      <c r="X78" s="3">
        <v>400</v>
      </c>
      <c r="Y78" s="3">
        <f>_xlfn.IFS(V710&lt;=400,10,V710&gt;400,12)</f>
        <v>10</v>
      </c>
      <c r="Z78" s="1" t="s">
        <v>281</v>
      </c>
      <c r="AA78" s="3">
        <v>2300361</v>
      </c>
      <c r="AB78" s="8" t="s">
        <v>282</v>
      </c>
      <c r="AC78" s="3">
        <v>50</v>
      </c>
      <c r="AD78" s="1">
        <v>0</v>
      </c>
      <c r="AE78" s="1">
        <v>0</v>
      </c>
    </row>
    <row r="79" spans="1:31">
      <c r="A79" s="1">
        <v>370012</v>
      </c>
      <c r="B79" s="1">
        <v>231008</v>
      </c>
      <c r="C79" s="2">
        <v>37001</v>
      </c>
      <c r="D79" s="2">
        <v>20</v>
      </c>
      <c r="E79" s="1" t="s">
        <v>283</v>
      </c>
      <c r="F79" s="1">
        <v>1</v>
      </c>
      <c r="G79" s="1" t="s">
        <v>284</v>
      </c>
      <c r="H79" s="1" t="s">
        <v>284</v>
      </c>
      <c r="I79" s="3">
        <v>1.3</v>
      </c>
      <c r="J79" s="3">
        <v>1</v>
      </c>
      <c r="K79" s="4" t="s">
        <v>279</v>
      </c>
      <c r="L79" s="1" t="s">
        <v>70</v>
      </c>
      <c r="M79" s="1">
        <v>0</v>
      </c>
      <c r="N79" s="1">
        <v>331008</v>
      </c>
      <c r="O79" s="4">
        <f t="shared" si="14"/>
        <v>2</v>
      </c>
      <c r="P79" s="1">
        <v>80</v>
      </c>
      <c r="Q79" s="1">
        <v>16</v>
      </c>
      <c r="R79" s="1">
        <v>8</v>
      </c>
      <c r="S79" s="1">
        <v>16</v>
      </c>
      <c r="T79" s="1">
        <v>8</v>
      </c>
      <c r="U79" s="1">
        <v>3</v>
      </c>
      <c r="V79" s="3">
        <v>250</v>
      </c>
      <c r="W79" s="3">
        <f t="shared" si="13"/>
        <v>700</v>
      </c>
      <c r="X79" s="3">
        <v>400</v>
      </c>
      <c r="Y79" s="3">
        <f>_xlfn.IFS(V79&lt;=400,10,V79&gt;400,12)</f>
        <v>10</v>
      </c>
      <c r="Z79" s="1">
        <v>0</v>
      </c>
      <c r="AA79" s="3">
        <v>0</v>
      </c>
      <c r="AB79" s="8" t="s">
        <v>282</v>
      </c>
      <c r="AC79" s="3">
        <v>50</v>
      </c>
      <c r="AD79" s="1" t="s">
        <v>285</v>
      </c>
      <c r="AE79" s="1">
        <v>2300371</v>
      </c>
    </row>
    <row r="80" spans="1:31">
      <c r="A80" s="1">
        <v>370013</v>
      </c>
      <c r="B80" s="1">
        <v>331008</v>
      </c>
      <c r="C80" s="2">
        <v>37001</v>
      </c>
      <c r="D80" s="2">
        <v>30</v>
      </c>
      <c r="E80" s="1" t="s">
        <v>286</v>
      </c>
      <c r="F80" s="1">
        <v>1</v>
      </c>
      <c r="G80" s="1" t="s">
        <v>287</v>
      </c>
      <c r="H80" s="1" t="s">
        <v>287</v>
      </c>
      <c r="I80" s="3">
        <v>1.3</v>
      </c>
      <c r="J80" s="3">
        <v>1</v>
      </c>
      <c r="K80" s="4" t="s">
        <v>279</v>
      </c>
      <c r="L80" s="1" t="s">
        <v>74</v>
      </c>
      <c r="M80" s="1">
        <v>0</v>
      </c>
      <c r="N80" s="1">
        <v>0</v>
      </c>
      <c r="O80" s="4">
        <f t="shared" si="14"/>
        <v>2</v>
      </c>
      <c r="P80" s="1">
        <v>120</v>
      </c>
      <c r="Q80" s="1">
        <v>24</v>
      </c>
      <c r="R80" s="1">
        <v>12</v>
      </c>
      <c r="S80" s="1">
        <v>24</v>
      </c>
      <c r="T80" s="1">
        <v>12</v>
      </c>
      <c r="U80" s="1">
        <v>4</v>
      </c>
      <c r="V80" s="3">
        <v>250</v>
      </c>
      <c r="W80" s="3">
        <f t="shared" si="13"/>
        <v>700</v>
      </c>
      <c r="X80" s="3">
        <v>400</v>
      </c>
      <c r="Y80" s="3">
        <f t="shared" ref="Y80:Y87" si="16">_xlfn.IFS(V100&lt;=400,10,V100&gt;400,12)</f>
        <v>10</v>
      </c>
      <c r="Z80" s="1">
        <v>0</v>
      </c>
      <c r="AA80" s="3">
        <v>0</v>
      </c>
      <c r="AB80" s="8" t="s">
        <v>282</v>
      </c>
      <c r="AC80" s="3">
        <v>50</v>
      </c>
      <c r="AD80" s="1">
        <v>761001</v>
      </c>
      <c r="AE80" s="1">
        <v>2300391</v>
      </c>
    </row>
    <row r="81" spans="1:31">
      <c r="A81" s="1">
        <v>370014</v>
      </c>
      <c r="B81" s="1">
        <v>232008</v>
      </c>
      <c r="C81" s="2">
        <v>37001</v>
      </c>
      <c r="D81" s="2">
        <v>20</v>
      </c>
      <c r="E81" s="1" t="s">
        <v>288</v>
      </c>
      <c r="F81" s="1">
        <v>1</v>
      </c>
      <c r="G81" s="1" t="s">
        <v>289</v>
      </c>
      <c r="H81" s="1" t="s">
        <v>289</v>
      </c>
      <c r="I81" s="3">
        <v>1.3</v>
      </c>
      <c r="J81" s="3">
        <v>1</v>
      </c>
      <c r="K81" s="4" t="s">
        <v>279</v>
      </c>
      <c r="L81" s="1" t="s">
        <v>70</v>
      </c>
      <c r="M81" s="1">
        <v>0</v>
      </c>
      <c r="N81" s="1">
        <v>332008</v>
      </c>
      <c r="O81" s="4">
        <f t="shared" si="14"/>
        <v>2</v>
      </c>
      <c r="P81" s="1">
        <v>80</v>
      </c>
      <c r="Q81" s="1">
        <v>16</v>
      </c>
      <c r="R81" s="1">
        <v>8</v>
      </c>
      <c r="S81" s="1">
        <v>16</v>
      </c>
      <c r="T81" s="1">
        <v>8</v>
      </c>
      <c r="U81" s="1">
        <v>3</v>
      </c>
      <c r="V81" s="3">
        <v>250</v>
      </c>
      <c r="W81" s="3">
        <f t="shared" si="13"/>
        <v>700</v>
      </c>
      <c r="X81" s="3">
        <v>400</v>
      </c>
      <c r="Y81" s="3">
        <f t="shared" si="16"/>
        <v>10</v>
      </c>
      <c r="Z81" s="1">
        <v>0</v>
      </c>
      <c r="AA81" s="3">
        <v>0</v>
      </c>
      <c r="AB81" s="8" t="s">
        <v>282</v>
      </c>
      <c r="AC81" s="3">
        <v>50</v>
      </c>
      <c r="AD81" s="1">
        <v>351002</v>
      </c>
      <c r="AE81" s="1">
        <v>2300381</v>
      </c>
    </row>
    <row r="82" spans="1:31">
      <c r="A82" s="1">
        <v>370015</v>
      </c>
      <c r="B82" s="1">
        <v>332008</v>
      </c>
      <c r="C82" s="2">
        <v>37001</v>
      </c>
      <c r="D82" s="2">
        <v>30</v>
      </c>
      <c r="E82" s="1" t="s">
        <v>290</v>
      </c>
      <c r="F82" s="1">
        <v>1</v>
      </c>
      <c r="G82" s="1" t="s">
        <v>291</v>
      </c>
      <c r="H82" s="1" t="s">
        <v>291</v>
      </c>
      <c r="I82" s="3">
        <v>1.3</v>
      </c>
      <c r="J82" s="3">
        <v>1</v>
      </c>
      <c r="K82" s="4" t="s">
        <v>279</v>
      </c>
      <c r="L82" s="1" t="s">
        <v>74</v>
      </c>
      <c r="M82" s="1">
        <v>0</v>
      </c>
      <c r="N82" s="1">
        <v>0</v>
      </c>
      <c r="O82" s="4">
        <f t="shared" si="14"/>
        <v>2</v>
      </c>
      <c r="P82" s="1">
        <v>120</v>
      </c>
      <c r="Q82" s="1">
        <v>24</v>
      </c>
      <c r="R82" s="1">
        <v>12</v>
      </c>
      <c r="S82" s="1">
        <v>24</v>
      </c>
      <c r="T82" s="1">
        <v>12</v>
      </c>
      <c r="U82" s="1">
        <v>4</v>
      </c>
      <c r="V82" s="3">
        <v>250</v>
      </c>
      <c r="W82" s="3">
        <f t="shared" si="13"/>
        <v>700</v>
      </c>
      <c r="X82" s="3">
        <v>400</v>
      </c>
      <c r="Y82" s="3">
        <f t="shared" si="16"/>
        <v>10</v>
      </c>
      <c r="Z82" s="1">
        <v>0</v>
      </c>
      <c r="AA82" s="3">
        <v>0</v>
      </c>
      <c r="AB82" s="8" t="s">
        <v>282</v>
      </c>
      <c r="AC82" s="3">
        <v>50</v>
      </c>
      <c r="AD82" s="1">
        <v>361003</v>
      </c>
      <c r="AE82" s="1">
        <v>2300401</v>
      </c>
    </row>
    <row r="83" spans="1:31">
      <c r="A83" s="1">
        <v>370021</v>
      </c>
      <c r="B83" s="1">
        <v>130009</v>
      </c>
      <c r="C83" s="2">
        <v>37002</v>
      </c>
      <c r="D83" s="2">
        <v>1</v>
      </c>
      <c r="E83" s="1" t="s">
        <v>292</v>
      </c>
      <c r="F83" s="1">
        <v>1</v>
      </c>
      <c r="G83" s="1" t="s">
        <v>293</v>
      </c>
      <c r="H83" s="1" t="s">
        <v>293</v>
      </c>
      <c r="I83" s="3">
        <v>1.3</v>
      </c>
      <c r="J83" s="3">
        <v>1</v>
      </c>
      <c r="K83" s="4" t="s">
        <v>187</v>
      </c>
      <c r="L83" s="1" t="s">
        <v>65</v>
      </c>
      <c r="M83" s="1">
        <v>0</v>
      </c>
      <c r="N83" s="1" t="s">
        <v>294</v>
      </c>
      <c r="O83" s="4">
        <f t="shared" si="14"/>
        <v>2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250</v>
      </c>
      <c r="W83" s="3">
        <f t="shared" si="13"/>
        <v>700</v>
      </c>
      <c r="X83" s="3">
        <v>400</v>
      </c>
      <c r="Y83" s="3">
        <f t="shared" si="16"/>
        <v>10</v>
      </c>
      <c r="Z83" s="1" t="s">
        <v>295</v>
      </c>
      <c r="AA83" s="3">
        <v>2300411</v>
      </c>
      <c r="AB83" s="8" t="s">
        <v>296</v>
      </c>
      <c r="AC83" s="3">
        <v>50</v>
      </c>
      <c r="AD83" s="1">
        <v>0</v>
      </c>
      <c r="AE83" s="1">
        <v>0</v>
      </c>
    </row>
    <row r="84" spans="1:31">
      <c r="A84" s="1">
        <v>370022</v>
      </c>
      <c r="B84" s="1">
        <v>231009</v>
      </c>
      <c r="C84" s="2">
        <v>37002</v>
      </c>
      <c r="D84" s="2">
        <v>20</v>
      </c>
      <c r="E84" s="1" t="s">
        <v>297</v>
      </c>
      <c r="F84" s="1">
        <v>1</v>
      </c>
      <c r="G84" s="1" t="s">
        <v>298</v>
      </c>
      <c r="H84" s="1" t="s">
        <v>298</v>
      </c>
      <c r="I84" s="3">
        <v>1.3</v>
      </c>
      <c r="J84" s="3">
        <v>1</v>
      </c>
      <c r="K84" s="4" t="s">
        <v>187</v>
      </c>
      <c r="L84" s="1" t="s">
        <v>70</v>
      </c>
      <c r="M84" s="1">
        <v>0</v>
      </c>
      <c r="N84" s="1">
        <v>331009</v>
      </c>
      <c r="O84" s="4">
        <f t="shared" si="14"/>
        <v>2</v>
      </c>
      <c r="P84" s="1">
        <v>80</v>
      </c>
      <c r="Q84" s="1">
        <v>16</v>
      </c>
      <c r="R84" s="1">
        <v>8</v>
      </c>
      <c r="S84" s="1">
        <v>16</v>
      </c>
      <c r="T84" s="1">
        <v>8</v>
      </c>
      <c r="U84" s="1">
        <v>3</v>
      </c>
      <c r="V84" s="3">
        <v>250</v>
      </c>
      <c r="W84" s="3">
        <f t="shared" si="13"/>
        <v>700</v>
      </c>
      <c r="X84" s="3">
        <v>400</v>
      </c>
      <c r="Y84" s="3">
        <f t="shared" si="16"/>
        <v>10</v>
      </c>
      <c r="Z84" s="1">
        <v>0</v>
      </c>
      <c r="AA84" s="3">
        <v>0</v>
      </c>
      <c r="AB84" s="8" t="s">
        <v>296</v>
      </c>
      <c r="AC84" s="3">
        <v>50</v>
      </c>
      <c r="AD84" s="1" t="s">
        <v>192</v>
      </c>
      <c r="AE84" s="1">
        <v>2300421</v>
      </c>
    </row>
    <row r="85" spans="1:31">
      <c r="A85" s="1">
        <v>370023</v>
      </c>
      <c r="B85" s="1">
        <v>331009</v>
      </c>
      <c r="C85" s="2">
        <v>37002</v>
      </c>
      <c r="D85" s="2">
        <v>30</v>
      </c>
      <c r="E85" s="1" t="s">
        <v>299</v>
      </c>
      <c r="F85" s="1">
        <v>1</v>
      </c>
      <c r="G85" s="1" t="s">
        <v>300</v>
      </c>
      <c r="H85" s="1" t="s">
        <v>300</v>
      </c>
      <c r="I85" s="3">
        <v>1.3</v>
      </c>
      <c r="J85" s="3">
        <v>1</v>
      </c>
      <c r="K85" s="4" t="s">
        <v>187</v>
      </c>
      <c r="L85" s="1" t="s">
        <v>74</v>
      </c>
      <c r="M85" s="1">
        <v>0</v>
      </c>
      <c r="N85" s="1">
        <v>0</v>
      </c>
      <c r="O85" s="4">
        <f t="shared" si="14"/>
        <v>2</v>
      </c>
      <c r="P85" s="1">
        <v>120</v>
      </c>
      <c r="Q85" s="1">
        <v>24</v>
      </c>
      <c r="R85" s="1">
        <v>12</v>
      </c>
      <c r="S85" s="1">
        <v>24</v>
      </c>
      <c r="T85" s="1">
        <v>12</v>
      </c>
      <c r="U85" s="1">
        <v>4</v>
      </c>
      <c r="V85" s="3">
        <v>250</v>
      </c>
      <c r="W85" s="3">
        <f t="shared" si="13"/>
        <v>700</v>
      </c>
      <c r="X85" s="3">
        <v>400</v>
      </c>
      <c r="Y85" s="3">
        <f t="shared" si="16"/>
        <v>10</v>
      </c>
      <c r="Z85" s="1">
        <v>0</v>
      </c>
      <c r="AA85" s="3">
        <v>0</v>
      </c>
      <c r="AB85" s="8" t="s">
        <v>296</v>
      </c>
      <c r="AC85" s="3">
        <v>50</v>
      </c>
      <c r="AD85" s="1">
        <v>161001</v>
      </c>
      <c r="AE85" s="1">
        <v>2300441</v>
      </c>
    </row>
    <row r="86" spans="1:31">
      <c r="A86" s="1">
        <v>370024</v>
      </c>
      <c r="B86" s="1">
        <v>232009</v>
      </c>
      <c r="C86" s="2">
        <v>37002</v>
      </c>
      <c r="D86" s="2">
        <v>20</v>
      </c>
      <c r="E86" s="1" t="s">
        <v>301</v>
      </c>
      <c r="F86" s="1">
        <v>2</v>
      </c>
      <c r="G86" s="1" t="s">
        <v>302</v>
      </c>
      <c r="H86" s="1" t="s">
        <v>302</v>
      </c>
      <c r="I86" s="3">
        <v>1.3</v>
      </c>
      <c r="J86" s="3">
        <v>1</v>
      </c>
      <c r="K86" s="4" t="s">
        <v>187</v>
      </c>
      <c r="L86" s="1" t="s">
        <v>70</v>
      </c>
      <c r="M86" s="1">
        <v>0</v>
      </c>
      <c r="N86" s="1">
        <v>332009</v>
      </c>
      <c r="O86" s="4">
        <f t="shared" si="14"/>
        <v>2</v>
      </c>
      <c r="P86" s="1">
        <v>80</v>
      </c>
      <c r="Q86" s="1">
        <v>16</v>
      </c>
      <c r="R86" s="1">
        <v>8</v>
      </c>
      <c r="S86" s="1">
        <v>16</v>
      </c>
      <c r="T86" s="1">
        <v>8</v>
      </c>
      <c r="U86" s="1">
        <v>3</v>
      </c>
      <c r="V86" s="3">
        <f>IF(F86=1,150,1200)</f>
        <v>1200</v>
      </c>
      <c r="W86" s="3">
        <f t="shared" si="13"/>
        <v>1300</v>
      </c>
      <c r="X86" s="3">
        <v>400</v>
      </c>
      <c r="Y86" s="3">
        <f t="shared" si="16"/>
        <v>10</v>
      </c>
      <c r="Z86" s="1">
        <v>0</v>
      </c>
      <c r="AA86" s="3">
        <v>0</v>
      </c>
      <c r="AB86" s="8" t="s">
        <v>296</v>
      </c>
      <c r="AC86" s="3">
        <v>50</v>
      </c>
      <c r="AD86" s="1">
        <v>851001</v>
      </c>
      <c r="AE86" s="1">
        <v>2300431</v>
      </c>
    </row>
    <row r="87" spans="1:31">
      <c r="A87" s="1">
        <v>370025</v>
      </c>
      <c r="B87" s="1">
        <v>332009</v>
      </c>
      <c r="C87" s="2">
        <v>37002</v>
      </c>
      <c r="D87" s="2">
        <v>30</v>
      </c>
      <c r="E87" s="1" t="s">
        <v>303</v>
      </c>
      <c r="F87" s="1">
        <v>2</v>
      </c>
      <c r="G87" s="1" t="s">
        <v>304</v>
      </c>
      <c r="H87" s="1" t="s">
        <v>304</v>
      </c>
      <c r="I87" s="3">
        <v>1.3</v>
      </c>
      <c r="J87" s="3">
        <v>1</v>
      </c>
      <c r="K87" s="4" t="s">
        <v>187</v>
      </c>
      <c r="L87" s="1" t="s">
        <v>74</v>
      </c>
      <c r="M87" s="1">
        <v>0</v>
      </c>
      <c r="N87" s="1">
        <v>0</v>
      </c>
      <c r="O87" s="4">
        <f t="shared" si="14"/>
        <v>2</v>
      </c>
      <c r="P87" s="1">
        <v>120</v>
      </c>
      <c r="Q87" s="1">
        <v>24</v>
      </c>
      <c r="R87" s="1">
        <v>12</v>
      </c>
      <c r="S87" s="1">
        <v>24</v>
      </c>
      <c r="T87" s="1">
        <v>12</v>
      </c>
      <c r="U87" s="1">
        <v>4</v>
      </c>
      <c r="V87" s="3">
        <f>IF(F87=1,150,1200)</f>
        <v>1200</v>
      </c>
      <c r="W87" s="3">
        <f t="shared" si="13"/>
        <v>1300</v>
      </c>
      <c r="X87" s="3">
        <v>400</v>
      </c>
      <c r="Y87" s="3">
        <f t="shared" si="16"/>
        <v>10</v>
      </c>
      <c r="Z87" s="1">
        <v>0</v>
      </c>
      <c r="AA87" s="3">
        <v>0</v>
      </c>
      <c r="AB87" s="8" t="s">
        <v>296</v>
      </c>
      <c r="AC87" s="3">
        <v>50</v>
      </c>
      <c r="AD87" s="1">
        <v>761001</v>
      </c>
      <c r="AE87" s="1">
        <v>2300451</v>
      </c>
    </row>
    <row r="88" spans="1:31">
      <c r="A88" s="1">
        <v>380011</v>
      </c>
      <c r="B88" s="1">
        <v>130010</v>
      </c>
      <c r="C88" s="2">
        <v>38001</v>
      </c>
      <c r="D88" s="2">
        <v>1</v>
      </c>
      <c r="E88" s="1" t="s">
        <v>305</v>
      </c>
      <c r="F88" s="1">
        <v>1</v>
      </c>
      <c r="G88" s="1" t="s">
        <v>306</v>
      </c>
      <c r="H88" s="1" t="s">
        <v>306</v>
      </c>
      <c r="I88" s="3">
        <v>1.3</v>
      </c>
      <c r="J88" s="3">
        <v>2</v>
      </c>
      <c r="K88" s="4" t="s">
        <v>279</v>
      </c>
      <c r="L88" s="1" t="s">
        <v>65</v>
      </c>
      <c r="M88" s="1">
        <v>0</v>
      </c>
      <c r="N88" s="1" t="s">
        <v>307</v>
      </c>
      <c r="O88" s="4">
        <f t="shared" si="14"/>
        <v>2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1200</v>
      </c>
      <c r="W88" s="3">
        <f t="shared" ref="W88:W97" si="17">MIN(V88+450,1300)</f>
        <v>1300</v>
      </c>
      <c r="X88" s="3">
        <v>400</v>
      </c>
      <c r="Y88" s="3">
        <f>_xlfn.IFS(V1010&lt;=400,10,V1010&gt;400,12)</f>
        <v>10</v>
      </c>
      <c r="Z88" s="1" t="s">
        <v>79</v>
      </c>
      <c r="AA88" s="3">
        <v>2300461</v>
      </c>
      <c r="AB88" s="8" t="s">
        <v>308</v>
      </c>
      <c r="AC88" s="3">
        <v>50</v>
      </c>
      <c r="AD88" s="1">
        <v>0</v>
      </c>
      <c r="AE88" s="1">
        <v>0</v>
      </c>
    </row>
    <row r="89" spans="1:31">
      <c r="A89" s="1">
        <v>380012</v>
      </c>
      <c r="B89" s="1">
        <v>231010</v>
      </c>
      <c r="C89" s="2">
        <v>38001</v>
      </c>
      <c r="D89" s="2">
        <v>20</v>
      </c>
      <c r="E89" s="1" t="s">
        <v>309</v>
      </c>
      <c r="F89" s="1">
        <v>1</v>
      </c>
      <c r="G89" s="1" t="s">
        <v>310</v>
      </c>
      <c r="H89" s="1" t="s">
        <v>310</v>
      </c>
      <c r="I89" s="3">
        <v>1.3</v>
      </c>
      <c r="J89" s="3">
        <v>2</v>
      </c>
      <c r="K89" s="4" t="s">
        <v>279</v>
      </c>
      <c r="L89" s="1" t="s">
        <v>70</v>
      </c>
      <c r="M89" s="1">
        <v>0</v>
      </c>
      <c r="N89" s="1">
        <v>331010</v>
      </c>
      <c r="O89" s="4">
        <f t="shared" si="14"/>
        <v>2</v>
      </c>
      <c r="P89" s="1">
        <v>80</v>
      </c>
      <c r="Q89" s="1">
        <v>16</v>
      </c>
      <c r="R89" s="1">
        <v>8</v>
      </c>
      <c r="S89" s="1">
        <v>16</v>
      </c>
      <c r="T89" s="1">
        <v>8</v>
      </c>
      <c r="U89" s="1">
        <v>3</v>
      </c>
      <c r="V89" s="3">
        <v>1200</v>
      </c>
      <c r="W89" s="3">
        <f t="shared" si="17"/>
        <v>1300</v>
      </c>
      <c r="X89" s="3">
        <v>400</v>
      </c>
      <c r="Y89" s="3">
        <f>_xlfn.IFS(V109&lt;=400,10,V109&gt;400,12)</f>
        <v>10</v>
      </c>
      <c r="Z89" s="1">
        <v>0</v>
      </c>
      <c r="AA89" s="3">
        <v>0</v>
      </c>
      <c r="AB89" s="8" t="s">
        <v>308</v>
      </c>
      <c r="AC89" s="3">
        <v>50</v>
      </c>
      <c r="AD89" s="1" t="s">
        <v>311</v>
      </c>
      <c r="AE89" s="1">
        <v>2300471</v>
      </c>
    </row>
    <row r="90" spans="1:31">
      <c r="A90" s="1">
        <v>380013</v>
      </c>
      <c r="B90" s="1">
        <v>331010</v>
      </c>
      <c r="C90" s="2">
        <v>38001</v>
      </c>
      <c r="D90" s="2">
        <v>30</v>
      </c>
      <c r="E90" s="1" t="s">
        <v>312</v>
      </c>
      <c r="F90" s="1">
        <v>1</v>
      </c>
      <c r="G90" s="1" t="s">
        <v>313</v>
      </c>
      <c r="H90" s="1" t="s">
        <v>313</v>
      </c>
      <c r="I90" s="3">
        <v>1.3</v>
      </c>
      <c r="J90" s="3">
        <v>2</v>
      </c>
      <c r="K90" s="4" t="s">
        <v>279</v>
      </c>
      <c r="L90" s="1" t="s">
        <v>74</v>
      </c>
      <c r="M90" s="1">
        <v>0</v>
      </c>
      <c r="N90" s="1">
        <v>0</v>
      </c>
      <c r="O90" s="4">
        <f t="shared" si="14"/>
        <v>2</v>
      </c>
      <c r="P90" s="1">
        <v>120</v>
      </c>
      <c r="Q90" s="1">
        <v>24</v>
      </c>
      <c r="R90" s="1">
        <v>12</v>
      </c>
      <c r="S90" s="1">
        <v>24</v>
      </c>
      <c r="T90" s="1">
        <v>12</v>
      </c>
      <c r="U90" s="1">
        <v>4</v>
      </c>
      <c r="V90" s="3">
        <v>1200</v>
      </c>
      <c r="W90" s="3">
        <f t="shared" si="17"/>
        <v>1300</v>
      </c>
      <c r="X90" s="3">
        <v>400</v>
      </c>
      <c r="Y90" s="3">
        <f t="shared" ref="Y90:Y97" si="18">_xlfn.IFS(V90&lt;=400,10,V90&gt;400,12)</f>
        <v>12</v>
      </c>
      <c r="Z90" s="1">
        <v>0</v>
      </c>
      <c r="AA90" s="3">
        <v>0</v>
      </c>
      <c r="AB90" s="8" t="s">
        <v>308</v>
      </c>
      <c r="AC90" s="3">
        <v>50</v>
      </c>
      <c r="AD90" s="1">
        <v>761001</v>
      </c>
      <c r="AE90" s="1">
        <v>2300491</v>
      </c>
    </row>
    <row r="91" spans="1:31">
      <c r="A91" s="1">
        <v>380014</v>
      </c>
      <c r="B91" s="1">
        <v>232010</v>
      </c>
      <c r="C91" s="2">
        <v>38001</v>
      </c>
      <c r="D91" s="2">
        <v>20</v>
      </c>
      <c r="E91" s="1" t="s">
        <v>314</v>
      </c>
      <c r="F91" s="1">
        <v>1</v>
      </c>
      <c r="G91" s="1" t="s">
        <v>315</v>
      </c>
      <c r="H91" s="1" t="s">
        <v>315</v>
      </c>
      <c r="I91" s="3">
        <v>1.3</v>
      </c>
      <c r="J91" s="3">
        <v>2</v>
      </c>
      <c r="K91" s="4" t="s">
        <v>279</v>
      </c>
      <c r="L91" s="1" t="s">
        <v>70</v>
      </c>
      <c r="M91" s="1">
        <v>0</v>
      </c>
      <c r="N91" s="1">
        <v>332010</v>
      </c>
      <c r="O91" s="4">
        <f t="shared" si="14"/>
        <v>2</v>
      </c>
      <c r="P91" s="1">
        <v>80</v>
      </c>
      <c r="Q91" s="1">
        <v>16</v>
      </c>
      <c r="R91" s="1">
        <v>8</v>
      </c>
      <c r="S91" s="1">
        <v>16</v>
      </c>
      <c r="T91" s="1">
        <v>8</v>
      </c>
      <c r="U91" s="1">
        <v>3</v>
      </c>
      <c r="V91" s="3">
        <v>1200</v>
      </c>
      <c r="W91" s="3">
        <f t="shared" si="17"/>
        <v>1300</v>
      </c>
      <c r="X91" s="3">
        <v>400</v>
      </c>
      <c r="Y91" s="3">
        <f t="shared" si="18"/>
        <v>12</v>
      </c>
      <c r="Z91" s="1">
        <v>0</v>
      </c>
      <c r="AA91" s="3">
        <v>0</v>
      </c>
      <c r="AB91" s="8" t="s">
        <v>308</v>
      </c>
      <c r="AC91" s="3">
        <v>50</v>
      </c>
      <c r="AD91" s="1">
        <v>551001</v>
      </c>
      <c r="AE91" s="1">
        <v>2300481</v>
      </c>
    </row>
    <row r="92" spans="1:31">
      <c r="A92" s="1">
        <v>380015</v>
      </c>
      <c r="B92" s="1">
        <v>332010</v>
      </c>
      <c r="C92" s="2">
        <v>38001</v>
      </c>
      <c r="D92" s="2">
        <v>30</v>
      </c>
      <c r="E92" s="1" t="s">
        <v>316</v>
      </c>
      <c r="F92" s="1">
        <v>1</v>
      </c>
      <c r="G92" s="1" t="s">
        <v>317</v>
      </c>
      <c r="H92" s="1" t="s">
        <v>317</v>
      </c>
      <c r="I92" s="3">
        <v>1.3</v>
      </c>
      <c r="J92" s="3">
        <v>2</v>
      </c>
      <c r="K92" s="4" t="s">
        <v>279</v>
      </c>
      <c r="L92" s="1" t="s">
        <v>74</v>
      </c>
      <c r="M92" s="1">
        <v>0</v>
      </c>
      <c r="N92" s="1">
        <v>0</v>
      </c>
      <c r="O92" s="4">
        <f t="shared" si="14"/>
        <v>2</v>
      </c>
      <c r="P92" s="1">
        <v>120</v>
      </c>
      <c r="Q92" s="1">
        <v>24</v>
      </c>
      <c r="R92" s="1">
        <v>12</v>
      </c>
      <c r="S92" s="1">
        <v>24</v>
      </c>
      <c r="T92" s="1">
        <v>12</v>
      </c>
      <c r="U92" s="1">
        <v>4</v>
      </c>
      <c r="V92" s="3">
        <v>1200</v>
      </c>
      <c r="W92" s="3">
        <f t="shared" si="17"/>
        <v>1300</v>
      </c>
      <c r="X92" s="3">
        <v>400</v>
      </c>
      <c r="Y92" s="3">
        <f t="shared" si="18"/>
        <v>12</v>
      </c>
      <c r="Z92" s="1">
        <v>0</v>
      </c>
      <c r="AA92" s="3">
        <v>0</v>
      </c>
      <c r="AB92" s="8" t="s">
        <v>308</v>
      </c>
      <c r="AC92" s="3">
        <v>50</v>
      </c>
      <c r="AD92" s="1">
        <v>361003</v>
      </c>
      <c r="AE92" s="1">
        <v>2300501</v>
      </c>
    </row>
    <row r="93" spans="1:31">
      <c r="A93" s="1">
        <v>380021</v>
      </c>
      <c r="B93" s="1">
        <v>130011</v>
      </c>
      <c r="C93" s="2">
        <v>38002</v>
      </c>
      <c r="D93" s="2">
        <v>1</v>
      </c>
      <c r="E93" s="1" t="s">
        <v>292</v>
      </c>
      <c r="F93" s="1">
        <v>1</v>
      </c>
      <c r="G93" s="1" t="s">
        <v>318</v>
      </c>
      <c r="H93" s="1" t="s">
        <v>198</v>
      </c>
      <c r="I93" s="3">
        <v>1.3</v>
      </c>
      <c r="J93" s="3">
        <v>1</v>
      </c>
      <c r="K93" s="4" t="s">
        <v>187</v>
      </c>
      <c r="L93" s="1" t="s">
        <v>65</v>
      </c>
      <c r="M93" s="1">
        <v>0</v>
      </c>
      <c r="N93" s="1" t="s">
        <v>319</v>
      </c>
      <c r="O93" s="4">
        <f t="shared" si="14"/>
        <v>2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250</v>
      </c>
      <c r="W93" s="3">
        <f t="shared" si="17"/>
        <v>700</v>
      </c>
      <c r="X93" s="3">
        <v>400</v>
      </c>
      <c r="Y93" s="3">
        <f t="shared" si="18"/>
        <v>10</v>
      </c>
      <c r="Z93" s="1" t="s">
        <v>295</v>
      </c>
      <c r="AA93" s="3">
        <v>2300511</v>
      </c>
      <c r="AB93" s="8" t="s">
        <v>320</v>
      </c>
      <c r="AC93" s="3">
        <v>50</v>
      </c>
      <c r="AD93" s="1">
        <v>0</v>
      </c>
      <c r="AE93" s="1">
        <v>0</v>
      </c>
    </row>
    <row r="94" spans="1:31">
      <c r="A94" s="1">
        <v>380022</v>
      </c>
      <c r="B94" s="1">
        <v>231011</v>
      </c>
      <c r="C94" s="2">
        <v>38002</v>
      </c>
      <c r="D94" s="2">
        <v>20</v>
      </c>
      <c r="E94" s="1" t="s">
        <v>321</v>
      </c>
      <c r="F94" s="1">
        <v>1</v>
      </c>
      <c r="G94" s="1" t="s">
        <v>322</v>
      </c>
      <c r="H94" s="1" t="s">
        <v>202</v>
      </c>
      <c r="I94" s="3">
        <v>1.3</v>
      </c>
      <c r="J94" s="3">
        <v>1</v>
      </c>
      <c r="K94" s="4" t="s">
        <v>187</v>
      </c>
      <c r="L94" s="1" t="s">
        <v>70</v>
      </c>
      <c r="M94" s="1">
        <v>0</v>
      </c>
      <c r="N94" s="1">
        <v>331011</v>
      </c>
      <c r="O94" s="4">
        <f t="shared" si="14"/>
        <v>2</v>
      </c>
      <c r="P94" s="1">
        <v>80</v>
      </c>
      <c r="Q94" s="1">
        <v>16</v>
      </c>
      <c r="R94" s="1">
        <v>8</v>
      </c>
      <c r="S94" s="1">
        <v>16</v>
      </c>
      <c r="T94" s="1">
        <v>8</v>
      </c>
      <c r="U94" s="1">
        <v>3</v>
      </c>
      <c r="V94" s="3">
        <v>250</v>
      </c>
      <c r="W94" s="3">
        <f t="shared" si="17"/>
        <v>700</v>
      </c>
      <c r="X94" s="3">
        <v>400</v>
      </c>
      <c r="Y94" s="3">
        <f t="shared" si="18"/>
        <v>10</v>
      </c>
      <c r="Z94" s="1">
        <v>0</v>
      </c>
      <c r="AA94" s="3">
        <v>0</v>
      </c>
      <c r="AB94" s="8" t="s">
        <v>320</v>
      </c>
      <c r="AC94" s="3">
        <v>50</v>
      </c>
      <c r="AD94" s="1" t="s">
        <v>192</v>
      </c>
      <c r="AE94" s="1">
        <v>2300521</v>
      </c>
    </row>
    <row r="95" spans="1:31">
      <c r="A95" s="1">
        <v>380023</v>
      </c>
      <c r="B95" s="1">
        <v>331011</v>
      </c>
      <c r="C95" s="2">
        <v>38002</v>
      </c>
      <c r="D95" s="2">
        <v>30</v>
      </c>
      <c r="E95" s="1" t="s">
        <v>323</v>
      </c>
      <c r="F95" s="1">
        <v>1</v>
      </c>
      <c r="G95" s="1" t="s">
        <v>324</v>
      </c>
      <c r="H95" s="1" t="s">
        <v>205</v>
      </c>
      <c r="I95" s="3">
        <v>1.3</v>
      </c>
      <c r="J95" s="3">
        <v>1</v>
      </c>
      <c r="K95" s="4" t="s">
        <v>187</v>
      </c>
      <c r="L95" s="1" t="s">
        <v>74</v>
      </c>
      <c r="M95" s="1">
        <v>0</v>
      </c>
      <c r="N95" s="1">
        <v>0</v>
      </c>
      <c r="O95" s="4">
        <f t="shared" si="14"/>
        <v>2</v>
      </c>
      <c r="P95" s="1">
        <v>120</v>
      </c>
      <c r="Q95" s="1">
        <v>24</v>
      </c>
      <c r="R95" s="1">
        <v>12</v>
      </c>
      <c r="S95" s="1">
        <v>24</v>
      </c>
      <c r="T95" s="1">
        <v>12</v>
      </c>
      <c r="U95" s="1">
        <v>4</v>
      </c>
      <c r="V95" s="3">
        <v>250</v>
      </c>
      <c r="W95" s="3">
        <f t="shared" si="17"/>
        <v>700</v>
      </c>
      <c r="X95" s="3">
        <v>400</v>
      </c>
      <c r="Y95" s="3">
        <f t="shared" si="18"/>
        <v>10</v>
      </c>
      <c r="Z95" s="1">
        <v>0</v>
      </c>
      <c r="AA95" s="3">
        <v>0</v>
      </c>
      <c r="AB95" s="8" t="s">
        <v>320</v>
      </c>
      <c r="AC95" s="3">
        <v>50</v>
      </c>
      <c r="AD95" s="1">
        <v>161001</v>
      </c>
      <c r="AE95" s="1">
        <v>2300541</v>
      </c>
    </row>
    <row r="96" spans="1:31">
      <c r="A96" s="1">
        <v>380024</v>
      </c>
      <c r="B96" s="1">
        <v>232011</v>
      </c>
      <c r="C96" s="2">
        <v>38002</v>
      </c>
      <c r="D96" s="2">
        <v>20</v>
      </c>
      <c r="E96" s="1" t="s">
        <v>325</v>
      </c>
      <c r="F96" s="1">
        <v>1</v>
      </c>
      <c r="G96" s="1" t="s">
        <v>326</v>
      </c>
      <c r="H96" s="1" t="s">
        <v>206</v>
      </c>
      <c r="I96" s="3">
        <v>1.3</v>
      </c>
      <c r="J96" s="3">
        <v>1</v>
      </c>
      <c r="K96" s="4" t="s">
        <v>187</v>
      </c>
      <c r="L96" s="1" t="s">
        <v>70</v>
      </c>
      <c r="M96" s="1">
        <v>0</v>
      </c>
      <c r="N96" s="1">
        <v>332011</v>
      </c>
      <c r="O96" s="4">
        <f t="shared" si="14"/>
        <v>2</v>
      </c>
      <c r="P96" s="1">
        <v>80</v>
      </c>
      <c r="Q96" s="1">
        <v>16</v>
      </c>
      <c r="R96" s="1">
        <v>8</v>
      </c>
      <c r="S96" s="1">
        <v>16</v>
      </c>
      <c r="T96" s="1">
        <v>8</v>
      </c>
      <c r="U96" s="1">
        <v>3</v>
      </c>
      <c r="V96" s="3">
        <v>250</v>
      </c>
      <c r="W96" s="3">
        <f t="shared" si="17"/>
        <v>700</v>
      </c>
      <c r="X96" s="3">
        <v>400</v>
      </c>
      <c r="Y96" s="3">
        <f t="shared" si="18"/>
        <v>10</v>
      </c>
      <c r="Z96" s="1">
        <v>0</v>
      </c>
      <c r="AA96" s="3">
        <v>0</v>
      </c>
      <c r="AB96" s="8" t="s">
        <v>320</v>
      </c>
      <c r="AC96" s="3">
        <v>50</v>
      </c>
      <c r="AD96" s="1">
        <v>251002</v>
      </c>
      <c r="AE96" s="1">
        <v>2300531</v>
      </c>
    </row>
    <row r="97" spans="1:31">
      <c r="A97" s="1">
        <v>380025</v>
      </c>
      <c r="B97" s="1">
        <v>332011</v>
      </c>
      <c r="C97" s="2">
        <v>38002</v>
      </c>
      <c r="D97" s="2">
        <v>30</v>
      </c>
      <c r="E97" s="1" t="s">
        <v>327</v>
      </c>
      <c r="F97" s="1">
        <v>1</v>
      </c>
      <c r="G97" s="1" t="s">
        <v>328</v>
      </c>
      <c r="H97" s="1" t="s">
        <v>208</v>
      </c>
      <c r="I97" s="3">
        <v>1.3</v>
      </c>
      <c r="J97" s="3">
        <v>1</v>
      </c>
      <c r="K97" s="4" t="s">
        <v>187</v>
      </c>
      <c r="L97" s="1" t="s">
        <v>74</v>
      </c>
      <c r="M97" s="1">
        <v>0</v>
      </c>
      <c r="N97" s="1">
        <v>0</v>
      </c>
      <c r="O97" s="4">
        <f t="shared" si="14"/>
        <v>2</v>
      </c>
      <c r="P97" s="1">
        <v>120</v>
      </c>
      <c r="Q97" s="1">
        <v>24</v>
      </c>
      <c r="R97" s="1">
        <v>12</v>
      </c>
      <c r="S97" s="1">
        <v>24</v>
      </c>
      <c r="T97" s="1">
        <v>12</v>
      </c>
      <c r="U97" s="1">
        <v>4</v>
      </c>
      <c r="V97" s="3">
        <v>250</v>
      </c>
      <c r="W97" s="3">
        <f t="shared" si="17"/>
        <v>700</v>
      </c>
      <c r="X97" s="3">
        <v>400</v>
      </c>
      <c r="Y97" s="3">
        <f t="shared" si="18"/>
        <v>10</v>
      </c>
      <c r="Z97" s="1">
        <v>0</v>
      </c>
      <c r="AA97" s="3">
        <v>0</v>
      </c>
      <c r="AB97" s="8" t="s">
        <v>320</v>
      </c>
      <c r="AC97" s="3">
        <v>50</v>
      </c>
      <c r="AD97" s="1">
        <v>761001</v>
      </c>
      <c r="AE97" s="1">
        <v>2300551</v>
      </c>
    </row>
  </sheetData>
  <autoFilter ref="A3:AE97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7"/>
  <sheetViews>
    <sheetView workbookViewId="0">
      <pane ySplit="3" topLeftCell="A4" activePane="bottomLeft" state="frozen"/>
      <selection/>
      <selection pane="bottomLeft" activeCell="A5" sqref="A5"/>
    </sheetView>
  </sheetViews>
  <sheetFormatPr defaultColWidth="9" defaultRowHeight="16.5"/>
  <cols>
    <col min="1" max="11" width="9" style="1"/>
    <col min="12" max="12" width="15.5" style="1" customWidth="1"/>
    <col min="13" max="18" width="14.125" style="1" customWidth="1"/>
    <col min="19" max="19" width="14.25" style="1" customWidth="1"/>
    <col min="20" max="20" width="14.125" style="1" customWidth="1"/>
    <col min="21" max="21" width="14.25" style="1" customWidth="1"/>
    <col min="22" max="22" width="13.875" style="1" customWidth="1"/>
    <col min="23" max="23" width="13.25" style="1" customWidth="1"/>
    <col min="24" max="24" width="14.625" style="1" customWidth="1"/>
    <col min="25" max="25" width="9" style="8"/>
    <col min="26" max="16384" width="9" style="1"/>
  </cols>
  <sheetData>
    <row r="1" s="1" customFormat="1" spans="1: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6</v>
      </c>
      <c r="L1" s="1" t="s">
        <v>12</v>
      </c>
      <c r="M1" s="11" t="s">
        <v>14</v>
      </c>
      <c r="N1" s="11" t="s">
        <v>15</v>
      </c>
      <c r="O1" s="11" t="s">
        <v>16</v>
      </c>
      <c r="P1" s="11" t="s">
        <v>17</v>
      </c>
      <c r="Q1" s="11" t="s">
        <v>18</v>
      </c>
      <c r="R1" s="11" t="s">
        <v>19</v>
      </c>
      <c r="S1" s="1" t="s">
        <v>20</v>
      </c>
      <c r="T1" s="14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</row>
    <row r="2" s="1" customFormat="1" spans="1:25">
      <c r="A2" s="1" t="s">
        <v>30</v>
      </c>
      <c r="B2" s="1" t="s">
        <v>30</v>
      </c>
      <c r="C2" s="1" t="s">
        <v>30</v>
      </c>
      <c r="D2" s="1" t="s">
        <v>31</v>
      </c>
      <c r="E2" s="1" t="s">
        <v>30</v>
      </c>
      <c r="F2" s="1" t="s">
        <v>31</v>
      </c>
      <c r="G2" s="1" t="s">
        <v>31</v>
      </c>
      <c r="H2" s="1" t="s">
        <v>30</v>
      </c>
      <c r="I2" s="1" t="s">
        <v>30</v>
      </c>
      <c r="J2" s="1" t="s">
        <v>30</v>
      </c>
      <c r="K2" s="1" t="s">
        <v>31</v>
      </c>
      <c r="L2" s="1" t="s">
        <v>31</v>
      </c>
      <c r="M2" s="4" t="s">
        <v>30</v>
      </c>
      <c r="N2" s="4" t="s">
        <v>30</v>
      </c>
      <c r="O2" s="4" t="s">
        <v>30</v>
      </c>
      <c r="P2" s="4" t="s">
        <v>30</v>
      </c>
      <c r="Q2" s="4" t="s">
        <v>30</v>
      </c>
      <c r="R2" s="4" t="s">
        <v>30</v>
      </c>
      <c r="S2" s="1" t="s">
        <v>30</v>
      </c>
      <c r="T2" s="15" t="s">
        <v>30</v>
      </c>
      <c r="U2" s="1" t="s">
        <v>30</v>
      </c>
      <c r="V2" s="1" t="s">
        <v>30</v>
      </c>
      <c r="W2" s="1" t="s">
        <v>31</v>
      </c>
      <c r="X2" s="1" t="s">
        <v>31</v>
      </c>
      <c r="Y2" s="1" t="s">
        <v>31</v>
      </c>
    </row>
    <row r="3" s="1" customFormat="1" spans="1:25">
      <c r="A3" s="1" t="s">
        <v>0</v>
      </c>
      <c r="B3" s="1" t="s">
        <v>33</v>
      </c>
      <c r="C3" s="1" t="s">
        <v>34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41</v>
      </c>
      <c r="I3" s="1" t="s">
        <v>329</v>
      </c>
      <c r="J3" s="1" t="s">
        <v>43</v>
      </c>
      <c r="K3" s="1" t="s">
        <v>44</v>
      </c>
      <c r="L3" s="1" t="s">
        <v>45</v>
      </c>
      <c r="M3" s="4" t="s">
        <v>47</v>
      </c>
      <c r="N3" s="4" t="s">
        <v>48</v>
      </c>
      <c r="O3" s="4" t="s">
        <v>49</v>
      </c>
      <c r="P3" s="4" t="s">
        <v>50</v>
      </c>
      <c r="Q3" s="4" t="s">
        <v>51</v>
      </c>
      <c r="R3" s="4" t="s">
        <v>52</v>
      </c>
      <c r="S3" s="1" t="s">
        <v>53</v>
      </c>
      <c r="T3" s="15" t="s">
        <v>54</v>
      </c>
      <c r="U3" s="1" t="s">
        <v>55</v>
      </c>
      <c r="V3" s="1" t="s">
        <v>330</v>
      </c>
      <c r="W3" s="1" t="s">
        <v>57</v>
      </c>
      <c r="X3" s="1" t="s">
        <v>58</v>
      </c>
      <c r="Y3" s="1" t="s">
        <v>59</v>
      </c>
    </row>
    <row r="4" s="3" customFormat="1" spans="1:25">
      <c r="A4" s="3">
        <v>110011</v>
      </c>
      <c r="B4" s="3">
        <v>110002</v>
      </c>
      <c r="C4" s="9">
        <v>11001</v>
      </c>
      <c r="D4" s="3" t="s">
        <v>63</v>
      </c>
      <c r="E4" s="3">
        <v>1</v>
      </c>
      <c r="F4" s="3" t="s">
        <v>64</v>
      </c>
      <c r="G4" s="3" t="s">
        <v>64</v>
      </c>
      <c r="H4" s="3">
        <v>1</v>
      </c>
      <c r="I4" s="3" t="s">
        <v>65</v>
      </c>
      <c r="J4" s="3" t="s">
        <v>65</v>
      </c>
      <c r="K4" s="3">
        <v>0</v>
      </c>
      <c r="L4" s="3">
        <v>210002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300</v>
      </c>
      <c r="T4" s="3">
        <f t="shared" ref="T4:T67" si="0">MIN(S4+500,1100)</f>
        <v>800</v>
      </c>
      <c r="U4" s="3">
        <v>300</v>
      </c>
      <c r="V4" s="3">
        <v>15</v>
      </c>
      <c r="W4" s="3">
        <v>111001</v>
      </c>
      <c r="X4" s="3">
        <v>0</v>
      </c>
      <c r="Y4" s="8" t="s">
        <v>331</v>
      </c>
    </row>
    <row r="5" s="3" customFormat="1" spans="1:25">
      <c r="A5" s="3">
        <v>110012</v>
      </c>
      <c r="B5" s="3">
        <v>210002</v>
      </c>
      <c r="C5" s="9">
        <v>11001</v>
      </c>
      <c r="D5" s="3" t="s">
        <v>68</v>
      </c>
      <c r="E5" s="3">
        <v>1</v>
      </c>
      <c r="F5" s="3" t="s">
        <v>69</v>
      </c>
      <c r="G5" s="3" t="s">
        <v>69</v>
      </c>
      <c r="H5" s="3">
        <v>1</v>
      </c>
      <c r="I5" s="3">
        <v>1</v>
      </c>
      <c r="J5" s="3" t="s">
        <v>70</v>
      </c>
      <c r="K5" s="3">
        <v>0</v>
      </c>
      <c r="L5" s="3">
        <v>310002</v>
      </c>
      <c r="M5" s="3">
        <v>80</v>
      </c>
      <c r="N5" s="3">
        <v>16</v>
      </c>
      <c r="O5" s="3">
        <v>8</v>
      </c>
      <c r="P5" s="3">
        <v>16</v>
      </c>
      <c r="Q5" s="3">
        <v>8</v>
      </c>
      <c r="R5" s="3">
        <v>3</v>
      </c>
      <c r="S5" s="3">
        <v>300</v>
      </c>
      <c r="T5" s="3">
        <f t="shared" si="0"/>
        <v>800</v>
      </c>
      <c r="U5" s="3">
        <v>300</v>
      </c>
      <c r="V5" s="3">
        <v>15</v>
      </c>
      <c r="W5" s="3">
        <v>0</v>
      </c>
      <c r="X5" s="3">
        <v>0</v>
      </c>
      <c r="Y5" s="8" t="s">
        <v>331</v>
      </c>
    </row>
    <row r="6" s="3" customFormat="1" spans="1:25">
      <c r="A6" s="3">
        <v>110013</v>
      </c>
      <c r="B6" s="3">
        <v>310002</v>
      </c>
      <c r="C6" s="9">
        <v>11001</v>
      </c>
      <c r="D6" s="3" t="s">
        <v>72</v>
      </c>
      <c r="E6" s="3">
        <v>1</v>
      </c>
      <c r="F6" s="3" t="s">
        <v>73</v>
      </c>
      <c r="G6" s="3" t="s">
        <v>73</v>
      </c>
      <c r="H6" s="3">
        <v>1</v>
      </c>
      <c r="I6" s="3">
        <v>1</v>
      </c>
      <c r="J6" s="3" t="s">
        <v>74</v>
      </c>
      <c r="K6" s="3">
        <v>0</v>
      </c>
      <c r="L6" s="3">
        <v>0</v>
      </c>
      <c r="M6" s="3">
        <v>120</v>
      </c>
      <c r="N6" s="3">
        <v>24</v>
      </c>
      <c r="O6" s="3">
        <v>12</v>
      </c>
      <c r="P6" s="3">
        <v>24</v>
      </c>
      <c r="Q6" s="3">
        <v>12</v>
      </c>
      <c r="R6" s="3">
        <v>4</v>
      </c>
      <c r="S6" s="3">
        <v>300</v>
      </c>
      <c r="T6" s="3">
        <f t="shared" si="0"/>
        <v>800</v>
      </c>
      <c r="U6" s="3">
        <v>300</v>
      </c>
      <c r="V6" s="3">
        <v>15</v>
      </c>
      <c r="W6" s="3">
        <v>0</v>
      </c>
      <c r="X6" s="3">
        <v>0</v>
      </c>
      <c r="Y6" s="8" t="s">
        <v>331</v>
      </c>
    </row>
    <row r="7" s="3" customFormat="1" spans="1:25">
      <c r="A7" s="3">
        <v>120011</v>
      </c>
      <c r="B7" s="3">
        <v>110003</v>
      </c>
      <c r="C7" s="9">
        <v>12001</v>
      </c>
      <c r="D7" s="3" t="s">
        <v>77</v>
      </c>
      <c r="E7" s="3">
        <v>1</v>
      </c>
      <c r="F7" s="3" t="s">
        <v>78</v>
      </c>
      <c r="G7" s="3" t="s">
        <v>78</v>
      </c>
      <c r="H7" s="3">
        <v>1</v>
      </c>
      <c r="I7" s="3">
        <v>2</v>
      </c>
      <c r="J7" s="3" t="s">
        <v>65</v>
      </c>
      <c r="K7" s="3">
        <v>0</v>
      </c>
      <c r="L7" s="3">
        <v>210003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300</v>
      </c>
      <c r="T7" s="3">
        <f t="shared" si="0"/>
        <v>800</v>
      </c>
      <c r="U7" s="3">
        <v>450</v>
      </c>
      <c r="V7" s="3">
        <v>15</v>
      </c>
      <c r="W7" s="3">
        <v>211001</v>
      </c>
      <c r="X7" s="3">
        <v>0</v>
      </c>
      <c r="Y7" s="8" t="s">
        <v>332</v>
      </c>
    </row>
    <row r="8" s="3" customFormat="1" spans="1:25">
      <c r="A8" s="3">
        <v>120012</v>
      </c>
      <c r="B8" s="3">
        <v>210003</v>
      </c>
      <c r="C8" s="9">
        <v>12001</v>
      </c>
      <c r="D8" s="3" t="s">
        <v>81</v>
      </c>
      <c r="E8" s="3">
        <v>1</v>
      </c>
      <c r="F8" s="3" t="s">
        <v>82</v>
      </c>
      <c r="G8" s="3" t="s">
        <v>82</v>
      </c>
      <c r="H8" s="3">
        <v>1</v>
      </c>
      <c r="I8" s="3">
        <v>2</v>
      </c>
      <c r="J8" s="3" t="s">
        <v>70</v>
      </c>
      <c r="K8" s="3">
        <v>0</v>
      </c>
      <c r="L8" s="3">
        <v>310003</v>
      </c>
      <c r="M8" s="3">
        <v>80</v>
      </c>
      <c r="N8" s="3">
        <v>16</v>
      </c>
      <c r="O8" s="3">
        <v>8</v>
      </c>
      <c r="P8" s="3">
        <v>16</v>
      </c>
      <c r="Q8" s="3">
        <v>8</v>
      </c>
      <c r="R8" s="3">
        <v>3</v>
      </c>
      <c r="S8" s="3">
        <v>300</v>
      </c>
      <c r="T8" s="3">
        <f t="shared" si="0"/>
        <v>800</v>
      </c>
      <c r="U8" s="3">
        <v>450</v>
      </c>
      <c r="V8" s="3">
        <v>15</v>
      </c>
      <c r="W8" s="3">
        <v>0</v>
      </c>
      <c r="X8" s="3">
        <v>0</v>
      </c>
      <c r="Y8" s="8" t="s">
        <v>332</v>
      </c>
    </row>
    <row r="9" s="3" customFormat="1" spans="1:25">
      <c r="A9" s="3">
        <v>120013</v>
      </c>
      <c r="B9" s="3">
        <v>310003</v>
      </c>
      <c r="C9" s="9">
        <v>12001</v>
      </c>
      <c r="D9" s="3" t="s">
        <v>84</v>
      </c>
      <c r="E9" s="3">
        <v>1</v>
      </c>
      <c r="F9" s="3" t="s">
        <v>85</v>
      </c>
      <c r="G9" s="3" t="s">
        <v>85</v>
      </c>
      <c r="H9" s="3">
        <v>1</v>
      </c>
      <c r="I9" s="3">
        <v>2</v>
      </c>
      <c r="J9" s="3" t="s">
        <v>74</v>
      </c>
      <c r="K9" s="3">
        <v>0</v>
      </c>
      <c r="L9" s="3">
        <v>0</v>
      </c>
      <c r="M9" s="3">
        <v>120</v>
      </c>
      <c r="N9" s="3">
        <v>24</v>
      </c>
      <c r="O9" s="3">
        <v>12</v>
      </c>
      <c r="P9" s="3">
        <v>24</v>
      </c>
      <c r="Q9" s="3">
        <v>12</v>
      </c>
      <c r="R9" s="3">
        <v>4</v>
      </c>
      <c r="S9" s="3">
        <v>300</v>
      </c>
      <c r="T9" s="3">
        <f t="shared" si="0"/>
        <v>800</v>
      </c>
      <c r="U9" s="3">
        <v>450</v>
      </c>
      <c r="V9" s="3">
        <v>15</v>
      </c>
      <c r="W9" s="3">
        <v>0</v>
      </c>
      <c r="X9" s="3">
        <v>0</v>
      </c>
      <c r="Y9" s="8" t="s">
        <v>332</v>
      </c>
    </row>
    <row r="10" s="7" customFormat="1" spans="1:25">
      <c r="A10" s="7">
        <v>130011</v>
      </c>
      <c r="B10" s="7">
        <v>110004</v>
      </c>
      <c r="C10" s="10">
        <v>13001</v>
      </c>
      <c r="D10" s="7" t="s">
        <v>88</v>
      </c>
      <c r="E10" s="7">
        <v>2</v>
      </c>
      <c r="F10" s="7" t="s">
        <v>89</v>
      </c>
      <c r="G10" s="3" t="s">
        <v>89</v>
      </c>
      <c r="H10" s="3">
        <v>1</v>
      </c>
      <c r="I10" s="3">
        <v>3</v>
      </c>
      <c r="J10" s="3" t="s">
        <v>65</v>
      </c>
      <c r="K10" s="3">
        <v>0</v>
      </c>
      <c r="L10" s="3">
        <v>210004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">
        <f>IF(E10=1,300,800)</f>
        <v>800</v>
      </c>
      <c r="T10" s="3">
        <f t="shared" si="0"/>
        <v>1100</v>
      </c>
      <c r="U10" s="3">
        <v>300</v>
      </c>
      <c r="V10" s="3">
        <v>15</v>
      </c>
      <c r="W10" s="7">
        <v>311001</v>
      </c>
      <c r="X10" s="3">
        <v>0</v>
      </c>
      <c r="Y10" s="8" t="s">
        <v>333</v>
      </c>
    </row>
    <row r="11" s="7" customFormat="1" spans="1:25">
      <c r="A11" s="7">
        <v>130012</v>
      </c>
      <c r="B11" s="7">
        <v>210004</v>
      </c>
      <c r="C11" s="10">
        <v>13001</v>
      </c>
      <c r="D11" s="7" t="s">
        <v>92</v>
      </c>
      <c r="E11" s="7">
        <v>2</v>
      </c>
      <c r="F11" s="7" t="s">
        <v>93</v>
      </c>
      <c r="G11" s="3" t="s">
        <v>93</v>
      </c>
      <c r="H11" s="3">
        <v>1</v>
      </c>
      <c r="I11" s="3">
        <v>3</v>
      </c>
      <c r="J11" s="3" t="s">
        <v>70</v>
      </c>
      <c r="K11" s="3">
        <v>0</v>
      </c>
      <c r="L11" s="3">
        <v>310004</v>
      </c>
      <c r="M11" s="12">
        <v>80</v>
      </c>
      <c r="N11" s="13">
        <v>16</v>
      </c>
      <c r="O11" s="13">
        <v>8</v>
      </c>
      <c r="P11" s="13">
        <v>16</v>
      </c>
      <c r="Q11" s="13">
        <v>8</v>
      </c>
      <c r="R11" s="13">
        <v>3</v>
      </c>
      <c r="S11" s="3">
        <f>IF(E11=1,300,800)</f>
        <v>800</v>
      </c>
      <c r="T11" s="3">
        <f t="shared" si="0"/>
        <v>1100</v>
      </c>
      <c r="U11" s="3">
        <v>300</v>
      </c>
      <c r="V11" s="3">
        <v>15</v>
      </c>
      <c r="W11" s="7">
        <v>0</v>
      </c>
      <c r="X11" s="3">
        <v>0</v>
      </c>
      <c r="Y11" s="8" t="s">
        <v>333</v>
      </c>
    </row>
    <row r="12" s="7" customFormat="1" spans="1:25">
      <c r="A12" s="7">
        <v>130013</v>
      </c>
      <c r="B12" s="7">
        <v>310004</v>
      </c>
      <c r="C12" s="10">
        <v>13001</v>
      </c>
      <c r="D12" s="7" t="s">
        <v>95</v>
      </c>
      <c r="E12" s="7">
        <v>2</v>
      </c>
      <c r="F12" s="7" t="s">
        <v>96</v>
      </c>
      <c r="G12" s="3" t="s">
        <v>96</v>
      </c>
      <c r="H12" s="3">
        <v>1</v>
      </c>
      <c r="I12" s="3">
        <v>3</v>
      </c>
      <c r="J12" s="3" t="s">
        <v>74</v>
      </c>
      <c r="K12" s="3">
        <v>0</v>
      </c>
      <c r="L12" s="3">
        <v>0</v>
      </c>
      <c r="M12" s="12">
        <v>120</v>
      </c>
      <c r="N12" s="13">
        <v>24</v>
      </c>
      <c r="O12" s="13">
        <v>12</v>
      </c>
      <c r="P12" s="13">
        <v>24</v>
      </c>
      <c r="Q12" s="13">
        <v>12</v>
      </c>
      <c r="R12" s="13">
        <v>4</v>
      </c>
      <c r="S12" s="3">
        <f>IF(E12=1,300,800)</f>
        <v>800</v>
      </c>
      <c r="T12" s="3">
        <f t="shared" si="0"/>
        <v>1100</v>
      </c>
      <c r="U12" s="3">
        <v>300</v>
      </c>
      <c r="V12" s="3">
        <v>15</v>
      </c>
      <c r="W12" s="7">
        <v>0</v>
      </c>
      <c r="X12" s="3">
        <v>0</v>
      </c>
      <c r="Y12" s="8" t="s">
        <v>333</v>
      </c>
    </row>
    <row r="13" s="1" customFormat="1" spans="1:25">
      <c r="A13" s="1">
        <v>140011</v>
      </c>
      <c r="B13" s="1">
        <v>110005</v>
      </c>
      <c r="C13" s="2">
        <v>14001</v>
      </c>
      <c r="D13" s="1" t="s">
        <v>99</v>
      </c>
      <c r="E13" s="1">
        <v>1</v>
      </c>
      <c r="F13" s="1" t="s">
        <v>100</v>
      </c>
      <c r="G13" s="3" t="s">
        <v>100</v>
      </c>
      <c r="H13" s="3">
        <v>1</v>
      </c>
      <c r="I13" s="3">
        <v>4</v>
      </c>
      <c r="J13" s="3" t="s">
        <v>65</v>
      </c>
      <c r="K13" s="3">
        <v>0</v>
      </c>
      <c r="L13" s="3">
        <v>210005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3">
        <v>300</v>
      </c>
      <c r="T13" s="3">
        <f t="shared" si="0"/>
        <v>800</v>
      </c>
      <c r="U13" s="1">
        <v>500</v>
      </c>
      <c r="V13" s="3">
        <v>15</v>
      </c>
      <c r="W13" s="1">
        <v>411001</v>
      </c>
      <c r="X13" s="3">
        <v>0</v>
      </c>
      <c r="Y13" s="8" t="s">
        <v>334</v>
      </c>
    </row>
    <row r="14" s="1" customFormat="1" spans="1:25">
      <c r="A14" s="1">
        <v>140012</v>
      </c>
      <c r="B14" s="1">
        <v>210005</v>
      </c>
      <c r="C14" s="2">
        <v>14001</v>
      </c>
      <c r="D14" s="1" t="s">
        <v>104</v>
      </c>
      <c r="E14" s="1">
        <v>1</v>
      </c>
      <c r="F14" s="1" t="s">
        <v>105</v>
      </c>
      <c r="G14" s="3" t="s">
        <v>105</v>
      </c>
      <c r="H14" s="3">
        <v>1</v>
      </c>
      <c r="I14" s="3">
        <v>4</v>
      </c>
      <c r="J14" s="3" t="s">
        <v>70</v>
      </c>
      <c r="K14" s="3">
        <v>0</v>
      </c>
      <c r="L14" s="3">
        <v>310005</v>
      </c>
      <c r="M14" s="3">
        <v>80</v>
      </c>
      <c r="N14" s="1">
        <v>16</v>
      </c>
      <c r="O14" s="1">
        <v>8</v>
      </c>
      <c r="P14" s="1">
        <v>16</v>
      </c>
      <c r="Q14" s="1">
        <v>8</v>
      </c>
      <c r="R14" s="1">
        <v>3</v>
      </c>
      <c r="S14" s="3">
        <v>300</v>
      </c>
      <c r="T14" s="3">
        <f t="shared" si="0"/>
        <v>800</v>
      </c>
      <c r="U14" s="1">
        <v>500</v>
      </c>
      <c r="V14" s="3">
        <v>15</v>
      </c>
      <c r="W14" s="1">
        <v>0</v>
      </c>
      <c r="X14" s="3">
        <v>0</v>
      </c>
      <c r="Y14" s="8" t="s">
        <v>334</v>
      </c>
    </row>
    <row r="15" s="1" customFormat="1" spans="1:25">
      <c r="A15" s="1">
        <v>140013</v>
      </c>
      <c r="B15" s="1">
        <v>310005</v>
      </c>
      <c r="C15" s="2">
        <v>14001</v>
      </c>
      <c r="D15" s="1" t="s">
        <v>107</v>
      </c>
      <c r="E15" s="1">
        <v>1</v>
      </c>
      <c r="F15" s="1" t="s">
        <v>108</v>
      </c>
      <c r="G15" s="1" t="s">
        <v>108</v>
      </c>
      <c r="H15" s="3">
        <v>1</v>
      </c>
      <c r="I15" s="1">
        <v>4</v>
      </c>
      <c r="J15" s="1" t="s">
        <v>74</v>
      </c>
      <c r="K15" s="1">
        <v>0</v>
      </c>
      <c r="L15" s="1">
        <v>0</v>
      </c>
      <c r="M15" s="1">
        <v>120</v>
      </c>
      <c r="N15" s="1">
        <v>24</v>
      </c>
      <c r="O15" s="1">
        <v>12</v>
      </c>
      <c r="P15" s="1">
        <v>24</v>
      </c>
      <c r="Q15" s="1">
        <v>12</v>
      </c>
      <c r="R15" s="1">
        <v>4</v>
      </c>
      <c r="S15" s="3">
        <v>300</v>
      </c>
      <c r="T15" s="3">
        <f t="shared" si="0"/>
        <v>800</v>
      </c>
      <c r="U15" s="1">
        <v>500</v>
      </c>
      <c r="V15" s="3">
        <v>15</v>
      </c>
      <c r="W15" s="1">
        <v>0</v>
      </c>
      <c r="X15" s="3">
        <v>0</v>
      </c>
      <c r="Y15" s="8" t="s">
        <v>334</v>
      </c>
    </row>
    <row r="16" s="1" customFormat="1" spans="1:25">
      <c r="A16" s="1">
        <v>150011</v>
      </c>
      <c r="B16" s="1">
        <v>110006</v>
      </c>
      <c r="C16" s="2">
        <v>15001</v>
      </c>
      <c r="D16" s="1" t="s">
        <v>111</v>
      </c>
      <c r="E16" s="1">
        <v>2</v>
      </c>
      <c r="F16" s="1" t="s">
        <v>112</v>
      </c>
      <c r="G16" s="1" t="s">
        <v>112</v>
      </c>
      <c r="H16" s="3">
        <v>2</v>
      </c>
      <c r="I16" s="1">
        <v>5</v>
      </c>
      <c r="J16" s="1" t="s">
        <v>65</v>
      </c>
      <c r="K16" s="1">
        <v>0</v>
      </c>
      <c r="L16" s="1">
        <v>210006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f t="shared" ref="S16:S79" si="1">IF(E16=1,300,800)</f>
        <v>800</v>
      </c>
      <c r="T16" s="3">
        <f t="shared" si="0"/>
        <v>1100</v>
      </c>
      <c r="U16" s="3">
        <v>300</v>
      </c>
      <c r="V16" s="3">
        <v>15</v>
      </c>
      <c r="W16" s="1">
        <v>511001</v>
      </c>
      <c r="X16" s="3">
        <v>0</v>
      </c>
      <c r="Y16" s="8" t="s">
        <v>335</v>
      </c>
    </row>
    <row r="17" s="1" customFormat="1" spans="1:25">
      <c r="A17" s="1">
        <v>150012</v>
      </c>
      <c r="B17" s="1">
        <v>210006</v>
      </c>
      <c r="C17" s="2">
        <v>15001</v>
      </c>
      <c r="D17" s="1" t="s">
        <v>116</v>
      </c>
      <c r="E17" s="1">
        <v>2</v>
      </c>
      <c r="F17" s="1" t="s">
        <v>117</v>
      </c>
      <c r="G17" s="1" t="s">
        <v>117</v>
      </c>
      <c r="H17" s="3">
        <v>2</v>
      </c>
      <c r="I17" s="1">
        <v>5</v>
      </c>
      <c r="J17" s="1" t="s">
        <v>70</v>
      </c>
      <c r="K17" s="1">
        <v>0</v>
      </c>
      <c r="L17" s="1">
        <v>310006</v>
      </c>
      <c r="M17" s="1">
        <v>80</v>
      </c>
      <c r="N17" s="1">
        <v>16</v>
      </c>
      <c r="O17" s="1">
        <v>8</v>
      </c>
      <c r="P17" s="1">
        <v>16</v>
      </c>
      <c r="Q17" s="1">
        <v>8</v>
      </c>
      <c r="R17" s="1">
        <v>3</v>
      </c>
      <c r="S17" s="3">
        <f t="shared" si="1"/>
        <v>800</v>
      </c>
      <c r="T17" s="3">
        <f t="shared" si="0"/>
        <v>1100</v>
      </c>
      <c r="U17" s="3">
        <v>300</v>
      </c>
      <c r="V17" s="3">
        <v>15</v>
      </c>
      <c r="W17" s="1">
        <v>0</v>
      </c>
      <c r="X17" s="3">
        <v>0</v>
      </c>
      <c r="Y17" s="8" t="s">
        <v>335</v>
      </c>
    </row>
    <row r="18" s="1" customFormat="1" spans="1:25">
      <c r="A18" s="1">
        <v>150013</v>
      </c>
      <c r="B18" s="1">
        <v>310006</v>
      </c>
      <c r="C18" s="2">
        <v>15001</v>
      </c>
      <c r="D18" s="1" t="s">
        <v>119</v>
      </c>
      <c r="E18" s="1">
        <v>2</v>
      </c>
      <c r="F18" s="1" t="s">
        <v>120</v>
      </c>
      <c r="G18" s="1" t="s">
        <v>120</v>
      </c>
      <c r="H18" s="3">
        <v>2</v>
      </c>
      <c r="I18" s="1">
        <v>5</v>
      </c>
      <c r="J18" s="1" t="s">
        <v>74</v>
      </c>
      <c r="K18" s="1">
        <v>0</v>
      </c>
      <c r="L18" s="1">
        <v>0</v>
      </c>
      <c r="M18" s="1">
        <v>120</v>
      </c>
      <c r="N18" s="1">
        <v>24</v>
      </c>
      <c r="O18" s="1">
        <v>12</v>
      </c>
      <c r="P18" s="1">
        <v>24</v>
      </c>
      <c r="Q18" s="1">
        <v>12</v>
      </c>
      <c r="R18" s="1">
        <v>4</v>
      </c>
      <c r="S18" s="3">
        <f t="shared" si="1"/>
        <v>800</v>
      </c>
      <c r="T18" s="3">
        <f t="shared" si="0"/>
        <v>1100</v>
      </c>
      <c r="U18" s="3">
        <v>300</v>
      </c>
      <c r="V18" s="3">
        <v>15</v>
      </c>
      <c r="W18" s="1">
        <v>0</v>
      </c>
      <c r="X18" s="3">
        <v>0</v>
      </c>
      <c r="Y18" s="8" t="s">
        <v>335</v>
      </c>
    </row>
    <row r="19" s="1" customFormat="1" spans="1:25">
      <c r="A19" s="1">
        <v>160011</v>
      </c>
      <c r="B19" s="1">
        <v>110007</v>
      </c>
      <c r="C19" s="2">
        <v>16001</v>
      </c>
      <c r="D19" s="1" t="s">
        <v>123</v>
      </c>
      <c r="E19" s="1">
        <v>2</v>
      </c>
      <c r="F19" s="1" t="s">
        <v>124</v>
      </c>
      <c r="G19" s="1" t="s">
        <v>124</v>
      </c>
      <c r="H19" s="3">
        <v>2</v>
      </c>
      <c r="I19" s="1">
        <v>6</v>
      </c>
      <c r="J19" s="1" t="s">
        <v>65</v>
      </c>
      <c r="K19" s="1">
        <v>0</v>
      </c>
      <c r="L19" s="1">
        <v>210007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f t="shared" si="1"/>
        <v>800</v>
      </c>
      <c r="T19" s="3">
        <f t="shared" si="0"/>
        <v>1100</v>
      </c>
      <c r="U19" s="3">
        <v>300</v>
      </c>
      <c r="V19" s="3">
        <v>15</v>
      </c>
      <c r="W19" s="1">
        <v>611001</v>
      </c>
      <c r="X19" s="3">
        <v>0</v>
      </c>
      <c r="Y19" s="8" t="s">
        <v>336</v>
      </c>
    </row>
    <row r="20" s="1" customFormat="1" spans="1:25">
      <c r="A20" s="1">
        <v>160012</v>
      </c>
      <c r="B20" s="1">
        <v>210007</v>
      </c>
      <c r="C20" s="2">
        <v>16001</v>
      </c>
      <c r="D20" s="1" t="s">
        <v>128</v>
      </c>
      <c r="E20" s="1">
        <v>2</v>
      </c>
      <c r="F20" s="1" t="s">
        <v>129</v>
      </c>
      <c r="G20" s="1" t="s">
        <v>129</v>
      </c>
      <c r="H20" s="3">
        <v>2</v>
      </c>
      <c r="I20" s="1">
        <v>6</v>
      </c>
      <c r="J20" s="1" t="s">
        <v>70</v>
      </c>
      <c r="K20" s="1">
        <v>0</v>
      </c>
      <c r="L20" s="1">
        <v>310007</v>
      </c>
      <c r="M20" s="1">
        <v>80</v>
      </c>
      <c r="N20" s="1">
        <v>16</v>
      </c>
      <c r="O20" s="1">
        <v>8</v>
      </c>
      <c r="P20" s="1">
        <v>16</v>
      </c>
      <c r="Q20" s="1">
        <v>8</v>
      </c>
      <c r="R20" s="1">
        <v>3</v>
      </c>
      <c r="S20" s="3">
        <f t="shared" si="1"/>
        <v>800</v>
      </c>
      <c r="T20" s="3">
        <f t="shared" si="0"/>
        <v>1100</v>
      </c>
      <c r="U20" s="3">
        <v>300</v>
      </c>
      <c r="V20" s="3">
        <v>15</v>
      </c>
      <c r="W20" s="1">
        <v>0</v>
      </c>
      <c r="X20" s="3">
        <v>0</v>
      </c>
      <c r="Y20" s="8" t="s">
        <v>336</v>
      </c>
    </row>
    <row r="21" s="1" customFormat="1" spans="1:25">
      <c r="A21" s="1">
        <v>160013</v>
      </c>
      <c r="B21" s="1">
        <v>310007</v>
      </c>
      <c r="C21" s="2">
        <v>16001</v>
      </c>
      <c r="D21" s="1" t="s">
        <v>131</v>
      </c>
      <c r="E21" s="1">
        <v>2</v>
      </c>
      <c r="F21" s="1" t="s">
        <v>132</v>
      </c>
      <c r="G21" s="1" t="s">
        <v>132</v>
      </c>
      <c r="H21" s="3">
        <v>2</v>
      </c>
      <c r="I21" s="1">
        <v>6</v>
      </c>
      <c r="J21" s="1" t="s">
        <v>74</v>
      </c>
      <c r="K21" s="1">
        <v>0</v>
      </c>
      <c r="L21" s="1">
        <v>0</v>
      </c>
      <c r="M21" s="1">
        <v>120</v>
      </c>
      <c r="N21" s="1">
        <v>24</v>
      </c>
      <c r="O21" s="1">
        <v>12</v>
      </c>
      <c r="P21" s="1">
        <v>24</v>
      </c>
      <c r="Q21" s="1">
        <v>12</v>
      </c>
      <c r="R21" s="1">
        <v>4</v>
      </c>
      <c r="S21" s="3">
        <f t="shared" si="1"/>
        <v>800</v>
      </c>
      <c r="T21" s="3">
        <f t="shared" si="0"/>
        <v>1100</v>
      </c>
      <c r="U21" s="3">
        <v>300</v>
      </c>
      <c r="V21" s="3">
        <v>15</v>
      </c>
      <c r="W21" s="1">
        <v>0</v>
      </c>
      <c r="X21" s="3">
        <v>0</v>
      </c>
      <c r="Y21" s="8" t="s">
        <v>336</v>
      </c>
    </row>
    <row r="22" s="1" customFormat="1" spans="1:25">
      <c r="A22" s="1">
        <v>210011</v>
      </c>
      <c r="B22" s="1">
        <v>120001</v>
      </c>
      <c r="C22" s="2">
        <v>21001</v>
      </c>
      <c r="D22" s="1" t="s">
        <v>63</v>
      </c>
      <c r="E22" s="1">
        <v>1</v>
      </c>
      <c r="F22" s="1" t="s">
        <v>135</v>
      </c>
      <c r="G22" s="1" t="s">
        <v>135</v>
      </c>
      <c r="H22" s="3">
        <v>1</v>
      </c>
      <c r="I22" s="1">
        <v>1</v>
      </c>
      <c r="J22" s="1" t="s">
        <v>65</v>
      </c>
      <c r="K22" s="1">
        <v>0</v>
      </c>
      <c r="L22" s="1">
        <v>220001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f t="shared" si="1"/>
        <v>300</v>
      </c>
      <c r="T22" s="3">
        <f t="shared" si="0"/>
        <v>800</v>
      </c>
      <c r="U22" s="3">
        <v>300</v>
      </c>
      <c r="V22" s="3">
        <v>15</v>
      </c>
      <c r="W22" s="1">
        <v>111001</v>
      </c>
      <c r="X22" s="3">
        <v>0</v>
      </c>
      <c r="Y22" s="8" t="s">
        <v>136</v>
      </c>
    </row>
    <row r="23" s="1" customFormat="1" spans="1:25">
      <c r="A23" s="1">
        <v>210012</v>
      </c>
      <c r="B23" s="1">
        <v>220001</v>
      </c>
      <c r="C23" s="2">
        <v>21001</v>
      </c>
      <c r="D23" s="1" t="s">
        <v>68</v>
      </c>
      <c r="E23" s="1">
        <v>1</v>
      </c>
      <c r="F23" s="1" t="s">
        <v>137</v>
      </c>
      <c r="G23" s="1" t="s">
        <v>137</v>
      </c>
      <c r="H23" s="3">
        <v>1</v>
      </c>
      <c r="I23" s="1">
        <v>1</v>
      </c>
      <c r="J23" s="1" t="s">
        <v>70</v>
      </c>
      <c r="K23" s="1">
        <v>0</v>
      </c>
      <c r="L23" s="1">
        <v>320001</v>
      </c>
      <c r="M23" s="1">
        <v>80</v>
      </c>
      <c r="N23" s="1">
        <v>16</v>
      </c>
      <c r="O23" s="1">
        <v>8</v>
      </c>
      <c r="P23" s="1">
        <v>16</v>
      </c>
      <c r="Q23" s="1">
        <v>8</v>
      </c>
      <c r="R23" s="1">
        <v>3</v>
      </c>
      <c r="S23" s="3">
        <f t="shared" si="1"/>
        <v>300</v>
      </c>
      <c r="T23" s="3">
        <f t="shared" si="0"/>
        <v>800</v>
      </c>
      <c r="U23" s="3">
        <v>300</v>
      </c>
      <c r="V23" s="3">
        <v>15</v>
      </c>
      <c r="W23" s="1">
        <v>0</v>
      </c>
      <c r="X23" s="3">
        <v>0</v>
      </c>
      <c r="Y23" s="8" t="s">
        <v>136</v>
      </c>
    </row>
    <row r="24" s="1" customFormat="1" spans="1:25">
      <c r="A24" s="1">
        <v>210013</v>
      </c>
      <c r="B24" s="1">
        <v>320001</v>
      </c>
      <c r="C24" s="2">
        <v>21001</v>
      </c>
      <c r="D24" s="1" t="s">
        <v>72</v>
      </c>
      <c r="E24" s="1">
        <v>1</v>
      </c>
      <c r="F24" s="1" t="s">
        <v>140</v>
      </c>
      <c r="G24" s="1" t="s">
        <v>140</v>
      </c>
      <c r="H24" s="3">
        <v>1</v>
      </c>
      <c r="I24" s="1">
        <v>1</v>
      </c>
      <c r="J24" s="1" t="s">
        <v>74</v>
      </c>
      <c r="K24" s="1">
        <v>0</v>
      </c>
      <c r="L24" s="1">
        <v>0</v>
      </c>
      <c r="M24" s="1">
        <v>120</v>
      </c>
      <c r="N24" s="1">
        <v>24</v>
      </c>
      <c r="O24" s="1">
        <v>12</v>
      </c>
      <c r="P24" s="1">
        <v>24</v>
      </c>
      <c r="Q24" s="1">
        <v>12</v>
      </c>
      <c r="R24" s="1">
        <v>4</v>
      </c>
      <c r="S24" s="3">
        <f t="shared" si="1"/>
        <v>300</v>
      </c>
      <c r="T24" s="3">
        <f t="shared" si="0"/>
        <v>800</v>
      </c>
      <c r="U24" s="3">
        <v>300</v>
      </c>
      <c r="V24" s="3">
        <v>15</v>
      </c>
      <c r="W24" s="1">
        <v>0</v>
      </c>
      <c r="X24" s="3">
        <v>0</v>
      </c>
      <c r="Y24" s="8" t="s">
        <v>136</v>
      </c>
    </row>
    <row r="25" s="1" customFormat="1" spans="1:25">
      <c r="A25" s="1">
        <v>220011</v>
      </c>
      <c r="B25" s="1">
        <v>120002</v>
      </c>
      <c r="C25" s="2">
        <v>22001</v>
      </c>
      <c r="D25" s="1" t="s">
        <v>77</v>
      </c>
      <c r="E25" s="1">
        <v>1</v>
      </c>
      <c r="F25" s="1" t="s">
        <v>142</v>
      </c>
      <c r="G25" s="1" t="s">
        <v>142</v>
      </c>
      <c r="H25" s="3">
        <v>1</v>
      </c>
      <c r="I25" s="1">
        <v>2</v>
      </c>
      <c r="J25" s="1" t="s">
        <v>65</v>
      </c>
      <c r="K25" s="1">
        <v>0</v>
      </c>
      <c r="L25" s="1">
        <v>220002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f t="shared" si="1"/>
        <v>300</v>
      </c>
      <c r="T25" s="3">
        <f t="shared" si="0"/>
        <v>800</v>
      </c>
      <c r="U25" s="3">
        <v>450</v>
      </c>
      <c r="V25" s="3">
        <v>15</v>
      </c>
      <c r="W25" s="1">
        <v>211001</v>
      </c>
      <c r="X25" s="3">
        <v>0</v>
      </c>
      <c r="Y25" s="8" t="s">
        <v>337</v>
      </c>
    </row>
    <row r="26" s="1" customFormat="1" spans="1:25">
      <c r="A26" s="1">
        <v>220012</v>
      </c>
      <c r="B26" s="1">
        <v>220002</v>
      </c>
      <c r="C26" s="2">
        <v>22001</v>
      </c>
      <c r="D26" s="1" t="s">
        <v>81</v>
      </c>
      <c r="E26" s="1">
        <v>1</v>
      </c>
      <c r="F26" s="1" t="s">
        <v>145</v>
      </c>
      <c r="G26" s="1" t="s">
        <v>145</v>
      </c>
      <c r="H26" s="3">
        <v>1</v>
      </c>
      <c r="I26" s="1">
        <v>2</v>
      </c>
      <c r="J26" s="1" t="s">
        <v>70</v>
      </c>
      <c r="K26" s="1">
        <v>0</v>
      </c>
      <c r="L26" s="1">
        <v>320002</v>
      </c>
      <c r="M26" s="1">
        <v>80</v>
      </c>
      <c r="N26" s="1">
        <v>16</v>
      </c>
      <c r="O26" s="1">
        <v>8</v>
      </c>
      <c r="P26" s="1">
        <v>16</v>
      </c>
      <c r="Q26" s="1">
        <v>8</v>
      </c>
      <c r="R26" s="1">
        <v>3</v>
      </c>
      <c r="S26" s="3">
        <f t="shared" si="1"/>
        <v>300</v>
      </c>
      <c r="T26" s="3">
        <f t="shared" si="0"/>
        <v>800</v>
      </c>
      <c r="U26" s="3">
        <v>450</v>
      </c>
      <c r="V26" s="3">
        <v>15</v>
      </c>
      <c r="W26" s="1">
        <v>0</v>
      </c>
      <c r="X26" s="3">
        <v>0</v>
      </c>
      <c r="Y26" s="8" t="s">
        <v>337</v>
      </c>
    </row>
    <row r="27" s="1" customFormat="1" spans="1:25">
      <c r="A27" s="1">
        <v>220013</v>
      </c>
      <c r="B27" s="1">
        <v>320002</v>
      </c>
      <c r="C27" s="2">
        <v>22001</v>
      </c>
      <c r="D27" s="1" t="s">
        <v>84</v>
      </c>
      <c r="E27" s="1">
        <v>1</v>
      </c>
      <c r="F27" s="1" t="s">
        <v>148</v>
      </c>
      <c r="G27" s="1" t="s">
        <v>148</v>
      </c>
      <c r="H27" s="3">
        <v>1</v>
      </c>
      <c r="I27" s="1">
        <v>2</v>
      </c>
      <c r="J27" s="1" t="s">
        <v>74</v>
      </c>
      <c r="K27" s="1">
        <v>0</v>
      </c>
      <c r="L27" s="1">
        <v>0</v>
      </c>
      <c r="M27" s="1">
        <v>120</v>
      </c>
      <c r="N27" s="1">
        <v>24</v>
      </c>
      <c r="O27" s="1">
        <v>12</v>
      </c>
      <c r="P27" s="1">
        <v>24</v>
      </c>
      <c r="Q27" s="1">
        <v>12</v>
      </c>
      <c r="R27" s="1">
        <v>4</v>
      </c>
      <c r="S27" s="3">
        <f t="shared" si="1"/>
        <v>300</v>
      </c>
      <c r="T27" s="3">
        <f t="shared" si="0"/>
        <v>800</v>
      </c>
      <c r="U27" s="3">
        <v>450</v>
      </c>
      <c r="V27" s="3">
        <v>15</v>
      </c>
      <c r="W27" s="1">
        <v>0</v>
      </c>
      <c r="X27" s="3">
        <v>0</v>
      </c>
      <c r="Y27" s="8" t="s">
        <v>337</v>
      </c>
    </row>
    <row r="28" s="1" customFormat="1" spans="1:25">
      <c r="A28" s="1">
        <v>230011</v>
      </c>
      <c r="B28" s="1">
        <v>120003</v>
      </c>
      <c r="C28" s="2">
        <v>23001</v>
      </c>
      <c r="D28" s="1" t="s">
        <v>88</v>
      </c>
      <c r="E28" s="1">
        <v>2</v>
      </c>
      <c r="F28" s="1" t="s">
        <v>151</v>
      </c>
      <c r="G28" s="1" t="s">
        <v>151</v>
      </c>
      <c r="H28" s="3">
        <v>1</v>
      </c>
      <c r="I28" s="1">
        <v>3</v>
      </c>
      <c r="J28" s="1" t="s">
        <v>65</v>
      </c>
      <c r="K28" s="1">
        <v>0</v>
      </c>
      <c r="L28" s="1">
        <v>220003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f t="shared" si="1"/>
        <v>800</v>
      </c>
      <c r="T28" s="3">
        <f t="shared" si="0"/>
        <v>1100</v>
      </c>
      <c r="U28" s="3">
        <v>300</v>
      </c>
      <c r="V28" s="3">
        <v>15</v>
      </c>
      <c r="W28" s="1">
        <v>311001</v>
      </c>
      <c r="X28" s="3">
        <v>0</v>
      </c>
      <c r="Y28" s="8" t="s">
        <v>338</v>
      </c>
    </row>
    <row r="29" s="1" customFormat="1" spans="1:25">
      <c r="A29" s="1">
        <v>230012</v>
      </c>
      <c r="B29" s="1">
        <v>220003</v>
      </c>
      <c r="C29" s="2">
        <v>23001</v>
      </c>
      <c r="D29" s="1" t="s">
        <v>92</v>
      </c>
      <c r="E29" s="1">
        <v>2</v>
      </c>
      <c r="F29" s="1" t="s">
        <v>153</v>
      </c>
      <c r="G29" s="1" t="s">
        <v>153</v>
      </c>
      <c r="H29" s="3">
        <v>1</v>
      </c>
      <c r="I29" s="1">
        <v>3</v>
      </c>
      <c r="J29" s="1" t="s">
        <v>70</v>
      </c>
      <c r="K29" s="1">
        <v>0</v>
      </c>
      <c r="L29" s="1">
        <v>320003</v>
      </c>
      <c r="M29" s="1">
        <v>80</v>
      </c>
      <c r="N29" s="1">
        <v>16</v>
      </c>
      <c r="O29" s="1">
        <v>8</v>
      </c>
      <c r="P29" s="1">
        <v>16</v>
      </c>
      <c r="Q29" s="1">
        <v>8</v>
      </c>
      <c r="R29" s="1">
        <v>3</v>
      </c>
      <c r="S29" s="3">
        <f t="shared" si="1"/>
        <v>800</v>
      </c>
      <c r="T29" s="3">
        <f t="shared" si="0"/>
        <v>1100</v>
      </c>
      <c r="U29" s="3">
        <v>300</v>
      </c>
      <c r="V29" s="3">
        <v>15</v>
      </c>
      <c r="W29" s="1">
        <v>0</v>
      </c>
      <c r="X29" s="3">
        <v>0</v>
      </c>
      <c r="Y29" s="8" t="s">
        <v>338</v>
      </c>
    </row>
    <row r="30" s="1" customFormat="1" spans="1:25">
      <c r="A30" s="1">
        <v>230013</v>
      </c>
      <c r="B30" s="1">
        <v>320003</v>
      </c>
      <c r="C30" s="2">
        <v>23001</v>
      </c>
      <c r="D30" s="1" t="s">
        <v>95</v>
      </c>
      <c r="E30" s="1">
        <v>2</v>
      </c>
      <c r="F30" s="1" t="s">
        <v>156</v>
      </c>
      <c r="G30" s="1" t="s">
        <v>156</v>
      </c>
      <c r="H30" s="3">
        <v>1</v>
      </c>
      <c r="I30" s="1">
        <v>3</v>
      </c>
      <c r="J30" s="1" t="s">
        <v>74</v>
      </c>
      <c r="K30" s="1">
        <v>0</v>
      </c>
      <c r="L30" s="1">
        <v>0</v>
      </c>
      <c r="M30" s="1">
        <v>120</v>
      </c>
      <c r="N30" s="1">
        <v>24</v>
      </c>
      <c r="O30" s="1">
        <v>12</v>
      </c>
      <c r="P30" s="1">
        <v>24</v>
      </c>
      <c r="Q30" s="1">
        <v>12</v>
      </c>
      <c r="R30" s="1">
        <v>4</v>
      </c>
      <c r="S30" s="3">
        <f t="shared" si="1"/>
        <v>800</v>
      </c>
      <c r="T30" s="3">
        <f t="shared" si="0"/>
        <v>1100</v>
      </c>
      <c r="U30" s="3">
        <v>300</v>
      </c>
      <c r="V30" s="3">
        <v>15</v>
      </c>
      <c r="W30" s="1">
        <v>0</v>
      </c>
      <c r="X30" s="3">
        <v>0</v>
      </c>
      <c r="Y30" s="8" t="s">
        <v>338</v>
      </c>
    </row>
    <row r="31" s="1" customFormat="1" spans="1:25">
      <c r="A31" s="1">
        <v>240011</v>
      </c>
      <c r="B31" s="1">
        <v>120004</v>
      </c>
      <c r="C31" s="2">
        <v>24001</v>
      </c>
      <c r="D31" s="1" t="s">
        <v>99</v>
      </c>
      <c r="E31" s="1">
        <v>1</v>
      </c>
      <c r="F31" s="1" t="s">
        <v>158</v>
      </c>
      <c r="G31" s="1" t="s">
        <v>158</v>
      </c>
      <c r="H31" s="3">
        <v>1</v>
      </c>
      <c r="I31" s="1">
        <v>4</v>
      </c>
      <c r="J31" s="1" t="s">
        <v>65</v>
      </c>
      <c r="K31" s="1">
        <v>0</v>
      </c>
      <c r="L31" s="1">
        <v>220004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f t="shared" si="1"/>
        <v>300</v>
      </c>
      <c r="T31" s="3">
        <f t="shared" si="0"/>
        <v>800</v>
      </c>
      <c r="U31" s="1">
        <v>500</v>
      </c>
      <c r="V31" s="3">
        <v>15</v>
      </c>
      <c r="W31" s="1">
        <v>411001</v>
      </c>
      <c r="X31" s="3">
        <v>0</v>
      </c>
      <c r="Y31" s="8" t="s">
        <v>339</v>
      </c>
    </row>
    <row r="32" s="1" customFormat="1" spans="1:25">
      <c r="A32" s="1">
        <v>240012</v>
      </c>
      <c r="B32" s="1">
        <v>220004</v>
      </c>
      <c r="C32" s="2">
        <v>24001</v>
      </c>
      <c r="D32" s="1" t="s">
        <v>104</v>
      </c>
      <c r="E32" s="1">
        <v>1</v>
      </c>
      <c r="F32" s="1" t="s">
        <v>161</v>
      </c>
      <c r="G32" s="1" t="s">
        <v>161</v>
      </c>
      <c r="H32" s="3">
        <v>1</v>
      </c>
      <c r="I32" s="1">
        <v>4</v>
      </c>
      <c r="J32" s="1" t="s">
        <v>70</v>
      </c>
      <c r="K32" s="1">
        <v>0</v>
      </c>
      <c r="L32" s="1">
        <v>320004</v>
      </c>
      <c r="M32" s="1">
        <v>80</v>
      </c>
      <c r="N32" s="1">
        <v>16</v>
      </c>
      <c r="O32" s="1">
        <v>8</v>
      </c>
      <c r="P32" s="1">
        <v>16</v>
      </c>
      <c r="Q32" s="1">
        <v>8</v>
      </c>
      <c r="R32" s="1">
        <v>3</v>
      </c>
      <c r="S32" s="3">
        <f t="shared" si="1"/>
        <v>300</v>
      </c>
      <c r="T32" s="3">
        <f t="shared" si="0"/>
        <v>800</v>
      </c>
      <c r="U32" s="1">
        <v>500</v>
      </c>
      <c r="V32" s="3">
        <v>15</v>
      </c>
      <c r="W32" s="1">
        <v>0</v>
      </c>
      <c r="X32" s="3">
        <v>0</v>
      </c>
      <c r="Y32" s="8" t="s">
        <v>339</v>
      </c>
    </row>
    <row r="33" s="1" customFormat="1" spans="1:25">
      <c r="A33" s="1">
        <v>240013</v>
      </c>
      <c r="B33" s="1">
        <v>320004</v>
      </c>
      <c r="C33" s="2">
        <v>24001</v>
      </c>
      <c r="D33" s="1" t="s">
        <v>107</v>
      </c>
      <c r="E33" s="1">
        <v>1</v>
      </c>
      <c r="F33" s="1" t="s">
        <v>163</v>
      </c>
      <c r="G33" s="1" t="s">
        <v>163</v>
      </c>
      <c r="H33" s="3">
        <v>1</v>
      </c>
      <c r="I33" s="1">
        <v>4</v>
      </c>
      <c r="J33" s="1" t="s">
        <v>74</v>
      </c>
      <c r="K33" s="1">
        <v>0</v>
      </c>
      <c r="L33" s="1">
        <v>0</v>
      </c>
      <c r="M33" s="1">
        <v>120</v>
      </c>
      <c r="N33" s="1">
        <v>24</v>
      </c>
      <c r="O33" s="1">
        <v>12</v>
      </c>
      <c r="P33" s="1">
        <v>24</v>
      </c>
      <c r="Q33" s="1">
        <v>12</v>
      </c>
      <c r="R33" s="1">
        <v>4</v>
      </c>
      <c r="S33" s="3">
        <f t="shared" si="1"/>
        <v>300</v>
      </c>
      <c r="T33" s="3">
        <f t="shared" si="0"/>
        <v>800</v>
      </c>
      <c r="U33" s="1">
        <v>500</v>
      </c>
      <c r="V33" s="3">
        <v>15</v>
      </c>
      <c r="W33" s="1">
        <v>0</v>
      </c>
      <c r="X33" s="3">
        <v>0</v>
      </c>
      <c r="Y33" s="8" t="s">
        <v>339</v>
      </c>
    </row>
    <row r="34" s="1" customFormat="1" spans="1:25">
      <c r="A34" s="1">
        <v>250011</v>
      </c>
      <c r="B34" s="1">
        <v>120005</v>
      </c>
      <c r="C34" s="2">
        <v>25001</v>
      </c>
      <c r="D34" s="1" t="s">
        <v>111</v>
      </c>
      <c r="E34" s="1">
        <v>2</v>
      </c>
      <c r="F34" s="1" t="s">
        <v>166</v>
      </c>
      <c r="G34" s="1" t="s">
        <v>166</v>
      </c>
      <c r="H34" s="3">
        <v>2</v>
      </c>
      <c r="I34" s="1">
        <v>5</v>
      </c>
      <c r="J34" s="1" t="s">
        <v>65</v>
      </c>
      <c r="K34" s="1">
        <v>0</v>
      </c>
      <c r="L34" s="1">
        <v>220005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f t="shared" si="1"/>
        <v>800</v>
      </c>
      <c r="T34" s="3">
        <f t="shared" si="0"/>
        <v>1100</v>
      </c>
      <c r="U34" s="3">
        <v>300</v>
      </c>
      <c r="V34" s="3">
        <v>15</v>
      </c>
      <c r="W34" s="1">
        <v>511001</v>
      </c>
      <c r="X34" s="3">
        <v>0</v>
      </c>
      <c r="Y34" s="8" t="s">
        <v>340</v>
      </c>
    </row>
    <row r="35" s="1" customFormat="1" spans="1:25">
      <c r="A35" s="1">
        <v>250012</v>
      </c>
      <c r="B35" s="1">
        <v>220005</v>
      </c>
      <c r="C35" s="2">
        <v>25001</v>
      </c>
      <c r="D35" s="1" t="s">
        <v>116</v>
      </c>
      <c r="E35" s="1">
        <v>2</v>
      </c>
      <c r="F35" s="1" t="s">
        <v>169</v>
      </c>
      <c r="G35" s="1" t="s">
        <v>169</v>
      </c>
      <c r="H35" s="3">
        <v>2</v>
      </c>
      <c r="I35" s="1">
        <v>5</v>
      </c>
      <c r="J35" s="1" t="s">
        <v>70</v>
      </c>
      <c r="K35" s="1">
        <v>0</v>
      </c>
      <c r="L35" s="1">
        <v>320005</v>
      </c>
      <c r="M35" s="1">
        <v>80</v>
      </c>
      <c r="N35" s="1">
        <v>16</v>
      </c>
      <c r="O35" s="1">
        <v>8</v>
      </c>
      <c r="P35" s="1">
        <v>16</v>
      </c>
      <c r="Q35" s="1">
        <v>8</v>
      </c>
      <c r="R35" s="1">
        <v>3</v>
      </c>
      <c r="S35" s="3">
        <f t="shared" si="1"/>
        <v>800</v>
      </c>
      <c r="T35" s="3">
        <f t="shared" si="0"/>
        <v>1100</v>
      </c>
      <c r="U35" s="3">
        <v>300</v>
      </c>
      <c r="V35" s="3">
        <v>15</v>
      </c>
      <c r="W35" s="1">
        <v>0</v>
      </c>
      <c r="X35" s="3">
        <v>0</v>
      </c>
      <c r="Y35" s="8" t="s">
        <v>340</v>
      </c>
    </row>
    <row r="36" s="1" customFormat="1" spans="1:25">
      <c r="A36" s="1">
        <v>250013</v>
      </c>
      <c r="B36" s="1">
        <v>320005</v>
      </c>
      <c r="C36" s="2">
        <v>25001</v>
      </c>
      <c r="D36" s="1" t="s">
        <v>119</v>
      </c>
      <c r="E36" s="1">
        <v>2</v>
      </c>
      <c r="F36" s="1" t="s">
        <v>172</v>
      </c>
      <c r="G36" s="1" t="s">
        <v>172</v>
      </c>
      <c r="H36" s="3">
        <v>2</v>
      </c>
      <c r="I36" s="1">
        <v>5</v>
      </c>
      <c r="J36" s="1" t="s">
        <v>74</v>
      </c>
      <c r="K36" s="1">
        <v>0</v>
      </c>
      <c r="L36" s="1">
        <v>0</v>
      </c>
      <c r="M36" s="1">
        <v>120</v>
      </c>
      <c r="N36" s="1">
        <v>24</v>
      </c>
      <c r="O36" s="1">
        <v>12</v>
      </c>
      <c r="P36" s="1">
        <v>24</v>
      </c>
      <c r="Q36" s="1">
        <v>12</v>
      </c>
      <c r="R36" s="1">
        <v>4</v>
      </c>
      <c r="S36" s="3">
        <f t="shared" si="1"/>
        <v>800</v>
      </c>
      <c r="T36" s="3">
        <f t="shared" si="0"/>
        <v>1100</v>
      </c>
      <c r="U36" s="3">
        <v>300</v>
      </c>
      <c r="V36" s="3">
        <v>15</v>
      </c>
      <c r="W36" s="1">
        <v>0</v>
      </c>
      <c r="X36" s="3">
        <v>0</v>
      </c>
      <c r="Y36" s="8" t="s">
        <v>340</v>
      </c>
    </row>
    <row r="37" s="1" customFormat="1" spans="1:25">
      <c r="A37" s="1">
        <v>260011</v>
      </c>
      <c r="B37" s="1">
        <v>120006</v>
      </c>
      <c r="C37" s="2">
        <v>26001</v>
      </c>
      <c r="D37" s="1" t="s">
        <v>175</v>
      </c>
      <c r="E37" s="1">
        <v>2</v>
      </c>
      <c r="F37" s="1" t="s">
        <v>176</v>
      </c>
      <c r="G37" s="1" t="s">
        <v>176</v>
      </c>
      <c r="H37" s="3">
        <v>2</v>
      </c>
      <c r="I37" s="1">
        <v>6</v>
      </c>
      <c r="J37" s="1" t="s">
        <v>65</v>
      </c>
      <c r="K37" s="1">
        <v>0</v>
      </c>
      <c r="L37" s="1">
        <v>220006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f t="shared" si="1"/>
        <v>800</v>
      </c>
      <c r="T37" s="3">
        <f t="shared" si="0"/>
        <v>1100</v>
      </c>
      <c r="U37" s="3">
        <v>300</v>
      </c>
      <c r="V37" s="3">
        <v>15</v>
      </c>
      <c r="W37" s="1">
        <v>611001</v>
      </c>
      <c r="X37" s="3">
        <v>0</v>
      </c>
      <c r="Y37" s="8" t="s">
        <v>341</v>
      </c>
    </row>
    <row r="38" s="1" customFormat="1" spans="1:25">
      <c r="A38" s="1">
        <v>260012</v>
      </c>
      <c r="B38" s="1">
        <v>220006</v>
      </c>
      <c r="C38" s="2">
        <v>26001</v>
      </c>
      <c r="D38" s="1" t="s">
        <v>179</v>
      </c>
      <c r="E38" s="1">
        <v>2</v>
      </c>
      <c r="F38" s="1" t="s">
        <v>180</v>
      </c>
      <c r="G38" s="1" t="s">
        <v>180</v>
      </c>
      <c r="H38" s="3">
        <v>2</v>
      </c>
      <c r="I38" s="1">
        <v>6</v>
      </c>
      <c r="J38" s="1" t="s">
        <v>70</v>
      </c>
      <c r="K38" s="1">
        <v>0</v>
      </c>
      <c r="L38" s="1">
        <v>320006</v>
      </c>
      <c r="M38" s="1">
        <v>80</v>
      </c>
      <c r="N38" s="1">
        <v>16</v>
      </c>
      <c r="O38" s="1">
        <v>8</v>
      </c>
      <c r="P38" s="1">
        <v>16</v>
      </c>
      <c r="Q38" s="1">
        <v>8</v>
      </c>
      <c r="R38" s="1">
        <v>3</v>
      </c>
      <c r="S38" s="3">
        <f t="shared" si="1"/>
        <v>800</v>
      </c>
      <c r="T38" s="3">
        <f t="shared" si="0"/>
        <v>1100</v>
      </c>
      <c r="U38" s="3">
        <v>300</v>
      </c>
      <c r="V38" s="3">
        <v>15</v>
      </c>
      <c r="W38" s="1">
        <v>0</v>
      </c>
      <c r="X38" s="3">
        <v>0</v>
      </c>
      <c r="Y38" s="8" t="s">
        <v>341</v>
      </c>
    </row>
    <row r="39" s="1" customFormat="1" spans="1:25">
      <c r="A39" s="1">
        <v>260013</v>
      </c>
      <c r="B39" s="1">
        <v>320006</v>
      </c>
      <c r="C39" s="2">
        <v>26001</v>
      </c>
      <c r="D39" s="1" t="s">
        <v>131</v>
      </c>
      <c r="E39" s="1">
        <v>2</v>
      </c>
      <c r="F39" s="1" t="s">
        <v>183</v>
      </c>
      <c r="G39" s="1" t="s">
        <v>183</v>
      </c>
      <c r="H39" s="3">
        <v>2</v>
      </c>
      <c r="I39" s="1">
        <v>6</v>
      </c>
      <c r="J39" s="1" t="s">
        <v>74</v>
      </c>
      <c r="K39" s="1">
        <v>0</v>
      </c>
      <c r="L39" s="1">
        <v>0</v>
      </c>
      <c r="M39" s="1">
        <v>120</v>
      </c>
      <c r="N39" s="1">
        <v>24</v>
      </c>
      <c r="O39" s="1">
        <v>12</v>
      </c>
      <c r="P39" s="1">
        <v>24</v>
      </c>
      <c r="Q39" s="1">
        <v>12</v>
      </c>
      <c r="R39" s="1">
        <v>4</v>
      </c>
      <c r="S39" s="3">
        <f t="shared" si="1"/>
        <v>800</v>
      </c>
      <c r="T39" s="3">
        <f t="shared" si="0"/>
        <v>1100</v>
      </c>
      <c r="U39" s="3">
        <v>300</v>
      </c>
      <c r="V39" s="3">
        <v>15</v>
      </c>
      <c r="W39" s="1">
        <v>0</v>
      </c>
      <c r="X39" s="3">
        <v>0</v>
      </c>
      <c r="Y39" s="8" t="s">
        <v>341</v>
      </c>
    </row>
    <row r="40" s="1" customFormat="1" spans="1:25">
      <c r="A40" s="1">
        <v>280011</v>
      </c>
      <c r="B40" s="1">
        <v>120007</v>
      </c>
      <c r="C40" s="2">
        <v>28001</v>
      </c>
      <c r="D40" s="1" t="s">
        <v>185</v>
      </c>
      <c r="E40" s="1">
        <v>1</v>
      </c>
      <c r="F40" s="1" t="s">
        <v>186</v>
      </c>
      <c r="G40" s="1" t="s">
        <v>186</v>
      </c>
      <c r="H40" s="3">
        <v>1</v>
      </c>
      <c r="I40" s="1">
        <v>8</v>
      </c>
      <c r="J40" s="1" t="s">
        <v>65</v>
      </c>
      <c r="K40" s="1">
        <v>0</v>
      </c>
      <c r="L40" s="1">
        <v>220007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f t="shared" si="1"/>
        <v>300</v>
      </c>
      <c r="T40" s="3">
        <f t="shared" si="0"/>
        <v>800</v>
      </c>
      <c r="U40" s="1">
        <v>300</v>
      </c>
      <c r="V40" s="3">
        <v>15</v>
      </c>
      <c r="W40" s="1">
        <v>811001</v>
      </c>
      <c r="X40" s="3">
        <v>0</v>
      </c>
      <c r="Y40" s="8" t="s">
        <v>342</v>
      </c>
    </row>
    <row r="41" s="1" customFormat="1" spans="1:25">
      <c r="A41" s="1">
        <v>280012</v>
      </c>
      <c r="B41" s="1">
        <v>220007</v>
      </c>
      <c r="C41" s="2">
        <v>28001</v>
      </c>
      <c r="D41" s="1" t="s">
        <v>190</v>
      </c>
      <c r="E41" s="1">
        <v>1</v>
      </c>
      <c r="F41" s="1" t="s">
        <v>191</v>
      </c>
      <c r="G41" s="1" t="s">
        <v>191</v>
      </c>
      <c r="H41" s="3">
        <v>1</v>
      </c>
      <c r="I41" s="1">
        <v>8</v>
      </c>
      <c r="J41" s="1" t="s">
        <v>70</v>
      </c>
      <c r="K41" s="1">
        <v>0</v>
      </c>
      <c r="L41" s="1">
        <v>320007</v>
      </c>
      <c r="M41" s="1">
        <v>80</v>
      </c>
      <c r="N41" s="1">
        <v>16</v>
      </c>
      <c r="O41" s="1">
        <v>8</v>
      </c>
      <c r="P41" s="1">
        <v>16</v>
      </c>
      <c r="Q41" s="1">
        <v>8</v>
      </c>
      <c r="R41" s="1">
        <v>3</v>
      </c>
      <c r="S41" s="3">
        <f t="shared" si="1"/>
        <v>300</v>
      </c>
      <c r="T41" s="3">
        <f t="shared" si="0"/>
        <v>800</v>
      </c>
      <c r="U41" s="1">
        <v>300</v>
      </c>
      <c r="V41" s="3">
        <v>15</v>
      </c>
      <c r="W41" s="1">
        <v>0</v>
      </c>
      <c r="X41" s="3">
        <v>0</v>
      </c>
      <c r="Y41" s="8" t="s">
        <v>342</v>
      </c>
    </row>
    <row r="42" s="1" customFormat="1" spans="1:25">
      <c r="A42" s="1">
        <v>280013</v>
      </c>
      <c r="B42" s="1">
        <v>320007</v>
      </c>
      <c r="C42" s="2">
        <v>28001</v>
      </c>
      <c r="D42" s="1" t="s">
        <v>194</v>
      </c>
      <c r="E42" s="1">
        <v>1</v>
      </c>
      <c r="F42" s="1" t="s">
        <v>195</v>
      </c>
      <c r="G42" s="1" t="s">
        <v>195</v>
      </c>
      <c r="H42" s="3">
        <v>1</v>
      </c>
      <c r="I42" s="1">
        <v>8</v>
      </c>
      <c r="J42" s="1" t="s">
        <v>74</v>
      </c>
      <c r="K42" s="1">
        <v>0</v>
      </c>
      <c r="L42" s="1">
        <v>0</v>
      </c>
      <c r="M42" s="1">
        <v>120</v>
      </c>
      <c r="N42" s="1">
        <v>24</v>
      </c>
      <c r="O42" s="1">
        <v>12</v>
      </c>
      <c r="P42" s="1">
        <v>24</v>
      </c>
      <c r="Q42" s="1">
        <v>12</v>
      </c>
      <c r="R42" s="1">
        <v>4</v>
      </c>
      <c r="S42" s="3">
        <f t="shared" si="1"/>
        <v>300</v>
      </c>
      <c r="T42" s="3">
        <f t="shared" si="0"/>
        <v>800</v>
      </c>
      <c r="U42" s="1">
        <v>300</v>
      </c>
      <c r="V42" s="3">
        <v>15</v>
      </c>
      <c r="W42" s="1">
        <v>0</v>
      </c>
      <c r="X42" s="3">
        <v>0</v>
      </c>
      <c r="Y42" s="8" t="s">
        <v>342</v>
      </c>
    </row>
    <row r="43" s="1" customFormat="1" spans="1:25">
      <c r="A43" s="1">
        <v>310011</v>
      </c>
      <c r="B43" s="1">
        <v>130001</v>
      </c>
      <c r="C43" s="2">
        <v>31001</v>
      </c>
      <c r="D43" s="1" t="s">
        <v>63</v>
      </c>
      <c r="E43" s="1">
        <v>1</v>
      </c>
      <c r="F43" s="1" t="s">
        <v>198</v>
      </c>
      <c r="G43" s="1" t="s">
        <v>198</v>
      </c>
      <c r="H43" s="3">
        <v>1</v>
      </c>
      <c r="I43" s="1">
        <v>1</v>
      </c>
      <c r="J43" s="1" t="s">
        <v>65</v>
      </c>
      <c r="K43" s="1">
        <v>0</v>
      </c>
      <c r="L43" s="1" t="s">
        <v>199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f t="shared" si="1"/>
        <v>300</v>
      </c>
      <c r="T43" s="3">
        <f t="shared" si="0"/>
        <v>800</v>
      </c>
      <c r="U43" s="1">
        <v>300</v>
      </c>
      <c r="V43" s="3">
        <v>15</v>
      </c>
      <c r="W43" s="1">
        <v>111001</v>
      </c>
      <c r="X43" s="3">
        <v>0</v>
      </c>
      <c r="Y43" s="8" t="s">
        <v>343</v>
      </c>
    </row>
    <row r="44" s="1" customFormat="1" spans="1:25">
      <c r="A44" s="1">
        <v>310012</v>
      </c>
      <c r="B44" s="1">
        <v>231001</v>
      </c>
      <c r="C44" s="2">
        <v>31001</v>
      </c>
      <c r="D44" s="1" t="s">
        <v>201</v>
      </c>
      <c r="E44" s="1">
        <v>1</v>
      </c>
      <c r="F44" s="1" t="s">
        <v>202</v>
      </c>
      <c r="G44" s="1" t="s">
        <v>202</v>
      </c>
      <c r="H44" s="3">
        <v>1</v>
      </c>
      <c r="I44" s="1">
        <v>1</v>
      </c>
      <c r="J44" s="1" t="s">
        <v>70</v>
      </c>
      <c r="K44" s="1">
        <v>0</v>
      </c>
      <c r="L44" s="1">
        <v>331001</v>
      </c>
      <c r="M44" s="1">
        <v>80</v>
      </c>
      <c r="N44" s="1">
        <v>16</v>
      </c>
      <c r="O44" s="1">
        <v>8</v>
      </c>
      <c r="P44" s="1">
        <v>16</v>
      </c>
      <c r="Q44" s="1">
        <v>8</v>
      </c>
      <c r="R44" s="1">
        <v>3</v>
      </c>
      <c r="S44" s="3">
        <f t="shared" si="1"/>
        <v>300</v>
      </c>
      <c r="T44" s="3">
        <f t="shared" si="0"/>
        <v>800</v>
      </c>
      <c r="U44" s="1">
        <v>300</v>
      </c>
      <c r="V44" s="3">
        <v>15</v>
      </c>
      <c r="W44" s="1">
        <v>0</v>
      </c>
      <c r="X44" s="3">
        <v>0</v>
      </c>
      <c r="Y44" s="8" t="s">
        <v>343</v>
      </c>
    </row>
    <row r="45" s="1" customFormat="1" spans="1:25">
      <c r="A45" s="1">
        <v>310013</v>
      </c>
      <c r="B45" s="1">
        <v>331001</v>
      </c>
      <c r="C45" s="2">
        <v>31001</v>
      </c>
      <c r="D45" s="1" t="s">
        <v>204</v>
      </c>
      <c r="E45" s="1">
        <v>1</v>
      </c>
      <c r="F45" s="1" t="s">
        <v>205</v>
      </c>
      <c r="G45" s="1" t="s">
        <v>205</v>
      </c>
      <c r="H45" s="3">
        <v>1</v>
      </c>
      <c r="I45" s="1">
        <v>1</v>
      </c>
      <c r="J45" s="1" t="s">
        <v>74</v>
      </c>
      <c r="K45" s="1">
        <v>0</v>
      </c>
      <c r="L45" s="1">
        <v>0</v>
      </c>
      <c r="M45" s="1">
        <v>120</v>
      </c>
      <c r="N45" s="1">
        <v>24</v>
      </c>
      <c r="O45" s="1">
        <v>12</v>
      </c>
      <c r="P45" s="1">
        <v>24</v>
      </c>
      <c r="Q45" s="1">
        <v>12</v>
      </c>
      <c r="R45" s="1">
        <v>4</v>
      </c>
      <c r="S45" s="3">
        <f t="shared" si="1"/>
        <v>300</v>
      </c>
      <c r="T45" s="3">
        <f t="shared" si="0"/>
        <v>800</v>
      </c>
      <c r="U45" s="1">
        <v>300</v>
      </c>
      <c r="V45" s="3">
        <v>15</v>
      </c>
      <c r="W45" s="1">
        <v>0</v>
      </c>
      <c r="X45" s="3">
        <v>0</v>
      </c>
      <c r="Y45" s="8" t="s">
        <v>343</v>
      </c>
    </row>
    <row r="46" s="1" customFormat="1" spans="1:25">
      <c r="A46" s="1">
        <v>310014</v>
      </c>
      <c r="B46" s="1">
        <v>232001</v>
      </c>
      <c r="C46" s="2">
        <v>31001</v>
      </c>
      <c r="D46" s="1" t="s">
        <v>81</v>
      </c>
      <c r="E46" s="1">
        <v>1</v>
      </c>
      <c r="F46" s="1" t="s">
        <v>206</v>
      </c>
      <c r="G46" s="1" t="s">
        <v>206</v>
      </c>
      <c r="H46" s="3">
        <v>1</v>
      </c>
      <c r="I46" s="1">
        <v>2</v>
      </c>
      <c r="J46" s="1" t="s">
        <v>70</v>
      </c>
      <c r="K46" s="1">
        <v>0</v>
      </c>
      <c r="L46" s="1">
        <v>332001</v>
      </c>
      <c r="M46" s="1">
        <v>80</v>
      </c>
      <c r="N46" s="1">
        <v>16</v>
      </c>
      <c r="O46" s="1">
        <v>8</v>
      </c>
      <c r="P46" s="1">
        <v>16</v>
      </c>
      <c r="Q46" s="1">
        <v>8</v>
      </c>
      <c r="R46" s="1">
        <v>3</v>
      </c>
      <c r="S46" s="3">
        <f t="shared" si="1"/>
        <v>300</v>
      </c>
      <c r="T46" s="3">
        <f t="shared" si="0"/>
        <v>800</v>
      </c>
      <c r="U46" s="1">
        <v>450</v>
      </c>
      <c r="V46" s="3">
        <v>15</v>
      </c>
      <c r="W46" s="1">
        <v>0</v>
      </c>
      <c r="X46" s="3">
        <v>0</v>
      </c>
      <c r="Y46" s="8" t="s">
        <v>343</v>
      </c>
    </row>
    <row r="47" s="1" customFormat="1" spans="1:25">
      <c r="A47" s="1">
        <v>310015</v>
      </c>
      <c r="B47" s="1">
        <v>332001</v>
      </c>
      <c r="C47" s="2">
        <v>31001</v>
      </c>
      <c r="D47" s="1" t="s">
        <v>207</v>
      </c>
      <c r="E47" s="1">
        <v>1</v>
      </c>
      <c r="F47" s="1" t="s">
        <v>208</v>
      </c>
      <c r="G47" s="1" t="s">
        <v>208</v>
      </c>
      <c r="H47" s="3">
        <v>1</v>
      </c>
      <c r="I47" s="1">
        <v>2</v>
      </c>
      <c r="J47" s="1" t="s">
        <v>74</v>
      </c>
      <c r="K47" s="1">
        <v>0</v>
      </c>
      <c r="L47" s="1">
        <v>0</v>
      </c>
      <c r="M47" s="1">
        <v>120</v>
      </c>
      <c r="N47" s="1">
        <v>24</v>
      </c>
      <c r="O47" s="1">
        <v>12</v>
      </c>
      <c r="P47" s="1">
        <v>24</v>
      </c>
      <c r="Q47" s="1">
        <v>12</v>
      </c>
      <c r="R47" s="1">
        <v>4</v>
      </c>
      <c r="S47" s="3">
        <f t="shared" si="1"/>
        <v>300</v>
      </c>
      <c r="T47" s="3">
        <f t="shared" si="0"/>
        <v>800</v>
      </c>
      <c r="U47" s="1">
        <v>450</v>
      </c>
      <c r="V47" s="3">
        <v>15</v>
      </c>
      <c r="W47" s="1">
        <v>0</v>
      </c>
      <c r="X47" s="3">
        <v>0</v>
      </c>
      <c r="Y47" s="8" t="s">
        <v>343</v>
      </c>
    </row>
    <row r="48" s="1" customFormat="1" spans="1:25">
      <c r="A48" s="1">
        <v>310021</v>
      </c>
      <c r="B48" s="1">
        <v>130002</v>
      </c>
      <c r="C48" s="2">
        <v>31002</v>
      </c>
      <c r="D48" s="1" t="s">
        <v>77</v>
      </c>
      <c r="E48" s="1">
        <v>1</v>
      </c>
      <c r="F48" s="1" t="s">
        <v>209</v>
      </c>
      <c r="G48" s="1" t="s">
        <v>209</v>
      </c>
      <c r="H48" s="3">
        <v>1</v>
      </c>
      <c r="I48" s="1">
        <v>0</v>
      </c>
      <c r="J48" s="1" t="s">
        <v>65</v>
      </c>
      <c r="K48" s="1">
        <v>0</v>
      </c>
      <c r="L48" s="1" t="s">
        <v>210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f t="shared" si="1"/>
        <v>300</v>
      </c>
      <c r="T48" s="3">
        <f t="shared" si="0"/>
        <v>800</v>
      </c>
      <c r="U48" s="1">
        <v>450</v>
      </c>
      <c r="V48" s="3">
        <v>15</v>
      </c>
      <c r="W48" s="1">
        <v>211001</v>
      </c>
      <c r="X48" s="3">
        <v>0</v>
      </c>
      <c r="Y48" s="8" t="s">
        <v>344</v>
      </c>
    </row>
    <row r="49" s="1" customFormat="1" spans="1:25">
      <c r="A49" s="1">
        <v>310022</v>
      </c>
      <c r="B49" s="1">
        <v>231002</v>
      </c>
      <c r="C49" s="2">
        <v>31002</v>
      </c>
      <c r="D49" s="1" t="s">
        <v>81</v>
      </c>
      <c r="E49" s="1">
        <v>1</v>
      </c>
      <c r="F49" s="1" t="s">
        <v>212</v>
      </c>
      <c r="G49" s="1" t="s">
        <v>212</v>
      </c>
      <c r="H49" s="3">
        <v>1</v>
      </c>
      <c r="I49" s="1">
        <v>0</v>
      </c>
      <c r="J49" s="1" t="s">
        <v>70</v>
      </c>
      <c r="K49" s="1">
        <v>0</v>
      </c>
      <c r="L49" s="1">
        <v>331002</v>
      </c>
      <c r="M49" s="1">
        <v>80</v>
      </c>
      <c r="N49" s="1">
        <v>16</v>
      </c>
      <c r="O49" s="1">
        <v>8</v>
      </c>
      <c r="P49" s="1">
        <v>16</v>
      </c>
      <c r="Q49" s="1">
        <v>8</v>
      </c>
      <c r="R49" s="1">
        <v>3</v>
      </c>
      <c r="S49" s="3">
        <f t="shared" si="1"/>
        <v>300</v>
      </c>
      <c r="T49" s="3">
        <f t="shared" si="0"/>
        <v>800</v>
      </c>
      <c r="U49" s="1">
        <v>450</v>
      </c>
      <c r="V49" s="3">
        <v>15</v>
      </c>
      <c r="W49" s="1">
        <v>0</v>
      </c>
      <c r="X49" s="3">
        <v>0</v>
      </c>
      <c r="Y49" s="8" t="s">
        <v>344</v>
      </c>
    </row>
    <row r="50" s="1" customFormat="1" spans="1:25">
      <c r="A50" s="1">
        <v>310023</v>
      </c>
      <c r="B50" s="1">
        <v>331002</v>
      </c>
      <c r="C50" s="2">
        <v>31002</v>
      </c>
      <c r="D50" s="1" t="s">
        <v>213</v>
      </c>
      <c r="E50" s="1">
        <v>1</v>
      </c>
      <c r="F50" s="1" t="s">
        <v>214</v>
      </c>
      <c r="G50" s="1" t="s">
        <v>214</v>
      </c>
      <c r="H50" s="3">
        <v>1</v>
      </c>
      <c r="I50" s="1">
        <v>0</v>
      </c>
      <c r="J50" s="1" t="s">
        <v>74</v>
      </c>
      <c r="K50" s="1">
        <v>0</v>
      </c>
      <c r="L50" s="1">
        <v>0</v>
      </c>
      <c r="M50" s="1">
        <v>120</v>
      </c>
      <c r="N50" s="1">
        <v>24</v>
      </c>
      <c r="O50" s="1">
        <v>12</v>
      </c>
      <c r="P50" s="1">
        <v>24</v>
      </c>
      <c r="Q50" s="1">
        <v>12</v>
      </c>
      <c r="R50" s="1">
        <v>4</v>
      </c>
      <c r="S50" s="3">
        <f t="shared" si="1"/>
        <v>300</v>
      </c>
      <c r="T50" s="3">
        <f t="shared" si="0"/>
        <v>800</v>
      </c>
      <c r="U50" s="1">
        <v>450</v>
      </c>
      <c r="V50" s="3">
        <v>15</v>
      </c>
      <c r="W50" s="1">
        <v>0</v>
      </c>
      <c r="X50" s="3">
        <v>0</v>
      </c>
      <c r="Y50" s="8" t="s">
        <v>344</v>
      </c>
    </row>
    <row r="51" s="1" customFormat="1" spans="1:25">
      <c r="A51" s="1">
        <v>310024</v>
      </c>
      <c r="B51" s="1">
        <v>232002</v>
      </c>
      <c r="C51" s="2">
        <v>31002</v>
      </c>
      <c r="D51" s="1" t="s">
        <v>215</v>
      </c>
      <c r="E51" s="1">
        <v>1</v>
      </c>
      <c r="F51" s="1" t="s">
        <v>216</v>
      </c>
      <c r="G51" s="1" t="s">
        <v>216</v>
      </c>
      <c r="H51" s="3">
        <v>1</v>
      </c>
      <c r="I51" s="1">
        <v>0</v>
      </c>
      <c r="J51" s="1" t="s">
        <v>70</v>
      </c>
      <c r="K51" s="1">
        <v>0</v>
      </c>
      <c r="L51" s="1">
        <v>332002</v>
      </c>
      <c r="M51" s="1">
        <v>80</v>
      </c>
      <c r="N51" s="1">
        <v>16</v>
      </c>
      <c r="O51" s="1">
        <v>8</v>
      </c>
      <c r="P51" s="1">
        <v>16</v>
      </c>
      <c r="Q51" s="1">
        <v>8</v>
      </c>
      <c r="R51" s="1">
        <v>3</v>
      </c>
      <c r="S51" s="3">
        <f t="shared" si="1"/>
        <v>300</v>
      </c>
      <c r="T51" s="3">
        <f t="shared" si="0"/>
        <v>800</v>
      </c>
      <c r="U51" s="1">
        <v>450</v>
      </c>
      <c r="V51" s="3">
        <v>15</v>
      </c>
      <c r="W51" s="1">
        <v>0</v>
      </c>
      <c r="X51" s="3">
        <v>0</v>
      </c>
      <c r="Y51" s="8" t="s">
        <v>344</v>
      </c>
    </row>
    <row r="52" s="1" customFormat="1" spans="1:25">
      <c r="A52" s="1">
        <v>310025</v>
      </c>
      <c r="B52" s="1">
        <v>332002</v>
      </c>
      <c r="C52" s="2">
        <v>31002</v>
      </c>
      <c r="D52" s="1" t="s">
        <v>217</v>
      </c>
      <c r="E52" s="1">
        <v>1</v>
      </c>
      <c r="F52" s="1" t="s">
        <v>218</v>
      </c>
      <c r="G52" s="1" t="s">
        <v>218</v>
      </c>
      <c r="H52" s="3">
        <v>1</v>
      </c>
      <c r="I52" s="1">
        <v>0</v>
      </c>
      <c r="J52" s="1" t="s">
        <v>74</v>
      </c>
      <c r="K52" s="1">
        <v>0</v>
      </c>
      <c r="L52" s="1">
        <v>0</v>
      </c>
      <c r="M52" s="1">
        <v>120</v>
      </c>
      <c r="N52" s="1">
        <v>24</v>
      </c>
      <c r="O52" s="1">
        <v>12</v>
      </c>
      <c r="P52" s="1">
        <v>24</v>
      </c>
      <c r="Q52" s="1">
        <v>12</v>
      </c>
      <c r="R52" s="1">
        <v>4</v>
      </c>
      <c r="S52" s="3">
        <f t="shared" si="1"/>
        <v>300</v>
      </c>
      <c r="T52" s="3">
        <f t="shared" si="0"/>
        <v>800</v>
      </c>
      <c r="U52" s="1">
        <v>450</v>
      </c>
      <c r="V52" s="3">
        <v>15</v>
      </c>
      <c r="W52" s="1">
        <v>0</v>
      </c>
      <c r="X52" s="3">
        <v>0</v>
      </c>
      <c r="Y52" s="8" t="s">
        <v>344</v>
      </c>
    </row>
    <row r="53" s="1" customFormat="1" spans="1:25">
      <c r="A53" s="1">
        <v>320011</v>
      </c>
      <c r="B53" s="1">
        <v>130003</v>
      </c>
      <c r="C53" s="2">
        <v>32001</v>
      </c>
      <c r="D53" s="1" t="s">
        <v>88</v>
      </c>
      <c r="E53" s="1">
        <v>2</v>
      </c>
      <c r="F53" s="1" t="s">
        <v>219</v>
      </c>
      <c r="G53" s="1" t="s">
        <v>219</v>
      </c>
      <c r="H53" s="3">
        <v>1</v>
      </c>
      <c r="I53" s="1">
        <v>0</v>
      </c>
      <c r="J53" s="1" t="s">
        <v>65</v>
      </c>
      <c r="K53" s="1">
        <v>0</v>
      </c>
      <c r="L53" s="1" t="s">
        <v>220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f t="shared" si="1"/>
        <v>800</v>
      </c>
      <c r="T53" s="3">
        <f t="shared" si="0"/>
        <v>1100</v>
      </c>
      <c r="U53" s="3">
        <v>300</v>
      </c>
      <c r="V53" s="3">
        <v>15</v>
      </c>
      <c r="W53" s="1">
        <v>311001</v>
      </c>
      <c r="X53" s="3">
        <v>0</v>
      </c>
      <c r="Y53" s="8" t="s">
        <v>345</v>
      </c>
    </row>
    <row r="54" s="1" customFormat="1" spans="1:25">
      <c r="A54" s="1">
        <v>320012</v>
      </c>
      <c r="B54" s="1">
        <v>231003</v>
      </c>
      <c r="C54" s="2">
        <v>32001</v>
      </c>
      <c r="D54" s="1" t="s">
        <v>92</v>
      </c>
      <c r="E54" s="1">
        <v>2</v>
      </c>
      <c r="F54" s="1" t="s">
        <v>222</v>
      </c>
      <c r="G54" s="1" t="s">
        <v>222</v>
      </c>
      <c r="H54" s="3">
        <v>1</v>
      </c>
      <c r="I54" s="1">
        <v>0</v>
      </c>
      <c r="J54" s="1" t="s">
        <v>70</v>
      </c>
      <c r="K54" s="1">
        <v>0</v>
      </c>
      <c r="L54" s="1">
        <v>331003</v>
      </c>
      <c r="M54" s="1">
        <v>80</v>
      </c>
      <c r="N54" s="1">
        <v>16</v>
      </c>
      <c r="O54" s="1">
        <v>8</v>
      </c>
      <c r="P54" s="1">
        <v>16</v>
      </c>
      <c r="Q54" s="1">
        <v>8</v>
      </c>
      <c r="R54" s="1">
        <v>3</v>
      </c>
      <c r="S54" s="3">
        <f t="shared" si="1"/>
        <v>800</v>
      </c>
      <c r="T54" s="3">
        <f t="shared" si="0"/>
        <v>1100</v>
      </c>
      <c r="U54" s="3">
        <v>300</v>
      </c>
      <c r="V54" s="3">
        <v>15</v>
      </c>
      <c r="W54" s="1">
        <v>0</v>
      </c>
      <c r="X54" s="3">
        <v>0</v>
      </c>
      <c r="Y54" s="8" t="s">
        <v>345</v>
      </c>
    </row>
    <row r="55" s="1" customFormat="1" spans="1:25">
      <c r="A55" s="1">
        <v>320013</v>
      </c>
      <c r="B55" s="1">
        <v>331003</v>
      </c>
      <c r="C55" s="2">
        <v>32001</v>
      </c>
      <c r="D55" s="1" t="s">
        <v>223</v>
      </c>
      <c r="E55" s="1">
        <v>2</v>
      </c>
      <c r="F55" s="1" t="s">
        <v>224</v>
      </c>
      <c r="G55" s="1" t="s">
        <v>224</v>
      </c>
      <c r="H55" s="3">
        <v>1</v>
      </c>
      <c r="I55" s="1">
        <v>0</v>
      </c>
      <c r="J55" s="1" t="s">
        <v>74</v>
      </c>
      <c r="K55" s="1">
        <v>0</v>
      </c>
      <c r="L55" s="1">
        <v>0</v>
      </c>
      <c r="M55" s="1">
        <v>120</v>
      </c>
      <c r="N55" s="1">
        <v>24</v>
      </c>
      <c r="O55" s="1">
        <v>12</v>
      </c>
      <c r="P55" s="1">
        <v>24</v>
      </c>
      <c r="Q55" s="1">
        <v>12</v>
      </c>
      <c r="R55" s="1">
        <v>4</v>
      </c>
      <c r="S55" s="3">
        <f t="shared" si="1"/>
        <v>800</v>
      </c>
      <c r="T55" s="3">
        <f t="shared" si="0"/>
        <v>1100</v>
      </c>
      <c r="U55" s="3">
        <v>300</v>
      </c>
      <c r="V55" s="3">
        <v>15</v>
      </c>
      <c r="W55" s="1">
        <v>0</v>
      </c>
      <c r="X55" s="3">
        <v>0</v>
      </c>
      <c r="Y55" s="8" t="s">
        <v>345</v>
      </c>
    </row>
    <row r="56" s="1" customFormat="1" spans="1:25">
      <c r="A56" s="1">
        <v>320014</v>
      </c>
      <c r="B56" s="1">
        <v>232003</v>
      </c>
      <c r="C56" s="2">
        <v>32001</v>
      </c>
      <c r="D56" s="1" t="s">
        <v>225</v>
      </c>
      <c r="E56" s="1">
        <v>2</v>
      </c>
      <c r="F56" s="1" t="s">
        <v>226</v>
      </c>
      <c r="G56" s="1" t="s">
        <v>226</v>
      </c>
      <c r="H56" s="3">
        <v>1</v>
      </c>
      <c r="I56" s="1">
        <v>0</v>
      </c>
      <c r="J56" s="1" t="s">
        <v>70</v>
      </c>
      <c r="K56" s="1">
        <v>0</v>
      </c>
      <c r="L56" s="1">
        <v>332003</v>
      </c>
      <c r="M56" s="1">
        <v>80</v>
      </c>
      <c r="N56" s="1">
        <v>16</v>
      </c>
      <c r="O56" s="1">
        <v>8</v>
      </c>
      <c r="P56" s="1">
        <v>16</v>
      </c>
      <c r="Q56" s="1">
        <v>8</v>
      </c>
      <c r="R56" s="1">
        <v>3</v>
      </c>
      <c r="S56" s="3">
        <f t="shared" si="1"/>
        <v>800</v>
      </c>
      <c r="T56" s="3">
        <f t="shared" si="0"/>
        <v>1100</v>
      </c>
      <c r="U56" s="1">
        <v>450</v>
      </c>
      <c r="V56" s="3">
        <v>15</v>
      </c>
      <c r="W56" s="1">
        <v>0</v>
      </c>
      <c r="X56" s="3">
        <v>0</v>
      </c>
      <c r="Y56" s="8" t="s">
        <v>345</v>
      </c>
    </row>
    <row r="57" s="1" customFormat="1" spans="1:25">
      <c r="A57" s="1">
        <v>320015</v>
      </c>
      <c r="B57" s="1">
        <v>332003</v>
      </c>
      <c r="C57" s="2">
        <v>32001</v>
      </c>
      <c r="D57" s="1" t="s">
        <v>227</v>
      </c>
      <c r="E57" s="1">
        <v>2</v>
      </c>
      <c r="F57" s="1" t="s">
        <v>228</v>
      </c>
      <c r="G57" s="1" t="s">
        <v>228</v>
      </c>
      <c r="H57" s="3">
        <v>1</v>
      </c>
      <c r="I57" s="1">
        <v>0</v>
      </c>
      <c r="J57" s="1" t="s">
        <v>74</v>
      </c>
      <c r="K57" s="1">
        <v>0</v>
      </c>
      <c r="L57" s="1">
        <v>0</v>
      </c>
      <c r="M57" s="1">
        <v>120</v>
      </c>
      <c r="N57" s="1">
        <v>24</v>
      </c>
      <c r="O57" s="1">
        <v>12</v>
      </c>
      <c r="P57" s="1">
        <v>24</v>
      </c>
      <c r="Q57" s="1">
        <v>12</v>
      </c>
      <c r="R57" s="1">
        <v>4</v>
      </c>
      <c r="S57" s="3">
        <f t="shared" si="1"/>
        <v>800</v>
      </c>
      <c r="T57" s="3">
        <f t="shared" si="0"/>
        <v>1100</v>
      </c>
      <c r="U57" s="3">
        <v>300</v>
      </c>
      <c r="V57" s="3">
        <v>15</v>
      </c>
      <c r="W57" s="1">
        <v>0</v>
      </c>
      <c r="X57" s="3">
        <v>0</v>
      </c>
      <c r="Y57" s="8" t="s">
        <v>345</v>
      </c>
    </row>
    <row r="58" s="1" customFormat="1" spans="1:25">
      <c r="A58" s="1">
        <v>330011</v>
      </c>
      <c r="B58" s="1">
        <v>130004</v>
      </c>
      <c r="C58" s="2">
        <v>33001</v>
      </c>
      <c r="D58" s="1" t="s">
        <v>229</v>
      </c>
      <c r="E58" s="1">
        <v>1</v>
      </c>
      <c r="F58" s="1" t="s">
        <v>230</v>
      </c>
      <c r="G58" s="1" t="s">
        <v>230</v>
      </c>
      <c r="H58" s="3">
        <v>1</v>
      </c>
      <c r="I58" s="1">
        <v>0</v>
      </c>
      <c r="J58" s="1" t="s">
        <v>65</v>
      </c>
      <c r="K58" s="1">
        <v>0</v>
      </c>
      <c r="L58" s="1" t="s">
        <v>231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f t="shared" si="1"/>
        <v>300</v>
      </c>
      <c r="T58" s="3">
        <f t="shared" si="0"/>
        <v>800</v>
      </c>
      <c r="U58" s="1">
        <v>300</v>
      </c>
      <c r="V58" s="3">
        <v>15</v>
      </c>
      <c r="W58" s="1">
        <v>111001</v>
      </c>
      <c r="X58" s="3">
        <v>0</v>
      </c>
      <c r="Y58" s="8" t="s">
        <v>346</v>
      </c>
    </row>
    <row r="59" s="1" customFormat="1" spans="1:25">
      <c r="A59" s="1">
        <v>330012</v>
      </c>
      <c r="B59" s="1">
        <v>231004</v>
      </c>
      <c r="C59" s="2">
        <v>33001</v>
      </c>
      <c r="D59" s="1" t="s">
        <v>233</v>
      </c>
      <c r="E59" s="1">
        <v>1</v>
      </c>
      <c r="F59" s="1" t="s">
        <v>234</v>
      </c>
      <c r="G59" s="1" t="s">
        <v>234</v>
      </c>
      <c r="H59" s="3">
        <v>1</v>
      </c>
      <c r="I59" s="1">
        <v>0</v>
      </c>
      <c r="J59" s="1" t="s">
        <v>70</v>
      </c>
      <c r="K59" s="1">
        <v>0</v>
      </c>
      <c r="L59" s="1">
        <v>331004</v>
      </c>
      <c r="M59" s="1">
        <v>80</v>
      </c>
      <c r="N59" s="1">
        <v>16</v>
      </c>
      <c r="O59" s="1">
        <v>8</v>
      </c>
      <c r="P59" s="1">
        <v>16</v>
      </c>
      <c r="Q59" s="1">
        <v>8</v>
      </c>
      <c r="R59" s="1">
        <v>3</v>
      </c>
      <c r="S59" s="3">
        <f t="shared" si="1"/>
        <v>300</v>
      </c>
      <c r="T59" s="3">
        <f t="shared" si="0"/>
        <v>800</v>
      </c>
      <c r="U59" s="1">
        <v>300</v>
      </c>
      <c r="V59" s="3">
        <v>15</v>
      </c>
      <c r="W59" s="1">
        <v>0</v>
      </c>
      <c r="X59" s="3">
        <v>0</v>
      </c>
      <c r="Y59" s="8" t="s">
        <v>346</v>
      </c>
    </row>
    <row r="60" s="1" customFormat="1" spans="1:25">
      <c r="A60" s="1">
        <v>330013</v>
      </c>
      <c r="B60" s="1">
        <v>331004</v>
      </c>
      <c r="C60" s="2">
        <v>33001</v>
      </c>
      <c r="D60" s="1" t="s">
        <v>235</v>
      </c>
      <c r="E60" s="1">
        <v>1</v>
      </c>
      <c r="F60" s="1" t="s">
        <v>236</v>
      </c>
      <c r="G60" s="1" t="s">
        <v>236</v>
      </c>
      <c r="H60" s="3">
        <v>1</v>
      </c>
      <c r="I60" s="1">
        <v>0</v>
      </c>
      <c r="J60" s="1" t="s">
        <v>74</v>
      </c>
      <c r="K60" s="1">
        <v>0</v>
      </c>
      <c r="L60" s="1">
        <v>0</v>
      </c>
      <c r="M60" s="1">
        <v>120</v>
      </c>
      <c r="N60" s="1">
        <v>24</v>
      </c>
      <c r="O60" s="1">
        <v>12</v>
      </c>
      <c r="P60" s="1">
        <v>24</v>
      </c>
      <c r="Q60" s="1">
        <v>12</v>
      </c>
      <c r="R60" s="1">
        <v>4</v>
      </c>
      <c r="S60" s="3">
        <f t="shared" si="1"/>
        <v>300</v>
      </c>
      <c r="T60" s="3">
        <f t="shared" si="0"/>
        <v>800</v>
      </c>
      <c r="U60" s="1">
        <v>450</v>
      </c>
      <c r="V60" s="3">
        <v>15</v>
      </c>
      <c r="W60" s="1">
        <v>0</v>
      </c>
      <c r="X60" s="3">
        <v>0</v>
      </c>
      <c r="Y60" s="8" t="s">
        <v>346</v>
      </c>
    </row>
    <row r="61" s="1" customFormat="1" spans="1:25">
      <c r="A61" s="1">
        <v>330014</v>
      </c>
      <c r="B61" s="1">
        <v>232004</v>
      </c>
      <c r="C61" s="2">
        <v>33001</v>
      </c>
      <c r="D61" s="1" t="s">
        <v>237</v>
      </c>
      <c r="E61" s="1">
        <v>1</v>
      </c>
      <c r="F61" s="1" t="s">
        <v>238</v>
      </c>
      <c r="G61" s="1" t="s">
        <v>238</v>
      </c>
      <c r="H61" s="3">
        <v>1</v>
      </c>
      <c r="I61" s="1">
        <v>0</v>
      </c>
      <c r="J61" s="1" t="s">
        <v>70</v>
      </c>
      <c r="K61" s="1">
        <v>0</v>
      </c>
      <c r="L61" s="1">
        <v>332004</v>
      </c>
      <c r="M61" s="1">
        <v>80</v>
      </c>
      <c r="N61" s="1">
        <v>16</v>
      </c>
      <c r="O61" s="1">
        <v>8</v>
      </c>
      <c r="P61" s="1">
        <v>16</v>
      </c>
      <c r="Q61" s="1">
        <v>8</v>
      </c>
      <c r="R61" s="1">
        <v>3</v>
      </c>
      <c r="S61" s="3">
        <f t="shared" si="1"/>
        <v>300</v>
      </c>
      <c r="T61" s="3">
        <f t="shared" si="0"/>
        <v>800</v>
      </c>
      <c r="U61" s="1">
        <v>400</v>
      </c>
      <c r="V61" s="3">
        <v>15</v>
      </c>
      <c r="W61" s="1">
        <v>0</v>
      </c>
      <c r="X61" s="3">
        <v>0</v>
      </c>
      <c r="Y61" s="8" t="s">
        <v>346</v>
      </c>
    </row>
    <row r="62" s="1" customFormat="1" spans="1:25">
      <c r="A62" s="1">
        <v>330015</v>
      </c>
      <c r="B62" s="1">
        <v>332004</v>
      </c>
      <c r="C62" s="2">
        <v>33001</v>
      </c>
      <c r="D62" s="1" t="s">
        <v>239</v>
      </c>
      <c r="E62" s="1">
        <v>1</v>
      </c>
      <c r="F62" s="1" t="s">
        <v>240</v>
      </c>
      <c r="G62" s="1" t="s">
        <v>240</v>
      </c>
      <c r="H62" s="3">
        <v>1</v>
      </c>
      <c r="I62" s="1">
        <v>0</v>
      </c>
      <c r="J62" s="1" t="s">
        <v>74</v>
      </c>
      <c r="K62" s="1">
        <v>0</v>
      </c>
      <c r="L62" s="1">
        <v>0</v>
      </c>
      <c r="M62" s="1">
        <v>120</v>
      </c>
      <c r="N62" s="1">
        <v>24</v>
      </c>
      <c r="O62" s="1">
        <v>12</v>
      </c>
      <c r="P62" s="1">
        <v>24</v>
      </c>
      <c r="Q62" s="1">
        <v>12</v>
      </c>
      <c r="R62" s="1">
        <v>4</v>
      </c>
      <c r="S62" s="3">
        <f t="shared" si="1"/>
        <v>300</v>
      </c>
      <c r="T62" s="3">
        <f t="shared" si="0"/>
        <v>800</v>
      </c>
      <c r="U62" s="1">
        <v>300</v>
      </c>
      <c r="V62" s="3">
        <v>15</v>
      </c>
      <c r="W62" s="1">
        <v>0</v>
      </c>
      <c r="X62" s="3">
        <v>0</v>
      </c>
      <c r="Y62" s="8" t="s">
        <v>346</v>
      </c>
    </row>
    <row r="63" s="1" customFormat="1" spans="1:25">
      <c r="A63" s="1">
        <v>340011</v>
      </c>
      <c r="B63" s="1">
        <v>130005</v>
      </c>
      <c r="C63" s="2">
        <v>34001</v>
      </c>
      <c r="D63" s="1" t="s">
        <v>99</v>
      </c>
      <c r="E63" s="1">
        <v>1</v>
      </c>
      <c r="F63" s="1" t="s">
        <v>241</v>
      </c>
      <c r="G63" s="1" t="s">
        <v>241</v>
      </c>
      <c r="H63" s="3">
        <v>2</v>
      </c>
      <c r="I63" s="1">
        <v>0</v>
      </c>
      <c r="J63" s="1" t="s">
        <v>65</v>
      </c>
      <c r="K63" s="1">
        <v>0</v>
      </c>
      <c r="L63" s="1" t="s">
        <v>242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f t="shared" si="1"/>
        <v>300</v>
      </c>
      <c r="T63" s="3">
        <f t="shared" si="0"/>
        <v>800</v>
      </c>
      <c r="U63" s="1">
        <v>450</v>
      </c>
      <c r="V63" s="3">
        <v>15</v>
      </c>
      <c r="W63" s="1">
        <v>411001</v>
      </c>
      <c r="X63" s="3">
        <v>0</v>
      </c>
      <c r="Y63" s="8" t="s">
        <v>347</v>
      </c>
    </row>
    <row r="64" s="1" customFormat="1" spans="1:25">
      <c r="A64" s="1">
        <v>340012</v>
      </c>
      <c r="B64" s="1">
        <v>231005</v>
      </c>
      <c r="C64" s="2">
        <v>34001</v>
      </c>
      <c r="D64" s="1" t="s">
        <v>244</v>
      </c>
      <c r="E64" s="1">
        <v>1</v>
      </c>
      <c r="F64" s="1" t="s">
        <v>245</v>
      </c>
      <c r="G64" s="1" t="s">
        <v>245</v>
      </c>
      <c r="H64" s="3">
        <v>2</v>
      </c>
      <c r="I64" s="1">
        <v>0</v>
      </c>
      <c r="J64" s="1" t="s">
        <v>70</v>
      </c>
      <c r="K64" s="1">
        <v>0</v>
      </c>
      <c r="L64" s="1">
        <v>331005</v>
      </c>
      <c r="M64" s="1">
        <v>80</v>
      </c>
      <c r="N64" s="1">
        <v>16</v>
      </c>
      <c r="O64" s="1">
        <v>8</v>
      </c>
      <c r="P64" s="1">
        <v>16</v>
      </c>
      <c r="Q64" s="1">
        <v>8</v>
      </c>
      <c r="R64" s="1">
        <v>3</v>
      </c>
      <c r="S64" s="3">
        <f t="shared" si="1"/>
        <v>300</v>
      </c>
      <c r="T64" s="3">
        <f t="shared" si="0"/>
        <v>800</v>
      </c>
      <c r="U64" s="1">
        <v>450</v>
      </c>
      <c r="V64" s="3">
        <v>15</v>
      </c>
      <c r="W64" s="1">
        <v>0</v>
      </c>
      <c r="X64" s="3">
        <v>0</v>
      </c>
      <c r="Y64" s="8" t="s">
        <v>347</v>
      </c>
    </row>
    <row r="65" s="1" customFormat="1" spans="1:25">
      <c r="A65" s="1">
        <v>340013</v>
      </c>
      <c r="B65" s="1">
        <v>331005</v>
      </c>
      <c r="C65" s="2">
        <v>34001</v>
      </c>
      <c r="D65" s="1" t="s">
        <v>247</v>
      </c>
      <c r="E65" s="1">
        <v>1</v>
      </c>
      <c r="F65" s="1" t="s">
        <v>248</v>
      </c>
      <c r="G65" s="1" t="s">
        <v>248</v>
      </c>
      <c r="H65" s="3">
        <v>2</v>
      </c>
      <c r="I65" s="1">
        <v>0</v>
      </c>
      <c r="J65" s="1" t="s">
        <v>74</v>
      </c>
      <c r="K65" s="1">
        <v>0</v>
      </c>
      <c r="L65" s="1">
        <v>0</v>
      </c>
      <c r="M65" s="1">
        <v>120</v>
      </c>
      <c r="N65" s="1">
        <v>24</v>
      </c>
      <c r="O65" s="1">
        <v>12</v>
      </c>
      <c r="P65" s="1">
        <v>24</v>
      </c>
      <c r="Q65" s="1">
        <v>12</v>
      </c>
      <c r="R65" s="1">
        <v>4</v>
      </c>
      <c r="S65" s="3">
        <f t="shared" si="1"/>
        <v>300</v>
      </c>
      <c r="T65" s="3">
        <f t="shared" si="0"/>
        <v>800</v>
      </c>
      <c r="U65" s="1">
        <v>450</v>
      </c>
      <c r="V65" s="3">
        <v>15</v>
      </c>
      <c r="W65" s="1">
        <v>0</v>
      </c>
      <c r="X65" s="3">
        <v>0</v>
      </c>
      <c r="Y65" s="8" t="s">
        <v>347</v>
      </c>
    </row>
    <row r="66" s="1" customFormat="1" spans="1:25">
      <c r="A66" s="1">
        <v>340014</v>
      </c>
      <c r="B66" s="1">
        <v>232005</v>
      </c>
      <c r="C66" s="2">
        <v>34001</v>
      </c>
      <c r="D66" s="1" t="s">
        <v>249</v>
      </c>
      <c r="E66" s="1">
        <v>1</v>
      </c>
      <c r="F66" s="1" t="s">
        <v>250</v>
      </c>
      <c r="G66" s="1" t="s">
        <v>250</v>
      </c>
      <c r="H66" s="3">
        <v>2</v>
      </c>
      <c r="I66" s="1">
        <v>0</v>
      </c>
      <c r="J66" s="1" t="s">
        <v>70</v>
      </c>
      <c r="K66" s="1">
        <v>0</v>
      </c>
      <c r="L66" s="1">
        <v>332005</v>
      </c>
      <c r="M66" s="1">
        <v>80</v>
      </c>
      <c r="N66" s="1">
        <v>16</v>
      </c>
      <c r="O66" s="1">
        <v>8</v>
      </c>
      <c r="P66" s="1">
        <v>16</v>
      </c>
      <c r="Q66" s="1">
        <v>8</v>
      </c>
      <c r="R66" s="1">
        <v>3</v>
      </c>
      <c r="S66" s="3">
        <f t="shared" si="1"/>
        <v>300</v>
      </c>
      <c r="T66" s="3">
        <f t="shared" si="0"/>
        <v>800</v>
      </c>
      <c r="U66" s="1">
        <v>450</v>
      </c>
      <c r="V66" s="3">
        <v>15</v>
      </c>
      <c r="W66" s="1">
        <v>0</v>
      </c>
      <c r="X66" s="3">
        <v>0</v>
      </c>
      <c r="Y66" s="8" t="s">
        <v>347</v>
      </c>
    </row>
    <row r="67" s="1" customFormat="1" spans="1:25">
      <c r="A67" s="1">
        <v>340015</v>
      </c>
      <c r="B67" s="1">
        <v>332005</v>
      </c>
      <c r="C67" s="2">
        <v>34001</v>
      </c>
      <c r="D67" s="1" t="s">
        <v>251</v>
      </c>
      <c r="E67" s="1">
        <v>1</v>
      </c>
      <c r="F67" s="1" t="s">
        <v>252</v>
      </c>
      <c r="G67" s="1" t="s">
        <v>252</v>
      </c>
      <c r="H67" s="3">
        <v>2</v>
      </c>
      <c r="I67" s="1">
        <v>0</v>
      </c>
      <c r="J67" s="1" t="s">
        <v>74</v>
      </c>
      <c r="K67" s="1">
        <v>0</v>
      </c>
      <c r="L67" s="1">
        <v>0</v>
      </c>
      <c r="M67" s="1">
        <v>120</v>
      </c>
      <c r="N67" s="1">
        <v>24</v>
      </c>
      <c r="O67" s="1">
        <v>12</v>
      </c>
      <c r="P67" s="1">
        <v>24</v>
      </c>
      <c r="Q67" s="1">
        <v>12</v>
      </c>
      <c r="R67" s="1">
        <v>4</v>
      </c>
      <c r="S67" s="3">
        <f t="shared" si="1"/>
        <v>300</v>
      </c>
      <c r="T67" s="3">
        <f t="shared" si="0"/>
        <v>800</v>
      </c>
      <c r="U67" s="1">
        <v>450</v>
      </c>
      <c r="V67" s="3">
        <v>15</v>
      </c>
      <c r="W67" s="1">
        <v>0</v>
      </c>
      <c r="X67" s="3">
        <v>0</v>
      </c>
      <c r="Y67" s="8" t="s">
        <v>347</v>
      </c>
    </row>
    <row r="68" s="1" customFormat="1" spans="1:25">
      <c r="A68" s="1">
        <v>350011</v>
      </c>
      <c r="B68" s="1">
        <v>130006</v>
      </c>
      <c r="C68" s="2">
        <v>35001</v>
      </c>
      <c r="D68" s="1" t="s">
        <v>253</v>
      </c>
      <c r="E68" s="1">
        <v>2</v>
      </c>
      <c r="F68" s="1" t="s">
        <v>254</v>
      </c>
      <c r="G68" s="1" t="s">
        <v>254</v>
      </c>
      <c r="H68" s="3">
        <v>2</v>
      </c>
      <c r="I68" s="1">
        <v>0</v>
      </c>
      <c r="J68" s="1" t="s">
        <v>65</v>
      </c>
      <c r="K68" s="1">
        <v>0</v>
      </c>
      <c r="L68" s="1" t="s">
        <v>255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f t="shared" si="1"/>
        <v>800</v>
      </c>
      <c r="T68" s="3">
        <f t="shared" ref="T68:T97" si="2">MIN(S68+500,1100)</f>
        <v>1100</v>
      </c>
      <c r="U68" s="1">
        <v>300</v>
      </c>
      <c r="V68" s="3">
        <v>15</v>
      </c>
      <c r="W68" s="1">
        <v>511001</v>
      </c>
      <c r="X68" s="3">
        <v>0</v>
      </c>
      <c r="Y68" s="8" t="s">
        <v>348</v>
      </c>
    </row>
    <row r="69" s="1" customFormat="1" spans="1:25">
      <c r="A69" s="1">
        <v>350012</v>
      </c>
      <c r="B69" s="1">
        <v>231006</v>
      </c>
      <c r="C69" s="2">
        <v>35001</v>
      </c>
      <c r="D69" s="1" t="s">
        <v>258</v>
      </c>
      <c r="E69" s="1">
        <v>2</v>
      </c>
      <c r="F69" s="1" t="s">
        <v>259</v>
      </c>
      <c r="G69" s="1" t="s">
        <v>259</v>
      </c>
      <c r="H69" s="3">
        <v>2</v>
      </c>
      <c r="I69" s="1">
        <v>0</v>
      </c>
      <c r="J69" s="1" t="s">
        <v>70</v>
      </c>
      <c r="K69" s="1">
        <v>0</v>
      </c>
      <c r="L69" s="1">
        <v>331006</v>
      </c>
      <c r="M69" s="1">
        <v>80</v>
      </c>
      <c r="N69" s="1">
        <v>16</v>
      </c>
      <c r="O69" s="1">
        <v>8</v>
      </c>
      <c r="P69" s="1">
        <v>16</v>
      </c>
      <c r="Q69" s="1">
        <v>8</v>
      </c>
      <c r="R69" s="1">
        <v>3</v>
      </c>
      <c r="S69" s="3">
        <f t="shared" si="1"/>
        <v>800</v>
      </c>
      <c r="T69" s="3">
        <f t="shared" si="2"/>
        <v>1100</v>
      </c>
      <c r="U69" s="1">
        <v>300</v>
      </c>
      <c r="V69" s="3">
        <v>15</v>
      </c>
      <c r="W69" s="1">
        <v>0</v>
      </c>
      <c r="X69" s="3">
        <v>0</v>
      </c>
      <c r="Y69" s="8" t="s">
        <v>348</v>
      </c>
    </row>
    <row r="70" s="1" customFormat="1" spans="1:25">
      <c r="A70" s="1">
        <v>350013</v>
      </c>
      <c r="B70" s="1">
        <v>331006</v>
      </c>
      <c r="C70" s="2">
        <v>35001</v>
      </c>
      <c r="D70" s="1" t="s">
        <v>261</v>
      </c>
      <c r="E70" s="1">
        <v>2</v>
      </c>
      <c r="F70" s="1" t="s">
        <v>262</v>
      </c>
      <c r="G70" s="1" t="s">
        <v>262</v>
      </c>
      <c r="H70" s="3">
        <v>2</v>
      </c>
      <c r="I70" s="1">
        <v>0</v>
      </c>
      <c r="J70" s="1" t="s">
        <v>74</v>
      </c>
      <c r="K70" s="1">
        <v>0</v>
      </c>
      <c r="L70" s="1">
        <v>0</v>
      </c>
      <c r="M70" s="1">
        <v>120</v>
      </c>
      <c r="N70" s="1">
        <v>24</v>
      </c>
      <c r="O70" s="1">
        <v>12</v>
      </c>
      <c r="P70" s="1">
        <v>24</v>
      </c>
      <c r="Q70" s="1">
        <v>12</v>
      </c>
      <c r="R70" s="1">
        <v>4</v>
      </c>
      <c r="S70" s="3">
        <f t="shared" si="1"/>
        <v>800</v>
      </c>
      <c r="T70" s="3">
        <f t="shared" si="2"/>
        <v>1100</v>
      </c>
      <c r="U70" s="1">
        <v>300</v>
      </c>
      <c r="V70" s="3">
        <v>15</v>
      </c>
      <c r="W70" s="1">
        <v>0</v>
      </c>
      <c r="X70" s="3">
        <v>0</v>
      </c>
      <c r="Y70" s="8" t="s">
        <v>348</v>
      </c>
    </row>
    <row r="71" s="1" customFormat="1" spans="1:25">
      <c r="A71" s="1">
        <v>350014</v>
      </c>
      <c r="B71" s="1">
        <v>232006</v>
      </c>
      <c r="C71" s="2">
        <v>35001</v>
      </c>
      <c r="D71" s="1" t="s">
        <v>263</v>
      </c>
      <c r="E71" s="1">
        <v>2</v>
      </c>
      <c r="F71" s="1" t="s">
        <v>264</v>
      </c>
      <c r="G71" s="1" t="s">
        <v>264</v>
      </c>
      <c r="H71" s="3">
        <v>2</v>
      </c>
      <c r="I71" s="1">
        <v>0</v>
      </c>
      <c r="J71" s="1" t="s">
        <v>70</v>
      </c>
      <c r="K71" s="1">
        <v>0</v>
      </c>
      <c r="L71" s="1">
        <v>332006</v>
      </c>
      <c r="M71" s="1">
        <v>80</v>
      </c>
      <c r="N71" s="1">
        <v>16</v>
      </c>
      <c r="O71" s="1">
        <v>8</v>
      </c>
      <c r="P71" s="1">
        <v>16</v>
      </c>
      <c r="Q71" s="1">
        <v>8</v>
      </c>
      <c r="R71" s="1">
        <v>3</v>
      </c>
      <c r="S71" s="3">
        <f t="shared" si="1"/>
        <v>800</v>
      </c>
      <c r="T71" s="3">
        <f t="shared" si="2"/>
        <v>1100</v>
      </c>
      <c r="U71" s="1">
        <v>300</v>
      </c>
      <c r="V71" s="3">
        <v>15</v>
      </c>
      <c r="W71" s="1">
        <v>0</v>
      </c>
      <c r="X71" s="3">
        <v>0</v>
      </c>
      <c r="Y71" s="8" t="s">
        <v>348</v>
      </c>
    </row>
    <row r="72" s="1" customFormat="1" spans="1:25">
      <c r="A72" s="1">
        <v>350015</v>
      </c>
      <c r="B72" s="1">
        <v>332006</v>
      </c>
      <c r="C72" s="2">
        <v>35001</v>
      </c>
      <c r="D72" s="1" t="s">
        <v>265</v>
      </c>
      <c r="E72" s="1">
        <v>2</v>
      </c>
      <c r="F72" s="1" t="s">
        <v>266</v>
      </c>
      <c r="G72" s="1" t="s">
        <v>266</v>
      </c>
      <c r="H72" s="3">
        <v>2</v>
      </c>
      <c r="I72" s="1">
        <v>0</v>
      </c>
      <c r="J72" s="1" t="s">
        <v>74</v>
      </c>
      <c r="K72" s="1">
        <v>0</v>
      </c>
      <c r="L72" s="1">
        <v>0</v>
      </c>
      <c r="M72" s="1">
        <v>120</v>
      </c>
      <c r="N72" s="1">
        <v>24</v>
      </c>
      <c r="O72" s="1">
        <v>12</v>
      </c>
      <c r="P72" s="1">
        <v>24</v>
      </c>
      <c r="Q72" s="1">
        <v>12</v>
      </c>
      <c r="R72" s="1">
        <v>4</v>
      </c>
      <c r="S72" s="3">
        <f t="shared" si="1"/>
        <v>800</v>
      </c>
      <c r="T72" s="3">
        <f t="shared" si="2"/>
        <v>1100</v>
      </c>
      <c r="U72" s="1">
        <v>300</v>
      </c>
      <c r="V72" s="3">
        <v>15</v>
      </c>
      <c r="W72" s="1">
        <v>0</v>
      </c>
      <c r="X72" s="3">
        <v>0</v>
      </c>
      <c r="Y72" s="8" t="s">
        <v>348</v>
      </c>
    </row>
    <row r="73" s="1" customFormat="1" spans="1:25">
      <c r="A73" s="1">
        <v>360011</v>
      </c>
      <c r="B73" s="1">
        <v>130007</v>
      </c>
      <c r="C73" s="2">
        <v>36001</v>
      </c>
      <c r="D73" s="1" t="s">
        <v>175</v>
      </c>
      <c r="E73" s="1">
        <v>2</v>
      </c>
      <c r="F73" s="1" t="s">
        <v>267</v>
      </c>
      <c r="G73" s="1" t="s">
        <v>267</v>
      </c>
      <c r="H73" s="3">
        <v>2</v>
      </c>
      <c r="I73" s="1">
        <v>0</v>
      </c>
      <c r="J73" s="1" t="s">
        <v>65</v>
      </c>
      <c r="K73" s="1">
        <v>0</v>
      </c>
      <c r="L73" s="1" t="s">
        <v>268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f t="shared" si="1"/>
        <v>800</v>
      </c>
      <c r="T73" s="3">
        <f t="shared" si="2"/>
        <v>1100</v>
      </c>
      <c r="U73" s="1">
        <v>300</v>
      </c>
      <c r="V73" s="3">
        <v>15</v>
      </c>
      <c r="W73" s="1">
        <v>611001</v>
      </c>
      <c r="X73" s="3">
        <v>0</v>
      </c>
      <c r="Y73" s="8" t="s">
        <v>349</v>
      </c>
    </row>
    <row r="74" s="1" customFormat="1" spans="1:25">
      <c r="A74" s="1">
        <v>360012</v>
      </c>
      <c r="B74" s="1">
        <v>231007</v>
      </c>
      <c r="C74" s="2">
        <v>36001</v>
      </c>
      <c r="D74" s="1" t="s">
        <v>270</v>
      </c>
      <c r="E74" s="1">
        <v>2</v>
      </c>
      <c r="F74" s="1" t="s">
        <v>271</v>
      </c>
      <c r="G74" s="1" t="s">
        <v>271</v>
      </c>
      <c r="H74" s="3">
        <v>2</v>
      </c>
      <c r="I74" s="1">
        <v>0</v>
      </c>
      <c r="J74" s="1" t="s">
        <v>70</v>
      </c>
      <c r="K74" s="1">
        <v>0</v>
      </c>
      <c r="L74" s="1">
        <v>331007</v>
      </c>
      <c r="M74" s="1">
        <v>80</v>
      </c>
      <c r="N74" s="1">
        <v>16</v>
      </c>
      <c r="O74" s="1">
        <v>8</v>
      </c>
      <c r="P74" s="1">
        <v>16</v>
      </c>
      <c r="Q74" s="1">
        <v>8</v>
      </c>
      <c r="R74" s="1">
        <v>3</v>
      </c>
      <c r="S74" s="3">
        <f t="shared" si="1"/>
        <v>800</v>
      </c>
      <c r="T74" s="3">
        <f t="shared" si="2"/>
        <v>1100</v>
      </c>
      <c r="U74" s="1">
        <v>300</v>
      </c>
      <c r="V74" s="3">
        <v>15</v>
      </c>
      <c r="W74" s="1">
        <v>0</v>
      </c>
      <c r="X74" s="3">
        <v>0</v>
      </c>
      <c r="Y74" s="8" t="s">
        <v>349</v>
      </c>
    </row>
    <row r="75" s="1" customFormat="1" spans="1:25">
      <c r="A75" s="1">
        <v>360013</v>
      </c>
      <c r="B75" s="1">
        <v>331007</v>
      </c>
      <c r="C75" s="2">
        <v>36001</v>
      </c>
      <c r="D75" s="1" t="s">
        <v>272</v>
      </c>
      <c r="E75" s="1">
        <v>2</v>
      </c>
      <c r="F75" s="1" t="s">
        <v>273</v>
      </c>
      <c r="G75" s="1" t="s">
        <v>273</v>
      </c>
      <c r="H75" s="3">
        <v>2</v>
      </c>
      <c r="I75" s="1">
        <v>0</v>
      </c>
      <c r="J75" s="1" t="s">
        <v>74</v>
      </c>
      <c r="K75" s="1">
        <v>0</v>
      </c>
      <c r="L75" s="1">
        <v>0</v>
      </c>
      <c r="M75" s="1">
        <v>120</v>
      </c>
      <c r="N75" s="1">
        <v>24</v>
      </c>
      <c r="O75" s="1">
        <v>12</v>
      </c>
      <c r="P75" s="1">
        <v>24</v>
      </c>
      <c r="Q75" s="1">
        <v>12</v>
      </c>
      <c r="R75" s="1">
        <v>4</v>
      </c>
      <c r="S75" s="3">
        <f t="shared" si="1"/>
        <v>800</v>
      </c>
      <c r="T75" s="3">
        <f t="shared" si="2"/>
        <v>1100</v>
      </c>
      <c r="U75" s="1">
        <v>300</v>
      </c>
      <c r="V75" s="3">
        <v>15</v>
      </c>
      <c r="W75" s="1">
        <v>0</v>
      </c>
      <c r="X75" s="3">
        <v>0</v>
      </c>
      <c r="Y75" s="8" t="s">
        <v>349</v>
      </c>
    </row>
    <row r="76" s="1" customFormat="1" spans="1:25">
      <c r="A76" s="1">
        <v>360014</v>
      </c>
      <c r="B76" s="1">
        <v>232007</v>
      </c>
      <c r="C76" s="2">
        <v>36001</v>
      </c>
      <c r="D76" s="1" t="s">
        <v>116</v>
      </c>
      <c r="E76" s="1">
        <v>2</v>
      </c>
      <c r="F76" s="1" t="s">
        <v>274</v>
      </c>
      <c r="G76" s="1" t="s">
        <v>274</v>
      </c>
      <c r="H76" s="3">
        <v>2</v>
      </c>
      <c r="I76" s="1">
        <v>0</v>
      </c>
      <c r="J76" s="1" t="s">
        <v>70</v>
      </c>
      <c r="K76" s="1">
        <v>0</v>
      </c>
      <c r="L76" s="1">
        <v>332007</v>
      </c>
      <c r="M76" s="1">
        <v>80</v>
      </c>
      <c r="N76" s="1">
        <v>16</v>
      </c>
      <c r="O76" s="1">
        <v>8</v>
      </c>
      <c r="P76" s="1">
        <v>16</v>
      </c>
      <c r="Q76" s="1">
        <v>8</v>
      </c>
      <c r="R76" s="1">
        <v>3</v>
      </c>
      <c r="S76" s="3">
        <f t="shared" si="1"/>
        <v>800</v>
      </c>
      <c r="T76" s="3">
        <f t="shared" si="2"/>
        <v>1100</v>
      </c>
      <c r="U76" s="1">
        <v>300</v>
      </c>
      <c r="V76" s="3">
        <v>15</v>
      </c>
      <c r="W76" s="1">
        <v>0</v>
      </c>
      <c r="X76" s="3">
        <v>0</v>
      </c>
      <c r="Y76" s="8" t="s">
        <v>349</v>
      </c>
    </row>
    <row r="77" s="1" customFormat="1" spans="1:25">
      <c r="A77" s="1">
        <v>360015</v>
      </c>
      <c r="B77" s="1">
        <v>332007</v>
      </c>
      <c r="C77" s="2">
        <v>36001</v>
      </c>
      <c r="D77" s="1" t="s">
        <v>275</v>
      </c>
      <c r="E77" s="1">
        <v>2</v>
      </c>
      <c r="F77" s="1" t="s">
        <v>276</v>
      </c>
      <c r="G77" s="1" t="s">
        <v>276</v>
      </c>
      <c r="H77" s="3">
        <v>2</v>
      </c>
      <c r="I77" s="1">
        <v>0</v>
      </c>
      <c r="J77" s="1" t="s">
        <v>74</v>
      </c>
      <c r="K77" s="1">
        <v>0</v>
      </c>
      <c r="L77" s="1">
        <v>0</v>
      </c>
      <c r="M77" s="1">
        <v>120</v>
      </c>
      <c r="N77" s="1">
        <v>24</v>
      </c>
      <c r="O77" s="1">
        <v>12</v>
      </c>
      <c r="P77" s="1">
        <v>24</v>
      </c>
      <c r="Q77" s="1">
        <v>12</v>
      </c>
      <c r="R77" s="1">
        <v>4</v>
      </c>
      <c r="S77" s="3">
        <f t="shared" si="1"/>
        <v>800</v>
      </c>
      <c r="T77" s="3">
        <f t="shared" si="2"/>
        <v>1100</v>
      </c>
      <c r="U77" s="1">
        <v>300</v>
      </c>
      <c r="V77" s="3">
        <v>15</v>
      </c>
      <c r="W77" s="1">
        <v>0</v>
      </c>
      <c r="X77" s="3">
        <v>0</v>
      </c>
      <c r="Y77" s="8" t="s">
        <v>349</v>
      </c>
    </row>
    <row r="78" s="1" customFormat="1" spans="1:25">
      <c r="A78" s="1">
        <v>370011</v>
      </c>
      <c r="B78" s="1">
        <v>130008</v>
      </c>
      <c r="C78" s="2">
        <v>37001</v>
      </c>
      <c r="D78" s="1" t="s">
        <v>277</v>
      </c>
      <c r="E78" s="1">
        <v>1</v>
      </c>
      <c r="F78" s="1" t="s">
        <v>278</v>
      </c>
      <c r="G78" s="1" t="s">
        <v>278</v>
      </c>
      <c r="H78" s="3">
        <v>1</v>
      </c>
      <c r="I78" s="1">
        <v>0</v>
      </c>
      <c r="J78" s="1" t="s">
        <v>65</v>
      </c>
      <c r="K78" s="1">
        <v>0</v>
      </c>
      <c r="L78" s="1" t="s">
        <v>280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f t="shared" si="1"/>
        <v>300</v>
      </c>
      <c r="T78" s="3">
        <f t="shared" si="2"/>
        <v>800</v>
      </c>
      <c r="U78" s="1">
        <v>300</v>
      </c>
      <c r="V78" s="3">
        <v>15</v>
      </c>
      <c r="W78" s="1">
        <v>711001</v>
      </c>
      <c r="X78" s="3">
        <v>0</v>
      </c>
      <c r="Y78" s="8" t="s">
        <v>350</v>
      </c>
    </row>
    <row r="79" s="1" customFormat="1" spans="1:25">
      <c r="A79" s="1">
        <v>370012</v>
      </c>
      <c r="B79" s="1">
        <v>231008</v>
      </c>
      <c r="C79" s="2">
        <v>37001</v>
      </c>
      <c r="D79" s="1" t="s">
        <v>283</v>
      </c>
      <c r="E79" s="1">
        <v>1</v>
      </c>
      <c r="F79" s="1" t="s">
        <v>284</v>
      </c>
      <c r="G79" s="1" t="s">
        <v>284</v>
      </c>
      <c r="H79" s="3">
        <v>1</v>
      </c>
      <c r="I79" s="1">
        <v>0</v>
      </c>
      <c r="J79" s="1" t="s">
        <v>70</v>
      </c>
      <c r="K79" s="1">
        <v>0</v>
      </c>
      <c r="L79" s="1">
        <v>331008</v>
      </c>
      <c r="M79" s="1">
        <v>80</v>
      </c>
      <c r="N79" s="1">
        <v>16</v>
      </c>
      <c r="O79" s="1">
        <v>8</v>
      </c>
      <c r="P79" s="1">
        <v>16</v>
      </c>
      <c r="Q79" s="1">
        <v>8</v>
      </c>
      <c r="R79" s="1">
        <v>3</v>
      </c>
      <c r="S79" s="3">
        <f t="shared" si="1"/>
        <v>300</v>
      </c>
      <c r="T79" s="3">
        <f t="shared" si="2"/>
        <v>800</v>
      </c>
      <c r="U79" s="1">
        <v>300</v>
      </c>
      <c r="V79" s="3">
        <v>15</v>
      </c>
      <c r="W79" s="1">
        <v>0</v>
      </c>
      <c r="X79" s="3">
        <v>0</v>
      </c>
      <c r="Y79" s="8" t="s">
        <v>350</v>
      </c>
    </row>
    <row r="80" s="1" customFormat="1" spans="1:25">
      <c r="A80" s="1">
        <v>370013</v>
      </c>
      <c r="B80" s="1">
        <v>331008</v>
      </c>
      <c r="C80" s="2">
        <v>37001</v>
      </c>
      <c r="D80" s="1" t="s">
        <v>286</v>
      </c>
      <c r="E80" s="1">
        <v>1</v>
      </c>
      <c r="F80" s="1" t="s">
        <v>287</v>
      </c>
      <c r="G80" s="1" t="s">
        <v>287</v>
      </c>
      <c r="H80" s="3">
        <v>1</v>
      </c>
      <c r="I80" s="1">
        <v>0</v>
      </c>
      <c r="J80" s="1" t="s">
        <v>74</v>
      </c>
      <c r="K80" s="1">
        <v>0</v>
      </c>
      <c r="L80" s="1">
        <v>0</v>
      </c>
      <c r="M80" s="1">
        <v>120</v>
      </c>
      <c r="N80" s="1">
        <v>24</v>
      </c>
      <c r="O80" s="1">
        <v>12</v>
      </c>
      <c r="P80" s="1">
        <v>24</v>
      </c>
      <c r="Q80" s="1">
        <v>12</v>
      </c>
      <c r="R80" s="1">
        <v>4</v>
      </c>
      <c r="S80" s="3">
        <f t="shared" ref="S80:S97" si="3">IF(E80=1,300,800)</f>
        <v>300</v>
      </c>
      <c r="T80" s="3">
        <f t="shared" si="2"/>
        <v>800</v>
      </c>
      <c r="U80" s="1">
        <v>300</v>
      </c>
      <c r="V80" s="3">
        <v>15</v>
      </c>
      <c r="W80" s="1">
        <v>0</v>
      </c>
      <c r="X80" s="3">
        <v>0</v>
      </c>
      <c r="Y80" s="8" t="s">
        <v>350</v>
      </c>
    </row>
    <row r="81" s="1" customFormat="1" spans="1:25">
      <c r="A81" s="1">
        <v>370014</v>
      </c>
      <c r="B81" s="1">
        <v>232008</v>
      </c>
      <c r="C81" s="2">
        <v>37001</v>
      </c>
      <c r="D81" s="1" t="s">
        <v>288</v>
      </c>
      <c r="E81" s="1">
        <v>1</v>
      </c>
      <c r="F81" s="1" t="s">
        <v>289</v>
      </c>
      <c r="G81" s="1" t="s">
        <v>289</v>
      </c>
      <c r="H81" s="3">
        <v>1</v>
      </c>
      <c r="I81" s="1">
        <v>0</v>
      </c>
      <c r="J81" s="1" t="s">
        <v>70</v>
      </c>
      <c r="K81" s="1">
        <v>0</v>
      </c>
      <c r="L81" s="1">
        <v>332008</v>
      </c>
      <c r="M81" s="1">
        <v>80</v>
      </c>
      <c r="N81" s="1">
        <v>16</v>
      </c>
      <c r="O81" s="1">
        <v>8</v>
      </c>
      <c r="P81" s="1">
        <v>16</v>
      </c>
      <c r="Q81" s="1">
        <v>8</v>
      </c>
      <c r="R81" s="1">
        <v>3</v>
      </c>
      <c r="S81" s="3">
        <f t="shared" si="3"/>
        <v>300</v>
      </c>
      <c r="T81" s="3">
        <f t="shared" si="2"/>
        <v>800</v>
      </c>
      <c r="U81" s="1">
        <v>300</v>
      </c>
      <c r="V81" s="3">
        <v>15</v>
      </c>
      <c r="W81" s="1">
        <v>0</v>
      </c>
      <c r="X81" s="3">
        <v>0</v>
      </c>
      <c r="Y81" s="8" t="s">
        <v>350</v>
      </c>
    </row>
    <row r="82" s="1" customFormat="1" spans="1:25">
      <c r="A82" s="1">
        <v>370015</v>
      </c>
      <c r="B82" s="1">
        <v>332008</v>
      </c>
      <c r="C82" s="2">
        <v>37001</v>
      </c>
      <c r="D82" s="1" t="s">
        <v>290</v>
      </c>
      <c r="E82" s="1">
        <v>1</v>
      </c>
      <c r="F82" s="1" t="s">
        <v>291</v>
      </c>
      <c r="G82" s="1" t="s">
        <v>291</v>
      </c>
      <c r="H82" s="3">
        <v>1</v>
      </c>
      <c r="I82" s="1">
        <v>0</v>
      </c>
      <c r="J82" s="1" t="s">
        <v>74</v>
      </c>
      <c r="K82" s="1">
        <v>0</v>
      </c>
      <c r="L82" s="1">
        <v>0</v>
      </c>
      <c r="M82" s="1">
        <v>120</v>
      </c>
      <c r="N82" s="1">
        <v>24</v>
      </c>
      <c r="O82" s="1">
        <v>12</v>
      </c>
      <c r="P82" s="1">
        <v>24</v>
      </c>
      <c r="Q82" s="1">
        <v>12</v>
      </c>
      <c r="R82" s="1">
        <v>4</v>
      </c>
      <c r="S82" s="3">
        <f t="shared" si="3"/>
        <v>300</v>
      </c>
      <c r="T82" s="3">
        <f t="shared" si="2"/>
        <v>800</v>
      </c>
      <c r="U82" s="1">
        <v>300</v>
      </c>
      <c r="V82" s="3">
        <v>15</v>
      </c>
      <c r="W82" s="1">
        <v>0</v>
      </c>
      <c r="X82" s="3">
        <v>0</v>
      </c>
      <c r="Y82" s="8" t="s">
        <v>350</v>
      </c>
    </row>
    <row r="83" s="1" customFormat="1" spans="1:25">
      <c r="A83" s="1">
        <v>370021</v>
      </c>
      <c r="B83" s="1">
        <v>130009</v>
      </c>
      <c r="C83" s="2">
        <v>37002</v>
      </c>
      <c r="D83" s="1" t="s">
        <v>292</v>
      </c>
      <c r="E83" s="1">
        <v>1</v>
      </c>
      <c r="F83" s="1" t="s">
        <v>293</v>
      </c>
      <c r="G83" s="1" t="s">
        <v>293</v>
      </c>
      <c r="H83" s="3">
        <v>1</v>
      </c>
      <c r="I83" s="1">
        <v>0</v>
      </c>
      <c r="J83" s="1" t="s">
        <v>65</v>
      </c>
      <c r="K83" s="1">
        <v>0</v>
      </c>
      <c r="L83" s="1" t="s">
        <v>294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f t="shared" si="3"/>
        <v>300</v>
      </c>
      <c r="T83" s="3">
        <f t="shared" si="2"/>
        <v>800</v>
      </c>
      <c r="U83" s="1">
        <v>300</v>
      </c>
      <c r="V83" s="3">
        <v>15</v>
      </c>
      <c r="W83" s="1">
        <v>811001</v>
      </c>
      <c r="X83" s="3">
        <v>0</v>
      </c>
      <c r="Y83" s="8" t="s">
        <v>351</v>
      </c>
    </row>
    <row r="84" s="1" customFormat="1" spans="1:25">
      <c r="A84" s="1">
        <v>370022</v>
      </c>
      <c r="B84" s="1">
        <v>231009</v>
      </c>
      <c r="C84" s="2">
        <v>37002</v>
      </c>
      <c r="D84" s="1" t="s">
        <v>297</v>
      </c>
      <c r="E84" s="1">
        <v>1</v>
      </c>
      <c r="F84" s="1" t="s">
        <v>298</v>
      </c>
      <c r="G84" s="1" t="s">
        <v>298</v>
      </c>
      <c r="H84" s="3">
        <v>1</v>
      </c>
      <c r="I84" s="1">
        <v>0</v>
      </c>
      <c r="J84" s="1" t="s">
        <v>70</v>
      </c>
      <c r="K84" s="1">
        <v>0</v>
      </c>
      <c r="L84" s="1">
        <v>331009</v>
      </c>
      <c r="M84" s="1">
        <v>80</v>
      </c>
      <c r="N84" s="1">
        <v>16</v>
      </c>
      <c r="O84" s="1">
        <v>8</v>
      </c>
      <c r="P84" s="1">
        <v>16</v>
      </c>
      <c r="Q84" s="1">
        <v>8</v>
      </c>
      <c r="R84" s="1">
        <v>3</v>
      </c>
      <c r="S84" s="3">
        <f t="shared" si="3"/>
        <v>300</v>
      </c>
      <c r="T84" s="3">
        <f t="shared" si="2"/>
        <v>800</v>
      </c>
      <c r="U84" s="1">
        <v>300</v>
      </c>
      <c r="V84" s="3">
        <v>15</v>
      </c>
      <c r="W84" s="1">
        <v>0</v>
      </c>
      <c r="X84" s="3">
        <v>0</v>
      </c>
      <c r="Y84" s="8" t="s">
        <v>351</v>
      </c>
    </row>
    <row r="85" s="1" customFormat="1" spans="1:25">
      <c r="A85" s="1">
        <v>370023</v>
      </c>
      <c r="B85" s="1">
        <v>331009</v>
      </c>
      <c r="C85" s="2">
        <v>37002</v>
      </c>
      <c r="D85" s="1" t="s">
        <v>299</v>
      </c>
      <c r="E85" s="1">
        <v>1</v>
      </c>
      <c r="F85" s="1" t="s">
        <v>300</v>
      </c>
      <c r="G85" s="1" t="s">
        <v>300</v>
      </c>
      <c r="H85" s="3">
        <v>1</v>
      </c>
      <c r="I85" s="1">
        <v>0</v>
      </c>
      <c r="J85" s="1" t="s">
        <v>74</v>
      </c>
      <c r="K85" s="1">
        <v>0</v>
      </c>
      <c r="L85" s="1">
        <v>0</v>
      </c>
      <c r="M85" s="1">
        <v>120</v>
      </c>
      <c r="N85" s="1">
        <v>24</v>
      </c>
      <c r="O85" s="1">
        <v>12</v>
      </c>
      <c r="P85" s="1">
        <v>24</v>
      </c>
      <c r="Q85" s="1">
        <v>12</v>
      </c>
      <c r="R85" s="1">
        <v>4</v>
      </c>
      <c r="S85" s="3">
        <f t="shared" si="3"/>
        <v>300</v>
      </c>
      <c r="T85" s="3">
        <f t="shared" si="2"/>
        <v>800</v>
      </c>
      <c r="U85" s="1">
        <v>300</v>
      </c>
      <c r="V85" s="3">
        <v>15</v>
      </c>
      <c r="W85" s="1">
        <v>0</v>
      </c>
      <c r="X85" s="3">
        <v>0</v>
      </c>
      <c r="Y85" s="8" t="s">
        <v>351</v>
      </c>
    </row>
    <row r="86" s="1" customFormat="1" spans="1:25">
      <c r="A86" s="1">
        <v>370024</v>
      </c>
      <c r="B86" s="1">
        <v>232009</v>
      </c>
      <c r="C86" s="2">
        <v>37002</v>
      </c>
      <c r="D86" s="1" t="s">
        <v>301</v>
      </c>
      <c r="E86" s="1">
        <v>2</v>
      </c>
      <c r="F86" s="1" t="s">
        <v>302</v>
      </c>
      <c r="G86" s="1" t="s">
        <v>302</v>
      </c>
      <c r="H86" s="3">
        <v>1</v>
      </c>
      <c r="I86" s="1">
        <v>0</v>
      </c>
      <c r="J86" s="1" t="s">
        <v>70</v>
      </c>
      <c r="K86" s="1">
        <v>0</v>
      </c>
      <c r="L86" s="1">
        <v>332009</v>
      </c>
      <c r="M86" s="1">
        <v>80</v>
      </c>
      <c r="N86" s="1">
        <v>16</v>
      </c>
      <c r="O86" s="1">
        <v>8</v>
      </c>
      <c r="P86" s="1">
        <v>16</v>
      </c>
      <c r="Q86" s="1">
        <v>8</v>
      </c>
      <c r="R86" s="1">
        <v>3</v>
      </c>
      <c r="S86" s="3">
        <f t="shared" si="3"/>
        <v>800</v>
      </c>
      <c r="T86" s="3">
        <f t="shared" si="2"/>
        <v>1100</v>
      </c>
      <c r="U86" s="1">
        <v>400</v>
      </c>
      <c r="V86" s="3">
        <v>15</v>
      </c>
      <c r="W86" s="1">
        <v>0</v>
      </c>
      <c r="X86" s="3">
        <v>0</v>
      </c>
      <c r="Y86" s="8" t="s">
        <v>351</v>
      </c>
    </row>
    <row r="87" s="1" customFormat="1" spans="1:25">
      <c r="A87" s="1">
        <v>370025</v>
      </c>
      <c r="B87" s="1">
        <v>332009</v>
      </c>
      <c r="C87" s="2">
        <v>37002</v>
      </c>
      <c r="D87" s="1" t="s">
        <v>303</v>
      </c>
      <c r="E87" s="1">
        <v>2</v>
      </c>
      <c r="F87" s="1" t="s">
        <v>304</v>
      </c>
      <c r="G87" s="1" t="s">
        <v>304</v>
      </c>
      <c r="H87" s="3">
        <v>1</v>
      </c>
      <c r="I87" s="1">
        <v>0</v>
      </c>
      <c r="J87" s="1" t="s">
        <v>74</v>
      </c>
      <c r="K87" s="1">
        <v>0</v>
      </c>
      <c r="L87" s="1">
        <v>0</v>
      </c>
      <c r="M87" s="1">
        <v>120</v>
      </c>
      <c r="N87" s="1">
        <v>24</v>
      </c>
      <c r="O87" s="1">
        <v>12</v>
      </c>
      <c r="P87" s="1">
        <v>24</v>
      </c>
      <c r="Q87" s="1">
        <v>12</v>
      </c>
      <c r="R87" s="1">
        <v>4</v>
      </c>
      <c r="S87" s="3">
        <f t="shared" si="3"/>
        <v>800</v>
      </c>
      <c r="T87" s="3">
        <f t="shared" si="2"/>
        <v>1100</v>
      </c>
      <c r="U87" s="1">
        <v>400</v>
      </c>
      <c r="V87" s="3">
        <v>15</v>
      </c>
      <c r="W87" s="1">
        <v>0</v>
      </c>
      <c r="X87" s="3">
        <v>0</v>
      </c>
      <c r="Y87" s="8" t="s">
        <v>351</v>
      </c>
    </row>
    <row r="88" s="1" customFormat="1" spans="1:25">
      <c r="A88" s="1">
        <v>380011</v>
      </c>
      <c r="B88" s="1">
        <v>130010</v>
      </c>
      <c r="C88" s="2">
        <v>38001</v>
      </c>
      <c r="D88" s="1" t="s">
        <v>305</v>
      </c>
      <c r="E88" s="1">
        <v>1</v>
      </c>
      <c r="F88" s="1" t="s">
        <v>306</v>
      </c>
      <c r="G88" s="1" t="s">
        <v>306</v>
      </c>
      <c r="H88" s="3">
        <v>2</v>
      </c>
      <c r="I88" s="1">
        <v>0</v>
      </c>
      <c r="J88" s="1" t="s">
        <v>65</v>
      </c>
      <c r="K88" s="1">
        <v>0</v>
      </c>
      <c r="L88" s="1" t="s">
        <v>307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f t="shared" si="3"/>
        <v>300</v>
      </c>
      <c r="T88" s="3">
        <f t="shared" si="2"/>
        <v>800</v>
      </c>
      <c r="U88" s="1">
        <v>300</v>
      </c>
      <c r="V88" s="3">
        <v>15</v>
      </c>
      <c r="W88" s="1">
        <v>711001</v>
      </c>
      <c r="X88" s="3">
        <v>0</v>
      </c>
      <c r="Y88" s="8" t="s">
        <v>352</v>
      </c>
    </row>
    <row r="89" s="1" customFormat="1" spans="1:25">
      <c r="A89" s="1">
        <v>380012</v>
      </c>
      <c r="B89" s="1">
        <v>231010</v>
      </c>
      <c r="C89" s="2">
        <v>38001</v>
      </c>
      <c r="D89" s="1" t="s">
        <v>309</v>
      </c>
      <c r="E89" s="1">
        <v>1</v>
      </c>
      <c r="F89" s="1" t="s">
        <v>310</v>
      </c>
      <c r="G89" s="1" t="s">
        <v>310</v>
      </c>
      <c r="H89" s="3">
        <v>2</v>
      </c>
      <c r="I89" s="1">
        <v>0</v>
      </c>
      <c r="J89" s="1" t="s">
        <v>70</v>
      </c>
      <c r="K89" s="1">
        <v>0</v>
      </c>
      <c r="L89" s="1">
        <v>331010</v>
      </c>
      <c r="M89" s="1">
        <v>80</v>
      </c>
      <c r="N89" s="1">
        <v>16</v>
      </c>
      <c r="O89" s="1">
        <v>8</v>
      </c>
      <c r="P89" s="1">
        <v>16</v>
      </c>
      <c r="Q89" s="1">
        <v>8</v>
      </c>
      <c r="R89" s="1">
        <v>3</v>
      </c>
      <c r="S89" s="3">
        <f t="shared" si="3"/>
        <v>300</v>
      </c>
      <c r="T89" s="3">
        <f t="shared" si="2"/>
        <v>800</v>
      </c>
      <c r="U89" s="1">
        <v>300</v>
      </c>
      <c r="V89" s="3">
        <v>15</v>
      </c>
      <c r="W89" s="1">
        <v>0</v>
      </c>
      <c r="X89" s="3">
        <v>0</v>
      </c>
      <c r="Y89" s="8" t="s">
        <v>352</v>
      </c>
    </row>
    <row r="90" s="1" customFormat="1" spans="1:25">
      <c r="A90" s="1">
        <v>380013</v>
      </c>
      <c r="B90" s="1">
        <v>331010</v>
      </c>
      <c r="C90" s="2">
        <v>38001</v>
      </c>
      <c r="D90" s="1" t="s">
        <v>312</v>
      </c>
      <c r="E90" s="1">
        <v>1</v>
      </c>
      <c r="F90" s="1" t="s">
        <v>313</v>
      </c>
      <c r="G90" s="1" t="s">
        <v>313</v>
      </c>
      <c r="H90" s="3">
        <v>2</v>
      </c>
      <c r="I90" s="1">
        <v>0</v>
      </c>
      <c r="J90" s="1" t="s">
        <v>74</v>
      </c>
      <c r="K90" s="1">
        <v>0</v>
      </c>
      <c r="L90" s="1">
        <v>0</v>
      </c>
      <c r="M90" s="1">
        <v>120</v>
      </c>
      <c r="N90" s="1">
        <v>24</v>
      </c>
      <c r="O90" s="1">
        <v>12</v>
      </c>
      <c r="P90" s="1">
        <v>24</v>
      </c>
      <c r="Q90" s="1">
        <v>12</v>
      </c>
      <c r="R90" s="1">
        <v>4</v>
      </c>
      <c r="S90" s="3">
        <f t="shared" si="3"/>
        <v>300</v>
      </c>
      <c r="T90" s="3">
        <f t="shared" si="2"/>
        <v>800</v>
      </c>
      <c r="U90" s="1">
        <v>300</v>
      </c>
      <c r="V90" s="3">
        <v>15</v>
      </c>
      <c r="W90" s="1">
        <v>0</v>
      </c>
      <c r="X90" s="3">
        <v>0</v>
      </c>
      <c r="Y90" s="8" t="s">
        <v>352</v>
      </c>
    </row>
    <row r="91" s="1" customFormat="1" spans="1:25">
      <c r="A91" s="1">
        <v>380014</v>
      </c>
      <c r="B91" s="1">
        <v>232010</v>
      </c>
      <c r="C91" s="2">
        <v>38001</v>
      </c>
      <c r="D91" s="1" t="s">
        <v>314</v>
      </c>
      <c r="E91" s="1">
        <v>1</v>
      </c>
      <c r="F91" s="1" t="s">
        <v>315</v>
      </c>
      <c r="G91" s="1" t="s">
        <v>315</v>
      </c>
      <c r="H91" s="3">
        <v>2</v>
      </c>
      <c r="I91" s="1">
        <v>0</v>
      </c>
      <c r="J91" s="1" t="s">
        <v>70</v>
      </c>
      <c r="K91" s="1">
        <v>0</v>
      </c>
      <c r="L91" s="1">
        <v>332010</v>
      </c>
      <c r="M91" s="1">
        <v>80</v>
      </c>
      <c r="N91" s="1">
        <v>16</v>
      </c>
      <c r="O91" s="1">
        <v>8</v>
      </c>
      <c r="P91" s="1">
        <v>16</v>
      </c>
      <c r="Q91" s="1">
        <v>8</v>
      </c>
      <c r="R91" s="1">
        <v>3</v>
      </c>
      <c r="S91" s="3">
        <f t="shared" si="3"/>
        <v>300</v>
      </c>
      <c r="T91" s="3">
        <f t="shared" si="2"/>
        <v>800</v>
      </c>
      <c r="U91" s="1">
        <v>300</v>
      </c>
      <c r="V91" s="3">
        <v>15</v>
      </c>
      <c r="W91" s="1">
        <v>0</v>
      </c>
      <c r="X91" s="3">
        <v>0</v>
      </c>
      <c r="Y91" s="8" t="s">
        <v>352</v>
      </c>
    </row>
    <row r="92" s="1" customFormat="1" spans="1:25">
      <c r="A92" s="1">
        <v>380015</v>
      </c>
      <c r="B92" s="1">
        <v>332010</v>
      </c>
      <c r="C92" s="2">
        <v>38001</v>
      </c>
      <c r="D92" s="1" t="s">
        <v>316</v>
      </c>
      <c r="E92" s="1">
        <v>1</v>
      </c>
      <c r="F92" s="1" t="s">
        <v>317</v>
      </c>
      <c r="G92" s="1" t="s">
        <v>317</v>
      </c>
      <c r="H92" s="3">
        <v>2</v>
      </c>
      <c r="I92" s="1">
        <v>0</v>
      </c>
      <c r="J92" s="1" t="s">
        <v>74</v>
      </c>
      <c r="K92" s="1">
        <v>0</v>
      </c>
      <c r="L92" s="1">
        <v>0</v>
      </c>
      <c r="M92" s="1">
        <v>120</v>
      </c>
      <c r="N92" s="1">
        <v>24</v>
      </c>
      <c r="O92" s="1">
        <v>12</v>
      </c>
      <c r="P92" s="1">
        <v>24</v>
      </c>
      <c r="Q92" s="1">
        <v>12</v>
      </c>
      <c r="R92" s="1">
        <v>4</v>
      </c>
      <c r="S92" s="3">
        <f t="shared" si="3"/>
        <v>300</v>
      </c>
      <c r="T92" s="3">
        <f t="shared" si="2"/>
        <v>800</v>
      </c>
      <c r="U92" s="1">
        <v>300</v>
      </c>
      <c r="V92" s="3">
        <v>15</v>
      </c>
      <c r="W92" s="1">
        <v>0</v>
      </c>
      <c r="X92" s="3">
        <v>0</v>
      </c>
      <c r="Y92" s="8" t="s">
        <v>352</v>
      </c>
    </row>
    <row r="93" s="1" customFormat="1" spans="1:25">
      <c r="A93" s="1">
        <v>380021</v>
      </c>
      <c r="B93" s="1">
        <v>130011</v>
      </c>
      <c r="C93" s="2">
        <v>38002</v>
      </c>
      <c r="D93" s="1" t="s">
        <v>292</v>
      </c>
      <c r="E93" s="1">
        <v>1</v>
      </c>
      <c r="F93" s="1" t="s">
        <v>318</v>
      </c>
      <c r="G93" s="1" t="s">
        <v>198</v>
      </c>
      <c r="H93" s="3">
        <v>1</v>
      </c>
      <c r="I93" s="1">
        <v>0</v>
      </c>
      <c r="J93" s="1" t="s">
        <v>65</v>
      </c>
      <c r="K93" s="1">
        <v>0</v>
      </c>
      <c r="L93" s="1" t="s">
        <v>319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f t="shared" si="3"/>
        <v>300</v>
      </c>
      <c r="T93" s="3">
        <f t="shared" si="2"/>
        <v>800</v>
      </c>
      <c r="U93" s="1">
        <v>300</v>
      </c>
      <c r="V93" s="3">
        <v>15</v>
      </c>
      <c r="W93" s="1">
        <v>811001</v>
      </c>
      <c r="X93" s="3">
        <v>0</v>
      </c>
      <c r="Y93" s="8" t="s">
        <v>353</v>
      </c>
    </row>
    <row r="94" s="1" customFormat="1" spans="1:25">
      <c r="A94" s="1">
        <v>380022</v>
      </c>
      <c r="B94" s="1">
        <v>231011</v>
      </c>
      <c r="C94" s="2">
        <v>38002</v>
      </c>
      <c r="D94" s="1" t="s">
        <v>321</v>
      </c>
      <c r="E94" s="1">
        <v>1</v>
      </c>
      <c r="F94" s="1" t="s">
        <v>322</v>
      </c>
      <c r="G94" s="1" t="s">
        <v>202</v>
      </c>
      <c r="H94" s="3">
        <v>1</v>
      </c>
      <c r="I94" s="1">
        <v>0</v>
      </c>
      <c r="J94" s="1" t="s">
        <v>70</v>
      </c>
      <c r="K94" s="1">
        <v>0</v>
      </c>
      <c r="L94" s="1">
        <v>331011</v>
      </c>
      <c r="M94" s="1">
        <v>80</v>
      </c>
      <c r="N94" s="1">
        <v>16</v>
      </c>
      <c r="O94" s="1">
        <v>8</v>
      </c>
      <c r="P94" s="1">
        <v>16</v>
      </c>
      <c r="Q94" s="1">
        <v>8</v>
      </c>
      <c r="R94" s="1">
        <v>3</v>
      </c>
      <c r="S94" s="3">
        <f t="shared" si="3"/>
        <v>300</v>
      </c>
      <c r="T94" s="3">
        <f t="shared" si="2"/>
        <v>800</v>
      </c>
      <c r="U94" s="1">
        <v>300</v>
      </c>
      <c r="V94" s="3">
        <v>15</v>
      </c>
      <c r="W94" s="1">
        <v>0</v>
      </c>
      <c r="X94" s="3">
        <v>0</v>
      </c>
      <c r="Y94" s="8" t="s">
        <v>353</v>
      </c>
    </row>
    <row r="95" s="1" customFormat="1" spans="1:25">
      <c r="A95" s="1">
        <v>380023</v>
      </c>
      <c r="B95" s="1">
        <v>331011</v>
      </c>
      <c r="C95" s="2">
        <v>38002</v>
      </c>
      <c r="D95" s="1" t="s">
        <v>323</v>
      </c>
      <c r="E95" s="1">
        <v>1</v>
      </c>
      <c r="F95" s="1" t="s">
        <v>324</v>
      </c>
      <c r="G95" s="1" t="s">
        <v>205</v>
      </c>
      <c r="H95" s="3">
        <v>1</v>
      </c>
      <c r="I95" s="1">
        <v>0</v>
      </c>
      <c r="J95" s="1" t="s">
        <v>74</v>
      </c>
      <c r="K95" s="1">
        <v>0</v>
      </c>
      <c r="L95" s="1">
        <v>0</v>
      </c>
      <c r="M95" s="1">
        <v>120</v>
      </c>
      <c r="N95" s="1">
        <v>24</v>
      </c>
      <c r="O95" s="1">
        <v>12</v>
      </c>
      <c r="P95" s="1">
        <v>24</v>
      </c>
      <c r="Q95" s="1">
        <v>12</v>
      </c>
      <c r="R95" s="1">
        <v>4</v>
      </c>
      <c r="S95" s="3">
        <f t="shared" si="3"/>
        <v>300</v>
      </c>
      <c r="T95" s="3">
        <f t="shared" si="2"/>
        <v>800</v>
      </c>
      <c r="U95" s="1">
        <v>300</v>
      </c>
      <c r="V95" s="3">
        <v>15</v>
      </c>
      <c r="W95" s="1">
        <v>0</v>
      </c>
      <c r="X95" s="3">
        <v>0</v>
      </c>
      <c r="Y95" s="8" t="s">
        <v>353</v>
      </c>
    </row>
    <row r="96" s="1" customFormat="1" spans="1:25">
      <c r="A96" s="1">
        <v>380024</v>
      </c>
      <c r="B96" s="1">
        <v>232011</v>
      </c>
      <c r="C96" s="2">
        <v>38002</v>
      </c>
      <c r="D96" s="1" t="s">
        <v>325</v>
      </c>
      <c r="E96" s="1">
        <v>1</v>
      </c>
      <c r="F96" s="1" t="s">
        <v>326</v>
      </c>
      <c r="G96" s="1" t="s">
        <v>206</v>
      </c>
      <c r="H96" s="3">
        <v>1</v>
      </c>
      <c r="I96" s="1">
        <v>0</v>
      </c>
      <c r="J96" s="1" t="s">
        <v>70</v>
      </c>
      <c r="K96" s="1">
        <v>0</v>
      </c>
      <c r="L96" s="1">
        <v>332011</v>
      </c>
      <c r="M96" s="1">
        <v>80</v>
      </c>
      <c r="N96" s="1">
        <v>16</v>
      </c>
      <c r="O96" s="1">
        <v>8</v>
      </c>
      <c r="P96" s="1">
        <v>16</v>
      </c>
      <c r="Q96" s="1">
        <v>8</v>
      </c>
      <c r="R96" s="1">
        <v>3</v>
      </c>
      <c r="S96" s="3">
        <f t="shared" si="3"/>
        <v>300</v>
      </c>
      <c r="T96" s="3">
        <f t="shared" si="2"/>
        <v>800</v>
      </c>
      <c r="U96" s="1">
        <v>300</v>
      </c>
      <c r="V96" s="3">
        <v>15</v>
      </c>
      <c r="W96" s="1">
        <v>0</v>
      </c>
      <c r="X96" s="3">
        <v>0</v>
      </c>
      <c r="Y96" s="8" t="s">
        <v>353</v>
      </c>
    </row>
    <row r="97" s="1" customFormat="1" spans="1:25">
      <c r="A97" s="1">
        <v>380025</v>
      </c>
      <c r="B97" s="1">
        <v>332011</v>
      </c>
      <c r="C97" s="2">
        <v>38002</v>
      </c>
      <c r="D97" s="1" t="s">
        <v>327</v>
      </c>
      <c r="E97" s="1">
        <v>1</v>
      </c>
      <c r="F97" s="1" t="s">
        <v>328</v>
      </c>
      <c r="G97" s="1" t="s">
        <v>208</v>
      </c>
      <c r="H97" s="3">
        <v>1</v>
      </c>
      <c r="I97" s="1">
        <v>0</v>
      </c>
      <c r="J97" s="1" t="s">
        <v>74</v>
      </c>
      <c r="K97" s="1">
        <v>0</v>
      </c>
      <c r="L97" s="1">
        <v>0</v>
      </c>
      <c r="M97" s="1">
        <v>120</v>
      </c>
      <c r="N97" s="1">
        <v>24</v>
      </c>
      <c r="O97" s="1">
        <v>12</v>
      </c>
      <c r="P97" s="1">
        <v>24</v>
      </c>
      <c r="Q97" s="1">
        <v>12</v>
      </c>
      <c r="R97" s="1">
        <v>4</v>
      </c>
      <c r="S97" s="3">
        <f t="shared" si="3"/>
        <v>300</v>
      </c>
      <c r="T97" s="3">
        <f t="shared" si="2"/>
        <v>800</v>
      </c>
      <c r="U97" s="1">
        <v>300</v>
      </c>
      <c r="V97" s="3">
        <v>15</v>
      </c>
      <c r="W97" s="1">
        <v>0</v>
      </c>
      <c r="X97" s="3">
        <v>0</v>
      </c>
      <c r="Y97" s="8" t="s">
        <v>353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opLeftCell="A46" workbookViewId="0">
      <selection activeCell="D4" sqref="D4:I97"/>
    </sheetView>
  </sheetViews>
  <sheetFormatPr defaultColWidth="9" defaultRowHeight="16.5"/>
  <cols>
    <col min="1" max="3" width="9" style="1"/>
    <col min="4" max="9" width="14.125" style="1" customWidth="1"/>
    <col min="10" max="10" width="9" style="5"/>
    <col min="11" max="11" width="12.625" style="5"/>
    <col min="12" max="16" width="9.25" style="5"/>
    <col min="17" max="16384" width="9" style="5"/>
  </cols>
  <sheetData>
    <row r="1" spans="1:16">
      <c r="A1" s="5" t="s">
        <v>354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6" t="s">
        <v>355</v>
      </c>
      <c r="K1" s="6">
        <v>0.5</v>
      </c>
      <c r="L1" s="6">
        <v>0.8</v>
      </c>
      <c r="M1" s="6">
        <v>0.8</v>
      </c>
      <c r="N1" s="6">
        <v>0.8</v>
      </c>
      <c r="O1" s="6">
        <v>0.8</v>
      </c>
      <c r="P1" s="6">
        <v>0.8</v>
      </c>
    </row>
    <row r="2" spans="1:13">
      <c r="A2" s="5"/>
      <c r="D2" s="6">
        <v>80</v>
      </c>
      <c r="E2" s="6">
        <f>INT(D2/8)</f>
        <v>10</v>
      </c>
      <c r="F2" s="6">
        <f>INT(E2/2)</f>
        <v>5</v>
      </c>
      <c r="G2" s="6">
        <f>E2</f>
        <v>10</v>
      </c>
      <c r="H2" s="6">
        <f>F2</f>
        <v>5</v>
      </c>
      <c r="I2" s="6">
        <v>2</v>
      </c>
      <c r="L2" s="6"/>
      <c r="M2" s="6"/>
    </row>
    <row r="3" spans="1:16">
      <c r="A3" s="1" t="s">
        <v>36</v>
      </c>
      <c r="B3" s="1" t="s">
        <v>329</v>
      </c>
      <c r="C3" s="1" t="s">
        <v>43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  <c r="I3" s="4" t="s">
        <v>52</v>
      </c>
      <c r="K3" s="4" t="s">
        <v>47</v>
      </c>
      <c r="L3" s="4" t="s">
        <v>48</v>
      </c>
      <c r="M3" s="4" t="s">
        <v>49</v>
      </c>
      <c r="N3" s="4" t="s">
        <v>50</v>
      </c>
      <c r="O3" s="4" t="s">
        <v>51</v>
      </c>
      <c r="P3" s="4" t="s">
        <v>52</v>
      </c>
    </row>
    <row r="4" spans="1:16">
      <c r="A4" s="3" t="s">
        <v>63</v>
      </c>
      <c r="B4" s="3" t="s">
        <v>65</v>
      </c>
      <c r="C4" s="3" t="s">
        <v>65</v>
      </c>
      <c r="D4" s="3">
        <f t="shared" ref="D4:I4" si="0">INT(D$2*K4)</f>
        <v>40</v>
      </c>
      <c r="E4" s="3">
        <f t="shared" si="0"/>
        <v>8</v>
      </c>
      <c r="F4" s="3">
        <f t="shared" si="0"/>
        <v>4</v>
      </c>
      <c r="G4" s="3">
        <f t="shared" si="0"/>
        <v>8</v>
      </c>
      <c r="H4" s="3">
        <f t="shared" si="0"/>
        <v>4</v>
      </c>
      <c r="I4" s="3">
        <f t="shared" si="0"/>
        <v>1</v>
      </c>
      <c r="K4" s="6">
        <f>$C4*K$1</f>
        <v>0.5</v>
      </c>
      <c r="L4" s="6">
        <f>$C4*L$1</f>
        <v>0.8</v>
      </c>
      <c r="M4" s="6">
        <f>$C4*M$1</f>
        <v>0.8</v>
      </c>
      <c r="N4" s="6">
        <f>$C4*N$1</f>
        <v>0.8</v>
      </c>
      <c r="O4" s="6">
        <f>$C4*O$1</f>
        <v>0.8</v>
      </c>
      <c r="P4" s="6">
        <f>$C4*P$1</f>
        <v>0.8</v>
      </c>
    </row>
    <row r="5" spans="1:16">
      <c r="A5" s="3" t="s">
        <v>68</v>
      </c>
      <c r="B5" s="3">
        <v>1</v>
      </c>
      <c r="C5" s="3" t="s">
        <v>70</v>
      </c>
      <c r="D5" s="3">
        <f t="shared" ref="D5:D36" si="1">INT(D$2*K5)</f>
        <v>80</v>
      </c>
      <c r="E5" s="3">
        <f t="shared" ref="E5:E36" si="2">INT(E$2*L5)</f>
        <v>16</v>
      </c>
      <c r="F5" s="3">
        <f t="shared" ref="F5:F36" si="3">INT(F$2*M5)</f>
        <v>8</v>
      </c>
      <c r="G5" s="3">
        <f t="shared" ref="G5:G36" si="4">INT(G$2*N5)</f>
        <v>16</v>
      </c>
      <c r="H5" s="3">
        <f t="shared" ref="H5:H36" si="5">INT(H$2*O5)</f>
        <v>8</v>
      </c>
      <c r="I5" s="3">
        <f t="shared" ref="I5:I36" si="6">INT(I$2*P5)</f>
        <v>3</v>
      </c>
      <c r="K5" s="6">
        <f t="shared" ref="K5:K36" si="7">$C5*K$1</f>
        <v>1</v>
      </c>
      <c r="L5" s="6">
        <f t="shared" ref="L5:L36" si="8">$C5*L$1</f>
        <v>1.6</v>
      </c>
      <c r="M5" s="6">
        <f t="shared" ref="M5:M36" si="9">$C5*M$1</f>
        <v>1.6</v>
      </c>
      <c r="N5" s="6">
        <f t="shared" ref="N5:N36" si="10">$C5*N$1</f>
        <v>1.6</v>
      </c>
      <c r="O5" s="6">
        <f t="shared" ref="O5:O36" si="11">$C5*O$1</f>
        <v>1.6</v>
      </c>
      <c r="P5" s="6">
        <f t="shared" ref="P5:P36" si="12">$C5*P$1</f>
        <v>1.6</v>
      </c>
    </row>
    <row r="6" spans="1:16">
      <c r="A6" s="3" t="s">
        <v>72</v>
      </c>
      <c r="B6" s="3">
        <v>1</v>
      </c>
      <c r="C6" s="3" t="s">
        <v>74</v>
      </c>
      <c r="D6" s="3">
        <f t="shared" si="1"/>
        <v>120</v>
      </c>
      <c r="E6" s="3">
        <f t="shared" si="2"/>
        <v>24</v>
      </c>
      <c r="F6" s="3">
        <f t="shared" si="3"/>
        <v>12</v>
      </c>
      <c r="G6" s="3">
        <f t="shared" si="4"/>
        <v>24</v>
      </c>
      <c r="H6" s="3">
        <f t="shared" si="5"/>
        <v>12</v>
      </c>
      <c r="I6" s="3">
        <f t="shared" si="6"/>
        <v>4</v>
      </c>
      <c r="K6" s="6">
        <f t="shared" si="7"/>
        <v>1.5</v>
      </c>
      <c r="L6" s="6">
        <f t="shared" si="8"/>
        <v>2.4</v>
      </c>
      <c r="M6" s="6">
        <f t="shared" si="9"/>
        <v>2.4</v>
      </c>
      <c r="N6" s="6">
        <f t="shared" si="10"/>
        <v>2.4</v>
      </c>
      <c r="O6" s="6">
        <f t="shared" si="11"/>
        <v>2.4</v>
      </c>
      <c r="P6" s="6">
        <f t="shared" si="12"/>
        <v>2.4</v>
      </c>
    </row>
    <row r="7" spans="1:16">
      <c r="A7" s="3" t="s">
        <v>77</v>
      </c>
      <c r="B7" s="3">
        <v>2</v>
      </c>
      <c r="C7" s="3" t="s">
        <v>65</v>
      </c>
      <c r="D7" s="3">
        <f t="shared" si="1"/>
        <v>40</v>
      </c>
      <c r="E7" s="3">
        <f t="shared" si="2"/>
        <v>8</v>
      </c>
      <c r="F7" s="3">
        <f t="shared" si="3"/>
        <v>4</v>
      </c>
      <c r="G7" s="3">
        <f t="shared" si="4"/>
        <v>8</v>
      </c>
      <c r="H7" s="3">
        <f t="shared" si="5"/>
        <v>4</v>
      </c>
      <c r="I7" s="3">
        <f t="shared" si="6"/>
        <v>1</v>
      </c>
      <c r="K7" s="6">
        <f t="shared" si="7"/>
        <v>0.5</v>
      </c>
      <c r="L7" s="6">
        <f t="shared" si="8"/>
        <v>0.8</v>
      </c>
      <c r="M7" s="6">
        <f t="shared" si="9"/>
        <v>0.8</v>
      </c>
      <c r="N7" s="6">
        <f t="shared" si="10"/>
        <v>0.8</v>
      </c>
      <c r="O7" s="6">
        <f t="shared" si="11"/>
        <v>0.8</v>
      </c>
      <c r="P7" s="6">
        <f t="shared" si="12"/>
        <v>0.8</v>
      </c>
    </row>
    <row r="8" spans="1:16">
      <c r="A8" s="3" t="s">
        <v>81</v>
      </c>
      <c r="B8" s="3">
        <v>2</v>
      </c>
      <c r="C8" s="3" t="s">
        <v>70</v>
      </c>
      <c r="D8" s="3">
        <f t="shared" si="1"/>
        <v>80</v>
      </c>
      <c r="E8" s="3">
        <f t="shared" si="2"/>
        <v>16</v>
      </c>
      <c r="F8" s="3">
        <f t="shared" si="3"/>
        <v>8</v>
      </c>
      <c r="G8" s="3">
        <f t="shared" si="4"/>
        <v>16</v>
      </c>
      <c r="H8" s="3">
        <f t="shared" si="5"/>
        <v>8</v>
      </c>
      <c r="I8" s="3">
        <f t="shared" si="6"/>
        <v>3</v>
      </c>
      <c r="K8" s="6">
        <f t="shared" si="7"/>
        <v>1</v>
      </c>
      <c r="L8" s="6">
        <f t="shared" si="8"/>
        <v>1.6</v>
      </c>
      <c r="M8" s="6">
        <f t="shared" si="9"/>
        <v>1.6</v>
      </c>
      <c r="N8" s="6">
        <f t="shared" si="10"/>
        <v>1.6</v>
      </c>
      <c r="O8" s="6">
        <f t="shared" si="11"/>
        <v>1.6</v>
      </c>
      <c r="P8" s="6">
        <f t="shared" si="12"/>
        <v>1.6</v>
      </c>
    </row>
    <row r="9" spans="1:16">
      <c r="A9" s="3" t="s">
        <v>84</v>
      </c>
      <c r="B9" s="3">
        <v>2</v>
      </c>
      <c r="C9" s="3" t="s">
        <v>74</v>
      </c>
      <c r="D9" s="3">
        <f t="shared" si="1"/>
        <v>120</v>
      </c>
      <c r="E9" s="3">
        <f t="shared" si="2"/>
        <v>24</v>
      </c>
      <c r="F9" s="3">
        <f t="shared" si="3"/>
        <v>12</v>
      </c>
      <c r="G9" s="3">
        <f t="shared" si="4"/>
        <v>24</v>
      </c>
      <c r="H9" s="3">
        <f t="shared" si="5"/>
        <v>12</v>
      </c>
      <c r="I9" s="3">
        <f t="shared" si="6"/>
        <v>4</v>
      </c>
      <c r="K9" s="6">
        <f t="shared" si="7"/>
        <v>1.5</v>
      </c>
      <c r="L9" s="6">
        <f t="shared" si="8"/>
        <v>2.4</v>
      </c>
      <c r="M9" s="6">
        <f t="shared" si="9"/>
        <v>2.4</v>
      </c>
      <c r="N9" s="6">
        <f t="shared" si="10"/>
        <v>2.4</v>
      </c>
      <c r="O9" s="6">
        <f t="shared" si="11"/>
        <v>2.4</v>
      </c>
      <c r="P9" s="6">
        <f t="shared" si="12"/>
        <v>2.4</v>
      </c>
    </row>
    <row r="10" spans="1:16">
      <c r="A10" s="7" t="s">
        <v>88</v>
      </c>
      <c r="B10" s="3">
        <v>3</v>
      </c>
      <c r="C10" s="3" t="s">
        <v>65</v>
      </c>
      <c r="D10" s="3">
        <f t="shared" si="1"/>
        <v>40</v>
      </c>
      <c r="E10" s="3">
        <f t="shared" si="2"/>
        <v>8</v>
      </c>
      <c r="F10" s="3">
        <f t="shared" si="3"/>
        <v>4</v>
      </c>
      <c r="G10" s="3">
        <f t="shared" si="4"/>
        <v>8</v>
      </c>
      <c r="H10" s="3">
        <f t="shared" si="5"/>
        <v>4</v>
      </c>
      <c r="I10" s="3">
        <f t="shared" si="6"/>
        <v>1</v>
      </c>
      <c r="K10" s="6">
        <f t="shared" si="7"/>
        <v>0.5</v>
      </c>
      <c r="L10" s="6">
        <f t="shared" si="8"/>
        <v>0.8</v>
      </c>
      <c r="M10" s="6">
        <f t="shared" si="9"/>
        <v>0.8</v>
      </c>
      <c r="N10" s="6">
        <f t="shared" si="10"/>
        <v>0.8</v>
      </c>
      <c r="O10" s="6">
        <f t="shared" si="11"/>
        <v>0.8</v>
      </c>
      <c r="P10" s="6">
        <f t="shared" si="12"/>
        <v>0.8</v>
      </c>
    </row>
    <row r="11" spans="1:16">
      <c r="A11" s="7" t="s">
        <v>92</v>
      </c>
      <c r="B11" s="3">
        <v>3</v>
      </c>
      <c r="C11" s="3" t="s">
        <v>70</v>
      </c>
      <c r="D11" s="3">
        <f t="shared" si="1"/>
        <v>80</v>
      </c>
      <c r="E11" s="3">
        <f t="shared" si="2"/>
        <v>16</v>
      </c>
      <c r="F11" s="3">
        <f t="shared" si="3"/>
        <v>8</v>
      </c>
      <c r="G11" s="3">
        <f t="shared" si="4"/>
        <v>16</v>
      </c>
      <c r="H11" s="3">
        <f t="shared" si="5"/>
        <v>8</v>
      </c>
      <c r="I11" s="3">
        <f t="shared" si="6"/>
        <v>3</v>
      </c>
      <c r="K11" s="6">
        <f t="shared" si="7"/>
        <v>1</v>
      </c>
      <c r="L11" s="6">
        <f t="shared" si="8"/>
        <v>1.6</v>
      </c>
      <c r="M11" s="6">
        <f t="shared" si="9"/>
        <v>1.6</v>
      </c>
      <c r="N11" s="6">
        <f t="shared" si="10"/>
        <v>1.6</v>
      </c>
      <c r="O11" s="6">
        <f t="shared" si="11"/>
        <v>1.6</v>
      </c>
      <c r="P11" s="6">
        <f t="shared" si="12"/>
        <v>1.6</v>
      </c>
    </row>
    <row r="12" spans="1:16">
      <c r="A12" s="7" t="s">
        <v>95</v>
      </c>
      <c r="B12" s="3">
        <v>3</v>
      </c>
      <c r="C12" s="3" t="s">
        <v>74</v>
      </c>
      <c r="D12" s="3">
        <f t="shared" si="1"/>
        <v>120</v>
      </c>
      <c r="E12" s="3">
        <f t="shared" si="2"/>
        <v>24</v>
      </c>
      <c r="F12" s="3">
        <f t="shared" si="3"/>
        <v>12</v>
      </c>
      <c r="G12" s="3">
        <f t="shared" si="4"/>
        <v>24</v>
      </c>
      <c r="H12" s="3">
        <f t="shared" si="5"/>
        <v>12</v>
      </c>
      <c r="I12" s="3">
        <f t="shared" si="6"/>
        <v>4</v>
      </c>
      <c r="K12" s="6">
        <f t="shared" si="7"/>
        <v>1.5</v>
      </c>
      <c r="L12" s="6">
        <f t="shared" si="8"/>
        <v>2.4</v>
      </c>
      <c r="M12" s="6">
        <f t="shared" si="9"/>
        <v>2.4</v>
      </c>
      <c r="N12" s="6">
        <f t="shared" si="10"/>
        <v>2.4</v>
      </c>
      <c r="O12" s="6">
        <f t="shared" si="11"/>
        <v>2.4</v>
      </c>
      <c r="P12" s="6">
        <f t="shared" si="12"/>
        <v>2.4</v>
      </c>
    </row>
    <row r="13" spans="1:16">
      <c r="A13" s="1" t="s">
        <v>99</v>
      </c>
      <c r="B13" s="3">
        <v>4</v>
      </c>
      <c r="C13" s="3" t="s">
        <v>65</v>
      </c>
      <c r="D13" s="3">
        <f t="shared" si="1"/>
        <v>40</v>
      </c>
      <c r="E13" s="3">
        <f t="shared" si="2"/>
        <v>8</v>
      </c>
      <c r="F13" s="3">
        <f t="shared" si="3"/>
        <v>4</v>
      </c>
      <c r="G13" s="3">
        <f t="shared" si="4"/>
        <v>8</v>
      </c>
      <c r="H13" s="3">
        <f t="shared" si="5"/>
        <v>4</v>
      </c>
      <c r="I13" s="3">
        <f t="shared" si="6"/>
        <v>1</v>
      </c>
      <c r="K13" s="6">
        <f t="shared" si="7"/>
        <v>0.5</v>
      </c>
      <c r="L13" s="6">
        <f t="shared" si="8"/>
        <v>0.8</v>
      </c>
      <c r="M13" s="6">
        <f t="shared" si="9"/>
        <v>0.8</v>
      </c>
      <c r="N13" s="6">
        <f t="shared" si="10"/>
        <v>0.8</v>
      </c>
      <c r="O13" s="6">
        <f t="shared" si="11"/>
        <v>0.8</v>
      </c>
      <c r="P13" s="6">
        <f t="shared" si="12"/>
        <v>0.8</v>
      </c>
    </row>
    <row r="14" spans="1:16">
      <c r="A14" s="1" t="s">
        <v>104</v>
      </c>
      <c r="B14" s="3">
        <v>4</v>
      </c>
      <c r="C14" s="3" t="s">
        <v>70</v>
      </c>
      <c r="D14" s="3">
        <f t="shared" si="1"/>
        <v>80</v>
      </c>
      <c r="E14" s="3">
        <f t="shared" si="2"/>
        <v>16</v>
      </c>
      <c r="F14" s="3">
        <f t="shared" si="3"/>
        <v>8</v>
      </c>
      <c r="G14" s="3">
        <f t="shared" si="4"/>
        <v>16</v>
      </c>
      <c r="H14" s="3">
        <f t="shared" si="5"/>
        <v>8</v>
      </c>
      <c r="I14" s="3">
        <f t="shared" si="6"/>
        <v>3</v>
      </c>
      <c r="K14" s="6">
        <f t="shared" si="7"/>
        <v>1</v>
      </c>
      <c r="L14" s="6">
        <f t="shared" si="8"/>
        <v>1.6</v>
      </c>
      <c r="M14" s="6">
        <f t="shared" si="9"/>
        <v>1.6</v>
      </c>
      <c r="N14" s="6">
        <f t="shared" si="10"/>
        <v>1.6</v>
      </c>
      <c r="O14" s="6">
        <f t="shared" si="11"/>
        <v>1.6</v>
      </c>
      <c r="P14" s="6">
        <f t="shared" si="12"/>
        <v>1.6</v>
      </c>
    </row>
    <row r="15" spans="1:16">
      <c r="A15" s="1" t="s">
        <v>107</v>
      </c>
      <c r="B15" s="1">
        <v>4</v>
      </c>
      <c r="C15" s="1" t="s">
        <v>74</v>
      </c>
      <c r="D15" s="3">
        <f t="shared" si="1"/>
        <v>120</v>
      </c>
      <c r="E15" s="3">
        <f t="shared" si="2"/>
        <v>24</v>
      </c>
      <c r="F15" s="3">
        <f t="shared" si="3"/>
        <v>12</v>
      </c>
      <c r="G15" s="3">
        <f t="shared" si="4"/>
        <v>24</v>
      </c>
      <c r="H15" s="3">
        <f t="shared" si="5"/>
        <v>12</v>
      </c>
      <c r="I15" s="3">
        <f t="shared" si="6"/>
        <v>4</v>
      </c>
      <c r="K15" s="6">
        <f t="shared" si="7"/>
        <v>1.5</v>
      </c>
      <c r="L15" s="6">
        <f t="shared" si="8"/>
        <v>2.4</v>
      </c>
      <c r="M15" s="6">
        <f t="shared" si="9"/>
        <v>2.4</v>
      </c>
      <c r="N15" s="6">
        <f t="shared" si="10"/>
        <v>2.4</v>
      </c>
      <c r="O15" s="6">
        <f t="shared" si="11"/>
        <v>2.4</v>
      </c>
      <c r="P15" s="6">
        <f t="shared" si="12"/>
        <v>2.4</v>
      </c>
    </row>
    <row r="16" spans="1:16">
      <c r="A16" s="1" t="s">
        <v>111</v>
      </c>
      <c r="B16" s="1">
        <v>5</v>
      </c>
      <c r="C16" s="1" t="s">
        <v>65</v>
      </c>
      <c r="D16" s="3">
        <f t="shared" si="1"/>
        <v>40</v>
      </c>
      <c r="E16" s="3">
        <f t="shared" si="2"/>
        <v>8</v>
      </c>
      <c r="F16" s="3">
        <f t="shared" si="3"/>
        <v>4</v>
      </c>
      <c r="G16" s="3">
        <f t="shared" si="4"/>
        <v>8</v>
      </c>
      <c r="H16" s="3">
        <f t="shared" si="5"/>
        <v>4</v>
      </c>
      <c r="I16" s="3">
        <f t="shared" si="6"/>
        <v>1</v>
      </c>
      <c r="K16" s="6">
        <f t="shared" si="7"/>
        <v>0.5</v>
      </c>
      <c r="L16" s="6">
        <f t="shared" si="8"/>
        <v>0.8</v>
      </c>
      <c r="M16" s="6">
        <f t="shared" si="9"/>
        <v>0.8</v>
      </c>
      <c r="N16" s="6">
        <f t="shared" si="10"/>
        <v>0.8</v>
      </c>
      <c r="O16" s="6">
        <f t="shared" si="11"/>
        <v>0.8</v>
      </c>
      <c r="P16" s="6">
        <f t="shared" si="12"/>
        <v>0.8</v>
      </c>
    </row>
    <row r="17" spans="1:16">
      <c r="A17" s="1" t="s">
        <v>116</v>
      </c>
      <c r="B17" s="1">
        <v>5</v>
      </c>
      <c r="C17" s="1" t="s">
        <v>70</v>
      </c>
      <c r="D17" s="3">
        <f t="shared" si="1"/>
        <v>80</v>
      </c>
      <c r="E17" s="3">
        <f t="shared" si="2"/>
        <v>16</v>
      </c>
      <c r="F17" s="3">
        <f t="shared" si="3"/>
        <v>8</v>
      </c>
      <c r="G17" s="3">
        <f t="shared" si="4"/>
        <v>16</v>
      </c>
      <c r="H17" s="3">
        <f t="shared" si="5"/>
        <v>8</v>
      </c>
      <c r="I17" s="3">
        <f t="shared" si="6"/>
        <v>3</v>
      </c>
      <c r="K17" s="6">
        <f t="shared" si="7"/>
        <v>1</v>
      </c>
      <c r="L17" s="6">
        <f t="shared" si="8"/>
        <v>1.6</v>
      </c>
      <c r="M17" s="6">
        <f t="shared" si="9"/>
        <v>1.6</v>
      </c>
      <c r="N17" s="6">
        <f t="shared" si="10"/>
        <v>1.6</v>
      </c>
      <c r="O17" s="6">
        <f t="shared" si="11"/>
        <v>1.6</v>
      </c>
      <c r="P17" s="6">
        <f t="shared" si="12"/>
        <v>1.6</v>
      </c>
    </row>
    <row r="18" spans="1:16">
      <c r="A18" s="1" t="s">
        <v>119</v>
      </c>
      <c r="B18" s="1">
        <v>5</v>
      </c>
      <c r="C18" s="1" t="s">
        <v>74</v>
      </c>
      <c r="D18" s="3">
        <f t="shared" si="1"/>
        <v>120</v>
      </c>
      <c r="E18" s="3">
        <f t="shared" si="2"/>
        <v>24</v>
      </c>
      <c r="F18" s="3">
        <f t="shared" si="3"/>
        <v>12</v>
      </c>
      <c r="G18" s="3">
        <f t="shared" si="4"/>
        <v>24</v>
      </c>
      <c r="H18" s="3">
        <f t="shared" si="5"/>
        <v>12</v>
      </c>
      <c r="I18" s="3">
        <f t="shared" si="6"/>
        <v>4</v>
      </c>
      <c r="K18" s="6">
        <f t="shared" si="7"/>
        <v>1.5</v>
      </c>
      <c r="L18" s="6">
        <f t="shared" si="8"/>
        <v>2.4</v>
      </c>
      <c r="M18" s="6">
        <f t="shared" si="9"/>
        <v>2.4</v>
      </c>
      <c r="N18" s="6">
        <f t="shared" si="10"/>
        <v>2.4</v>
      </c>
      <c r="O18" s="6">
        <f t="shared" si="11"/>
        <v>2.4</v>
      </c>
      <c r="P18" s="6">
        <f t="shared" si="12"/>
        <v>2.4</v>
      </c>
    </row>
    <row r="19" spans="1:16">
      <c r="A19" s="1" t="s">
        <v>123</v>
      </c>
      <c r="B19" s="1">
        <v>6</v>
      </c>
      <c r="C19" s="1" t="s">
        <v>65</v>
      </c>
      <c r="D19" s="3">
        <f t="shared" si="1"/>
        <v>40</v>
      </c>
      <c r="E19" s="3">
        <f t="shared" si="2"/>
        <v>8</v>
      </c>
      <c r="F19" s="3">
        <f t="shared" si="3"/>
        <v>4</v>
      </c>
      <c r="G19" s="3">
        <f t="shared" si="4"/>
        <v>8</v>
      </c>
      <c r="H19" s="3">
        <f t="shared" si="5"/>
        <v>4</v>
      </c>
      <c r="I19" s="3">
        <f t="shared" si="6"/>
        <v>1</v>
      </c>
      <c r="K19" s="6">
        <f t="shared" si="7"/>
        <v>0.5</v>
      </c>
      <c r="L19" s="6">
        <f t="shared" si="8"/>
        <v>0.8</v>
      </c>
      <c r="M19" s="6">
        <f t="shared" si="9"/>
        <v>0.8</v>
      </c>
      <c r="N19" s="6">
        <f t="shared" si="10"/>
        <v>0.8</v>
      </c>
      <c r="O19" s="6">
        <f t="shared" si="11"/>
        <v>0.8</v>
      </c>
      <c r="P19" s="6">
        <f t="shared" si="12"/>
        <v>0.8</v>
      </c>
    </row>
    <row r="20" spans="1:16">
      <c r="A20" s="1" t="s">
        <v>128</v>
      </c>
      <c r="B20" s="1">
        <v>6</v>
      </c>
      <c r="C20" s="1" t="s">
        <v>70</v>
      </c>
      <c r="D20" s="3">
        <f t="shared" si="1"/>
        <v>80</v>
      </c>
      <c r="E20" s="3">
        <f t="shared" si="2"/>
        <v>16</v>
      </c>
      <c r="F20" s="3">
        <f t="shared" si="3"/>
        <v>8</v>
      </c>
      <c r="G20" s="3">
        <f t="shared" si="4"/>
        <v>16</v>
      </c>
      <c r="H20" s="3">
        <f t="shared" si="5"/>
        <v>8</v>
      </c>
      <c r="I20" s="3">
        <f t="shared" si="6"/>
        <v>3</v>
      </c>
      <c r="K20" s="6">
        <f t="shared" si="7"/>
        <v>1</v>
      </c>
      <c r="L20" s="6">
        <f t="shared" si="8"/>
        <v>1.6</v>
      </c>
      <c r="M20" s="6">
        <f t="shared" si="9"/>
        <v>1.6</v>
      </c>
      <c r="N20" s="6">
        <f t="shared" si="10"/>
        <v>1.6</v>
      </c>
      <c r="O20" s="6">
        <f t="shared" si="11"/>
        <v>1.6</v>
      </c>
      <c r="P20" s="6">
        <f t="shared" si="12"/>
        <v>1.6</v>
      </c>
    </row>
    <row r="21" spans="1:16">
      <c r="A21" s="1" t="s">
        <v>131</v>
      </c>
      <c r="B21" s="1">
        <v>6</v>
      </c>
      <c r="C21" s="1" t="s">
        <v>74</v>
      </c>
      <c r="D21" s="3">
        <f t="shared" si="1"/>
        <v>120</v>
      </c>
      <c r="E21" s="3">
        <f t="shared" si="2"/>
        <v>24</v>
      </c>
      <c r="F21" s="3">
        <f t="shared" si="3"/>
        <v>12</v>
      </c>
      <c r="G21" s="3">
        <f t="shared" si="4"/>
        <v>24</v>
      </c>
      <c r="H21" s="3">
        <f t="shared" si="5"/>
        <v>12</v>
      </c>
      <c r="I21" s="3">
        <f t="shared" si="6"/>
        <v>4</v>
      </c>
      <c r="K21" s="6">
        <f t="shared" si="7"/>
        <v>1.5</v>
      </c>
      <c r="L21" s="6">
        <f t="shared" si="8"/>
        <v>2.4</v>
      </c>
      <c r="M21" s="6">
        <f t="shared" si="9"/>
        <v>2.4</v>
      </c>
      <c r="N21" s="6">
        <f t="shared" si="10"/>
        <v>2.4</v>
      </c>
      <c r="O21" s="6">
        <f t="shared" si="11"/>
        <v>2.4</v>
      </c>
      <c r="P21" s="6">
        <f t="shared" si="12"/>
        <v>2.4</v>
      </c>
    </row>
    <row r="22" spans="1:16">
      <c r="A22" s="1" t="s">
        <v>63</v>
      </c>
      <c r="B22" s="1">
        <v>1</v>
      </c>
      <c r="C22" s="1" t="s">
        <v>65</v>
      </c>
      <c r="D22" s="3">
        <f t="shared" si="1"/>
        <v>40</v>
      </c>
      <c r="E22" s="3">
        <f t="shared" si="2"/>
        <v>8</v>
      </c>
      <c r="F22" s="3">
        <f t="shared" si="3"/>
        <v>4</v>
      </c>
      <c r="G22" s="3">
        <f t="shared" si="4"/>
        <v>8</v>
      </c>
      <c r="H22" s="3">
        <f t="shared" si="5"/>
        <v>4</v>
      </c>
      <c r="I22" s="3">
        <f t="shared" si="6"/>
        <v>1</v>
      </c>
      <c r="K22" s="6">
        <f t="shared" si="7"/>
        <v>0.5</v>
      </c>
      <c r="L22" s="6">
        <f t="shared" si="8"/>
        <v>0.8</v>
      </c>
      <c r="M22" s="6">
        <f t="shared" si="9"/>
        <v>0.8</v>
      </c>
      <c r="N22" s="6">
        <f t="shared" si="10"/>
        <v>0.8</v>
      </c>
      <c r="O22" s="6">
        <f t="shared" si="11"/>
        <v>0.8</v>
      </c>
      <c r="P22" s="6">
        <f t="shared" si="12"/>
        <v>0.8</v>
      </c>
    </row>
    <row r="23" spans="1:16">
      <c r="A23" s="1" t="s">
        <v>68</v>
      </c>
      <c r="B23" s="1">
        <v>1</v>
      </c>
      <c r="C23" s="1" t="s">
        <v>70</v>
      </c>
      <c r="D23" s="3">
        <f t="shared" si="1"/>
        <v>80</v>
      </c>
      <c r="E23" s="3">
        <f t="shared" si="2"/>
        <v>16</v>
      </c>
      <c r="F23" s="3">
        <f t="shared" si="3"/>
        <v>8</v>
      </c>
      <c r="G23" s="3">
        <f t="shared" si="4"/>
        <v>16</v>
      </c>
      <c r="H23" s="3">
        <f t="shared" si="5"/>
        <v>8</v>
      </c>
      <c r="I23" s="3">
        <f t="shared" si="6"/>
        <v>3</v>
      </c>
      <c r="K23" s="6">
        <f t="shared" si="7"/>
        <v>1</v>
      </c>
      <c r="L23" s="6">
        <f t="shared" si="8"/>
        <v>1.6</v>
      </c>
      <c r="M23" s="6">
        <f t="shared" si="9"/>
        <v>1.6</v>
      </c>
      <c r="N23" s="6">
        <f t="shared" si="10"/>
        <v>1.6</v>
      </c>
      <c r="O23" s="6">
        <f t="shared" si="11"/>
        <v>1.6</v>
      </c>
      <c r="P23" s="6">
        <f t="shared" si="12"/>
        <v>1.6</v>
      </c>
    </row>
    <row r="24" spans="1:16">
      <c r="A24" s="1" t="s">
        <v>72</v>
      </c>
      <c r="B24" s="1">
        <v>1</v>
      </c>
      <c r="C24" s="1" t="s">
        <v>74</v>
      </c>
      <c r="D24" s="3">
        <f t="shared" si="1"/>
        <v>120</v>
      </c>
      <c r="E24" s="3">
        <f t="shared" si="2"/>
        <v>24</v>
      </c>
      <c r="F24" s="3">
        <f t="shared" si="3"/>
        <v>12</v>
      </c>
      <c r="G24" s="3">
        <f t="shared" si="4"/>
        <v>24</v>
      </c>
      <c r="H24" s="3">
        <f t="shared" si="5"/>
        <v>12</v>
      </c>
      <c r="I24" s="3">
        <f t="shared" si="6"/>
        <v>4</v>
      </c>
      <c r="K24" s="6">
        <f t="shared" si="7"/>
        <v>1.5</v>
      </c>
      <c r="L24" s="6">
        <f t="shared" si="8"/>
        <v>2.4</v>
      </c>
      <c r="M24" s="6">
        <f t="shared" si="9"/>
        <v>2.4</v>
      </c>
      <c r="N24" s="6">
        <f t="shared" si="10"/>
        <v>2.4</v>
      </c>
      <c r="O24" s="6">
        <f t="shared" si="11"/>
        <v>2.4</v>
      </c>
      <c r="P24" s="6">
        <f t="shared" si="12"/>
        <v>2.4</v>
      </c>
    </row>
    <row r="25" spans="1:16">
      <c r="A25" s="1" t="s">
        <v>77</v>
      </c>
      <c r="B25" s="1">
        <v>2</v>
      </c>
      <c r="C25" s="1" t="s">
        <v>65</v>
      </c>
      <c r="D25" s="3">
        <f t="shared" si="1"/>
        <v>40</v>
      </c>
      <c r="E25" s="3">
        <f t="shared" si="2"/>
        <v>8</v>
      </c>
      <c r="F25" s="3">
        <f t="shared" si="3"/>
        <v>4</v>
      </c>
      <c r="G25" s="3">
        <f t="shared" si="4"/>
        <v>8</v>
      </c>
      <c r="H25" s="3">
        <f t="shared" si="5"/>
        <v>4</v>
      </c>
      <c r="I25" s="3">
        <f t="shared" si="6"/>
        <v>1</v>
      </c>
      <c r="K25" s="6">
        <f t="shared" si="7"/>
        <v>0.5</v>
      </c>
      <c r="L25" s="6">
        <f t="shared" si="8"/>
        <v>0.8</v>
      </c>
      <c r="M25" s="6">
        <f t="shared" si="9"/>
        <v>0.8</v>
      </c>
      <c r="N25" s="6">
        <f t="shared" si="10"/>
        <v>0.8</v>
      </c>
      <c r="O25" s="6">
        <f t="shared" si="11"/>
        <v>0.8</v>
      </c>
      <c r="P25" s="6">
        <f t="shared" si="12"/>
        <v>0.8</v>
      </c>
    </row>
    <row r="26" spans="1:16">
      <c r="A26" s="1" t="s">
        <v>81</v>
      </c>
      <c r="B26" s="1">
        <v>2</v>
      </c>
      <c r="C26" s="1" t="s">
        <v>70</v>
      </c>
      <c r="D26" s="3">
        <f t="shared" si="1"/>
        <v>80</v>
      </c>
      <c r="E26" s="3">
        <f t="shared" si="2"/>
        <v>16</v>
      </c>
      <c r="F26" s="3">
        <f t="shared" si="3"/>
        <v>8</v>
      </c>
      <c r="G26" s="3">
        <f t="shared" si="4"/>
        <v>16</v>
      </c>
      <c r="H26" s="3">
        <f t="shared" si="5"/>
        <v>8</v>
      </c>
      <c r="I26" s="3">
        <f t="shared" si="6"/>
        <v>3</v>
      </c>
      <c r="K26" s="6">
        <f t="shared" si="7"/>
        <v>1</v>
      </c>
      <c r="L26" s="6">
        <f t="shared" si="8"/>
        <v>1.6</v>
      </c>
      <c r="M26" s="6">
        <f t="shared" si="9"/>
        <v>1.6</v>
      </c>
      <c r="N26" s="6">
        <f t="shared" si="10"/>
        <v>1.6</v>
      </c>
      <c r="O26" s="6">
        <f t="shared" si="11"/>
        <v>1.6</v>
      </c>
      <c r="P26" s="6">
        <f t="shared" si="12"/>
        <v>1.6</v>
      </c>
    </row>
    <row r="27" spans="1:16">
      <c r="A27" s="1" t="s">
        <v>84</v>
      </c>
      <c r="B27" s="1">
        <v>2</v>
      </c>
      <c r="C27" s="1" t="s">
        <v>74</v>
      </c>
      <c r="D27" s="3">
        <f t="shared" si="1"/>
        <v>120</v>
      </c>
      <c r="E27" s="3">
        <f t="shared" si="2"/>
        <v>24</v>
      </c>
      <c r="F27" s="3">
        <f t="shared" si="3"/>
        <v>12</v>
      </c>
      <c r="G27" s="3">
        <f t="shared" si="4"/>
        <v>24</v>
      </c>
      <c r="H27" s="3">
        <f t="shared" si="5"/>
        <v>12</v>
      </c>
      <c r="I27" s="3">
        <f t="shared" si="6"/>
        <v>4</v>
      </c>
      <c r="K27" s="6">
        <f t="shared" si="7"/>
        <v>1.5</v>
      </c>
      <c r="L27" s="6">
        <f t="shared" si="8"/>
        <v>2.4</v>
      </c>
      <c r="M27" s="6">
        <f t="shared" si="9"/>
        <v>2.4</v>
      </c>
      <c r="N27" s="6">
        <f t="shared" si="10"/>
        <v>2.4</v>
      </c>
      <c r="O27" s="6">
        <f t="shared" si="11"/>
        <v>2.4</v>
      </c>
      <c r="P27" s="6">
        <f t="shared" si="12"/>
        <v>2.4</v>
      </c>
    </row>
    <row r="28" spans="1:16">
      <c r="A28" s="1" t="s">
        <v>88</v>
      </c>
      <c r="B28" s="1">
        <v>3</v>
      </c>
      <c r="C28" s="1" t="s">
        <v>65</v>
      </c>
      <c r="D28" s="3">
        <f t="shared" si="1"/>
        <v>40</v>
      </c>
      <c r="E28" s="3">
        <f t="shared" si="2"/>
        <v>8</v>
      </c>
      <c r="F28" s="3">
        <f t="shared" si="3"/>
        <v>4</v>
      </c>
      <c r="G28" s="3">
        <f t="shared" si="4"/>
        <v>8</v>
      </c>
      <c r="H28" s="3">
        <f t="shared" si="5"/>
        <v>4</v>
      </c>
      <c r="I28" s="3">
        <f t="shared" si="6"/>
        <v>1</v>
      </c>
      <c r="K28" s="6">
        <f t="shared" si="7"/>
        <v>0.5</v>
      </c>
      <c r="L28" s="6">
        <f t="shared" si="8"/>
        <v>0.8</v>
      </c>
      <c r="M28" s="6">
        <f t="shared" si="9"/>
        <v>0.8</v>
      </c>
      <c r="N28" s="6">
        <f t="shared" si="10"/>
        <v>0.8</v>
      </c>
      <c r="O28" s="6">
        <f t="shared" si="11"/>
        <v>0.8</v>
      </c>
      <c r="P28" s="6">
        <f t="shared" si="12"/>
        <v>0.8</v>
      </c>
    </row>
    <row r="29" spans="1:16">
      <c r="A29" s="1" t="s">
        <v>92</v>
      </c>
      <c r="B29" s="1">
        <v>3</v>
      </c>
      <c r="C29" s="1" t="s">
        <v>70</v>
      </c>
      <c r="D29" s="3">
        <f t="shared" si="1"/>
        <v>80</v>
      </c>
      <c r="E29" s="3">
        <f t="shared" si="2"/>
        <v>16</v>
      </c>
      <c r="F29" s="3">
        <f t="shared" si="3"/>
        <v>8</v>
      </c>
      <c r="G29" s="3">
        <f t="shared" si="4"/>
        <v>16</v>
      </c>
      <c r="H29" s="3">
        <f t="shared" si="5"/>
        <v>8</v>
      </c>
      <c r="I29" s="3">
        <f t="shared" si="6"/>
        <v>3</v>
      </c>
      <c r="K29" s="6">
        <f t="shared" si="7"/>
        <v>1</v>
      </c>
      <c r="L29" s="6">
        <f t="shared" si="8"/>
        <v>1.6</v>
      </c>
      <c r="M29" s="6">
        <f t="shared" si="9"/>
        <v>1.6</v>
      </c>
      <c r="N29" s="6">
        <f t="shared" si="10"/>
        <v>1.6</v>
      </c>
      <c r="O29" s="6">
        <f t="shared" si="11"/>
        <v>1.6</v>
      </c>
      <c r="P29" s="6">
        <f t="shared" si="12"/>
        <v>1.6</v>
      </c>
    </row>
    <row r="30" spans="1:16">
      <c r="A30" s="1" t="s">
        <v>95</v>
      </c>
      <c r="B30" s="1">
        <v>3</v>
      </c>
      <c r="C30" s="1" t="s">
        <v>74</v>
      </c>
      <c r="D30" s="3">
        <f t="shared" si="1"/>
        <v>120</v>
      </c>
      <c r="E30" s="3">
        <f t="shared" si="2"/>
        <v>24</v>
      </c>
      <c r="F30" s="3">
        <f t="shared" si="3"/>
        <v>12</v>
      </c>
      <c r="G30" s="3">
        <f t="shared" si="4"/>
        <v>24</v>
      </c>
      <c r="H30" s="3">
        <f t="shared" si="5"/>
        <v>12</v>
      </c>
      <c r="I30" s="3">
        <f t="shared" si="6"/>
        <v>4</v>
      </c>
      <c r="K30" s="6">
        <f t="shared" si="7"/>
        <v>1.5</v>
      </c>
      <c r="L30" s="6">
        <f t="shared" si="8"/>
        <v>2.4</v>
      </c>
      <c r="M30" s="6">
        <f t="shared" si="9"/>
        <v>2.4</v>
      </c>
      <c r="N30" s="6">
        <f t="shared" si="10"/>
        <v>2.4</v>
      </c>
      <c r="O30" s="6">
        <f t="shared" si="11"/>
        <v>2.4</v>
      </c>
      <c r="P30" s="6">
        <f t="shared" si="12"/>
        <v>2.4</v>
      </c>
    </row>
    <row r="31" spans="1:16">
      <c r="A31" s="1" t="s">
        <v>99</v>
      </c>
      <c r="B31" s="1">
        <v>4</v>
      </c>
      <c r="C31" s="1" t="s">
        <v>65</v>
      </c>
      <c r="D31" s="3">
        <f t="shared" si="1"/>
        <v>40</v>
      </c>
      <c r="E31" s="3">
        <f t="shared" si="2"/>
        <v>8</v>
      </c>
      <c r="F31" s="3">
        <f t="shared" si="3"/>
        <v>4</v>
      </c>
      <c r="G31" s="3">
        <f t="shared" si="4"/>
        <v>8</v>
      </c>
      <c r="H31" s="3">
        <f t="shared" si="5"/>
        <v>4</v>
      </c>
      <c r="I31" s="3">
        <f t="shared" si="6"/>
        <v>1</v>
      </c>
      <c r="K31" s="6">
        <f t="shared" si="7"/>
        <v>0.5</v>
      </c>
      <c r="L31" s="6">
        <f t="shared" si="8"/>
        <v>0.8</v>
      </c>
      <c r="M31" s="6">
        <f t="shared" si="9"/>
        <v>0.8</v>
      </c>
      <c r="N31" s="6">
        <f t="shared" si="10"/>
        <v>0.8</v>
      </c>
      <c r="O31" s="6">
        <f t="shared" si="11"/>
        <v>0.8</v>
      </c>
      <c r="P31" s="6">
        <f t="shared" si="12"/>
        <v>0.8</v>
      </c>
    </row>
    <row r="32" spans="1:16">
      <c r="A32" s="1" t="s">
        <v>104</v>
      </c>
      <c r="B32" s="1">
        <v>4</v>
      </c>
      <c r="C32" s="1" t="s">
        <v>70</v>
      </c>
      <c r="D32" s="3">
        <f t="shared" si="1"/>
        <v>80</v>
      </c>
      <c r="E32" s="3">
        <f t="shared" si="2"/>
        <v>16</v>
      </c>
      <c r="F32" s="3">
        <f t="shared" si="3"/>
        <v>8</v>
      </c>
      <c r="G32" s="3">
        <f t="shared" si="4"/>
        <v>16</v>
      </c>
      <c r="H32" s="3">
        <f t="shared" si="5"/>
        <v>8</v>
      </c>
      <c r="I32" s="3">
        <f t="shared" si="6"/>
        <v>3</v>
      </c>
      <c r="K32" s="6">
        <f t="shared" si="7"/>
        <v>1</v>
      </c>
      <c r="L32" s="6">
        <f t="shared" si="8"/>
        <v>1.6</v>
      </c>
      <c r="M32" s="6">
        <f t="shared" si="9"/>
        <v>1.6</v>
      </c>
      <c r="N32" s="6">
        <f t="shared" si="10"/>
        <v>1.6</v>
      </c>
      <c r="O32" s="6">
        <f t="shared" si="11"/>
        <v>1.6</v>
      </c>
      <c r="P32" s="6">
        <f t="shared" si="12"/>
        <v>1.6</v>
      </c>
    </row>
    <row r="33" spans="1:16">
      <c r="A33" s="1" t="s">
        <v>107</v>
      </c>
      <c r="B33" s="1">
        <v>4</v>
      </c>
      <c r="C33" s="1" t="s">
        <v>74</v>
      </c>
      <c r="D33" s="3">
        <f t="shared" si="1"/>
        <v>120</v>
      </c>
      <c r="E33" s="3">
        <f t="shared" si="2"/>
        <v>24</v>
      </c>
      <c r="F33" s="3">
        <f t="shared" si="3"/>
        <v>12</v>
      </c>
      <c r="G33" s="3">
        <f t="shared" si="4"/>
        <v>24</v>
      </c>
      <c r="H33" s="3">
        <f t="shared" si="5"/>
        <v>12</v>
      </c>
      <c r="I33" s="3">
        <f t="shared" si="6"/>
        <v>4</v>
      </c>
      <c r="K33" s="6">
        <f t="shared" si="7"/>
        <v>1.5</v>
      </c>
      <c r="L33" s="6">
        <f t="shared" si="8"/>
        <v>2.4</v>
      </c>
      <c r="M33" s="6">
        <f t="shared" si="9"/>
        <v>2.4</v>
      </c>
      <c r="N33" s="6">
        <f t="shared" si="10"/>
        <v>2.4</v>
      </c>
      <c r="O33" s="6">
        <f t="shared" si="11"/>
        <v>2.4</v>
      </c>
      <c r="P33" s="6">
        <f t="shared" si="12"/>
        <v>2.4</v>
      </c>
    </row>
    <row r="34" spans="1:16">
      <c r="A34" s="1" t="s">
        <v>111</v>
      </c>
      <c r="B34" s="1">
        <v>5</v>
      </c>
      <c r="C34" s="1" t="s">
        <v>65</v>
      </c>
      <c r="D34" s="3">
        <f t="shared" si="1"/>
        <v>40</v>
      </c>
      <c r="E34" s="3">
        <f t="shared" si="2"/>
        <v>8</v>
      </c>
      <c r="F34" s="3">
        <f t="shared" si="3"/>
        <v>4</v>
      </c>
      <c r="G34" s="3">
        <f t="shared" si="4"/>
        <v>8</v>
      </c>
      <c r="H34" s="3">
        <f t="shared" si="5"/>
        <v>4</v>
      </c>
      <c r="I34" s="3">
        <f t="shared" si="6"/>
        <v>1</v>
      </c>
      <c r="K34" s="6">
        <f t="shared" si="7"/>
        <v>0.5</v>
      </c>
      <c r="L34" s="6">
        <f t="shared" si="8"/>
        <v>0.8</v>
      </c>
      <c r="M34" s="6">
        <f t="shared" si="9"/>
        <v>0.8</v>
      </c>
      <c r="N34" s="6">
        <f t="shared" si="10"/>
        <v>0.8</v>
      </c>
      <c r="O34" s="6">
        <f t="shared" si="11"/>
        <v>0.8</v>
      </c>
      <c r="P34" s="6">
        <f t="shared" si="12"/>
        <v>0.8</v>
      </c>
    </row>
    <row r="35" spans="1:16">
      <c r="A35" s="1" t="s">
        <v>116</v>
      </c>
      <c r="B35" s="1">
        <v>5</v>
      </c>
      <c r="C35" s="1" t="s">
        <v>70</v>
      </c>
      <c r="D35" s="3">
        <f t="shared" si="1"/>
        <v>80</v>
      </c>
      <c r="E35" s="3">
        <f t="shared" si="2"/>
        <v>16</v>
      </c>
      <c r="F35" s="3">
        <f t="shared" si="3"/>
        <v>8</v>
      </c>
      <c r="G35" s="3">
        <f t="shared" si="4"/>
        <v>16</v>
      </c>
      <c r="H35" s="3">
        <f t="shared" si="5"/>
        <v>8</v>
      </c>
      <c r="I35" s="3">
        <f t="shared" si="6"/>
        <v>3</v>
      </c>
      <c r="K35" s="6">
        <f t="shared" si="7"/>
        <v>1</v>
      </c>
      <c r="L35" s="6">
        <f t="shared" si="8"/>
        <v>1.6</v>
      </c>
      <c r="M35" s="6">
        <f t="shared" si="9"/>
        <v>1.6</v>
      </c>
      <c r="N35" s="6">
        <f t="shared" si="10"/>
        <v>1.6</v>
      </c>
      <c r="O35" s="6">
        <f t="shared" si="11"/>
        <v>1.6</v>
      </c>
      <c r="P35" s="6">
        <f t="shared" si="12"/>
        <v>1.6</v>
      </c>
    </row>
    <row r="36" spans="1:16">
      <c r="A36" s="1" t="s">
        <v>119</v>
      </c>
      <c r="B36" s="1">
        <v>5</v>
      </c>
      <c r="C36" s="1" t="s">
        <v>74</v>
      </c>
      <c r="D36" s="3">
        <f t="shared" si="1"/>
        <v>120</v>
      </c>
      <c r="E36" s="3">
        <f t="shared" si="2"/>
        <v>24</v>
      </c>
      <c r="F36" s="3">
        <f t="shared" si="3"/>
        <v>12</v>
      </c>
      <c r="G36" s="3">
        <f t="shared" si="4"/>
        <v>24</v>
      </c>
      <c r="H36" s="3">
        <f t="shared" si="5"/>
        <v>12</v>
      </c>
      <c r="I36" s="3">
        <f t="shared" si="6"/>
        <v>4</v>
      </c>
      <c r="K36" s="6">
        <f t="shared" si="7"/>
        <v>1.5</v>
      </c>
      <c r="L36" s="6">
        <f t="shared" si="8"/>
        <v>2.4</v>
      </c>
      <c r="M36" s="6">
        <f t="shared" si="9"/>
        <v>2.4</v>
      </c>
      <c r="N36" s="6">
        <f t="shared" si="10"/>
        <v>2.4</v>
      </c>
      <c r="O36" s="6">
        <f t="shared" si="11"/>
        <v>2.4</v>
      </c>
      <c r="P36" s="6">
        <f t="shared" si="12"/>
        <v>2.4</v>
      </c>
    </row>
    <row r="37" spans="1:16">
      <c r="A37" s="1" t="s">
        <v>175</v>
      </c>
      <c r="B37" s="1">
        <v>6</v>
      </c>
      <c r="C37" s="1" t="s">
        <v>65</v>
      </c>
      <c r="D37" s="3">
        <f t="shared" ref="D37:D68" si="13">INT(D$2*K37)</f>
        <v>40</v>
      </c>
      <c r="E37" s="3">
        <f t="shared" ref="E37:E68" si="14">INT(E$2*L37)</f>
        <v>8</v>
      </c>
      <c r="F37" s="3">
        <f t="shared" ref="F37:F68" si="15">INT(F$2*M37)</f>
        <v>4</v>
      </c>
      <c r="G37" s="3">
        <f t="shared" ref="G37:G68" si="16">INT(G$2*N37)</f>
        <v>8</v>
      </c>
      <c r="H37" s="3">
        <f t="shared" ref="H37:H68" si="17">INT(H$2*O37)</f>
        <v>4</v>
      </c>
      <c r="I37" s="3">
        <f t="shared" ref="I37:I68" si="18">INT(I$2*P37)</f>
        <v>1</v>
      </c>
      <c r="K37" s="6">
        <f t="shared" ref="K37:K68" si="19">$C37*K$1</f>
        <v>0.5</v>
      </c>
      <c r="L37" s="6">
        <f t="shared" ref="L37:L68" si="20">$C37*L$1</f>
        <v>0.8</v>
      </c>
      <c r="M37" s="6">
        <f t="shared" ref="M37:M68" si="21">$C37*M$1</f>
        <v>0.8</v>
      </c>
      <c r="N37" s="6">
        <f t="shared" ref="N37:N68" si="22">$C37*N$1</f>
        <v>0.8</v>
      </c>
      <c r="O37" s="6">
        <f t="shared" ref="O37:O68" si="23">$C37*O$1</f>
        <v>0.8</v>
      </c>
      <c r="P37" s="6">
        <f t="shared" ref="P37:P68" si="24">$C37*P$1</f>
        <v>0.8</v>
      </c>
    </row>
    <row r="38" spans="1:16">
      <c r="A38" s="1" t="s">
        <v>179</v>
      </c>
      <c r="B38" s="1">
        <v>6</v>
      </c>
      <c r="C38" s="1" t="s">
        <v>70</v>
      </c>
      <c r="D38" s="3">
        <f t="shared" si="13"/>
        <v>80</v>
      </c>
      <c r="E38" s="3">
        <f t="shared" si="14"/>
        <v>16</v>
      </c>
      <c r="F38" s="3">
        <f t="shared" si="15"/>
        <v>8</v>
      </c>
      <c r="G38" s="3">
        <f t="shared" si="16"/>
        <v>16</v>
      </c>
      <c r="H38" s="3">
        <f t="shared" si="17"/>
        <v>8</v>
      </c>
      <c r="I38" s="3">
        <f t="shared" si="18"/>
        <v>3</v>
      </c>
      <c r="K38" s="6">
        <f t="shared" si="19"/>
        <v>1</v>
      </c>
      <c r="L38" s="6">
        <f t="shared" si="20"/>
        <v>1.6</v>
      </c>
      <c r="M38" s="6">
        <f t="shared" si="21"/>
        <v>1.6</v>
      </c>
      <c r="N38" s="6">
        <f t="shared" si="22"/>
        <v>1.6</v>
      </c>
      <c r="O38" s="6">
        <f t="shared" si="23"/>
        <v>1.6</v>
      </c>
      <c r="P38" s="6">
        <f t="shared" si="24"/>
        <v>1.6</v>
      </c>
    </row>
    <row r="39" spans="1:16">
      <c r="A39" s="1" t="s">
        <v>131</v>
      </c>
      <c r="B39" s="1">
        <v>6</v>
      </c>
      <c r="C39" s="1" t="s">
        <v>74</v>
      </c>
      <c r="D39" s="3">
        <f t="shared" si="13"/>
        <v>120</v>
      </c>
      <c r="E39" s="3">
        <f t="shared" si="14"/>
        <v>24</v>
      </c>
      <c r="F39" s="3">
        <f t="shared" si="15"/>
        <v>12</v>
      </c>
      <c r="G39" s="3">
        <f t="shared" si="16"/>
        <v>24</v>
      </c>
      <c r="H39" s="3">
        <f t="shared" si="17"/>
        <v>12</v>
      </c>
      <c r="I39" s="3">
        <f t="shared" si="18"/>
        <v>4</v>
      </c>
      <c r="K39" s="6">
        <f t="shared" si="19"/>
        <v>1.5</v>
      </c>
      <c r="L39" s="6">
        <f t="shared" si="20"/>
        <v>2.4</v>
      </c>
      <c r="M39" s="6">
        <f t="shared" si="21"/>
        <v>2.4</v>
      </c>
      <c r="N39" s="6">
        <f t="shared" si="22"/>
        <v>2.4</v>
      </c>
      <c r="O39" s="6">
        <f t="shared" si="23"/>
        <v>2.4</v>
      </c>
      <c r="P39" s="6">
        <f t="shared" si="24"/>
        <v>2.4</v>
      </c>
    </row>
    <row r="40" spans="1:16">
      <c r="A40" s="1" t="s">
        <v>185</v>
      </c>
      <c r="B40" s="1">
        <v>8</v>
      </c>
      <c r="C40" s="1" t="s">
        <v>65</v>
      </c>
      <c r="D40" s="3">
        <f t="shared" si="13"/>
        <v>40</v>
      </c>
      <c r="E40" s="3">
        <f t="shared" si="14"/>
        <v>8</v>
      </c>
      <c r="F40" s="3">
        <f t="shared" si="15"/>
        <v>4</v>
      </c>
      <c r="G40" s="3">
        <f t="shared" si="16"/>
        <v>8</v>
      </c>
      <c r="H40" s="3">
        <f t="shared" si="17"/>
        <v>4</v>
      </c>
      <c r="I40" s="3">
        <f t="shared" si="18"/>
        <v>1</v>
      </c>
      <c r="K40" s="6">
        <f t="shared" si="19"/>
        <v>0.5</v>
      </c>
      <c r="L40" s="6">
        <f t="shared" si="20"/>
        <v>0.8</v>
      </c>
      <c r="M40" s="6">
        <f t="shared" si="21"/>
        <v>0.8</v>
      </c>
      <c r="N40" s="6">
        <f t="shared" si="22"/>
        <v>0.8</v>
      </c>
      <c r="O40" s="6">
        <f t="shared" si="23"/>
        <v>0.8</v>
      </c>
      <c r="P40" s="6">
        <f t="shared" si="24"/>
        <v>0.8</v>
      </c>
    </row>
    <row r="41" spans="1:16">
      <c r="A41" s="1" t="s">
        <v>190</v>
      </c>
      <c r="B41" s="1">
        <v>8</v>
      </c>
      <c r="C41" s="1" t="s">
        <v>70</v>
      </c>
      <c r="D41" s="3">
        <f t="shared" si="13"/>
        <v>80</v>
      </c>
      <c r="E41" s="3">
        <f t="shared" si="14"/>
        <v>16</v>
      </c>
      <c r="F41" s="3">
        <f t="shared" si="15"/>
        <v>8</v>
      </c>
      <c r="G41" s="3">
        <f t="shared" si="16"/>
        <v>16</v>
      </c>
      <c r="H41" s="3">
        <f t="shared" si="17"/>
        <v>8</v>
      </c>
      <c r="I41" s="3">
        <f t="shared" si="18"/>
        <v>3</v>
      </c>
      <c r="K41" s="6">
        <f t="shared" si="19"/>
        <v>1</v>
      </c>
      <c r="L41" s="6">
        <f t="shared" si="20"/>
        <v>1.6</v>
      </c>
      <c r="M41" s="6">
        <f t="shared" si="21"/>
        <v>1.6</v>
      </c>
      <c r="N41" s="6">
        <f t="shared" si="22"/>
        <v>1.6</v>
      </c>
      <c r="O41" s="6">
        <f t="shared" si="23"/>
        <v>1.6</v>
      </c>
      <c r="P41" s="6">
        <f t="shared" si="24"/>
        <v>1.6</v>
      </c>
    </row>
    <row r="42" spans="1:16">
      <c r="A42" s="1" t="s">
        <v>194</v>
      </c>
      <c r="B42" s="1">
        <v>8</v>
      </c>
      <c r="C42" s="1" t="s">
        <v>74</v>
      </c>
      <c r="D42" s="3">
        <f t="shared" si="13"/>
        <v>120</v>
      </c>
      <c r="E42" s="3">
        <f t="shared" si="14"/>
        <v>24</v>
      </c>
      <c r="F42" s="3">
        <f t="shared" si="15"/>
        <v>12</v>
      </c>
      <c r="G42" s="3">
        <f t="shared" si="16"/>
        <v>24</v>
      </c>
      <c r="H42" s="3">
        <f t="shared" si="17"/>
        <v>12</v>
      </c>
      <c r="I42" s="3">
        <f t="shared" si="18"/>
        <v>4</v>
      </c>
      <c r="K42" s="6">
        <f t="shared" si="19"/>
        <v>1.5</v>
      </c>
      <c r="L42" s="6">
        <f t="shared" si="20"/>
        <v>2.4</v>
      </c>
      <c r="M42" s="6">
        <f t="shared" si="21"/>
        <v>2.4</v>
      </c>
      <c r="N42" s="6">
        <f t="shared" si="22"/>
        <v>2.4</v>
      </c>
      <c r="O42" s="6">
        <f t="shared" si="23"/>
        <v>2.4</v>
      </c>
      <c r="P42" s="6">
        <f t="shared" si="24"/>
        <v>2.4</v>
      </c>
    </row>
    <row r="43" spans="1:16">
      <c r="A43" s="1" t="s">
        <v>63</v>
      </c>
      <c r="B43" s="1">
        <v>1</v>
      </c>
      <c r="C43" s="1" t="s">
        <v>65</v>
      </c>
      <c r="D43" s="3">
        <f t="shared" si="13"/>
        <v>40</v>
      </c>
      <c r="E43" s="3">
        <f t="shared" si="14"/>
        <v>8</v>
      </c>
      <c r="F43" s="3">
        <f t="shared" si="15"/>
        <v>4</v>
      </c>
      <c r="G43" s="3">
        <f t="shared" si="16"/>
        <v>8</v>
      </c>
      <c r="H43" s="3">
        <f t="shared" si="17"/>
        <v>4</v>
      </c>
      <c r="I43" s="3">
        <f t="shared" si="18"/>
        <v>1</v>
      </c>
      <c r="K43" s="6">
        <f t="shared" si="19"/>
        <v>0.5</v>
      </c>
      <c r="L43" s="6">
        <f t="shared" si="20"/>
        <v>0.8</v>
      </c>
      <c r="M43" s="6">
        <f t="shared" si="21"/>
        <v>0.8</v>
      </c>
      <c r="N43" s="6">
        <f t="shared" si="22"/>
        <v>0.8</v>
      </c>
      <c r="O43" s="6">
        <f t="shared" si="23"/>
        <v>0.8</v>
      </c>
      <c r="P43" s="6">
        <f t="shared" si="24"/>
        <v>0.8</v>
      </c>
    </row>
    <row r="44" spans="1:16">
      <c r="A44" s="1" t="s">
        <v>201</v>
      </c>
      <c r="B44" s="1">
        <v>1</v>
      </c>
      <c r="C44" s="1" t="s">
        <v>70</v>
      </c>
      <c r="D44" s="3">
        <f t="shared" si="13"/>
        <v>80</v>
      </c>
      <c r="E44" s="3">
        <f t="shared" si="14"/>
        <v>16</v>
      </c>
      <c r="F44" s="3">
        <f t="shared" si="15"/>
        <v>8</v>
      </c>
      <c r="G44" s="3">
        <f t="shared" si="16"/>
        <v>16</v>
      </c>
      <c r="H44" s="3">
        <f t="shared" si="17"/>
        <v>8</v>
      </c>
      <c r="I44" s="3">
        <f t="shared" si="18"/>
        <v>3</v>
      </c>
      <c r="K44" s="6">
        <f t="shared" si="19"/>
        <v>1</v>
      </c>
      <c r="L44" s="6">
        <f t="shared" si="20"/>
        <v>1.6</v>
      </c>
      <c r="M44" s="6">
        <f t="shared" si="21"/>
        <v>1.6</v>
      </c>
      <c r="N44" s="6">
        <f t="shared" si="22"/>
        <v>1.6</v>
      </c>
      <c r="O44" s="6">
        <f t="shared" si="23"/>
        <v>1.6</v>
      </c>
      <c r="P44" s="6">
        <f t="shared" si="24"/>
        <v>1.6</v>
      </c>
    </row>
    <row r="45" spans="1:16">
      <c r="A45" s="1" t="s">
        <v>204</v>
      </c>
      <c r="B45" s="1">
        <v>1</v>
      </c>
      <c r="C45" s="1" t="s">
        <v>74</v>
      </c>
      <c r="D45" s="3">
        <f t="shared" si="13"/>
        <v>120</v>
      </c>
      <c r="E45" s="3">
        <f t="shared" si="14"/>
        <v>24</v>
      </c>
      <c r="F45" s="3">
        <f t="shared" si="15"/>
        <v>12</v>
      </c>
      <c r="G45" s="3">
        <f t="shared" si="16"/>
        <v>24</v>
      </c>
      <c r="H45" s="3">
        <f t="shared" si="17"/>
        <v>12</v>
      </c>
      <c r="I45" s="3">
        <f t="shared" si="18"/>
        <v>4</v>
      </c>
      <c r="K45" s="6">
        <f t="shared" si="19"/>
        <v>1.5</v>
      </c>
      <c r="L45" s="6">
        <f t="shared" si="20"/>
        <v>2.4</v>
      </c>
      <c r="M45" s="6">
        <f t="shared" si="21"/>
        <v>2.4</v>
      </c>
      <c r="N45" s="6">
        <f t="shared" si="22"/>
        <v>2.4</v>
      </c>
      <c r="O45" s="6">
        <f t="shared" si="23"/>
        <v>2.4</v>
      </c>
      <c r="P45" s="6">
        <f t="shared" si="24"/>
        <v>2.4</v>
      </c>
    </row>
    <row r="46" spans="1:16">
      <c r="A46" s="1" t="s">
        <v>81</v>
      </c>
      <c r="B46" s="1">
        <v>2</v>
      </c>
      <c r="C46" s="1" t="s">
        <v>70</v>
      </c>
      <c r="D46" s="3">
        <f t="shared" si="13"/>
        <v>80</v>
      </c>
      <c r="E46" s="3">
        <f t="shared" si="14"/>
        <v>16</v>
      </c>
      <c r="F46" s="3">
        <f t="shared" si="15"/>
        <v>8</v>
      </c>
      <c r="G46" s="3">
        <f t="shared" si="16"/>
        <v>16</v>
      </c>
      <c r="H46" s="3">
        <f t="shared" si="17"/>
        <v>8</v>
      </c>
      <c r="I46" s="3">
        <f t="shared" si="18"/>
        <v>3</v>
      </c>
      <c r="K46" s="6">
        <f t="shared" si="19"/>
        <v>1</v>
      </c>
      <c r="L46" s="6">
        <f t="shared" si="20"/>
        <v>1.6</v>
      </c>
      <c r="M46" s="6">
        <f t="shared" si="21"/>
        <v>1.6</v>
      </c>
      <c r="N46" s="6">
        <f t="shared" si="22"/>
        <v>1.6</v>
      </c>
      <c r="O46" s="6">
        <f t="shared" si="23"/>
        <v>1.6</v>
      </c>
      <c r="P46" s="6">
        <f t="shared" si="24"/>
        <v>1.6</v>
      </c>
    </row>
    <row r="47" spans="1:16">
      <c r="A47" s="1" t="s">
        <v>207</v>
      </c>
      <c r="B47" s="1">
        <v>2</v>
      </c>
      <c r="C47" s="1" t="s">
        <v>74</v>
      </c>
      <c r="D47" s="3">
        <f t="shared" si="13"/>
        <v>120</v>
      </c>
      <c r="E47" s="3">
        <f t="shared" si="14"/>
        <v>24</v>
      </c>
      <c r="F47" s="3">
        <f t="shared" si="15"/>
        <v>12</v>
      </c>
      <c r="G47" s="3">
        <f t="shared" si="16"/>
        <v>24</v>
      </c>
      <c r="H47" s="3">
        <f t="shared" si="17"/>
        <v>12</v>
      </c>
      <c r="I47" s="3">
        <f t="shared" si="18"/>
        <v>4</v>
      </c>
      <c r="K47" s="6">
        <f t="shared" si="19"/>
        <v>1.5</v>
      </c>
      <c r="L47" s="6">
        <f t="shared" si="20"/>
        <v>2.4</v>
      </c>
      <c r="M47" s="6">
        <f t="shared" si="21"/>
        <v>2.4</v>
      </c>
      <c r="N47" s="6">
        <f t="shared" si="22"/>
        <v>2.4</v>
      </c>
      <c r="O47" s="6">
        <f t="shared" si="23"/>
        <v>2.4</v>
      </c>
      <c r="P47" s="6">
        <f t="shared" si="24"/>
        <v>2.4</v>
      </c>
    </row>
    <row r="48" spans="1:16">
      <c r="A48" s="1" t="s">
        <v>77</v>
      </c>
      <c r="B48" s="1">
        <v>2</v>
      </c>
      <c r="C48" s="1" t="s">
        <v>65</v>
      </c>
      <c r="D48" s="3">
        <f t="shared" si="13"/>
        <v>40</v>
      </c>
      <c r="E48" s="3">
        <f t="shared" si="14"/>
        <v>8</v>
      </c>
      <c r="F48" s="3">
        <f t="shared" si="15"/>
        <v>4</v>
      </c>
      <c r="G48" s="3">
        <f t="shared" si="16"/>
        <v>8</v>
      </c>
      <c r="H48" s="3">
        <f t="shared" si="17"/>
        <v>4</v>
      </c>
      <c r="I48" s="3">
        <f t="shared" si="18"/>
        <v>1</v>
      </c>
      <c r="K48" s="6">
        <f t="shared" si="19"/>
        <v>0.5</v>
      </c>
      <c r="L48" s="6">
        <f t="shared" si="20"/>
        <v>0.8</v>
      </c>
      <c r="M48" s="6">
        <f t="shared" si="21"/>
        <v>0.8</v>
      </c>
      <c r="N48" s="6">
        <f t="shared" si="22"/>
        <v>0.8</v>
      </c>
      <c r="O48" s="6">
        <f t="shared" si="23"/>
        <v>0.8</v>
      </c>
      <c r="P48" s="6">
        <f t="shared" si="24"/>
        <v>0.8</v>
      </c>
    </row>
    <row r="49" spans="1:16">
      <c r="A49" s="1" t="s">
        <v>81</v>
      </c>
      <c r="B49" s="1">
        <v>2</v>
      </c>
      <c r="C49" s="1" t="s">
        <v>70</v>
      </c>
      <c r="D49" s="3">
        <f t="shared" si="13"/>
        <v>80</v>
      </c>
      <c r="E49" s="3">
        <f t="shared" si="14"/>
        <v>16</v>
      </c>
      <c r="F49" s="3">
        <f t="shared" si="15"/>
        <v>8</v>
      </c>
      <c r="G49" s="3">
        <f t="shared" si="16"/>
        <v>16</v>
      </c>
      <c r="H49" s="3">
        <f t="shared" si="17"/>
        <v>8</v>
      </c>
      <c r="I49" s="3">
        <f t="shared" si="18"/>
        <v>3</v>
      </c>
      <c r="K49" s="6">
        <f t="shared" si="19"/>
        <v>1</v>
      </c>
      <c r="L49" s="6">
        <f t="shared" si="20"/>
        <v>1.6</v>
      </c>
      <c r="M49" s="6">
        <f t="shared" si="21"/>
        <v>1.6</v>
      </c>
      <c r="N49" s="6">
        <f t="shared" si="22"/>
        <v>1.6</v>
      </c>
      <c r="O49" s="6">
        <f t="shared" si="23"/>
        <v>1.6</v>
      </c>
      <c r="P49" s="6">
        <f t="shared" si="24"/>
        <v>1.6</v>
      </c>
    </row>
    <row r="50" spans="1:16">
      <c r="A50" s="1" t="s">
        <v>213</v>
      </c>
      <c r="B50" s="1">
        <v>2</v>
      </c>
      <c r="C50" s="1" t="s">
        <v>74</v>
      </c>
      <c r="D50" s="3">
        <f t="shared" si="13"/>
        <v>120</v>
      </c>
      <c r="E50" s="3">
        <f t="shared" si="14"/>
        <v>24</v>
      </c>
      <c r="F50" s="3">
        <f t="shared" si="15"/>
        <v>12</v>
      </c>
      <c r="G50" s="3">
        <f t="shared" si="16"/>
        <v>24</v>
      </c>
      <c r="H50" s="3">
        <f t="shared" si="17"/>
        <v>12</v>
      </c>
      <c r="I50" s="3">
        <f t="shared" si="18"/>
        <v>4</v>
      </c>
      <c r="K50" s="6">
        <f t="shared" si="19"/>
        <v>1.5</v>
      </c>
      <c r="L50" s="6">
        <f t="shared" si="20"/>
        <v>2.4</v>
      </c>
      <c r="M50" s="6">
        <f t="shared" si="21"/>
        <v>2.4</v>
      </c>
      <c r="N50" s="6">
        <f t="shared" si="22"/>
        <v>2.4</v>
      </c>
      <c r="O50" s="6">
        <f t="shared" si="23"/>
        <v>2.4</v>
      </c>
      <c r="P50" s="6">
        <f t="shared" si="24"/>
        <v>2.4</v>
      </c>
    </row>
    <row r="51" spans="1:16">
      <c r="A51" s="1" t="s">
        <v>215</v>
      </c>
      <c r="B51" s="1">
        <v>2</v>
      </c>
      <c r="C51" s="1" t="s">
        <v>70</v>
      </c>
      <c r="D51" s="3">
        <f t="shared" si="13"/>
        <v>80</v>
      </c>
      <c r="E51" s="3">
        <f t="shared" si="14"/>
        <v>16</v>
      </c>
      <c r="F51" s="3">
        <f t="shared" si="15"/>
        <v>8</v>
      </c>
      <c r="G51" s="3">
        <f t="shared" si="16"/>
        <v>16</v>
      </c>
      <c r="H51" s="3">
        <f t="shared" si="17"/>
        <v>8</v>
      </c>
      <c r="I51" s="3">
        <f t="shared" si="18"/>
        <v>3</v>
      </c>
      <c r="K51" s="6">
        <f t="shared" si="19"/>
        <v>1</v>
      </c>
      <c r="L51" s="6">
        <f t="shared" si="20"/>
        <v>1.6</v>
      </c>
      <c r="M51" s="6">
        <f t="shared" si="21"/>
        <v>1.6</v>
      </c>
      <c r="N51" s="6">
        <f t="shared" si="22"/>
        <v>1.6</v>
      </c>
      <c r="O51" s="6">
        <f t="shared" si="23"/>
        <v>1.6</v>
      </c>
      <c r="P51" s="6">
        <f t="shared" si="24"/>
        <v>1.6</v>
      </c>
    </row>
    <row r="52" spans="1:16">
      <c r="A52" s="1" t="s">
        <v>217</v>
      </c>
      <c r="B52" s="1">
        <v>2</v>
      </c>
      <c r="C52" s="1" t="s">
        <v>74</v>
      </c>
      <c r="D52" s="3">
        <f t="shared" si="13"/>
        <v>120</v>
      </c>
      <c r="E52" s="3">
        <f t="shared" si="14"/>
        <v>24</v>
      </c>
      <c r="F52" s="3">
        <f t="shared" si="15"/>
        <v>12</v>
      </c>
      <c r="G52" s="3">
        <f t="shared" si="16"/>
        <v>24</v>
      </c>
      <c r="H52" s="3">
        <f t="shared" si="17"/>
        <v>12</v>
      </c>
      <c r="I52" s="3">
        <f t="shared" si="18"/>
        <v>4</v>
      </c>
      <c r="K52" s="6">
        <f t="shared" si="19"/>
        <v>1.5</v>
      </c>
      <c r="L52" s="6">
        <f t="shared" si="20"/>
        <v>2.4</v>
      </c>
      <c r="M52" s="6">
        <f t="shared" si="21"/>
        <v>2.4</v>
      </c>
      <c r="N52" s="6">
        <f t="shared" si="22"/>
        <v>2.4</v>
      </c>
      <c r="O52" s="6">
        <f t="shared" si="23"/>
        <v>2.4</v>
      </c>
      <c r="P52" s="6">
        <f t="shared" si="24"/>
        <v>2.4</v>
      </c>
    </row>
    <row r="53" spans="1:16">
      <c r="A53" s="1" t="s">
        <v>88</v>
      </c>
      <c r="B53" s="1">
        <v>3</v>
      </c>
      <c r="C53" s="1" t="s">
        <v>65</v>
      </c>
      <c r="D53" s="3">
        <f t="shared" si="13"/>
        <v>40</v>
      </c>
      <c r="E53" s="3">
        <f t="shared" si="14"/>
        <v>8</v>
      </c>
      <c r="F53" s="3">
        <f t="shared" si="15"/>
        <v>4</v>
      </c>
      <c r="G53" s="3">
        <f t="shared" si="16"/>
        <v>8</v>
      </c>
      <c r="H53" s="3">
        <f t="shared" si="17"/>
        <v>4</v>
      </c>
      <c r="I53" s="3">
        <f t="shared" si="18"/>
        <v>1</v>
      </c>
      <c r="K53" s="6">
        <f t="shared" si="19"/>
        <v>0.5</v>
      </c>
      <c r="L53" s="6">
        <f t="shared" si="20"/>
        <v>0.8</v>
      </c>
      <c r="M53" s="6">
        <f t="shared" si="21"/>
        <v>0.8</v>
      </c>
      <c r="N53" s="6">
        <f t="shared" si="22"/>
        <v>0.8</v>
      </c>
      <c r="O53" s="6">
        <f t="shared" si="23"/>
        <v>0.8</v>
      </c>
      <c r="P53" s="6">
        <f t="shared" si="24"/>
        <v>0.8</v>
      </c>
    </row>
    <row r="54" spans="1:16">
      <c r="A54" s="1" t="s">
        <v>92</v>
      </c>
      <c r="B54" s="1">
        <v>3</v>
      </c>
      <c r="C54" s="1" t="s">
        <v>70</v>
      </c>
      <c r="D54" s="3">
        <f t="shared" si="13"/>
        <v>80</v>
      </c>
      <c r="E54" s="3">
        <f t="shared" si="14"/>
        <v>16</v>
      </c>
      <c r="F54" s="3">
        <f t="shared" si="15"/>
        <v>8</v>
      </c>
      <c r="G54" s="3">
        <f t="shared" si="16"/>
        <v>16</v>
      </c>
      <c r="H54" s="3">
        <f t="shared" si="17"/>
        <v>8</v>
      </c>
      <c r="I54" s="3">
        <f t="shared" si="18"/>
        <v>3</v>
      </c>
      <c r="K54" s="6">
        <f t="shared" si="19"/>
        <v>1</v>
      </c>
      <c r="L54" s="6">
        <f t="shared" si="20"/>
        <v>1.6</v>
      </c>
      <c r="M54" s="6">
        <f t="shared" si="21"/>
        <v>1.6</v>
      </c>
      <c r="N54" s="6">
        <f t="shared" si="22"/>
        <v>1.6</v>
      </c>
      <c r="O54" s="6">
        <f t="shared" si="23"/>
        <v>1.6</v>
      </c>
      <c r="P54" s="6">
        <f t="shared" si="24"/>
        <v>1.6</v>
      </c>
    </row>
    <row r="55" spans="1:16">
      <c r="A55" s="1" t="s">
        <v>223</v>
      </c>
      <c r="B55" s="1">
        <v>3</v>
      </c>
      <c r="C55" s="1" t="s">
        <v>74</v>
      </c>
      <c r="D55" s="3">
        <f t="shared" si="13"/>
        <v>120</v>
      </c>
      <c r="E55" s="3">
        <f t="shared" si="14"/>
        <v>24</v>
      </c>
      <c r="F55" s="3">
        <f t="shared" si="15"/>
        <v>12</v>
      </c>
      <c r="G55" s="3">
        <f t="shared" si="16"/>
        <v>24</v>
      </c>
      <c r="H55" s="3">
        <f t="shared" si="17"/>
        <v>12</v>
      </c>
      <c r="I55" s="3">
        <f t="shared" si="18"/>
        <v>4</v>
      </c>
      <c r="K55" s="6">
        <f t="shared" si="19"/>
        <v>1.5</v>
      </c>
      <c r="L55" s="6">
        <f t="shared" si="20"/>
        <v>2.4</v>
      </c>
      <c r="M55" s="6">
        <f t="shared" si="21"/>
        <v>2.4</v>
      </c>
      <c r="N55" s="6">
        <f t="shared" si="22"/>
        <v>2.4</v>
      </c>
      <c r="O55" s="6">
        <f t="shared" si="23"/>
        <v>2.4</v>
      </c>
      <c r="P55" s="6">
        <f t="shared" si="24"/>
        <v>2.4</v>
      </c>
    </row>
    <row r="56" spans="1:16">
      <c r="A56" s="1" t="s">
        <v>225</v>
      </c>
      <c r="B56" s="1">
        <v>3</v>
      </c>
      <c r="C56" s="1" t="s">
        <v>70</v>
      </c>
      <c r="D56" s="3">
        <f t="shared" si="13"/>
        <v>80</v>
      </c>
      <c r="E56" s="3">
        <f t="shared" si="14"/>
        <v>16</v>
      </c>
      <c r="F56" s="3">
        <f t="shared" si="15"/>
        <v>8</v>
      </c>
      <c r="G56" s="3">
        <f t="shared" si="16"/>
        <v>16</v>
      </c>
      <c r="H56" s="3">
        <f t="shared" si="17"/>
        <v>8</v>
      </c>
      <c r="I56" s="3">
        <f t="shared" si="18"/>
        <v>3</v>
      </c>
      <c r="K56" s="6">
        <f t="shared" si="19"/>
        <v>1</v>
      </c>
      <c r="L56" s="6">
        <f t="shared" si="20"/>
        <v>1.6</v>
      </c>
      <c r="M56" s="6">
        <f t="shared" si="21"/>
        <v>1.6</v>
      </c>
      <c r="N56" s="6">
        <f t="shared" si="22"/>
        <v>1.6</v>
      </c>
      <c r="O56" s="6">
        <f t="shared" si="23"/>
        <v>1.6</v>
      </c>
      <c r="P56" s="6">
        <f t="shared" si="24"/>
        <v>1.6</v>
      </c>
    </row>
    <row r="57" spans="1:16">
      <c r="A57" s="1" t="s">
        <v>227</v>
      </c>
      <c r="B57" s="1">
        <v>3</v>
      </c>
      <c r="C57" s="1" t="s">
        <v>74</v>
      </c>
      <c r="D57" s="3">
        <f t="shared" si="13"/>
        <v>120</v>
      </c>
      <c r="E57" s="3">
        <f t="shared" si="14"/>
        <v>24</v>
      </c>
      <c r="F57" s="3">
        <f t="shared" si="15"/>
        <v>12</v>
      </c>
      <c r="G57" s="3">
        <f t="shared" si="16"/>
        <v>24</v>
      </c>
      <c r="H57" s="3">
        <f t="shared" si="17"/>
        <v>12</v>
      </c>
      <c r="I57" s="3">
        <f t="shared" si="18"/>
        <v>4</v>
      </c>
      <c r="K57" s="6">
        <f t="shared" si="19"/>
        <v>1.5</v>
      </c>
      <c r="L57" s="6">
        <f t="shared" si="20"/>
        <v>2.4</v>
      </c>
      <c r="M57" s="6">
        <f t="shared" si="21"/>
        <v>2.4</v>
      </c>
      <c r="N57" s="6">
        <f t="shared" si="22"/>
        <v>2.4</v>
      </c>
      <c r="O57" s="6">
        <f t="shared" si="23"/>
        <v>2.4</v>
      </c>
      <c r="P57" s="6">
        <f t="shared" si="24"/>
        <v>2.4</v>
      </c>
    </row>
    <row r="58" spans="1:16">
      <c r="A58" s="1" t="s">
        <v>229</v>
      </c>
      <c r="B58" s="1">
        <v>1</v>
      </c>
      <c r="C58" s="1" t="s">
        <v>65</v>
      </c>
      <c r="D58" s="3">
        <f t="shared" si="13"/>
        <v>40</v>
      </c>
      <c r="E58" s="3">
        <f t="shared" si="14"/>
        <v>8</v>
      </c>
      <c r="F58" s="3">
        <f t="shared" si="15"/>
        <v>4</v>
      </c>
      <c r="G58" s="3">
        <f t="shared" si="16"/>
        <v>8</v>
      </c>
      <c r="H58" s="3">
        <f t="shared" si="17"/>
        <v>4</v>
      </c>
      <c r="I58" s="3">
        <f t="shared" si="18"/>
        <v>1</v>
      </c>
      <c r="K58" s="6">
        <f t="shared" si="19"/>
        <v>0.5</v>
      </c>
      <c r="L58" s="6">
        <f t="shared" si="20"/>
        <v>0.8</v>
      </c>
      <c r="M58" s="6">
        <f t="shared" si="21"/>
        <v>0.8</v>
      </c>
      <c r="N58" s="6">
        <f t="shared" si="22"/>
        <v>0.8</v>
      </c>
      <c r="O58" s="6">
        <f t="shared" si="23"/>
        <v>0.8</v>
      </c>
      <c r="P58" s="6">
        <f t="shared" si="24"/>
        <v>0.8</v>
      </c>
    </row>
    <row r="59" spans="1:16">
      <c r="A59" s="1" t="s">
        <v>233</v>
      </c>
      <c r="B59" s="1">
        <v>1</v>
      </c>
      <c r="C59" s="1" t="s">
        <v>70</v>
      </c>
      <c r="D59" s="3">
        <f t="shared" si="13"/>
        <v>80</v>
      </c>
      <c r="E59" s="3">
        <f t="shared" si="14"/>
        <v>16</v>
      </c>
      <c r="F59" s="3">
        <f t="shared" si="15"/>
        <v>8</v>
      </c>
      <c r="G59" s="3">
        <f t="shared" si="16"/>
        <v>16</v>
      </c>
      <c r="H59" s="3">
        <f t="shared" si="17"/>
        <v>8</v>
      </c>
      <c r="I59" s="3">
        <f t="shared" si="18"/>
        <v>3</v>
      </c>
      <c r="K59" s="6">
        <f t="shared" si="19"/>
        <v>1</v>
      </c>
      <c r="L59" s="6">
        <f t="shared" si="20"/>
        <v>1.6</v>
      </c>
      <c r="M59" s="6">
        <f t="shared" si="21"/>
        <v>1.6</v>
      </c>
      <c r="N59" s="6">
        <f t="shared" si="22"/>
        <v>1.6</v>
      </c>
      <c r="O59" s="6">
        <f t="shared" si="23"/>
        <v>1.6</v>
      </c>
      <c r="P59" s="6">
        <f t="shared" si="24"/>
        <v>1.6</v>
      </c>
    </row>
    <row r="60" spans="1:16">
      <c r="A60" s="1" t="s">
        <v>235</v>
      </c>
      <c r="B60" s="1">
        <v>1</v>
      </c>
      <c r="C60" s="1" t="s">
        <v>74</v>
      </c>
      <c r="D60" s="3">
        <f t="shared" si="13"/>
        <v>120</v>
      </c>
      <c r="E60" s="3">
        <f t="shared" si="14"/>
        <v>24</v>
      </c>
      <c r="F60" s="3">
        <f t="shared" si="15"/>
        <v>12</v>
      </c>
      <c r="G60" s="3">
        <f t="shared" si="16"/>
        <v>24</v>
      </c>
      <c r="H60" s="3">
        <f t="shared" si="17"/>
        <v>12</v>
      </c>
      <c r="I60" s="3">
        <f t="shared" si="18"/>
        <v>4</v>
      </c>
      <c r="K60" s="6">
        <f t="shared" si="19"/>
        <v>1.5</v>
      </c>
      <c r="L60" s="6">
        <f t="shared" si="20"/>
        <v>2.4</v>
      </c>
      <c r="M60" s="6">
        <f t="shared" si="21"/>
        <v>2.4</v>
      </c>
      <c r="N60" s="6">
        <f t="shared" si="22"/>
        <v>2.4</v>
      </c>
      <c r="O60" s="6">
        <f t="shared" si="23"/>
        <v>2.4</v>
      </c>
      <c r="P60" s="6">
        <f t="shared" si="24"/>
        <v>2.4</v>
      </c>
    </row>
    <row r="61" spans="1:16">
      <c r="A61" s="1" t="s">
        <v>237</v>
      </c>
      <c r="B61" s="1">
        <v>2</v>
      </c>
      <c r="C61" s="1" t="s">
        <v>70</v>
      </c>
      <c r="D61" s="3">
        <f t="shared" si="13"/>
        <v>80</v>
      </c>
      <c r="E61" s="3">
        <f t="shared" si="14"/>
        <v>16</v>
      </c>
      <c r="F61" s="3">
        <f t="shared" si="15"/>
        <v>8</v>
      </c>
      <c r="G61" s="3">
        <f t="shared" si="16"/>
        <v>16</v>
      </c>
      <c r="H61" s="3">
        <f t="shared" si="17"/>
        <v>8</v>
      </c>
      <c r="I61" s="3">
        <f t="shared" si="18"/>
        <v>3</v>
      </c>
      <c r="K61" s="6">
        <f t="shared" si="19"/>
        <v>1</v>
      </c>
      <c r="L61" s="6">
        <f t="shared" si="20"/>
        <v>1.6</v>
      </c>
      <c r="M61" s="6">
        <f t="shared" si="21"/>
        <v>1.6</v>
      </c>
      <c r="N61" s="6">
        <f t="shared" si="22"/>
        <v>1.6</v>
      </c>
      <c r="O61" s="6">
        <f t="shared" si="23"/>
        <v>1.6</v>
      </c>
      <c r="P61" s="6">
        <f t="shared" si="24"/>
        <v>1.6</v>
      </c>
    </row>
    <row r="62" spans="1:16">
      <c r="A62" s="1" t="s">
        <v>239</v>
      </c>
      <c r="B62" s="1">
        <v>1</v>
      </c>
      <c r="C62" s="1" t="s">
        <v>74</v>
      </c>
      <c r="D62" s="3">
        <f t="shared" si="13"/>
        <v>120</v>
      </c>
      <c r="E62" s="3">
        <f t="shared" si="14"/>
        <v>24</v>
      </c>
      <c r="F62" s="3">
        <f t="shared" si="15"/>
        <v>12</v>
      </c>
      <c r="G62" s="3">
        <f t="shared" si="16"/>
        <v>24</v>
      </c>
      <c r="H62" s="3">
        <f t="shared" si="17"/>
        <v>12</v>
      </c>
      <c r="I62" s="3">
        <f t="shared" si="18"/>
        <v>4</v>
      </c>
      <c r="K62" s="6">
        <f t="shared" si="19"/>
        <v>1.5</v>
      </c>
      <c r="L62" s="6">
        <f t="shared" si="20"/>
        <v>2.4</v>
      </c>
      <c r="M62" s="6">
        <f t="shared" si="21"/>
        <v>2.4</v>
      </c>
      <c r="N62" s="6">
        <f t="shared" si="22"/>
        <v>2.4</v>
      </c>
      <c r="O62" s="6">
        <f t="shared" si="23"/>
        <v>2.4</v>
      </c>
      <c r="P62" s="6">
        <f t="shared" si="24"/>
        <v>2.4</v>
      </c>
    </row>
    <row r="63" spans="1:16">
      <c r="A63" s="1" t="s">
        <v>99</v>
      </c>
      <c r="B63" s="1">
        <v>4</v>
      </c>
      <c r="C63" s="1" t="s">
        <v>65</v>
      </c>
      <c r="D63" s="3">
        <f t="shared" si="13"/>
        <v>40</v>
      </c>
      <c r="E63" s="3">
        <f t="shared" si="14"/>
        <v>8</v>
      </c>
      <c r="F63" s="3">
        <f t="shared" si="15"/>
        <v>4</v>
      </c>
      <c r="G63" s="3">
        <f t="shared" si="16"/>
        <v>8</v>
      </c>
      <c r="H63" s="3">
        <f t="shared" si="17"/>
        <v>4</v>
      </c>
      <c r="I63" s="3">
        <f t="shared" si="18"/>
        <v>1</v>
      </c>
      <c r="K63" s="6">
        <f t="shared" si="19"/>
        <v>0.5</v>
      </c>
      <c r="L63" s="6">
        <f t="shared" si="20"/>
        <v>0.8</v>
      </c>
      <c r="M63" s="6">
        <f t="shared" si="21"/>
        <v>0.8</v>
      </c>
      <c r="N63" s="6">
        <f t="shared" si="22"/>
        <v>0.8</v>
      </c>
      <c r="O63" s="6">
        <f t="shared" si="23"/>
        <v>0.8</v>
      </c>
      <c r="P63" s="6">
        <f t="shared" si="24"/>
        <v>0.8</v>
      </c>
    </row>
    <row r="64" spans="1:16">
      <c r="A64" s="1" t="s">
        <v>244</v>
      </c>
      <c r="B64" s="1">
        <v>4</v>
      </c>
      <c r="C64" s="1" t="s">
        <v>70</v>
      </c>
      <c r="D64" s="3">
        <f t="shared" si="13"/>
        <v>80</v>
      </c>
      <c r="E64" s="3">
        <f t="shared" si="14"/>
        <v>16</v>
      </c>
      <c r="F64" s="3">
        <f t="shared" si="15"/>
        <v>8</v>
      </c>
      <c r="G64" s="3">
        <f t="shared" si="16"/>
        <v>16</v>
      </c>
      <c r="H64" s="3">
        <f t="shared" si="17"/>
        <v>8</v>
      </c>
      <c r="I64" s="3">
        <f t="shared" si="18"/>
        <v>3</v>
      </c>
      <c r="K64" s="6">
        <f t="shared" si="19"/>
        <v>1</v>
      </c>
      <c r="L64" s="6">
        <f t="shared" si="20"/>
        <v>1.6</v>
      </c>
      <c r="M64" s="6">
        <f t="shared" si="21"/>
        <v>1.6</v>
      </c>
      <c r="N64" s="6">
        <f t="shared" si="22"/>
        <v>1.6</v>
      </c>
      <c r="O64" s="6">
        <f t="shared" si="23"/>
        <v>1.6</v>
      </c>
      <c r="P64" s="6">
        <f t="shared" si="24"/>
        <v>1.6</v>
      </c>
    </row>
    <row r="65" spans="1:16">
      <c r="A65" s="1" t="s">
        <v>247</v>
      </c>
      <c r="B65" s="1">
        <v>4</v>
      </c>
      <c r="C65" s="1" t="s">
        <v>74</v>
      </c>
      <c r="D65" s="3">
        <f t="shared" si="13"/>
        <v>120</v>
      </c>
      <c r="E65" s="3">
        <f t="shared" si="14"/>
        <v>24</v>
      </c>
      <c r="F65" s="3">
        <f t="shared" si="15"/>
        <v>12</v>
      </c>
      <c r="G65" s="3">
        <f t="shared" si="16"/>
        <v>24</v>
      </c>
      <c r="H65" s="3">
        <f t="shared" si="17"/>
        <v>12</v>
      </c>
      <c r="I65" s="3">
        <f t="shared" si="18"/>
        <v>4</v>
      </c>
      <c r="K65" s="6">
        <f t="shared" si="19"/>
        <v>1.5</v>
      </c>
      <c r="L65" s="6">
        <f t="shared" si="20"/>
        <v>2.4</v>
      </c>
      <c r="M65" s="6">
        <f t="shared" si="21"/>
        <v>2.4</v>
      </c>
      <c r="N65" s="6">
        <f t="shared" si="22"/>
        <v>2.4</v>
      </c>
      <c r="O65" s="6">
        <f t="shared" si="23"/>
        <v>2.4</v>
      </c>
      <c r="P65" s="6">
        <f t="shared" si="24"/>
        <v>2.4</v>
      </c>
    </row>
    <row r="66" spans="1:16">
      <c r="A66" s="1" t="s">
        <v>249</v>
      </c>
      <c r="B66" s="1">
        <v>4</v>
      </c>
      <c r="C66" s="1" t="s">
        <v>70</v>
      </c>
      <c r="D66" s="3">
        <f t="shared" si="13"/>
        <v>80</v>
      </c>
      <c r="E66" s="3">
        <f t="shared" si="14"/>
        <v>16</v>
      </c>
      <c r="F66" s="3">
        <f t="shared" si="15"/>
        <v>8</v>
      </c>
      <c r="G66" s="3">
        <f t="shared" si="16"/>
        <v>16</v>
      </c>
      <c r="H66" s="3">
        <f t="shared" si="17"/>
        <v>8</v>
      </c>
      <c r="I66" s="3">
        <f t="shared" si="18"/>
        <v>3</v>
      </c>
      <c r="K66" s="6">
        <f t="shared" si="19"/>
        <v>1</v>
      </c>
      <c r="L66" s="6">
        <f t="shared" si="20"/>
        <v>1.6</v>
      </c>
      <c r="M66" s="6">
        <f t="shared" si="21"/>
        <v>1.6</v>
      </c>
      <c r="N66" s="6">
        <f t="shared" si="22"/>
        <v>1.6</v>
      </c>
      <c r="O66" s="6">
        <f t="shared" si="23"/>
        <v>1.6</v>
      </c>
      <c r="P66" s="6">
        <f t="shared" si="24"/>
        <v>1.6</v>
      </c>
    </row>
    <row r="67" spans="1:16">
      <c r="A67" s="1" t="s">
        <v>251</v>
      </c>
      <c r="B67" s="1">
        <v>4</v>
      </c>
      <c r="C67" s="1" t="s">
        <v>74</v>
      </c>
      <c r="D67" s="3">
        <f t="shared" si="13"/>
        <v>120</v>
      </c>
      <c r="E67" s="3">
        <f t="shared" si="14"/>
        <v>24</v>
      </c>
      <c r="F67" s="3">
        <f t="shared" si="15"/>
        <v>12</v>
      </c>
      <c r="G67" s="3">
        <f t="shared" si="16"/>
        <v>24</v>
      </c>
      <c r="H67" s="3">
        <f t="shared" si="17"/>
        <v>12</v>
      </c>
      <c r="I67" s="3">
        <f t="shared" si="18"/>
        <v>4</v>
      </c>
      <c r="K67" s="6">
        <f t="shared" si="19"/>
        <v>1.5</v>
      </c>
      <c r="L67" s="6">
        <f t="shared" si="20"/>
        <v>2.4</v>
      </c>
      <c r="M67" s="6">
        <f t="shared" si="21"/>
        <v>2.4</v>
      </c>
      <c r="N67" s="6">
        <f t="shared" si="22"/>
        <v>2.4</v>
      </c>
      <c r="O67" s="6">
        <f t="shared" si="23"/>
        <v>2.4</v>
      </c>
      <c r="P67" s="6">
        <f t="shared" si="24"/>
        <v>2.4</v>
      </c>
    </row>
    <row r="68" spans="1:16">
      <c r="A68" s="1" t="s">
        <v>253</v>
      </c>
      <c r="B68" s="1">
        <v>5</v>
      </c>
      <c r="C68" s="1" t="s">
        <v>65</v>
      </c>
      <c r="D68" s="3">
        <f t="shared" si="13"/>
        <v>40</v>
      </c>
      <c r="E68" s="3">
        <f t="shared" si="14"/>
        <v>8</v>
      </c>
      <c r="F68" s="3">
        <f t="shared" si="15"/>
        <v>4</v>
      </c>
      <c r="G68" s="3">
        <f t="shared" si="16"/>
        <v>8</v>
      </c>
      <c r="H68" s="3">
        <f t="shared" si="17"/>
        <v>4</v>
      </c>
      <c r="I68" s="3">
        <f t="shared" si="18"/>
        <v>1</v>
      </c>
      <c r="K68" s="6">
        <f t="shared" si="19"/>
        <v>0.5</v>
      </c>
      <c r="L68" s="6">
        <f t="shared" si="20"/>
        <v>0.8</v>
      </c>
      <c r="M68" s="6">
        <f t="shared" si="21"/>
        <v>0.8</v>
      </c>
      <c r="N68" s="6">
        <f t="shared" si="22"/>
        <v>0.8</v>
      </c>
      <c r="O68" s="6">
        <f t="shared" si="23"/>
        <v>0.8</v>
      </c>
      <c r="P68" s="6">
        <f t="shared" si="24"/>
        <v>0.8</v>
      </c>
    </row>
    <row r="69" spans="1:16">
      <c r="A69" s="1" t="s">
        <v>258</v>
      </c>
      <c r="B69" s="1">
        <v>5</v>
      </c>
      <c r="C69" s="1" t="s">
        <v>70</v>
      </c>
      <c r="D69" s="3">
        <f t="shared" ref="D69:D97" si="25">INT(D$2*K69)</f>
        <v>80</v>
      </c>
      <c r="E69" s="3">
        <f t="shared" ref="E69:E97" si="26">INT(E$2*L69)</f>
        <v>16</v>
      </c>
      <c r="F69" s="3">
        <f t="shared" ref="F69:F97" si="27">INT(F$2*M69)</f>
        <v>8</v>
      </c>
      <c r="G69" s="3">
        <f t="shared" ref="G69:G97" si="28">INT(G$2*N69)</f>
        <v>16</v>
      </c>
      <c r="H69" s="3">
        <f t="shared" ref="H69:H97" si="29">INT(H$2*O69)</f>
        <v>8</v>
      </c>
      <c r="I69" s="3">
        <f t="shared" ref="I69:I97" si="30">INT(I$2*P69)</f>
        <v>3</v>
      </c>
      <c r="K69" s="6">
        <f t="shared" ref="K69:K97" si="31">$C69*K$1</f>
        <v>1</v>
      </c>
      <c r="L69" s="6">
        <f t="shared" ref="L69:L97" si="32">$C69*L$1</f>
        <v>1.6</v>
      </c>
      <c r="M69" s="6">
        <f t="shared" ref="M69:M97" si="33">$C69*M$1</f>
        <v>1.6</v>
      </c>
      <c r="N69" s="6">
        <f t="shared" ref="N69:N97" si="34">$C69*N$1</f>
        <v>1.6</v>
      </c>
      <c r="O69" s="6">
        <f t="shared" ref="O69:O97" si="35">$C69*O$1</f>
        <v>1.6</v>
      </c>
      <c r="P69" s="6">
        <f t="shared" ref="P69:P97" si="36">$C69*P$1</f>
        <v>1.6</v>
      </c>
    </row>
    <row r="70" spans="1:16">
      <c r="A70" s="1" t="s">
        <v>261</v>
      </c>
      <c r="B70" s="1">
        <v>5</v>
      </c>
      <c r="C70" s="1" t="s">
        <v>74</v>
      </c>
      <c r="D70" s="3">
        <f t="shared" si="25"/>
        <v>120</v>
      </c>
      <c r="E70" s="3">
        <f t="shared" si="26"/>
        <v>24</v>
      </c>
      <c r="F70" s="3">
        <f t="shared" si="27"/>
        <v>12</v>
      </c>
      <c r="G70" s="3">
        <f t="shared" si="28"/>
        <v>24</v>
      </c>
      <c r="H70" s="3">
        <f t="shared" si="29"/>
        <v>12</v>
      </c>
      <c r="I70" s="3">
        <f t="shared" si="30"/>
        <v>4</v>
      </c>
      <c r="K70" s="6">
        <f t="shared" si="31"/>
        <v>1.5</v>
      </c>
      <c r="L70" s="6">
        <f t="shared" si="32"/>
        <v>2.4</v>
      </c>
      <c r="M70" s="6">
        <f t="shared" si="33"/>
        <v>2.4</v>
      </c>
      <c r="N70" s="6">
        <f t="shared" si="34"/>
        <v>2.4</v>
      </c>
      <c r="O70" s="6">
        <f t="shared" si="35"/>
        <v>2.4</v>
      </c>
      <c r="P70" s="6">
        <f t="shared" si="36"/>
        <v>2.4</v>
      </c>
    </row>
    <row r="71" spans="1:16">
      <c r="A71" s="1" t="s">
        <v>263</v>
      </c>
      <c r="B71" s="1">
        <v>5</v>
      </c>
      <c r="C71" s="1" t="s">
        <v>70</v>
      </c>
      <c r="D71" s="3">
        <f t="shared" si="25"/>
        <v>80</v>
      </c>
      <c r="E71" s="3">
        <f t="shared" si="26"/>
        <v>16</v>
      </c>
      <c r="F71" s="3">
        <f t="shared" si="27"/>
        <v>8</v>
      </c>
      <c r="G71" s="3">
        <f t="shared" si="28"/>
        <v>16</v>
      </c>
      <c r="H71" s="3">
        <f t="shared" si="29"/>
        <v>8</v>
      </c>
      <c r="I71" s="3">
        <f t="shared" si="30"/>
        <v>3</v>
      </c>
      <c r="K71" s="6">
        <f t="shared" si="31"/>
        <v>1</v>
      </c>
      <c r="L71" s="6">
        <f t="shared" si="32"/>
        <v>1.6</v>
      </c>
      <c r="M71" s="6">
        <f t="shared" si="33"/>
        <v>1.6</v>
      </c>
      <c r="N71" s="6">
        <f t="shared" si="34"/>
        <v>1.6</v>
      </c>
      <c r="O71" s="6">
        <f t="shared" si="35"/>
        <v>1.6</v>
      </c>
      <c r="P71" s="6">
        <f t="shared" si="36"/>
        <v>1.6</v>
      </c>
    </row>
    <row r="72" spans="1:16">
      <c r="A72" s="1" t="s">
        <v>265</v>
      </c>
      <c r="B72" s="1">
        <v>5</v>
      </c>
      <c r="C72" s="1" t="s">
        <v>74</v>
      </c>
      <c r="D72" s="3">
        <f t="shared" si="25"/>
        <v>120</v>
      </c>
      <c r="E72" s="3">
        <f t="shared" si="26"/>
        <v>24</v>
      </c>
      <c r="F72" s="3">
        <f t="shared" si="27"/>
        <v>12</v>
      </c>
      <c r="G72" s="3">
        <f t="shared" si="28"/>
        <v>24</v>
      </c>
      <c r="H72" s="3">
        <f t="shared" si="29"/>
        <v>12</v>
      </c>
      <c r="I72" s="3">
        <f t="shared" si="30"/>
        <v>4</v>
      </c>
      <c r="K72" s="6">
        <f t="shared" si="31"/>
        <v>1.5</v>
      </c>
      <c r="L72" s="6">
        <f t="shared" si="32"/>
        <v>2.4</v>
      </c>
      <c r="M72" s="6">
        <f t="shared" si="33"/>
        <v>2.4</v>
      </c>
      <c r="N72" s="6">
        <f t="shared" si="34"/>
        <v>2.4</v>
      </c>
      <c r="O72" s="6">
        <f t="shared" si="35"/>
        <v>2.4</v>
      </c>
      <c r="P72" s="6">
        <f t="shared" si="36"/>
        <v>2.4</v>
      </c>
    </row>
    <row r="73" spans="1:16">
      <c r="A73" s="1" t="s">
        <v>175</v>
      </c>
      <c r="B73" s="1">
        <v>6</v>
      </c>
      <c r="C73" s="1" t="s">
        <v>65</v>
      </c>
      <c r="D73" s="3">
        <f t="shared" si="25"/>
        <v>40</v>
      </c>
      <c r="E73" s="3">
        <f t="shared" si="26"/>
        <v>8</v>
      </c>
      <c r="F73" s="3">
        <f t="shared" si="27"/>
        <v>4</v>
      </c>
      <c r="G73" s="3">
        <f t="shared" si="28"/>
        <v>8</v>
      </c>
      <c r="H73" s="3">
        <f t="shared" si="29"/>
        <v>4</v>
      </c>
      <c r="I73" s="3">
        <f t="shared" si="30"/>
        <v>1</v>
      </c>
      <c r="K73" s="6">
        <f t="shared" si="31"/>
        <v>0.5</v>
      </c>
      <c r="L73" s="6">
        <f t="shared" si="32"/>
        <v>0.8</v>
      </c>
      <c r="M73" s="6">
        <f t="shared" si="33"/>
        <v>0.8</v>
      </c>
      <c r="N73" s="6">
        <f t="shared" si="34"/>
        <v>0.8</v>
      </c>
      <c r="O73" s="6">
        <f t="shared" si="35"/>
        <v>0.8</v>
      </c>
      <c r="P73" s="6">
        <f t="shared" si="36"/>
        <v>0.8</v>
      </c>
    </row>
    <row r="74" spans="1:16">
      <c r="A74" s="1" t="s">
        <v>270</v>
      </c>
      <c r="B74" s="1">
        <v>6</v>
      </c>
      <c r="C74" s="1" t="s">
        <v>70</v>
      </c>
      <c r="D74" s="3">
        <f t="shared" si="25"/>
        <v>80</v>
      </c>
      <c r="E74" s="3">
        <f t="shared" si="26"/>
        <v>16</v>
      </c>
      <c r="F74" s="3">
        <f t="shared" si="27"/>
        <v>8</v>
      </c>
      <c r="G74" s="3">
        <f t="shared" si="28"/>
        <v>16</v>
      </c>
      <c r="H74" s="3">
        <f t="shared" si="29"/>
        <v>8</v>
      </c>
      <c r="I74" s="3">
        <f t="shared" si="30"/>
        <v>3</v>
      </c>
      <c r="K74" s="6">
        <f t="shared" si="31"/>
        <v>1</v>
      </c>
      <c r="L74" s="6">
        <f t="shared" si="32"/>
        <v>1.6</v>
      </c>
      <c r="M74" s="6">
        <f t="shared" si="33"/>
        <v>1.6</v>
      </c>
      <c r="N74" s="6">
        <f t="shared" si="34"/>
        <v>1.6</v>
      </c>
      <c r="O74" s="6">
        <f t="shared" si="35"/>
        <v>1.6</v>
      </c>
      <c r="P74" s="6">
        <f t="shared" si="36"/>
        <v>1.6</v>
      </c>
    </row>
    <row r="75" spans="1:16">
      <c r="A75" s="1" t="s">
        <v>272</v>
      </c>
      <c r="B75" s="1">
        <v>6</v>
      </c>
      <c r="C75" s="1" t="s">
        <v>74</v>
      </c>
      <c r="D75" s="3">
        <f t="shared" si="25"/>
        <v>120</v>
      </c>
      <c r="E75" s="3">
        <f t="shared" si="26"/>
        <v>24</v>
      </c>
      <c r="F75" s="3">
        <f t="shared" si="27"/>
        <v>12</v>
      </c>
      <c r="G75" s="3">
        <f t="shared" si="28"/>
        <v>24</v>
      </c>
      <c r="H75" s="3">
        <f t="shared" si="29"/>
        <v>12</v>
      </c>
      <c r="I75" s="3">
        <f t="shared" si="30"/>
        <v>4</v>
      </c>
      <c r="K75" s="6">
        <f t="shared" si="31"/>
        <v>1.5</v>
      </c>
      <c r="L75" s="6">
        <f t="shared" si="32"/>
        <v>2.4</v>
      </c>
      <c r="M75" s="6">
        <f t="shared" si="33"/>
        <v>2.4</v>
      </c>
      <c r="N75" s="6">
        <f t="shared" si="34"/>
        <v>2.4</v>
      </c>
      <c r="O75" s="6">
        <f t="shared" si="35"/>
        <v>2.4</v>
      </c>
      <c r="P75" s="6">
        <f t="shared" si="36"/>
        <v>2.4</v>
      </c>
    </row>
    <row r="76" spans="1:16">
      <c r="A76" s="1" t="s">
        <v>116</v>
      </c>
      <c r="B76" s="1">
        <v>6</v>
      </c>
      <c r="C76" s="1" t="s">
        <v>70</v>
      </c>
      <c r="D76" s="3">
        <f t="shared" si="25"/>
        <v>80</v>
      </c>
      <c r="E76" s="3">
        <f t="shared" si="26"/>
        <v>16</v>
      </c>
      <c r="F76" s="3">
        <f t="shared" si="27"/>
        <v>8</v>
      </c>
      <c r="G76" s="3">
        <f t="shared" si="28"/>
        <v>16</v>
      </c>
      <c r="H76" s="3">
        <f t="shared" si="29"/>
        <v>8</v>
      </c>
      <c r="I76" s="3">
        <f t="shared" si="30"/>
        <v>3</v>
      </c>
      <c r="K76" s="6">
        <f t="shared" si="31"/>
        <v>1</v>
      </c>
      <c r="L76" s="6">
        <f t="shared" si="32"/>
        <v>1.6</v>
      </c>
      <c r="M76" s="6">
        <f t="shared" si="33"/>
        <v>1.6</v>
      </c>
      <c r="N76" s="6">
        <f t="shared" si="34"/>
        <v>1.6</v>
      </c>
      <c r="O76" s="6">
        <f t="shared" si="35"/>
        <v>1.6</v>
      </c>
      <c r="P76" s="6">
        <f t="shared" si="36"/>
        <v>1.6</v>
      </c>
    </row>
    <row r="77" spans="1:16">
      <c r="A77" s="1" t="s">
        <v>275</v>
      </c>
      <c r="B77" s="1">
        <v>6</v>
      </c>
      <c r="C77" s="1" t="s">
        <v>74</v>
      </c>
      <c r="D77" s="3">
        <f t="shared" si="25"/>
        <v>120</v>
      </c>
      <c r="E77" s="3">
        <f t="shared" si="26"/>
        <v>24</v>
      </c>
      <c r="F77" s="3">
        <f t="shared" si="27"/>
        <v>12</v>
      </c>
      <c r="G77" s="3">
        <f t="shared" si="28"/>
        <v>24</v>
      </c>
      <c r="H77" s="3">
        <f t="shared" si="29"/>
        <v>12</v>
      </c>
      <c r="I77" s="3">
        <f t="shared" si="30"/>
        <v>4</v>
      </c>
      <c r="K77" s="6">
        <f t="shared" si="31"/>
        <v>1.5</v>
      </c>
      <c r="L77" s="6">
        <f t="shared" si="32"/>
        <v>2.4</v>
      </c>
      <c r="M77" s="6">
        <f t="shared" si="33"/>
        <v>2.4</v>
      </c>
      <c r="N77" s="6">
        <f t="shared" si="34"/>
        <v>2.4</v>
      </c>
      <c r="O77" s="6">
        <f t="shared" si="35"/>
        <v>2.4</v>
      </c>
      <c r="P77" s="6">
        <f t="shared" si="36"/>
        <v>2.4</v>
      </c>
    </row>
    <row r="78" spans="1:16">
      <c r="A78" s="1" t="s">
        <v>277</v>
      </c>
      <c r="B78" s="1">
        <v>7</v>
      </c>
      <c r="C78" s="1" t="s">
        <v>65</v>
      </c>
      <c r="D78" s="3">
        <f t="shared" si="25"/>
        <v>40</v>
      </c>
      <c r="E78" s="3">
        <f t="shared" si="26"/>
        <v>8</v>
      </c>
      <c r="F78" s="3">
        <f t="shared" si="27"/>
        <v>4</v>
      </c>
      <c r="G78" s="3">
        <f t="shared" si="28"/>
        <v>8</v>
      </c>
      <c r="H78" s="3">
        <f t="shared" si="29"/>
        <v>4</v>
      </c>
      <c r="I78" s="3">
        <f t="shared" si="30"/>
        <v>1</v>
      </c>
      <c r="K78" s="6">
        <f t="shared" si="31"/>
        <v>0.5</v>
      </c>
      <c r="L78" s="6">
        <f t="shared" si="32"/>
        <v>0.8</v>
      </c>
      <c r="M78" s="6">
        <f t="shared" si="33"/>
        <v>0.8</v>
      </c>
      <c r="N78" s="6">
        <f t="shared" si="34"/>
        <v>0.8</v>
      </c>
      <c r="O78" s="6">
        <f t="shared" si="35"/>
        <v>0.8</v>
      </c>
      <c r="P78" s="6">
        <f t="shared" si="36"/>
        <v>0.8</v>
      </c>
    </row>
    <row r="79" spans="1:16">
      <c r="A79" s="1" t="s">
        <v>283</v>
      </c>
      <c r="B79" s="1">
        <v>7</v>
      </c>
      <c r="C79" s="1" t="s">
        <v>70</v>
      </c>
      <c r="D79" s="3">
        <f t="shared" si="25"/>
        <v>80</v>
      </c>
      <c r="E79" s="3">
        <f t="shared" si="26"/>
        <v>16</v>
      </c>
      <c r="F79" s="3">
        <f t="shared" si="27"/>
        <v>8</v>
      </c>
      <c r="G79" s="3">
        <f t="shared" si="28"/>
        <v>16</v>
      </c>
      <c r="H79" s="3">
        <f t="shared" si="29"/>
        <v>8</v>
      </c>
      <c r="I79" s="3">
        <f t="shared" si="30"/>
        <v>3</v>
      </c>
      <c r="K79" s="6">
        <f t="shared" si="31"/>
        <v>1</v>
      </c>
      <c r="L79" s="6">
        <f t="shared" si="32"/>
        <v>1.6</v>
      </c>
      <c r="M79" s="6">
        <f t="shared" si="33"/>
        <v>1.6</v>
      </c>
      <c r="N79" s="6">
        <f t="shared" si="34"/>
        <v>1.6</v>
      </c>
      <c r="O79" s="6">
        <f t="shared" si="35"/>
        <v>1.6</v>
      </c>
      <c r="P79" s="6">
        <f t="shared" si="36"/>
        <v>1.6</v>
      </c>
    </row>
    <row r="80" spans="1:16">
      <c r="A80" s="1" t="s">
        <v>286</v>
      </c>
      <c r="B80" s="1">
        <v>7</v>
      </c>
      <c r="C80" s="1" t="s">
        <v>74</v>
      </c>
      <c r="D80" s="3">
        <f t="shared" si="25"/>
        <v>120</v>
      </c>
      <c r="E80" s="3">
        <f t="shared" si="26"/>
        <v>24</v>
      </c>
      <c r="F80" s="3">
        <f t="shared" si="27"/>
        <v>12</v>
      </c>
      <c r="G80" s="3">
        <f t="shared" si="28"/>
        <v>24</v>
      </c>
      <c r="H80" s="3">
        <f t="shared" si="29"/>
        <v>12</v>
      </c>
      <c r="I80" s="3">
        <f t="shared" si="30"/>
        <v>4</v>
      </c>
      <c r="K80" s="6">
        <f t="shared" si="31"/>
        <v>1.5</v>
      </c>
      <c r="L80" s="6">
        <f t="shared" si="32"/>
        <v>2.4</v>
      </c>
      <c r="M80" s="6">
        <f t="shared" si="33"/>
        <v>2.4</v>
      </c>
      <c r="N80" s="6">
        <f t="shared" si="34"/>
        <v>2.4</v>
      </c>
      <c r="O80" s="6">
        <f t="shared" si="35"/>
        <v>2.4</v>
      </c>
      <c r="P80" s="6">
        <f t="shared" si="36"/>
        <v>2.4</v>
      </c>
    </row>
    <row r="81" spans="1:16">
      <c r="A81" s="1" t="s">
        <v>288</v>
      </c>
      <c r="B81" s="1">
        <v>7</v>
      </c>
      <c r="C81" s="1" t="s">
        <v>70</v>
      </c>
      <c r="D81" s="3">
        <f t="shared" si="25"/>
        <v>80</v>
      </c>
      <c r="E81" s="3">
        <f t="shared" si="26"/>
        <v>16</v>
      </c>
      <c r="F81" s="3">
        <f t="shared" si="27"/>
        <v>8</v>
      </c>
      <c r="G81" s="3">
        <f t="shared" si="28"/>
        <v>16</v>
      </c>
      <c r="H81" s="3">
        <f t="shared" si="29"/>
        <v>8</v>
      </c>
      <c r="I81" s="3">
        <f t="shared" si="30"/>
        <v>3</v>
      </c>
      <c r="K81" s="6">
        <f t="shared" si="31"/>
        <v>1</v>
      </c>
      <c r="L81" s="6">
        <f t="shared" si="32"/>
        <v>1.6</v>
      </c>
      <c r="M81" s="6">
        <f t="shared" si="33"/>
        <v>1.6</v>
      </c>
      <c r="N81" s="6">
        <f t="shared" si="34"/>
        <v>1.6</v>
      </c>
      <c r="O81" s="6">
        <f t="shared" si="35"/>
        <v>1.6</v>
      </c>
      <c r="P81" s="6">
        <f t="shared" si="36"/>
        <v>1.6</v>
      </c>
    </row>
    <row r="82" spans="1:16">
      <c r="A82" s="1" t="s">
        <v>290</v>
      </c>
      <c r="B82" s="1">
        <v>7</v>
      </c>
      <c r="C82" s="1" t="s">
        <v>74</v>
      </c>
      <c r="D82" s="3">
        <f t="shared" si="25"/>
        <v>120</v>
      </c>
      <c r="E82" s="3">
        <f t="shared" si="26"/>
        <v>24</v>
      </c>
      <c r="F82" s="3">
        <f t="shared" si="27"/>
        <v>12</v>
      </c>
      <c r="G82" s="3">
        <f t="shared" si="28"/>
        <v>24</v>
      </c>
      <c r="H82" s="3">
        <f t="shared" si="29"/>
        <v>12</v>
      </c>
      <c r="I82" s="3">
        <f t="shared" si="30"/>
        <v>4</v>
      </c>
      <c r="K82" s="6">
        <f t="shared" si="31"/>
        <v>1.5</v>
      </c>
      <c r="L82" s="6">
        <f t="shared" si="32"/>
        <v>2.4</v>
      </c>
      <c r="M82" s="6">
        <f t="shared" si="33"/>
        <v>2.4</v>
      </c>
      <c r="N82" s="6">
        <f t="shared" si="34"/>
        <v>2.4</v>
      </c>
      <c r="O82" s="6">
        <f t="shared" si="35"/>
        <v>2.4</v>
      </c>
      <c r="P82" s="6">
        <f t="shared" si="36"/>
        <v>2.4</v>
      </c>
    </row>
    <row r="83" spans="1:16">
      <c r="A83" s="1" t="s">
        <v>292</v>
      </c>
      <c r="B83" s="1">
        <v>8</v>
      </c>
      <c r="C83" s="1" t="s">
        <v>65</v>
      </c>
      <c r="D83" s="3">
        <f t="shared" si="25"/>
        <v>40</v>
      </c>
      <c r="E83" s="3">
        <f t="shared" si="26"/>
        <v>8</v>
      </c>
      <c r="F83" s="3">
        <f t="shared" si="27"/>
        <v>4</v>
      </c>
      <c r="G83" s="3">
        <f t="shared" si="28"/>
        <v>8</v>
      </c>
      <c r="H83" s="3">
        <f t="shared" si="29"/>
        <v>4</v>
      </c>
      <c r="I83" s="3">
        <f t="shared" si="30"/>
        <v>1</v>
      </c>
      <c r="K83" s="6">
        <f t="shared" si="31"/>
        <v>0.5</v>
      </c>
      <c r="L83" s="6">
        <f t="shared" si="32"/>
        <v>0.8</v>
      </c>
      <c r="M83" s="6">
        <f t="shared" si="33"/>
        <v>0.8</v>
      </c>
      <c r="N83" s="6">
        <f t="shared" si="34"/>
        <v>0.8</v>
      </c>
      <c r="O83" s="6">
        <f t="shared" si="35"/>
        <v>0.8</v>
      </c>
      <c r="P83" s="6">
        <f t="shared" si="36"/>
        <v>0.8</v>
      </c>
    </row>
    <row r="84" spans="1:16">
      <c r="A84" s="1" t="s">
        <v>297</v>
      </c>
      <c r="B84" s="1">
        <v>8</v>
      </c>
      <c r="C84" s="1" t="s">
        <v>70</v>
      </c>
      <c r="D84" s="3">
        <f t="shared" si="25"/>
        <v>80</v>
      </c>
      <c r="E84" s="3">
        <f t="shared" si="26"/>
        <v>16</v>
      </c>
      <c r="F84" s="3">
        <f t="shared" si="27"/>
        <v>8</v>
      </c>
      <c r="G84" s="3">
        <f t="shared" si="28"/>
        <v>16</v>
      </c>
      <c r="H84" s="3">
        <f t="shared" si="29"/>
        <v>8</v>
      </c>
      <c r="I84" s="3">
        <f t="shared" si="30"/>
        <v>3</v>
      </c>
      <c r="K84" s="6">
        <f t="shared" si="31"/>
        <v>1</v>
      </c>
      <c r="L84" s="6">
        <f t="shared" si="32"/>
        <v>1.6</v>
      </c>
      <c r="M84" s="6">
        <f t="shared" si="33"/>
        <v>1.6</v>
      </c>
      <c r="N84" s="6">
        <f t="shared" si="34"/>
        <v>1.6</v>
      </c>
      <c r="O84" s="6">
        <f t="shared" si="35"/>
        <v>1.6</v>
      </c>
      <c r="P84" s="6">
        <f t="shared" si="36"/>
        <v>1.6</v>
      </c>
    </row>
    <row r="85" spans="1:16">
      <c r="A85" s="1" t="s">
        <v>299</v>
      </c>
      <c r="B85" s="1">
        <v>8</v>
      </c>
      <c r="C85" s="1" t="s">
        <v>74</v>
      </c>
      <c r="D85" s="3">
        <f t="shared" si="25"/>
        <v>120</v>
      </c>
      <c r="E85" s="3">
        <f t="shared" si="26"/>
        <v>24</v>
      </c>
      <c r="F85" s="3">
        <f t="shared" si="27"/>
        <v>12</v>
      </c>
      <c r="G85" s="3">
        <f t="shared" si="28"/>
        <v>24</v>
      </c>
      <c r="H85" s="3">
        <f t="shared" si="29"/>
        <v>12</v>
      </c>
      <c r="I85" s="3">
        <f t="shared" si="30"/>
        <v>4</v>
      </c>
      <c r="K85" s="6">
        <f t="shared" si="31"/>
        <v>1.5</v>
      </c>
      <c r="L85" s="6">
        <f t="shared" si="32"/>
        <v>2.4</v>
      </c>
      <c r="M85" s="6">
        <f t="shared" si="33"/>
        <v>2.4</v>
      </c>
      <c r="N85" s="6">
        <f t="shared" si="34"/>
        <v>2.4</v>
      </c>
      <c r="O85" s="6">
        <f t="shared" si="35"/>
        <v>2.4</v>
      </c>
      <c r="P85" s="6">
        <f t="shared" si="36"/>
        <v>2.4</v>
      </c>
    </row>
    <row r="86" spans="1:16">
      <c r="A86" s="1" t="s">
        <v>301</v>
      </c>
      <c r="B86" s="1">
        <v>8</v>
      </c>
      <c r="C86" s="1" t="s">
        <v>70</v>
      </c>
      <c r="D86" s="3">
        <f t="shared" si="25"/>
        <v>80</v>
      </c>
      <c r="E86" s="3">
        <f t="shared" si="26"/>
        <v>16</v>
      </c>
      <c r="F86" s="3">
        <f t="shared" si="27"/>
        <v>8</v>
      </c>
      <c r="G86" s="3">
        <f t="shared" si="28"/>
        <v>16</v>
      </c>
      <c r="H86" s="3">
        <f t="shared" si="29"/>
        <v>8</v>
      </c>
      <c r="I86" s="3">
        <f t="shared" si="30"/>
        <v>3</v>
      </c>
      <c r="K86" s="6">
        <f t="shared" si="31"/>
        <v>1</v>
      </c>
      <c r="L86" s="6">
        <f t="shared" si="32"/>
        <v>1.6</v>
      </c>
      <c r="M86" s="6">
        <f t="shared" si="33"/>
        <v>1.6</v>
      </c>
      <c r="N86" s="6">
        <f t="shared" si="34"/>
        <v>1.6</v>
      </c>
      <c r="O86" s="6">
        <f t="shared" si="35"/>
        <v>1.6</v>
      </c>
      <c r="P86" s="6">
        <f t="shared" si="36"/>
        <v>1.6</v>
      </c>
    </row>
    <row r="87" spans="1:16">
      <c r="A87" s="1" t="s">
        <v>303</v>
      </c>
      <c r="B87" s="1">
        <v>8</v>
      </c>
      <c r="C87" s="1" t="s">
        <v>74</v>
      </c>
      <c r="D87" s="3">
        <f t="shared" si="25"/>
        <v>120</v>
      </c>
      <c r="E87" s="3">
        <f t="shared" si="26"/>
        <v>24</v>
      </c>
      <c r="F87" s="3">
        <f t="shared" si="27"/>
        <v>12</v>
      </c>
      <c r="G87" s="3">
        <f t="shared" si="28"/>
        <v>24</v>
      </c>
      <c r="H87" s="3">
        <f t="shared" si="29"/>
        <v>12</v>
      </c>
      <c r="I87" s="3">
        <f t="shared" si="30"/>
        <v>4</v>
      </c>
      <c r="K87" s="6">
        <f t="shared" si="31"/>
        <v>1.5</v>
      </c>
      <c r="L87" s="6">
        <f t="shared" si="32"/>
        <v>2.4</v>
      </c>
      <c r="M87" s="6">
        <f t="shared" si="33"/>
        <v>2.4</v>
      </c>
      <c r="N87" s="6">
        <f t="shared" si="34"/>
        <v>2.4</v>
      </c>
      <c r="O87" s="6">
        <f t="shared" si="35"/>
        <v>2.4</v>
      </c>
      <c r="P87" s="6">
        <f t="shared" si="36"/>
        <v>2.4</v>
      </c>
    </row>
    <row r="88" spans="1:16">
      <c r="A88" s="1" t="s">
        <v>305</v>
      </c>
      <c r="B88" s="1">
        <v>7</v>
      </c>
      <c r="C88" s="1" t="s">
        <v>65</v>
      </c>
      <c r="D88" s="3">
        <f t="shared" si="25"/>
        <v>40</v>
      </c>
      <c r="E88" s="3">
        <f t="shared" si="26"/>
        <v>8</v>
      </c>
      <c r="F88" s="3">
        <f t="shared" si="27"/>
        <v>4</v>
      </c>
      <c r="G88" s="3">
        <f t="shared" si="28"/>
        <v>8</v>
      </c>
      <c r="H88" s="3">
        <f t="shared" si="29"/>
        <v>4</v>
      </c>
      <c r="I88" s="3">
        <f t="shared" si="30"/>
        <v>1</v>
      </c>
      <c r="K88" s="6">
        <f t="shared" si="31"/>
        <v>0.5</v>
      </c>
      <c r="L88" s="6">
        <f t="shared" si="32"/>
        <v>0.8</v>
      </c>
      <c r="M88" s="6">
        <f t="shared" si="33"/>
        <v>0.8</v>
      </c>
      <c r="N88" s="6">
        <f t="shared" si="34"/>
        <v>0.8</v>
      </c>
      <c r="O88" s="6">
        <f t="shared" si="35"/>
        <v>0.8</v>
      </c>
      <c r="P88" s="6">
        <f t="shared" si="36"/>
        <v>0.8</v>
      </c>
    </row>
    <row r="89" spans="1:16">
      <c r="A89" s="1" t="s">
        <v>309</v>
      </c>
      <c r="B89" s="1">
        <v>7</v>
      </c>
      <c r="C89" s="1" t="s">
        <v>70</v>
      </c>
      <c r="D89" s="3">
        <f t="shared" si="25"/>
        <v>80</v>
      </c>
      <c r="E89" s="3">
        <f t="shared" si="26"/>
        <v>16</v>
      </c>
      <c r="F89" s="3">
        <f t="shared" si="27"/>
        <v>8</v>
      </c>
      <c r="G89" s="3">
        <f t="shared" si="28"/>
        <v>16</v>
      </c>
      <c r="H89" s="3">
        <f t="shared" si="29"/>
        <v>8</v>
      </c>
      <c r="I89" s="3">
        <f t="shared" si="30"/>
        <v>3</v>
      </c>
      <c r="K89" s="6">
        <f t="shared" si="31"/>
        <v>1</v>
      </c>
      <c r="L89" s="6">
        <f t="shared" si="32"/>
        <v>1.6</v>
      </c>
      <c r="M89" s="6">
        <f t="shared" si="33"/>
        <v>1.6</v>
      </c>
      <c r="N89" s="6">
        <f t="shared" si="34"/>
        <v>1.6</v>
      </c>
      <c r="O89" s="6">
        <f t="shared" si="35"/>
        <v>1.6</v>
      </c>
      <c r="P89" s="6">
        <f t="shared" si="36"/>
        <v>1.6</v>
      </c>
    </row>
    <row r="90" spans="1:16">
      <c r="A90" s="1" t="s">
        <v>312</v>
      </c>
      <c r="B90" s="1">
        <v>7</v>
      </c>
      <c r="C90" s="1" t="s">
        <v>74</v>
      </c>
      <c r="D90" s="3">
        <f t="shared" si="25"/>
        <v>120</v>
      </c>
      <c r="E90" s="3">
        <f t="shared" si="26"/>
        <v>24</v>
      </c>
      <c r="F90" s="3">
        <f t="shared" si="27"/>
        <v>12</v>
      </c>
      <c r="G90" s="3">
        <f t="shared" si="28"/>
        <v>24</v>
      </c>
      <c r="H90" s="3">
        <f t="shared" si="29"/>
        <v>12</v>
      </c>
      <c r="I90" s="3">
        <f t="shared" si="30"/>
        <v>4</v>
      </c>
      <c r="K90" s="6">
        <f t="shared" si="31"/>
        <v>1.5</v>
      </c>
      <c r="L90" s="6">
        <f t="shared" si="32"/>
        <v>2.4</v>
      </c>
      <c r="M90" s="6">
        <f t="shared" si="33"/>
        <v>2.4</v>
      </c>
      <c r="N90" s="6">
        <f t="shared" si="34"/>
        <v>2.4</v>
      </c>
      <c r="O90" s="6">
        <f t="shared" si="35"/>
        <v>2.4</v>
      </c>
      <c r="P90" s="6">
        <f t="shared" si="36"/>
        <v>2.4</v>
      </c>
    </row>
    <row r="91" spans="1:16">
      <c r="A91" s="1" t="s">
        <v>314</v>
      </c>
      <c r="B91" s="1">
        <v>7</v>
      </c>
      <c r="C91" s="1" t="s">
        <v>70</v>
      </c>
      <c r="D91" s="3">
        <f t="shared" si="25"/>
        <v>80</v>
      </c>
      <c r="E91" s="3">
        <f t="shared" si="26"/>
        <v>16</v>
      </c>
      <c r="F91" s="3">
        <f t="shared" si="27"/>
        <v>8</v>
      </c>
      <c r="G91" s="3">
        <f t="shared" si="28"/>
        <v>16</v>
      </c>
      <c r="H91" s="3">
        <f t="shared" si="29"/>
        <v>8</v>
      </c>
      <c r="I91" s="3">
        <f t="shared" si="30"/>
        <v>3</v>
      </c>
      <c r="K91" s="6">
        <f t="shared" si="31"/>
        <v>1</v>
      </c>
      <c r="L91" s="6">
        <f t="shared" si="32"/>
        <v>1.6</v>
      </c>
      <c r="M91" s="6">
        <f t="shared" si="33"/>
        <v>1.6</v>
      </c>
      <c r="N91" s="6">
        <f t="shared" si="34"/>
        <v>1.6</v>
      </c>
      <c r="O91" s="6">
        <f t="shared" si="35"/>
        <v>1.6</v>
      </c>
      <c r="P91" s="6">
        <f t="shared" si="36"/>
        <v>1.6</v>
      </c>
    </row>
    <row r="92" spans="1:16">
      <c r="A92" s="1" t="s">
        <v>316</v>
      </c>
      <c r="B92" s="1">
        <v>7</v>
      </c>
      <c r="C92" s="1" t="s">
        <v>74</v>
      </c>
      <c r="D92" s="3">
        <f t="shared" si="25"/>
        <v>120</v>
      </c>
      <c r="E92" s="3">
        <f t="shared" si="26"/>
        <v>24</v>
      </c>
      <c r="F92" s="3">
        <f t="shared" si="27"/>
        <v>12</v>
      </c>
      <c r="G92" s="3">
        <f t="shared" si="28"/>
        <v>24</v>
      </c>
      <c r="H92" s="3">
        <f t="shared" si="29"/>
        <v>12</v>
      </c>
      <c r="I92" s="3">
        <f t="shared" si="30"/>
        <v>4</v>
      </c>
      <c r="K92" s="6">
        <f t="shared" si="31"/>
        <v>1.5</v>
      </c>
      <c r="L92" s="6">
        <f t="shared" si="32"/>
        <v>2.4</v>
      </c>
      <c r="M92" s="6">
        <f t="shared" si="33"/>
        <v>2.4</v>
      </c>
      <c r="N92" s="6">
        <f t="shared" si="34"/>
        <v>2.4</v>
      </c>
      <c r="O92" s="6">
        <f t="shared" si="35"/>
        <v>2.4</v>
      </c>
      <c r="P92" s="6">
        <f t="shared" si="36"/>
        <v>2.4</v>
      </c>
    </row>
    <row r="93" spans="1:16">
      <c r="A93" s="1" t="s">
        <v>292</v>
      </c>
      <c r="B93" s="1">
        <v>8</v>
      </c>
      <c r="C93" s="1" t="s">
        <v>65</v>
      </c>
      <c r="D93" s="3">
        <f t="shared" si="25"/>
        <v>40</v>
      </c>
      <c r="E93" s="3">
        <f t="shared" si="26"/>
        <v>8</v>
      </c>
      <c r="F93" s="3">
        <f t="shared" si="27"/>
        <v>4</v>
      </c>
      <c r="G93" s="3">
        <f t="shared" si="28"/>
        <v>8</v>
      </c>
      <c r="H93" s="3">
        <f t="shared" si="29"/>
        <v>4</v>
      </c>
      <c r="I93" s="3">
        <f t="shared" si="30"/>
        <v>1</v>
      </c>
      <c r="K93" s="6">
        <f t="shared" si="31"/>
        <v>0.5</v>
      </c>
      <c r="L93" s="6">
        <f t="shared" si="32"/>
        <v>0.8</v>
      </c>
      <c r="M93" s="6">
        <f t="shared" si="33"/>
        <v>0.8</v>
      </c>
      <c r="N93" s="6">
        <f t="shared" si="34"/>
        <v>0.8</v>
      </c>
      <c r="O93" s="6">
        <f t="shared" si="35"/>
        <v>0.8</v>
      </c>
      <c r="P93" s="6">
        <f t="shared" si="36"/>
        <v>0.8</v>
      </c>
    </row>
    <row r="94" spans="1:16">
      <c r="A94" s="1" t="s">
        <v>321</v>
      </c>
      <c r="B94" s="1">
        <v>8</v>
      </c>
      <c r="C94" s="1" t="s">
        <v>70</v>
      </c>
      <c r="D94" s="3">
        <f t="shared" si="25"/>
        <v>80</v>
      </c>
      <c r="E94" s="3">
        <f t="shared" si="26"/>
        <v>16</v>
      </c>
      <c r="F94" s="3">
        <f t="shared" si="27"/>
        <v>8</v>
      </c>
      <c r="G94" s="3">
        <f t="shared" si="28"/>
        <v>16</v>
      </c>
      <c r="H94" s="3">
        <f t="shared" si="29"/>
        <v>8</v>
      </c>
      <c r="I94" s="3">
        <f t="shared" si="30"/>
        <v>3</v>
      </c>
      <c r="K94" s="6">
        <f t="shared" si="31"/>
        <v>1</v>
      </c>
      <c r="L94" s="6">
        <f t="shared" si="32"/>
        <v>1.6</v>
      </c>
      <c r="M94" s="6">
        <f t="shared" si="33"/>
        <v>1.6</v>
      </c>
      <c r="N94" s="6">
        <f t="shared" si="34"/>
        <v>1.6</v>
      </c>
      <c r="O94" s="6">
        <f t="shared" si="35"/>
        <v>1.6</v>
      </c>
      <c r="P94" s="6">
        <f t="shared" si="36"/>
        <v>1.6</v>
      </c>
    </row>
    <row r="95" spans="1:16">
      <c r="A95" s="1" t="s">
        <v>323</v>
      </c>
      <c r="B95" s="1">
        <v>8</v>
      </c>
      <c r="C95" s="1" t="s">
        <v>74</v>
      </c>
      <c r="D95" s="3">
        <f t="shared" si="25"/>
        <v>120</v>
      </c>
      <c r="E95" s="3">
        <f t="shared" si="26"/>
        <v>24</v>
      </c>
      <c r="F95" s="3">
        <f t="shared" si="27"/>
        <v>12</v>
      </c>
      <c r="G95" s="3">
        <f t="shared" si="28"/>
        <v>24</v>
      </c>
      <c r="H95" s="3">
        <f t="shared" si="29"/>
        <v>12</v>
      </c>
      <c r="I95" s="3">
        <f t="shared" si="30"/>
        <v>4</v>
      </c>
      <c r="K95" s="6">
        <f t="shared" si="31"/>
        <v>1.5</v>
      </c>
      <c r="L95" s="6">
        <f t="shared" si="32"/>
        <v>2.4</v>
      </c>
      <c r="M95" s="6">
        <f t="shared" si="33"/>
        <v>2.4</v>
      </c>
      <c r="N95" s="6">
        <f t="shared" si="34"/>
        <v>2.4</v>
      </c>
      <c r="O95" s="6">
        <f t="shared" si="35"/>
        <v>2.4</v>
      </c>
      <c r="P95" s="6">
        <f t="shared" si="36"/>
        <v>2.4</v>
      </c>
    </row>
    <row r="96" spans="1:16">
      <c r="A96" s="1" t="s">
        <v>325</v>
      </c>
      <c r="B96" s="1">
        <v>8</v>
      </c>
      <c r="C96" s="1" t="s">
        <v>70</v>
      </c>
      <c r="D96" s="3">
        <f t="shared" si="25"/>
        <v>80</v>
      </c>
      <c r="E96" s="3">
        <f t="shared" si="26"/>
        <v>16</v>
      </c>
      <c r="F96" s="3">
        <f t="shared" si="27"/>
        <v>8</v>
      </c>
      <c r="G96" s="3">
        <f t="shared" si="28"/>
        <v>16</v>
      </c>
      <c r="H96" s="3">
        <f t="shared" si="29"/>
        <v>8</v>
      </c>
      <c r="I96" s="3">
        <f t="shared" si="30"/>
        <v>3</v>
      </c>
      <c r="K96" s="6">
        <f t="shared" si="31"/>
        <v>1</v>
      </c>
      <c r="L96" s="6">
        <f t="shared" si="32"/>
        <v>1.6</v>
      </c>
      <c r="M96" s="6">
        <f t="shared" si="33"/>
        <v>1.6</v>
      </c>
      <c r="N96" s="6">
        <f t="shared" si="34"/>
        <v>1.6</v>
      </c>
      <c r="O96" s="6">
        <f t="shared" si="35"/>
        <v>1.6</v>
      </c>
      <c r="P96" s="6">
        <f t="shared" si="36"/>
        <v>1.6</v>
      </c>
    </row>
    <row r="97" spans="1:16">
      <c r="A97" s="1" t="s">
        <v>327</v>
      </c>
      <c r="B97" s="1">
        <v>8</v>
      </c>
      <c r="C97" s="1" t="s">
        <v>74</v>
      </c>
      <c r="D97" s="3">
        <f t="shared" si="25"/>
        <v>120</v>
      </c>
      <c r="E97" s="3">
        <f t="shared" si="26"/>
        <v>24</v>
      </c>
      <c r="F97" s="3">
        <f t="shared" si="27"/>
        <v>12</v>
      </c>
      <c r="G97" s="3">
        <f t="shared" si="28"/>
        <v>24</v>
      </c>
      <c r="H97" s="3">
        <f t="shared" si="29"/>
        <v>12</v>
      </c>
      <c r="I97" s="3">
        <f t="shared" si="30"/>
        <v>4</v>
      </c>
      <c r="K97" s="6">
        <f t="shared" si="31"/>
        <v>1.5</v>
      </c>
      <c r="L97" s="6">
        <f t="shared" si="32"/>
        <v>2.4</v>
      </c>
      <c r="M97" s="6">
        <f t="shared" si="33"/>
        <v>2.4</v>
      </c>
      <c r="N97" s="6">
        <f t="shared" si="34"/>
        <v>2.4</v>
      </c>
      <c r="O97" s="6">
        <f t="shared" si="35"/>
        <v>2.4</v>
      </c>
      <c r="P97" s="6">
        <f t="shared" si="36"/>
        <v>2.4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selection activeCell="N55" sqref="N1:N55"/>
    </sheetView>
  </sheetViews>
  <sheetFormatPr defaultColWidth="9" defaultRowHeight="13.5"/>
  <cols>
    <col min="12" max="12" width="16.5" customWidth="1"/>
  </cols>
  <sheetData>
    <row r="1" ht="16.5" spans="1:14">
      <c r="A1" s="1">
        <v>310011</v>
      </c>
      <c r="B1" s="1">
        <v>130001</v>
      </c>
      <c r="C1" s="2">
        <v>31001</v>
      </c>
      <c r="D1" s="1" t="s">
        <v>63</v>
      </c>
      <c r="E1" s="1">
        <v>1</v>
      </c>
      <c r="F1" s="1" t="s">
        <v>198</v>
      </c>
      <c r="G1" s="1" t="s">
        <v>198</v>
      </c>
      <c r="H1" s="3">
        <v>1</v>
      </c>
      <c r="I1" s="4" t="s">
        <v>65</v>
      </c>
      <c r="J1" s="1" t="s">
        <v>65</v>
      </c>
      <c r="K1" s="1">
        <v>0</v>
      </c>
      <c r="L1" s="1" t="s">
        <v>199</v>
      </c>
      <c r="N1" t="s">
        <v>199</v>
      </c>
    </row>
    <row r="2" ht="16.5" spans="1:14">
      <c r="A2" s="1">
        <v>310012</v>
      </c>
      <c r="B2" s="1">
        <v>231001</v>
      </c>
      <c r="C2" s="2">
        <v>31001</v>
      </c>
      <c r="D2" s="1" t="s">
        <v>201</v>
      </c>
      <c r="E2" s="1">
        <v>1</v>
      </c>
      <c r="F2" s="1" t="s">
        <v>202</v>
      </c>
      <c r="G2" s="1" t="s">
        <v>202</v>
      </c>
      <c r="H2" s="3">
        <v>1</v>
      </c>
      <c r="I2" s="4" t="s">
        <v>65</v>
      </c>
      <c r="J2" s="1" t="s">
        <v>70</v>
      </c>
      <c r="K2" s="1">
        <v>0</v>
      </c>
      <c r="L2" s="1">
        <v>331001</v>
      </c>
      <c r="N2">
        <v>331001</v>
      </c>
    </row>
    <row r="3" ht="16.5" spans="1:14">
      <c r="A3" s="1">
        <v>310013</v>
      </c>
      <c r="B3" s="1">
        <v>331001</v>
      </c>
      <c r="C3" s="2">
        <v>31001</v>
      </c>
      <c r="D3" s="1" t="s">
        <v>204</v>
      </c>
      <c r="E3" s="1">
        <v>1</v>
      </c>
      <c r="F3" s="1" t="s">
        <v>205</v>
      </c>
      <c r="G3" s="1" t="s">
        <v>205</v>
      </c>
      <c r="H3" s="3">
        <v>1</v>
      </c>
      <c r="I3" s="4" t="s">
        <v>65</v>
      </c>
      <c r="J3" s="1" t="s">
        <v>74</v>
      </c>
      <c r="K3" s="1">
        <v>0</v>
      </c>
      <c r="L3" s="1">
        <v>0</v>
      </c>
      <c r="N3">
        <v>0</v>
      </c>
    </row>
    <row r="4" ht="16.5" spans="1:14">
      <c r="A4" s="1">
        <v>310014</v>
      </c>
      <c r="B4" s="1">
        <v>232001</v>
      </c>
      <c r="C4" s="2">
        <v>31001</v>
      </c>
      <c r="D4" s="1" t="s">
        <v>81</v>
      </c>
      <c r="E4" s="1">
        <v>1</v>
      </c>
      <c r="F4" s="1" t="s">
        <v>206</v>
      </c>
      <c r="G4" s="1" t="s">
        <v>206</v>
      </c>
      <c r="H4" s="3">
        <v>1</v>
      </c>
      <c r="I4" s="4" t="s">
        <v>70</v>
      </c>
      <c r="J4" s="1" t="s">
        <v>70</v>
      </c>
      <c r="K4" s="1">
        <v>0</v>
      </c>
      <c r="L4" s="1">
        <v>332001</v>
      </c>
      <c r="N4">
        <v>332001</v>
      </c>
    </row>
    <row r="5" ht="16.5" spans="1:14">
      <c r="A5" s="1">
        <v>310015</v>
      </c>
      <c r="B5" s="1">
        <v>332001</v>
      </c>
      <c r="C5" s="2">
        <v>31001</v>
      </c>
      <c r="D5" s="1" t="s">
        <v>207</v>
      </c>
      <c r="E5" s="1">
        <v>1</v>
      </c>
      <c r="F5" s="1" t="s">
        <v>208</v>
      </c>
      <c r="G5" s="1" t="s">
        <v>208</v>
      </c>
      <c r="H5" s="3">
        <v>1</v>
      </c>
      <c r="I5" s="4" t="s">
        <v>70</v>
      </c>
      <c r="J5" s="1" t="s">
        <v>74</v>
      </c>
      <c r="K5" s="1">
        <v>0</v>
      </c>
      <c r="L5" s="1">
        <v>0</v>
      </c>
      <c r="N5">
        <v>0</v>
      </c>
    </row>
    <row r="6" ht="16.5" spans="1:14">
      <c r="A6" s="1">
        <v>310021</v>
      </c>
      <c r="B6" s="1">
        <v>130002</v>
      </c>
      <c r="C6" s="2">
        <v>31002</v>
      </c>
      <c r="D6" s="1" t="s">
        <v>77</v>
      </c>
      <c r="E6" s="1">
        <v>1</v>
      </c>
      <c r="F6" s="1" t="s">
        <v>209</v>
      </c>
      <c r="G6" s="1" t="s">
        <v>209</v>
      </c>
      <c r="H6" s="3">
        <v>1</v>
      </c>
      <c r="I6" s="4" t="s">
        <v>70</v>
      </c>
      <c r="J6" s="1" t="s">
        <v>65</v>
      </c>
      <c r="K6" s="1">
        <v>0</v>
      </c>
      <c r="L6" s="1" t="s">
        <v>210</v>
      </c>
      <c r="N6" t="s">
        <v>210</v>
      </c>
    </row>
    <row r="7" ht="16.5" spans="1:14">
      <c r="A7" s="1">
        <v>310022</v>
      </c>
      <c r="B7" s="1">
        <v>231002</v>
      </c>
      <c r="C7" s="2">
        <v>31002</v>
      </c>
      <c r="D7" s="1" t="s">
        <v>81</v>
      </c>
      <c r="E7" s="1">
        <v>1</v>
      </c>
      <c r="F7" s="1" t="s">
        <v>212</v>
      </c>
      <c r="G7" s="1" t="s">
        <v>212</v>
      </c>
      <c r="H7" s="3">
        <v>1</v>
      </c>
      <c r="I7" s="4" t="s">
        <v>70</v>
      </c>
      <c r="J7" s="1" t="s">
        <v>70</v>
      </c>
      <c r="K7" s="1">
        <v>0</v>
      </c>
      <c r="L7" s="1">
        <v>331002</v>
      </c>
      <c r="N7">
        <v>331002</v>
      </c>
    </row>
    <row r="8" ht="16.5" spans="1:14">
      <c r="A8" s="1">
        <v>310023</v>
      </c>
      <c r="B8" s="1">
        <v>331002</v>
      </c>
      <c r="C8" s="2">
        <v>31002</v>
      </c>
      <c r="D8" s="1" t="s">
        <v>213</v>
      </c>
      <c r="E8" s="1">
        <v>1</v>
      </c>
      <c r="F8" s="1" t="s">
        <v>214</v>
      </c>
      <c r="G8" s="1" t="s">
        <v>214</v>
      </c>
      <c r="H8" s="3">
        <v>1</v>
      </c>
      <c r="I8" s="4" t="s">
        <v>70</v>
      </c>
      <c r="J8" s="1" t="s">
        <v>74</v>
      </c>
      <c r="K8" s="1">
        <v>0</v>
      </c>
      <c r="L8" s="1">
        <v>0</v>
      </c>
      <c r="N8">
        <v>0</v>
      </c>
    </row>
    <row r="9" ht="16.5" spans="1:14">
      <c r="A9" s="1">
        <v>310024</v>
      </c>
      <c r="B9" s="1">
        <v>232002</v>
      </c>
      <c r="C9" s="2">
        <v>31002</v>
      </c>
      <c r="D9" s="1" t="s">
        <v>215</v>
      </c>
      <c r="E9" s="1">
        <v>1</v>
      </c>
      <c r="F9" s="1" t="s">
        <v>216</v>
      </c>
      <c r="G9" s="1" t="s">
        <v>216</v>
      </c>
      <c r="H9" s="3">
        <v>1</v>
      </c>
      <c r="I9" s="4" t="s">
        <v>70</v>
      </c>
      <c r="J9" s="1" t="s">
        <v>70</v>
      </c>
      <c r="K9" s="1">
        <v>0</v>
      </c>
      <c r="L9" s="1">
        <v>332002</v>
      </c>
      <c r="N9">
        <v>332002</v>
      </c>
    </row>
    <row r="10" ht="16.5" spans="1:14">
      <c r="A10" s="1">
        <v>310025</v>
      </c>
      <c r="B10" s="1">
        <v>332002</v>
      </c>
      <c r="C10" s="2">
        <v>31002</v>
      </c>
      <c r="D10" s="1" t="s">
        <v>217</v>
      </c>
      <c r="E10" s="1">
        <v>1</v>
      </c>
      <c r="F10" s="1" t="s">
        <v>218</v>
      </c>
      <c r="G10" s="1" t="s">
        <v>218</v>
      </c>
      <c r="H10" s="3">
        <v>1</v>
      </c>
      <c r="I10" s="4" t="s">
        <v>70</v>
      </c>
      <c r="J10" s="1" t="s">
        <v>74</v>
      </c>
      <c r="K10" s="1">
        <v>0</v>
      </c>
      <c r="L10" s="1">
        <v>0</v>
      </c>
      <c r="N10">
        <v>0</v>
      </c>
    </row>
    <row r="11" ht="16.5" spans="1:14">
      <c r="A11" s="1">
        <v>320011</v>
      </c>
      <c r="B11" s="1">
        <v>130003</v>
      </c>
      <c r="C11" s="2">
        <v>32001</v>
      </c>
      <c r="D11" s="1" t="s">
        <v>88</v>
      </c>
      <c r="E11" s="1">
        <v>2</v>
      </c>
      <c r="F11" s="1" t="s">
        <v>219</v>
      </c>
      <c r="G11" s="1" t="s">
        <v>219</v>
      </c>
      <c r="H11" s="3">
        <v>1</v>
      </c>
      <c r="I11" s="4" t="s">
        <v>74</v>
      </c>
      <c r="J11" s="1" t="s">
        <v>65</v>
      </c>
      <c r="K11" s="1">
        <v>0</v>
      </c>
      <c r="L11" s="1" t="s">
        <v>220</v>
      </c>
      <c r="N11" t="s">
        <v>220</v>
      </c>
    </row>
    <row r="12" ht="16.5" spans="1:14">
      <c r="A12" s="1">
        <v>320012</v>
      </c>
      <c r="B12" s="1">
        <v>231003</v>
      </c>
      <c r="C12" s="2">
        <v>32001</v>
      </c>
      <c r="D12" s="1" t="s">
        <v>92</v>
      </c>
      <c r="E12" s="1">
        <v>2</v>
      </c>
      <c r="F12" s="1" t="s">
        <v>222</v>
      </c>
      <c r="G12" s="1" t="s">
        <v>222</v>
      </c>
      <c r="H12" s="3">
        <v>1</v>
      </c>
      <c r="I12" s="4" t="s">
        <v>74</v>
      </c>
      <c r="J12" s="1" t="s">
        <v>70</v>
      </c>
      <c r="K12" s="1">
        <v>0</v>
      </c>
      <c r="L12" s="1">
        <v>331003</v>
      </c>
      <c r="N12">
        <v>331003</v>
      </c>
    </row>
    <row r="13" ht="16.5" spans="1:14">
      <c r="A13" s="1">
        <v>320013</v>
      </c>
      <c r="B13" s="1">
        <v>331003</v>
      </c>
      <c r="C13" s="2">
        <v>32001</v>
      </c>
      <c r="D13" s="1" t="s">
        <v>223</v>
      </c>
      <c r="E13" s="1">
        <v>2</v>
      </c>
      <c r="F13" s="1" t="s">
        <v>224</v>
      </c>
      <c r="G13" s="1" t="s">
        <v>224</v>
      </c>
      <c r="H13" s="3">
        <v>1</v>
      </c>
      <c r="I13" s="4" t="s">
        <v>74</v>
      </c>
      <c r="J13" s="1" t="s">
        <v>74</v>
      </c>
      <c r="K13" s="1">
        <v>0</v>
      </c>
      <c r="L13" s="1">
        <v>0</v>
      </c>
      <c r="N13">
        <v>0</v>
      </c>
    </row>
    <row r="14" ht="16.5" spans="1:14">
      <c r="A14" s="1">
        <v>320014</v>
      </c>
      <c r="B14" s="1">
        <v>232003</v>
      </c>
      <c r="C14" s="2">
        <v>32001</v>
      </c>
      <c r="D14" s="1" t="s">
        <v>225</v>
      </c>
      <c r="E14" s="1">
        <v>2</v>
      </c>
      <c r="F14" s="1" t="s">
        <v>226</v>
      </c>
      <c r="G14" s="1" t="s">
        <v>226</v>
      </c>
      <c r="H14" s="3">
        <v>1</v>
      </c>
      <c r="I14" s="4" t="s">
        <v>74</v>
      </c>
      <c r="J14" s="1" t="s">
        <v>70</v>
      </c>
      <c r="K14" s="1">
        <v>0</v>
      </c>
      <c r="L14" s="1">
        <v>332003</v>
      </c>
      <c r="N14">
        <v>332003</v>
      </c>
    </row>
    <row r="15" ht="16.5" spans="1:14">
      <c r="A15" s="1">
        <v>320015</v>
      </c>
      <c r="B15" s="1">
        <v>332003</v>
      </c>
      <c r="C15" s="2">
        <v>32001</v>
      </c>
      <c r="D15" s="1" t="s">
        <v>227</v>
      </c>
      <c r="E15" s="1">
        <v>2</v>
      </c>
      <c r="F15" s="1" t="s">
        <v>228</v>
      </c>
      <c r="G15" s="1" t="s">
        <v>228</v>
      </c>
      <c r="H15" s="3">
        <v>1</v>
      </c>
      <c r="I15" s="4" t="s">
        <v>74</v>
      </c>
      <c r="J15" s="1" t="s">
        <v>74</v>
      </c>
      <c r="K15" s="1">
        <v>0</v>
      </c>
      <c r="L15" s="1">
        <v>0</v>
      </c>
      <c r="N15">
        <v>0</v>
      </c>
    </row>
    <row r="16" ht="16.5" spans="1:14">
      <c r="A16" s="1">
        <v>330011</v>
      </c>
      <c r="B16" s="1">
        <v>130004</v>
      </c>
      <c r="C16" s="2">
        <v>33001</v>
      </c>
      <c r="D16" s="1" t="s">
        <v>229</v>
      </c>
      <c r="E16" s="1">
        <v>1</v>
      </c>
      <c r="F16" s="1" t="s">
        <v>230</v>
      </c>
      <c r="G16" s="1" t="s">
        <v>230</v>
      </c>
      <c r="H16" s="3">
        <v>1</v>
      </c>
      <c r="I16" s="4" t="s">
        <v>65</v>
      </c>
      <c r="J16" s="1" t="s">
        <v>65</v>
      </c>
      <c r="K16" s="1">
        <v>0</v>
      </c>
      <c r="L16" s="1" t="s">
        <v>231</v>
      </c>
      <c r="N16" t="s">
        <v>231</v>
      </c>
    </row>
    <row r="17" ht="16.5" spans="1:14">
      <c r="A17" s="1">
        <v>330012</v>
      </c>
      <c r="B17" s="1">
        <v>231004</v>
      </c>
      <c r="C17" s="2">
        <v>33001</v>
      </c>
      <c r="D17" s="1" t="s">
        <v>233</v>
      </c>
      <c r="E17" s="1">
        <v>1</v>
      </c>
      <c r="F17" s="1" t="s">
        <v>234</v>
      </c>
      <c r="G17" s="1" t="s">
        <v>234</v>
      </c>
      <c r="H17" s="3">
        <v>1</v>
      </c>
      <c r="I17" s="4" t="s">
        <v>65</v>
      </c>
      <c r="J17" s="1" t="s">
        <v>70</v>
      </c>
      <c r="K17" s="1">
        <v>0</v>
      </c>
      <c r="L17" s="1">
        <v>331004</v>
      </c>
      <c r="N17">
        <v>331004</v>
      </c>
    </row>
    <row r="18" ht="16.5" spans="1:14">
      <c r="A18" s="1">
        <v>330013</v>
      </c>
      <c r="B18" s="1">
        <v>331004</v>
      </c>
      <c r="C18" s="2">
        <v>33001</v>
      </c>
      <c r="D18" s="1" t="s">
        <v>235</v>
      </c>
      <c r="E18" s="1">
        <v>1</v>
      </c>
      <c r="F18" s="1" t="s">
        <v>236</v>
      </c>
      <c r="G18" s="1" t="s">
        <v>236</v>
      </c>
      <c r="H18" s="3">
        <v>1</v>
      </c>
      <c r="I18" s="4" t="s">
        <v>65</v>
      </c>
      <c r="J18" s="1" t="s">
        <v>74</v>
      </c>
      <c r="K18" s="1">
        <v>0</v>
      </c>
      <c r="L18" s="1">
        <v>0</v>
      </c>
      <c r="N18">
        <v>0</v>
      </c>
    </row>
    <row r="19" ht="16.5" spans="1:14">
      <c r="A19" s="1">
        <v>330014</v>
      </c>
      <c r="B19" s="1">
        <v>232004</v>
      </c>
      <c r="C19" s="2">
        <v>33001</v>
      </c>
      <c r="D19" s="1" t="s">
        <v>237</v>
      </c>
      <c r="E19" s="1">
        <v>1</v>
      </c>
      <c r="F19" s="1" t="s">
        <v>238</v>
      </c>
      <c r="G19" s="1" t="s">
        <v>238</v>
      </c>
      <c r="H19" s="3">
        <v>1</v>
      </c>
      <c r="I19" s="4" t="s">
        <v>70</v>
      </c>
      <c r="J19" s="1" t="s">
        <v>70</v>
      </c>
      <c r="K19" s="1">
        <v>0</v>
      </c>
      <c r="L19" s="1">
        <v>332004</v>
      </c>
      <c r="N19">
        <v>332004</v>
      </c>
    </row>
    <row r="20" ht="16.5" spans="1:14">
      <c r="A20" s="1">
        <v>330015</v>
      </c>
      <c r="B20" s="1">
        <v>332004</v>
      </c>
      <c r="C20" s="2">
        <v>33001</v>
      </c>
      <c r="D20" s="1" t="s">
        <v>239</v>
      </c>
      <c r="E20" s="1">
        <v>1</v>
      </c>
      <c r="F20" s="1" t="s">
        <v>240</v>
      </c>
      <c r="G20" s="1" t="s">
        <v>240</v>
      </c>
      <c r="H20" s="3">
        <v>1</v>
      </c>
      <c r="I20" s="4" t="s">
        <v>70</v>
      </c>
      <c r="J20" s="1" t="s">
        <v>74</v>
      </c>
      <c r="K20" s="1">
        <v>0</v>
      </c>
      <c r="L20" s="1">
        <v>0</v>
      </c>
      <c r="N20">
        <v>0</v>
      </c>
    </row>
    <row r="21" ht="16.5" spans="1:14">
      <c r="A21" s="1">
        <v>340011</v>
      </c>
      <c r="B21" s="1">
        <v>130005</v>
      </c>
      <c r="C21" s="2">
        <v>34001</v>
      </c>
      <c r="D21" s="1" t="s">
        <v>99</v>
      </c>
      <c r="E21" s="1">
        <v>1</v>
      </c>
      <c r="F21" s="1" t="s">
        <v>241</v>
      </c>
      <c r="G21" s="1" t="s">
        <v>241</v>
      </c>
      <c r="H21" s="3">
        <v>2</v>
      </c>
      <c r="I21" s="4" t="s">
        <v>101</v>
      </c>
      <c r="J21" s="1" t="s">
        <v>65</v>
      </c>
      <c r="K21" s="1">
        <v>0</v>
      </c>
      <c r="L21" s="1" t="s">
        <v>242</v>
      </c>
      <c r="N21" t="s">
        <v>242</v>
      </c>
    </row>
    <row r="22" ht="16.5" spans="1:14">
      <c r="A22" s="1">
        <v>340012</v>
      </c>
      <c r="B22" s="1">
        <v>231005</v>
      </c>
      <c r="C22" s="2">
        <v>34001</v>
      </c>
      <c r="D22" s="1" t="s">
        <v>244</v>
      </c>
      <c r="E22" s="1">
        <v>1</v>
      </c>
      <c r="F22" s="1" t="s">
        <v>245</v>
      </c>
      <c r="G22" s="1" t="s">
        <v>245</v>
      </c>
      <c r="H22" s="3">
        <v>2</v>
      </c>
      <c r="I22" s="4" t="s">
        <v>101</v>
      </c>
      <c r="J22" s="1" t="s">
        <v>70</v>
      </c>
      <c r="K22" s="1">
        <v>0</v>
      </c>
      <c r="L22" s="1">
        <v>331005</v>
      </c>
      <c r="N22">
        <v>331005</v>
      </c>
    </row>
    <row r="23" ht="16.5" spans="1:14">
      <c r="A23" s="1">
        <v>340013</v>
      </c>
      <c r="B23" s="1">
        <v>331005</v>
      </c>
      <c r="C23" s="2">
        <v>34001</v>
      </c>
      <c r="D23" s="1" t="s">
        <v>247</v>
      </c>
      <c r="E23" s="1">
        <v>1</v>
      </c>
      <c r="F23" s="1" t="s">
        <v>248</v>
      </c>
      <c r="G23" s="1" t="s">
        <v>248</v>
      </c>
      <c r="H23" s="3">
        <v>2</v>
      </c>
      <c r="I23" s="4" t="s">
        <v>101</v>
      </c>
      <c r="J23" s="1" t="s">
        <v>74</v>
      </c>
      <c r="K23" s="1">
        <v>0</v>
      </c>
      <c r="L23" s="1">
        <v>0</v>
      </c>
      <c r="N23">
        <v>0</v>
      </c>
    </row>
    <row r="24" ht="16.5" spans="1:14">
      <c r="A24" s="1">
        <v>340014</v>
      </c>
      <c r="B24" s="1">
        <v>232005</v>
      </c>
      <c r="C24" s="2">
        <v>34001</v>
      </c>
      <c r="D24" s="1" t="s">
        <v>249</v>
      </c>
      <c r="E24" s="1">
        <v>1</v>
      </c>
      <c r="F24" s="1" t="s">
        <v>250</v>
      </c>
      <c r="G24" s="1" t="s">
        <v>250</v>
      </c>
      <c r="H24" s="3">
        <v>2</v>
      </c>
      <c r="I24" s="4" t="s">
        <v>101</v>
      </c>
      <c r="J24" s="1" t="s">
        <v>70</v>
      </c>
      <c r="K24" s="1">
        <v>0</v>
      </c>
      <c r="L24" s="1">
        <v>332005</v>
      </c>
      <c r="N24">
        <v>332005</v>
      </c>
    </row>
    <row r="25" ht="16.5" spans="1:14">
      <c r="A25" s="1">
        <v>340015</v>
      </c>
      <c r="B25" s="1">
        <v>332005</v>
      </c>
      <c r="C25" s="2">
        <v>34001</v>
      </c>
      <c r="D25" s="1" t="s">
        <v>251</v>
      </c>
      <c r="E25" s="1">
        <v>1</v>
      </c>
      <c r="F25" s="1" t="s">
        <v>252</v>
      </c>
      <c r="G25" s="1" t="s">
        <v>252</v>
      </c>
      <c r="H25" s="3">
        <v>2</v>
      </c>
      <c r="I25" s="4" t="s">
        <v>101</v>
      </c>
      <c r="J25" s="1" t="s">
        <v>74</v>
      </c>
      <c r="K25" s="1">
        <v>0</v>
      </c>
      <c r="L25" s="1">
        <v>0</v>
      </c>
      <c r="N25">
        <v>0</v>
      </c>
    </row>
    <row r="26" ht="16.5" spans="1:14">
      <c r="A26" s="1">
        <v>350011</v>
      </c>
      <c r="B26" s="1">
        <v>130006</v>
      </c>
      <c r="C26" s="2">
        <v>35001</v>
      </c>
      <c r="D26" s="1" t="s">
        <v>253</v>
      </c>
      <c r="E26" s="1">
        <v>2</v>
      </c>
      <c r="F26" s="1" t="s">
        <v>254</v>
      </c>
      <c r="G26" s="1" t="s">
        <v>254</v>
      </c>
      <c r="H26" s="3">
        <v>2</v>
      </c>
      <c r="I26" s="4" t="s">
        <v>113</v>
      </c>
      <c r="J26" s="1" t="s">
        <v>65</v>
      </c>
      <c r="K26" s="1">
        <v>0</v>
      </c>
      <c r="L26" s="1" t="s">
        <v>255</v>
      </c>
      <c r="N26" t="s">
        <v>255</v>
      </c>
    </row>
    <row r="27" ht="16.5" spans="1:14">
      <c r="A27" s="1">
        <v>350012</v>
      </c>
      <c r="B27" s="1">
        <v>231006</v>
      </c>
      <c r="C27" s="2">
        <v>35001</v>
      </c>
      <c r="D27" s="1" t="s">
        <v>258</v>
      </c>
      <c r="E27" s="1">
        <v>2</v>
      </c>
      <c r="F27" s="1" t="s">
        <v>259</v>
      </c>
      <c r="G27" s="1" t="s">
        <v>259</v>
      </c>
      <c r="H27" s="3">
        <v>2</v>
      </c>
      <c r="I27" s="4" t="s">
        <v>113</v>
      </c>
      <c r="J27" s="1" t="s">
        <v>70</v>
      </c>
      <c r="K27" s="1">
        <v>0</v>
      </c>
      <c r="L27" s="1">
        <v>331006</v>
      </c>
      <c r="N27">
        <v>331006</v>
      </c>
    </row>
    <row r="28" ht="16.5" spans="1:14">
      <c r="A28" s="1">
        <v>350013</v>
      </c>
      <c r="B28" s="1">
        <v>331006</v>
      </c>
      <c r="C28" s="2">
        <v>35001</v>
      </c>
      <c r="D28" s="1" t="s">
        <v>261</v>
      </c>
      <c r="E28" s="1">
        <v>2</v>
      </c>
      <c r="F28" s="1" t="s">
        <v>262</v>
      </c>
      <c r="G28" s="1" t="s">
        <v>262</v>
      </c>
      <c r="H28" s="3">
        <v>2</v>
      </c>
      <c r="I28" s="4" t="s">
        <v>113</v>
      </c>
      <c r="J28" s="1" t="s">
        <v>74</v>
      </c>
      <c r="K28" s="1">
        <v>0</v>
      </c>
      <c r="L28" s="1">
        <v>0</v>
      </c>
      <c r="N28">
        <v>0</v>
      </c>
    </row>
    <row r="29" ht="16.5" spans="1:14">
      <c r="A29" s="1">
        <v>350014</v>
      </c>
      <c r="B29" s="1">
        <v>232006</v>
      </c>
      <c r="C29" s="2">
        <v>35001</v>
      </c>
      <c r="D29" s="1" t="s">
        <v>263</v>
      </c>
      <c r="E29" s="1">
        <v>2</v>
      </c>
      <c r="F29" s="1" t="s">
        <v>264</v>
      </c>
      <c r="G29" s="1" t="s">
        <v>264</v>
      </c>
      <c r="H29" s="3">
        <v>2</v>
      </c>
      <c r="I29" s="4" t="s">
        <v>113</v>
      </c>
      <c r="J29" s="1" t="s">
        <v>70</v>
      </c>
      <c r="K29" s="1">
        <v>0</v>
      </c>
      <c r="L29" s="1">
        <v>332006</v>
      </c>
      <c r="N29">
        <v>332006</v>
      </c>
    </row>
    <row r="30" ht="16.5" spans="1:14">
      <c r="A30" s="1">
        <v>350015</v>
      </c>
      <c r="B30" s="1">
        <v>332006</v>
      </c>
      <c r="C30" s="2">
        <v>35001</v>
      </c>
      <c r="D30" s="1" t="s">
        <v>265</v>
      </c>
      <c r="E30" s="1">
        <v>2</v>
      </c>
      <c r="F30" s="1" t="s">
        <v>266</v>
      </c>
      <c r="G30" s="1" t="s">
        <v>266</v>
      </c>
      <c r="H30" s="3">
        <v>2</v>
      </c>
      <c r="I30" s="4" t="s">
        <v>113</v>
      </c>
      <c r="J30" s="1" t="s">
        <v>74</v>
      </c>
      <c r="K30" s="1">
        <v>0</v>
      </c>
      <c r="L30" s="1">
        <v>0</v>
      </c>
      <c r="N30">
        <v>0</v>
      </c>
    </row>
    <row r="31" ht="16.5" spans="1:14">
      <c r="A31" s="1">
        <v>360011</v>
      </c>
      <c r="B31" s="1">
        <v>130007</v>
      </c>
      <c r="C31" s="2">
        <v>36001</v>
      </c>
      <c r="D31" s="1" t="s">
        <v>175</v>
      </c>
      <c r="E31" s="1">
        <v>2</v>
      </c>
      <c r="F31" s="1" t="s">
        <v>267</v>
      </c>
      <c r="G31" s="1" t="s">
        <v>267</v>
      </c>
      <c r="H31" s="3">
        <v>2</v>
      </c>
      <c r="I31" s="4" t="s">
        <v>125</v>
      </c>
      <c r="J31" s="1" t="s">
        <v>65</v>
      </c>
      <c r="K31" s="1">
        <v>0</v>
      </c>
      <c r="L31" s="1" t="s">
        <v>268</v>
      </c>
      <c r="N31" t="s">
        <v>268</v>
      </c>
    </row>
    <row r="32" ht="16.5" spans="1:14">
      <c r="A32" s="1">
        <v>360012</v>
      </c>
      <c r="B32" s="1">
        <v>231007</v>
      </c>
      <c r="C32" s="2">
        <v>36001</v>
      </c>
      <c r="D32" s="1" t="s">
        <v>270</v>
      </c>
      <c r="E32" s="1">
        <v>2</v>
      </c>
      <c r="F32" s="1" t="s">
        <v>271</v>
      </c>
      <c r="G32" s="1" t="s">
        <v>271</v>
      </c>
      <c r="H32" s="3">
        <v>2</v>
      </c>
      <c r="I32" s="4" t="s">
        <v>125</v>
      </c>
      <c r="J32" s="1" t="s">
        <v>70</v>
      </c>
      <c r="K32" s="1">
        <v>0</v>
      </c>
      <c r="L32" s="1">
        <v>331007</v>
      </c>
      <c r="N32">
        <v>331007</v>
      </c>
    </row>
    <row r="33" ht="16.5" spans="1:14">
      <c r="A33" s="1">
        <v>360013</v>
      </c>
      <c r="B33" s="1">
        <v>331007</v>
      </c>
      <c r="C33" s="2">
        <v>36001</v>
      </c>
      <c r="D33" s="1" t="s">
        <v>272</v>
      </c>
      <c r="E33" s="1">
        <v>2</v>
      </c>
      <c r="F33" s="1" t="s">
        <v>273</v>
      </c>
      <c r="G33" s="1" t="s">
        <v>273</v>
      </c>
      <c r="H33" s="3">
        <v>2</v>
      </c>
      <c r="I33" s="4" t="s">
        <v>125</v>
      </c>
      <c r="J33" s="1" t="s">
        <v>74</v>
      </c>
      <c r="K33" s="1">
        <v>0</v>
      </c>
      <c r="L33" s="1">
        <v>0</v>
      </c>
      <c r="N33">
        <v>0</v>
      </c>
    </row>
    <row r="34" ht="16.5" spans="1:14">
      <c r="A34" s="1">
        <v>360014</v>
      </c>
      <c r="B34" s="1">
        <v>232007</v>
      </c>
      <c r="C34" s="2">
        <v>36001</v>
      </c>
      <c r="D34" s="1" t="s">
        <v>116</v>
      </c>
      <c r="E34" s="1">
        <v>2</v>
      </c>
      <c r="F34" s="1" t="s">
        <v>274</v>
      </c>
      <c r="G34" s="1" t="s">
        <v>274</v>
      </c>
      <c r="H34" s="3">
        <v>2</v>
      </c>
      <c r="I34" s="4" t="s">
        <v>113</v>
      </c>
      <c r="J34" s="1" t="s">
        <v>70</v>
      </c>
      <c r="K34" s="1">
        <v>0</v>
      </c>
      <c r="L34" s="1">
        <v>332007</v>
      </c>
      <c r="N34">
        <v>332007</v>
      </c>
    </row>
    <row r="35" ht="16.5" spans="1:14">
      <c r="A35" s="1">
        <v>360015</v>
      </c>
      <c r="B35" s="1">
        <v>332007</v>
      </c>
      <c r="C35" s="2">
        <v>36001</v>
      </c>
      <c r="D35" s="1" t="s">
        <v>275</v>
      </c>
      <c r="E35" s="1">
        <v>2</v>
      </c>
      <c r="F35" s="1" t="s">
        <v>276</v>
      </c>
      <c r="G35" s="1" t="s">
        <v>276</v>
      </c>
      <c r="H35" s="3">
        <v>2</v>
      </c>
      <c r="I35" s="4" t="s">
        <v>125</v>
      </c>
      <c r="J35" s="1" t="s">
        <v>74</v>
      </c>
      <c r="K35" s="1">
        <v>0</v>
      </c>
      <c r="L35" s="1">
        <v>0</v>
      </c>
      <c r="N35">
        <v>0</v>
      </c>
    </row>
    <row r="36" ht="16.5" spans="1:14">
      <c r="A36" s="1">
        <v>370011</v>
      </c>
      <c r="B36" s="1">
        <v>130008</v>
      </c>
      <c r="C36" s="2">
        <v>37001</v>
      </c>
      <c r="D36" s="1" t="s">
        <v>277</v>
      </c>
      <c r="E36" s="1">
        <v>1</v>
      </c>
      <c r="F36" s="1" t="s">
        <v>278</v>
      </c>
      <c r="G36" s="1" t="s">
        <v>278</v>
      </c>
      <c r="H36" s="3">
        <v>1</v>
      </c>
      <c r="I36" s="4" t="s">
        <v>279</v>
      </c>
      <c r="J36" s="1" t="s">
        <v>65</v>
      </c>
      <c r="K36" s="1">
        <v>0</v>
      </c>
      <c r="L36" s="1" t="s">
        <v>280</v>
      </c>
      <c r="N36" t="s">
        <v>280</v>
      </c>
    </row>
    <row r="37" ht="16.5" spans="1:14">
      <c r="A37" s="1">
        <v>370012</v>
      </c>
      <c r="B37" s="1">
        <v>231008</v>
      </c>
      <c r="C37" s="2">
        <v>37001</v>
      </c>
      <c r="D37" s="1" t="s">
        <v>283</v>
      </c>
      <c r="E37" s="1">
        <v>1</v>
      </c>
      <c r="F37" s="1" t="s">
        <v>284</v>
      </c>
      <c r="G37" s="1" t="s">
        <v>284</v>
      </c>
      <c r="H37" s="3">
        <v>1</v>
      </c>
      <c r="I37" s="4" t="s">
        <v>279</v>
      </c>
      <c r="J37" s="1" t="s">
        <v>70</v>
      </c>
      <c r="K37" s="1">
        <v>0</v>
      </c>
      <c r="L37" s="1">
        <v>331008</v>
      </c>
      <c r="N37">
        <v>331008</v>
      </c>
    </row>
    <row r="38" ht="16.5" spans="1:14">
      <c r="A38" s="1">
        <v>370013</v>
      </c>
      <c r="B38" s="1">
        <v>331008</v>
      </c>
      <c r="C38" s="2">
        <v>37001</v>
      </c>
      <c r="D38" s="1" t="s">
        <v>286</v>
      </c>
      <c r="E38" s="1">
        <v>1</v>
      </c>
      <c r="F38" s="1" t="s">
        <v>287</v>
      </c>
      <c r="G38" s="1" t="s">
        <v>287</v>
      </c>
      <c r="H38" s="3">
        <v>1</v>
      </c>
      <c r="I38" s="4" t="s">
        <v>279</v>
      </c>
      <c r="J38" s="1" t="s">
        <v>74</v>
      </c>
      <c r="K38" s="1">
        <v>0</v>
      </c>
      <c r="L38" s="1">
        <v>0</v>
      </c>
      <c r="N38">
        <v>0</v>
      </c>
    </row>
    <row r="39" ht="16.5" spans="1:14">
      <c r="A39" s="1">
        <v>370014</v>
      </c>
      <c r="B39" s="1">
        <v>232008</v>
      </c>
      <c r="C39" s="2">
        <v>37001</v>
      </c>
      <c r="D39" s="1" t="s">
        <v>288</v>
      </c>
      <c r="E39" s="1">
        <v>1</v>
      </c>
      <c r="F39" s="1" t="s">
        <v>289</v>
      </c>
      <c r="G39" s="1" t="s">
        <v>289</v>
      </c>
      <c r="H39" s="3">
        <v>1</v>
      </c>
      <c r="I39" s="4" t="s">
        <v>279</v>
      </c>
      <c r="J39" s="1" t="s">
        <v>70</v>
      </c>
      <c r="K39" s="1">
        <v>0</v>
      </c>
      <c r="L39" s="1">
        <v>332008</v>
      </c>
      <c r="N39">
        <v>332008</v>
      </c>
    </row>
    <row r="40" ht="16.5" spans="1:14">
      <c r="A40" s="1">
        <v>370015</v>
      </c>
      <c r="B40" s="1">
        <v>332008</v>
      </c>
      <c r="C40" s="2">
        <v>37001</v>
      </c>
      <c r="D40" s="1" t="s">
        <v>290</v>
      </c>
      <c r="E40" s="1">
        <v>1</v>
      </c>
      <c r="F40" s="1" t="s">
        <v>291</v>
      </c>
      <c r="G40" s="1" t="s">
        <v>291</v>
      </c>
      <c r="H40" s="3">
        <v>1</v>
      </c>
      <c r="I40" s="4" t="s">
        <v>279</v>
      </c>
      <c r="J40" s="1" t="s">
        <v>74</v>
      </c>
      <c r="K40" s="1">
        <v>0</v>
      </c>
      <c r="L40" s="1">
        <v>0</v>
      </c>
      <c r="N40">
        <v>0</v>
      </c>
    </row>
    <row r="41" ht="16.5" spans="1:14">
      <c r="A41" s="1">
        <v>370021</v>
      </c>
      <c r="B41" s="1">
        <v>130009</v>
      </c>
      <c r="C41" s="2">
        <v>37002</v>
      </c>
      <c r="D41" s="1" t="s">
        <v>292</v>
      </c>
      <c r="E41" s="1">
        <v>1</v>
      </c>
      <c r="F41" s="1" t="s">
        <v>293</v>
      </c>
      <c r="G41" s="1" t="s">
        <v>293</v>
      </c>
      <c r="H41" s="3">
        <v>1</v>
      </c>
      <c r="I41" s="4" t="s">
        <v>187</v>
      </c>
      <c r="J41" s="1" t="s">
        <v>65</v>
      </c>
      <c r="K41" s="1">
        <v>0</v>
      </c>
      <c r="L41" s="1" t="s">
        <v>294</v>
      </c>
      <c r="N41" t="s">
        <v>294</v>
      </c>
    </row>
    <row r="42" ht="16.5" spans="1:14">
      <c r="A42" s="1">
        <v>370022</v>
      </c>
      <c r="B42" s="1">
        <v>231009</v>
      </c>
      <c r="C42" s="2">
        <v>37002</v>
      </c>
      <c r="D42" s="1" t="s">
        <v>297</v>
      </c>
      <c r="E42" s="1">
        <v>1</v>
      </c>
      <c r="F42" s="1" t="s">
        <v>298</v>
      </c>
      <c r="G42" s="1" t="s">
        <v>298</v>
      </c>
      <c r="H42" s="3">
        <v>1</v>
      </c>
      <c r="I42" s="4" t="s">
        <v>187</v>
      </c>
      <c r="J42" s="1" t="s">
        <v>70</v>
      </c>
      <c r="K42" s="1">
        <v>0</v>
      </c>
      <c r="L42" s="1">
        <v>331009</v>
      </c>
      <c r="N42">
        <v>331009</v>
      </c>
    </row>
    <row r="43" ht="16.5" spans="1:14">
      <c r="A43" s="1">
        <v>370023</v>
      </c>
      <c r="B43" s="1">
        <v>331009</v>
      </c>
      <c r="C43" s="2">
        <v>37002</v>
      </c>
      <c r="D43" s="1" t="s">
        <v>299</v>
      </c>
      <c r="E43" s="1">
        <v>1</v>
      </c>
      <c r="F43" s="1" t="s">
        <v>300</v>
      </c>
      <c r="G43" s="1" t="s">
        <v>300</v>
      </c>
      <c r="H43" s="3">
        <v>1</v>
      </c>
      <c r="I43" s="4" t="s">
        <v>187</v>
      </c>
      <c r="J43" s="1" t="s">
        <v>74</v>
      </c>
      <c r="K43" s="1">
        <v>0</v>
      </c>
      <c r="L43" s="1">
        <v>0</v>
      </c>
      <c r="N43">
        <v>0</v>
      </c>
    </row>
    <row r="44" ht="16.5" spans="1:14">
      <c r="A44" s="1">
        <v>370024</v>
      </c>
      <c r="B44" s="1">
        <v>232009</v>
      </c>
      <c r="C44" s="2">
        <v>37002</v>
      </c>
      <c r="D44" s="1" t="s">
        <v>301</v>
      </c>
      <c r="E44" s="1">
        <v>2</v>
      </c>
      <c r="F44" s="1" t="s">
        <v>302</v>
      </c>
      <c r="G44" s="1" t="s">
        <v>302</v>
      </c>
      <c r="H44" s="3">
        <v>1</v>
      </c>
      <c r="I44" s="4" t="s">
        <v>187</v>
      </c>
      <c r="J44" s="1" t="s">
        <v>70</v>
      </c>
      <c r="K44" s="1">
        <v>0</v>
      </c>
      <c r="L44" s="1">
        <v>332009</v>
      </c>
      <c r="N44">
        <v>332009</v>
      </c>
    </row>
    <row r="45" ht="16.5" spans="1:14">
      <c r="A45" s="1">
        <v>370025</v>
      </c>
      <c r="B45" s="1">
        <v>332009</v>
      </c>
      <c r="C45" s="2">
        <v>37002</v>
      </c>
      <c r="D45" s="1" t="s">
        <v>303</v>
      </c>
      <c r="E45" s="1">
        <v>2</v>
      </c>
      <c r="F45" s="1" t="s">
        <v>304</v>
      </c>
      <c r="G45" s="1" t="s">
        <v>304</v>
      </c>
      <c r="H45" s="3">
        <v>1</v>
      </c>
      <c r="I45" s="4" t="s">
        <v>187</v>
      </c>
      <c r="J45" s="1" t="s">
        <v>74</v>
      </c>
      <c r="K45" s="1">
        <v>0</v>
      </c>
      <c r="L45" s="1">
        <v>0</v>
      </c>
      <c r="N45">
        <v>0</v>
      </c>
    </row>
    <row r="46" ht="16.5" spans="1:14">
      <c r="A46" s="1">
        <v>380011</v>
      </c>
      <c r="B46" s="1">
        <v>130010</v>
      </c>
      <c r="C46" s="2">
        <v>38001</v>
      </c>
      <c r="D46" s="1" t="s">
        <v>305</v>
      </c>
      <c r="E46" s="1">
        <v>1</v>
      </c>
      <c r="F46" s="1" t="s">
        <v>306</v>
      </c>
      <c r="G46" s="1" t="s">
        <v>306</v>
      </c>
      <c r="H46" s="3">
        <v>2</v>
      </c>
      <c r="I46" s="4" t="s">
        <v>279</v>
      </c>
      <c r="J46" s="1" t="s">
        <v>65</v>
      </c>
      <c r="K46" s="1">
        <v>0</v>
      </c>
      <c r="L46" s="1" t="s">
        <v>307</v>
      </c>
      <c r="N46" t="s">
        <v>307</v>
      </c>
    </row>
    <row r="47" ht="16.5" spans="1:14">
      <c r="A47" s="1">
        <v>380012</v>
      </c>
      <c r="B47" s="1">
        <v>231010</v>
      </c>
      <c r="C47" s="2">
        <v>38001</v>
      </c>
      <c r="D47" s="1" t="s">
        <v>309</v>
      </c>
      <c r="E47" s="1">
        <v>1</v>
      </c>
      <c r="F47" s="1" t="s">
        <v>310</v>
      </c>
      <c r="G47" s="1" t="s">
        <v>310</v>
      </c>
      <c r="H47" s="3">
        <v>2</v>
      </c>
      <c r="I47" s="4" t="s">
        <v>279</v>
      </c>
      <c r="J47" s="1" t="s">
        <v>70</v>
      </c>
      <c r="K47" s="1">
        <v>0</v>
      </c>
      <c r="L47" s="1">
        <v>331010</v>
      </c>
      <c r="N47">
        <v>331010</v>
      </c>
    </row>
    <row r="48" ht="16.5" spans="1:14">
      <c r="A48" s="1">
        <v>380013</v>
      </c>
      <c r="B48" s="1">
        <v>331010</v>
      </c>
      <c r="C48" s="2">
        <v>38001</v>
      </c>
      <c r="D48" s="1" t="s">
        <v>312</v>
      </c>
      <c r="E48" s="1">
        <v>1</v>
      </c>
      <c r="F48" s="1" t="s">
        <v>313</v>
      </c>
      <c r="G48" s="1" t="s">
        <v>313</v>
      </c>
      <c r="H48" s="3">
        <v>2</v>
      </c>
      <c r="I48" s="4" t="s">
        <v>279</v>
      </c>
      <c r="J48" s="1" t="s">
        <v>74</v>
      </c>
      <c r="K48" s="1">
        <v>0</v>
      </c>
      <c r="L48" s="1">
        <v>0</v>
      </c>
      <c r="N48">
        <v>0</v>
      </c>
    </row>
    <row r="49" ht="16.5" spans="1:14">
      <c r="A49" s="1">
        <v>380014</v>
      </c>
      <c r="B49" s="1">
        <v>232010</v>
      </c>
      <c r="C49" s="2">
        <v>38001</v>
      </c>
      <c r="D49" s="1" t="s">
        <v>314</v>
      </c>
      <c r="E49" s="1">
        <v>1</v>
      </c>
      <c r="F49" s="1" t="s">
        <v>315</v>
      </c>
      <c r="G49" s="1" t="s">
        <v>315</v>
      </c>
      <c r="H49" s="3">
        <v>2</v>
      </c>
      <c r="I49" s="4" t="s">
        <v>279</v>
      </c>
      <c r="J49" s="1" t="s">
        <v>70</v>
      </c>
      <c r="K49" s="1">
        <v>0</v>
      </c>
      <c r="L49" s="1">
        <v>332010</v>
      </c>
      <c r="N49">
        <v>332010</v>
      </c>
    </row>
    <row r="50" ht="16.5" spans="1:14">
      <c r="A50" s="1">
        <v>380015</v>
      </c>
      <c r="B50" s="1">
        <v>332010</v>
      </c>
      <c r="C50" s="2">
        <v>38001</v>
      </c>
      <c r="D50" s="1" t="s">
        <v>316</v>
      </c>
      <c r="E50" s="1">
        <v>1</v>
      </c>
      <c r="F50" s="1" t="s">
        <v>317</v>
      </c>
      <c r="G50" s="1" t="s">
        <v>317</v>
      </c>
      <c r="H50" s="3">
        <v>2</v>
      </c>
      <c r="I50" s="4" t="s">
        <v>279</v>
      </c>
      <c r="J50" s="1" t="s">
        <v>74</v>
      </c>
      <c r="K50" s="1">
        <v>0</v>
      </c>
      <c r="L50" s="1">
        <v>0</v>
      </c>
      <c r="N50">
        <v>0</v>
      </c>
    </row>
    <row r="51" ht="16.5" spans="1:14">
      <c r="A51" s="1">
        <v>380021</v>
      </c>
      <c r="B51" s="1">
        <v>130011</v>
      </c>
      <c r="C51" s="2">
        <v>38002</v>
      </c>
      <c r="D51" s="1" t="s">
        <v>292</v>
      </c>
      <c r="E51" s="1">
        <v>1</v>
      </c>
      <c r="F51" s="1" t="s">
        <v>318</v>
      </c>
      <c r="G51" s="1" t="s">
        <v>198</v>
      </c>
      <c r="H51" s="3">
        <v>1</v>
      </c>
      <c r="I51" s="4" t="s">
        <v>187</v>
      </c>
      <c r="J51" s="1" t="s">
        <v>65</v>
      </c>
      <c r="K51" s="1">
        <v>0</v>
      </c>
      <c r="L51" s="1" t="s">
        <v>319</v>
      </c>
      <c r="N51" t="s">
        <v>319</v>
      </c>
    </row>
    <row r="52" ht="16.5" spans="1:14">
      <c r="A52" s="1">
        <v>380022</v>
      </c>
      <c r="B52" s="1">
        <v>231011</v>
      </c>
      <c r="C52" s="2">
        <v>38002</v>
      </c>
      <c r="D52" s="1" t="s">
        <v>321</v>
      </c>
      <c r="E52" s="1">
        <v>1</v>
      </c>
      <c r="F52" s="1" t="s">
        <v>322</v>
      </c>
      <c r="G52" s="1" t="s">
        <v>202</v>
      </c>
      <c r="H52" s="3">
        <v>1</v>
      </c>
      <c r="I52" s="4" t="s">
        <v>187</v>
      </c>
      <c r="J52" s="1" t="s">
        <v>70</v>
      </c>
      <c r="K52" s="1">
        <v>0</v>
      </c>
      <c r="L52" s="1">
        <v>331011</v>
      </c>
      <c r="N52">
        <v>331011</v>
      </c>
    </row>
    <row r="53" ht="16.5" spans="1:14">
      <c r="A53" s="1">
        <v>380023</v>
      </c>
      <c r="B53" s="1">
        <v>331011</v>
      </c>
      <c r="C53" s="2">
        <v>38002</v>
      </c>
      <c r="D53" s="1" t="s">
        <v>323</v>
      </c>
      <c r="E53" s="1">
        <v>1</v>
      </c>
      <c r="F53" s="1" t="s">
        <v>324</v>
      </c>
      <c r="G53" s="1" t="s">
        <v>205</v>
      </c>
      <c r="H53" s="3">
        <v>1</v>
      </c>
      <c r="I53" s="4" t="s">
        <v>187</v>
      </c>
      <c r="J53" s="1" t="s">
        <v>74</v>
      </c>
      <c r="K53" s="1">
        <v>0</v>
      </c>
      <c r="L53" s="1">
        <v>0</v>
      </c>
      <c r="N53">
        <v>0</v>
      </c>
    </row>
    <row r="54" ht="16.5" spans="1:14">
      <c r="A54" s="1">
        <v>380024</v>
      </c>
      <c r="B54" s="1">
        <v>232011</v>
      </c>
      <c r="C54" s="2">
        <v>38002</v>
      </c>
      <c r="D54" s="1" t="s">
        <v>325</v>
      </c>
      <c r="E54" s="1">
        <v>1</v>
      </c>
      <c r="F54" s="1" t="s">
        <v>326</v>
      </c>
      <c r="G54" s="1" t="s">
        <v>206</v>
      </c>
      <c r="H54" s="3">
        <v>1</v>
      </c>
      <c r="I54" s="4" t="s">
        <v>187</v>
      </c>
      <c r="J54" s="1" t="s">
        <v>70</v>
      </c>
      <c r="K54" s="1">
        <v>0</v>
      </c>
      <c r="L54" s="1">
        <v>332011</v>
      </c>
      <c r="N54">
        <v>332011</v>
      </c>
    </row>
    <row r="55" ht="16.5" spans="1:14">
      <c r="A55" s="1">
        <v>380025</v>
      </c>
      <c r="B55" s="1">
        <v>332011</v>
      </c>
      <c r="C55" s="2">
        <v>38002</v>
      </c>
      <c r="D55" s="1" t="s">
        <v>327</v>
      </c>
      <c r="E55" s="1">
        <v>1</v>
      </c>
      <c r="F55" s="1" t="s">
        <v>328</v>
      </c>
      <c r="G55" s="1" t="s">
        <v>208</v>
      </c>
      <c r="H55" s="3">
        <v>1</v>
      </c>
      <c r="I55" s="4" t="s">
        <v>187</v>
      </c>
      <c r="J55" s="1" t="s">
        <v>74</v>
      </c>
      <c r="K55" s="1">
        <v>0</v>
      </c>
      <c r="L55" s="1">
        <v>0</v>
      </c>
      <c r="N5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Career</vt:lpstr>
      <vt:lpstr>链接表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2023-05-12T11:15:00Z</dcterms:created>
  <dcterms:modified xsi:type="dcterms:W3CDTF">2025-02-19T02:40:03Z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