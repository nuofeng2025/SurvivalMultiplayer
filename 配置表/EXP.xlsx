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EXP" sheetId="1" r:id="rId1"/>
    <sheet name="英雄消耗" sheetId="4" r:id="rId2"/>
    <sheet name="消耗产出" sheetId="5" r:id="rId3"/>
    <sheet name="玩家经验预估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<sst xmlns="http://schemas.openxmlformats.org/spreadsheetml/2006/main" count="73" uniqueCount="56">
  <si>
    <t>Level</t>
  </si>
  <si>
    <t>Exp</t>
  </si>
  <si>
    <t>int</t>
  </si>
  <si>
    <t>等级</t>
  </si>
  <si>
    <t>升级需要的经验值，升级后多余的经验累计到下一级，每一级都从0开始计算经验值</t>
  </si>
  <si>
    <t>基础值</t>
  </si>
  <si>
    <t>每级增长</t>
  </si>
  <si>
    <t>基础系数</t>
  </si>
  <si>
    <t>等级系数</t>
  </si>
  <si>
    <t>经验道具</t>
  </si>
  <si>
    <t>一个月升5个英雄所需道具</t>
  </si>
  <si>
    <r>
      <rPr>
        <sz val="11"/>
        <color theme="1"/>
        <rFont val="微软雅黑"/>
        <charset val="134"/>
      </rPr>
      <t>思路：免费满足升</t>
    </r>
    <r>
      <rPr>
        <b/>
        <sz val="11"/>
        <color rgb="FFFF0000"/>
        <rFont val="微软雅黑"/>
        <charset val="134"/>
      </rPr>
      <t>6</t>
    </r>
    <r>
      <rPr>
        <sz val="11"/>
        <color theme="1"/>
        <rFont val="微软雅黑"/>
        <charset val="134"/>
      </rPr>
      <t>个英雄</t>
    </r>
  </si>
  <si>
    <t>一个月一次性产出和日常产出满足6个英雄升级需求</t>
  </si>
  <si>
    <t>绿色为每日保底产出，用于培养多个英雄</t>
  </si>
  <si>
    <t>天数</t>
  </si>
  <si>
    <t>免费</t>
  </si>
  <si>
    <t>付费</t>
  </si>
  <si>
    <t>/</t>
  </si>
  <si>
    <t>预计玩家体验400小时</t>
  </si>
  <si>
    <t>1个英雄到50级需要70小时</t>
  </si>
  <si>
    <t>1.25级每小时</t>
  </si>
  <si>
    <t>4200分钟</t>
  </si>
  <si>
    <t>20小时2000经验</t>
  </si>
  <si>
    <t>最快速度。平均1分钟10怪</t>
  </si>
  <si>
    <t>累计时间(分钟)</t>
  </si>
  <si>
    <t>升级消耗时间分钟</t>
  </si>
  <si>
    <t>时间增加量</t>
  </si>
  <si>
    <t>升级需要经验</t>
  </si>
  <si>
    <t>挂机经验</t>
  </si>
  <si>
    <t>经验副本</t>
  </si>
  <si>
    <t>升级所需总经验</t>
  </si>
  <si>
    <t>单个怪物经验值</t>
  </si>
  <si>
    <t>挂机推算</t>
  </si>
  <si>
    <t>小时推算</t>
  </si>
  <si>
    <t>1分钟40经验</t>
  </si>
  <si>
    <t>最小值</t>
  </si>
  <si>
    <t>最大值</t>
  </si>
  <si>
    <t>平均值</t>
  </si>
  <si>
    <t>60分钟2400经验</t>
  </si>
  <si>
    <t>3600分钟14400经验</t>
  </si>
  <si>
    <t>挂机经验为3倍</t>
  </si>
  <si>
    <t>43200经验</t>
  </si>
  <si>
    <t>平均1小时3600经验</t>
  </si>
  <si>
    <t>推算5小时经验为2500-7500</t>
  </si>
  <si>
    <t>每级升级所需时长(秒) = LV * LV * LV * A + LV * LV * B + LV * C + D</t>
  </si>
  <si>
    <t>杀死同等级怪物可获得的经验 = LV * E + F</t>
  </si>
  <si>
    <t>每级所需经验 = 每级升级所需时长 / 杀死同等级怪物所需时长 * 杀死同等级怪物可获得的经验。</t>
  </si>
  <si>
    <t>这里的A值一般都不要超过2，否则在后期所需经验会非常巨大，但可以为0，比如A为0，</t>
  </si>
  <si>
    <t>那么升级公式就会变成三次方，如果不为0，这条公式其实就是四次方公式，而D，通常都是30的倍数，</t>
  </si>
  <si>
    <t>也就是以30秒为基数，因为回合制游戏中，有一个30秒的准备时间，这个时间，</t>
  </si>
  <si>
    <t>其实还需要算上进入战斗和退出战斗的时间，以30秒的倍数来计算会比较准确，当然，用其他数值也没有问题。</t>
  </si>
  <si>
    <t>“杀死同等级怪物可获得的经验”，是指一对一情况下的经验，如果一对多，那么还需要乘上怪物数量，而所谓的怪物数量，其实就是</t>
  </si>
  <si>
    <t>每级升级所需时长 / 杀死同等级怪物所需时长</t>
  </si>
  <si>
    <t>lv</t>
  </si>
  <si>
    <t>升级所需时间</t>
  </si>
  <si>
    <t>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</si>
</sst>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31">
    <font>
      <sz val="11"/>
      <color theme="1"/>
      <name val="宋体"/>
      <charset val="134"/>
      <scheme val="minor"/>
    </font>
    <font>
      <i/>
      <sz val="10"/>
      <color rgb="FF121212"/>
      <name val="黑体"/>
      <charset val="134"/>
    </font>
    <font>
      <sz val="10"/>
      <color theme="1"/>
      <name val="黑体"/>
      <charset val="134"/>
    </font>
    <font>
      <sz val="10"/>
      <color rgb="FF121212"/>
      <name val="黑体"/>
      <charset val="134"/>
    </font>
    <font>
      <sz val="14"/>
      <color rgb="FF121212"/>
      <name val="Arial"/>
      <charset val="134"/>
    </font>
    <font>
      <i/>
      <sz val="14"/>
      <color rgb="FF121212"/>
      <name val="Arial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00B050"/>
      <name val="微软雅黑"/>
      <charset val="134"/>
    </font>
    <font>
      <b/>
      <sz val="11"/>
      <color rgb="FFFF0000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7" fillId="0" borderId="1" xfId="0" applyNumberFormat="1" applyFont="1" applyBorder="1">
      <alignment vertical="center"/>
    </xf>
    <xf numFmtId="0" fontId="10" fillId="0" borderId="1" xfId="0" applyFont="1" applyBorder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190500</xdr:colOff>
      <xdr:row>3</xdr:row>
      <xdr:rowOff>66675</xdr:rowOff>
    </xdr:from>
    <xdr:to>
      <xdr:col>19</xdr:col>
      <xdr:colOff>352425</xdr:colOff>
      <xdr:row>15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6600" y="695325"/>
          <a:ext cx="2905125" cy="2476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12</xdr:row>
      <xdr:rowOff>104775</xdr:rowOff>
    </xdr:from>
    <xdr:to>
      <xdr:col>13</xdr:col>
      <xdr:colOff>8890</xdr:colOff>
      <xdr:row>71</xdr:row>
      <xdr:rowOff>47625</xdr:rowOff>
    </xdr:to>
    <xdr:pic>
      <xdr:nvPicPr>
        <xdr:cNvPr id="3" name="图片 2" descr="83a476138d29dfe8dc248da00dfed221_v2-61f974697c055b2c57ab7b2d443fad3b_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2276475"/>
          <a:ext cx="898144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"/>
  <sheetViews>
    <sheetView tabSelected="1" topLeftCell="A88" workbookViewId="0">
      <selection activeCell="B100" sqref="B100"/>
    </sheetView>
  </sheetViews>
  <sheetFormatPr defaultColWidth="9" defaultRowHeight="13.5" outlineLevelCol="1"/>
  <cols>
    <col min="2" max="2" width="35.5" style="21" customWidth="1"/>
  </cols>
  <sheetData>
    <row r="1" spans="1:2">
      <c r="A1" s="22" t="s">
        <v>0</v>
      </c>
      <c r="B1" s="23" t="s">
        <v>1</v>
      </c>
    </row>
    <row r="2" ht="16.5" spans="1:2">
      <c r="A2" s="24" t="s">
        <v>2</v>
      </c>
      <c r="B2" s="25" t="s">
        <v>2</v>
      </c>
    </row>
    <row r="3" spans="1:2">
      <c r="A3" t="s">
        <v>3</v>
      </c>
      <c r="B3" s="21" t="s">
        <v>4</v>
      </c>
    </row>
    <row r="4" spans="1:2">
      <c r="A4">
        <v>1</v>
      </c>
      <c r="B4" s="21">
        <v>20</v>
      </c>
    </row>
    <row r="5" spans="1:2">
      <c r="A5">
        <v>2</v>
      </c>
      <c r="B5" s="21">
        <v>40</v>
      </c>
    </row>
    <row r="6" spans="1:2">
      <c r="A6">
        <v>3</v>
      </c>
      <c r="B6" s="21">
        <v>70</v>
      </c>
    </row>
    <row r="7" spans="1:2">
      <c r="A7">
        <v>4</v>
      </c>
      <c r="B7" s="21">
        <v>110</v>
      </c>
    </row>
    <row r="8" spans="1:2">
      <c r="A8">
        <v>5</v>
      </c>
      <c r="B8" s="21">
        <v>170</v>
      </c>
    </row>
    <row r="9" spans="1:2">
      <c r="A9">
        <v>6</v>
      </c>
      <c r="B9" s="21">
        <v>250</v>
      </c>
    </row>
    <row r="10" spans="1:2">
      <c r="A10">
        <v>7</v>
      </c>
      <c r="B10" s="21">
        <v>350</v>
      </c>
    </row>
    <row r="11" spans="1:2">
      <c r="A11">
        <v>8</v>
      </c>
      <c r="B11" s="21">
        <v>480</v>
      </c>
    </row>
    <row r="12" spans="1:2">
      <c r="A12">
        <v>9</v>
      </c>
      <c r="B12" s="21">
        <v>630</v>
      </c>
    </row>
    <row r="13" spans="1:2">
      <c r="A13">
        <v>10</v>
      </c>
      <c r="B13" s="21">
        <v>810</v>
      </c>
    </row>
    <row r="14" spans="1:2">
      <c r="A14">
        <v>11</v>
      </c>
      <c r="B14" s="21">
        <v>1020</v>
      </c>
    </row>
    <row r="15" spans="1:2">
      <c r="A15">
        <v>12</v>
      </c>
      <c r="B15" s="21">
        <v>1270</v>
      </c>
    </row>
    <row r="16" spans="1:2">
      <c r="A16">
        <v>13</v>
      </c>
      <c r="B16" s="21">
        <v>1550</v>
      </c>
    </row>
    <row r="17" spans="1:2">
      <c r="A17">
        <v>14</v>
      </c>
      <c r="B17" s="21">
        <v>1870</v>
      </c>
    </row>
    <row r="18" spans="1:2">
      <c r="A18">
        <v>15</v>
      </c>
      <c r="B18" s="21">
        <v>2230</v>
      </c>
    </row>
    <row r="19" spans="1:2">
      <c r="A19">
        <v>16</v>
      </c>
      <c r="B19" s="21">
        <v>2640</v>
      </c>
    </row>
    <row r="20" spans="1:2">
      <c r="A20">
        <v>17</v>
      </c>
      <c r="B20" s="21">
        <v>3100</v>
      </c>
    </row>
    <row r="21" spans="1:2">
      <c r="A21">
        <v>18</v>
      </c>
      <c r="B21" s="21">
        <v>3600</v>
      </c>
    </row>
    <row r="22" spans="1:2">
      <c r="A22">
        <v>19</v>
      </c>
      <c r="B22" s="21">
        <v>4200</v>
      </c>
    </row>
    <row r="23" spans="1:2">
      <c r="A23">
        <v>20</v>
      </c>
      <c r="B23" s="21">
        <v>4800</v>
      </c>
    </row>
    <row r="24" spans="1:2">
      <c r="A24">
        <v>21</v>
      </c>
      <c r="B24" s="21">
        <v>5500</v>
      </c>
    </row>
    <row r="25" spans="1:2">
      <c r="A25">
        <v>22</v>
      </c>
      <c r="B25" s="21">
        <v>6200</v>
      </c>
    </row>
    <row r="26" spans="1:2">
      <c r="A26">
        <v>23</v>
      </c>
      <c r="B26" s="21">
        <v>7000</v>
      </c>
    </row>
    <row r="27" spans="1:2">
      <c r="A27">
        <v>24</v>
      </c>
      <c r="B27" s="21">
        <v>7800</v>
      </c>
    </row>
    <row r="28" spans="1:2">
      <c r="A28">
        <v>25</v>
      </c>
      <c r="B28" s="21">
        <v>8700</v>
      </c>
    </row>
    <row r="29" spans="1:2">
      <c r="A29">
        <v>26</v>
      </c>
      <c r="B29" s="21">
        <v>9700</v>
      </c>
    </row>
    <row r="30" spans="1:2">
      <c r="A30">
        <v>27</v>
      </c>
      <c r="B30" s="21">
        <v>10800</v>
      </c>
    </row>
    <row r="31" spans="1:2">
      <c r="A31">
        <v>28</v>
      </c>
      <c r="B31" s="21">
        <v>11900</v>
      </c>
    </row>
    <row r="32" spans="1:2">
      <c r="A32">
        <v>29</v>
      </c>
      <c r="B32" s="21">
        <v>13100</v>
      </c>
    </row>
    <row r="33" spans="1:2">
      <c r="A33">
        <v>30</v>
      </c>
      <c r="B33" s="21">
        <v>14400</v>
      </c>
    </row>
    <row r="34" spans="1:2">
      <c r="A34">
        <v>31</v>
      </c>
      <c r="B34" s="21">
        <v>15800</v>
      </c>
    </row>
    <row r="35" spans="1:2">
      <c r="A35">
        <v>32</v>
      </c>
      <c r="B35" s="21">
        <v>17200</v>
      </c>
    </row>
    <row r="36" spans="1:2">
      <c r="A36">
        <v>33</v>
      </c>
      <c r="B36" s="21">
        <v>18700</v>
      </c>
    </row>
    <row r="37" spans="1:2">
      <c r="A37">
        <v>34</v>
      </c>
      <c r="B37" s="21">
        <v>20300</v>
      </c>
    </row>
    <row r="38" spans="1:2">
      <c r="A38">
        <v>35</v>
      </c>
      <c r="B38" s="21">
        <v>22000</v>
      </c>
    </row>
    <row r="39" spans="1:2">
      <c r="A39">
        <v>36</v>
      </c>
      <c r="B39" s="21">
        <v>23800</v>
      </c>
    </row>
    <row r="40" spans="1:2">
      <c r="A40">
        <v>37</v>
      </c>
      <c r="B40" s="21">
        <v>25700</v>
      </c>
    </row>
    <row r="41" spans="1:2">
      <c r="A41">
        <v>38</v>
      </c>
      <c r="B41" s="21">
        <v>27700</v>
      </c>
    </row>
    <row r="42" spans="1:2">
      <c r="A42">
        <v>39</v>
      </c>
      <c r="B42" s="21">
        <v>29800</v>
      </c>
    </row>
    <row r="43" spans="1:2">
      <c r="A43">
        <v>40</v>
      </c>
      <c r="B43" s="21">
        <v>32000</v>
      </c>
    </row>
    <row r="44" spans="1:2">
      <c r="A44">
        <v>41</v>
      </c>
      <c r="B44" s="21">
        <v>34300</v>
      </c>
    </row>
    <row r="45" spans="1:2">
      <c r="A45">
        <v>42</v>
      </c>
      <c r="B45" s="21">
        <v>36700</v>
      </c>
    </row>
    <row r="46" spans="1:2">
      <c r="A46">
        <v>43</v>
      </c>
      <c r="B46" s="21">
        <v>39200</v>
      </c>
    </row>
    <row r="47" spans="1:2">
      <c r="A47">
        <v>44</v>
      </c>
      <c r="B47" s="21">
        <v>41800</v>
      </c>
    </row>
    <row r="48" spans="1:2">
      <c r="A48">
        <v>45</v>
      </c>
      <c r="B48" s="21">
        <v>44500</v>
      </c>
    </row>
    <row r="49" spans="1:2">
      <c r="A49">
        <v>46</v>
      </c>
      <c r="B49" s="21">
        <v>47300</v>
      </c>
    </row>
    <row r="50" spans="1:2">
      <c r="A50">
        <v>47</v>
      </c>
      <c r="B50" s="21">
        <v>50300</v>
      </c>
    </row>
    <row r="51" spans="1:2">
      <c r="A51">
        <v>48</v>
      </c>
      <c r="B51" s="21">
        <v>53400</v>
      </c>
    </row>
    <row r="52" spans="1:2">
      <c r="A52">
        <v>49</v>
      </c>
      <c r="B52" s="21">
        <v>56600</v>
      </c>
    </row>
    <row r="53" spans="1:2">
      <c r="A53">
        <v>50</v>
      </c>
      <c r="B53" s="21">
        <v>59900</v>
      </c>
    </row>
    <row r="54" spans="1:2">
      <c r="A54">
        <v>51</v>
      </c>
      <c r="B54" s="21">
        <v>63400</v>
      </c>
    </row>
    <row r="55" spans="1:2">
      <c r="A55">
        <v>52</v>
      </c>
      <c r="B55" s="21">
        <v>67000</v>
      </c>
    </row>
    <row r="56" spans="1:2">
      <c r="A56">
        <v>53</v>
      </c>
      <c r="B56" s="21">
        <v>70700</v>
      </c>
    </row>
    <row r="57" spans="1:2">
      <c r="A57">
        <v>54</v>
      </c>
      <c r="B57" s="21">
        <v>74600</v>
      </c>
    </row>
    <row r="58" spans="1:2">
      <c r="A58">
        <v>55</v>
      </c>
      <c r="B58" s="21">
        <v>78600</v>
      </c>
    </row>
    <row r="59" spans="1:2">
      <c r="A59">
        <v>56</v>
      </c>
      <c r="B59" s="21">
        <v>82700</v>
      </c>
    </row>
    <row r="60" spans="1:2">
      <c r="A60">
        <v>57</v>
      </c>
      <c r="B60" s="21">
        <v>87000</v>
      </c>
    </row>
    <row r="61" spans="1:2">
      <c r="A61">
        <v>58</v>
      </c>
      <c r="B61" s="21">
        <v>91400</v>
      </c>
    </row>
    <row r="62" spans="1:2">
      <c r="A62">
        <v>59</v>
      </c>
      <c r="B62" s="21">
        <v>96000</v>
      </c>
    </row>
    <row r="63" spans="1:2">
      <c r="A63">
        <v>60</v>
      </c>
      <c r="B63" s="21">
        <v>100700</v>
      </c>
    </row>
    <row r="64" spans="1:2">
      <c r="A64">
        <v>61</v>
      </c>
      <c r="B64" s="21">
        <v>105600</v>
      </c>
    </row>
    <row r="65" spans="1:2">
      <c r="A65">
        <v>62</v>
      </c>
      <c r="B65" s="21">
        <v>110600</v>
      </c>
    </row>
    <row r="66" spans="1:2">
      <c r="A66">
        <v>63</v>
      </c>
      <c r="B66" s="21">
        <v>115800</v>
      </c>
    </row>
    <row r="67" spans="1:2">
      <c r="A67">
        <v>64</v>
      </c>
      <c r="B67" s="21">
        <v>121100</v>
      </c>
    </row>
    <row r="68" spans="1:2">
      <c r="A68">
        <v>65</v>
      </c>
      <c r="B68" s="21">
        <v>126600</v>
      </c>
    </row>
    <row r="69" spans="1:2">
      <c r="A69">
        <v>66</v>
      </c>
      <c r="B69" s="21">
        <v>132300</v>
      </c>
    </row>
    <row r="70" spans="1:2">
      <c r="A70">
        <v>67</v>
      </c>
      <c r="B70" s="21">
        <v>138100</v>
      </c>
    </row>
    <row r="71" spans="1:2">
      <c r="A71">
        <v>68</v>
      </c>
      <c r="B71" s="21">
        <v>144100</v>
      </c>
    </row>
    <row r="72" spans="1:2">
      <c r="A72">
        <v>69</v>
      </c>
      <c r="B72" s="21">
        <v>150000</v>
      </c>
    </row>
    <row r="73" spans="1:2">
      <c r="A73">
        <v>70</v>
      </c>
      <c r="B73" s="21">
        <v>156000</v>
      </c>
    </row>
    <row r="74" spans="1:2">
      <c r="A74">
        <v>71</v>
      </c>
      <c r="B74" s="21">
        <v>163000</v>
      </c>
    </row>
    <row r="75" spans="1:2">
      <c r="A75">
        <v>72</v>
      </c>
      <c r="B75" s="21">
        <v>170000</v>
      </c>
    </row>
    <row r="76" spans="1:2">
      <c r="A76">
        <v>73</v>
      </c>
      <c r="B76" s="21">
        <v>177000</v>
      </c>
    </row>
    <row r="77" spans="1:2">
      <c r="A77">
        <v>74</v>
      </c>
      <c r="B77" s="21">
        <v>184000</v>
      </c>
    </row>
    <row r="78" spans="1:2">
      <c r="A78">
        <v>75</v>
      </c>
      <c r="B78" s="21">
        <v>191000</v>
      </c>
    </row>
    <row r="79" spans="1:2">
      <c r="A79">
        <v>76</v>
      </c>
      <c r="B79" s="21">
        <v>198000</v>
      </c>
    </row>
    <row r="80" spans="1:2">
      <c r="A80">
        <v>77</v>
      </c>
      <c r="B80" s="21">
        <v>206000</v>
      </c>
    </row>
    <row r="81" spans="1:2">
      <c r="A81">
        <v>78</v>
      </c>
      <c r="B81" s="21">
        <v>214000</v>
      </c>
    </row>
    <row r="82" spans="1:2">
      <c r="A82">
        <v>79</v>
      </c>
      <c r="B82" s="21">
        <v>222000</v>
      </c>
    </row>
    <row r="83" spans="1:2">
      <c r="A83">
        <v>80</v>
      </c>
      <c r="B83" s="21">
        <v>230000</v>
      </c>
    </row>
    <row r="84" spans="1:2">
      <c r="A84">
        <v>81</v>
      </c>
      <c r="B84" s="21">
        <v>238000</v>
      </c>
    </row>
    <row r="85" spans="1:2">
      <c r="A85">
        <v>82</v>
      </c>
      <c r="B85" s="21">
        <v>247000</v>
      </c>
    </row>
    <row r="86" spans="1:2">
      <c r="A86">
        <v>83</v>
      </c>
      <c r="B86" s="21">
        <v>256000</v>
      </c>
    </row>
    <row r="87" spans="1:2">
      <c r="A87">
        <v>84</v>
      </c>
      <c r="B87" s="21">
        <v>265000</v>
      </c>
    </row>
    <row r="88" spans="1:2">
      <c r="A88">
        <v>85</v>
      </c>
      <c r="B88" s="21">
        <v>274000</v>
      </c>
    </row>
    <row r="89" spans="1:2">
      <c r="A89">
        <v>86</v>
      </c>
      <c r="B89" s="21">
        <v>283000</v>
      </c>
    </row>
    <row r="90" spans="1:2">
      <c r="A90">
        <v>87</v>
      </c>
      <c r="B90" s="21">
        <v>293000</v>
      </c>
    </row>
    <row r="91" spans="1:2">
      <c r="A91">
        <v>88</v>
      </c>
      <c r="B91" s="21">
        <v>303000</v>
      </c>
    </row>
    <row r="92" spans="1:2">
      <c r="A92">
        <v>89</v>
      </c>
      <c r="B92" s="21">
        <v>313000</v>
      </c>
    </row>
    <row r="93" spans="1:2">
      <c r="A93">
        <v>90</v>
      </c>
      <c r="B93" s="21">
        <v>323000</v>
      </c>
    </row>
    <row r="94" spans="1:2">
      <c r="A94">
        <v>91</v>
      </c>
      <c r="B94" s="21">
        <v>334000</v>
      </c>
    </row>
    <row r="95" spans="1:2">
      <c r="A95">
        <v>92</v>
      </c>
      <c r="B95" s="21">
        <v>345000</v>
      </c>
    </row>
    <row r="96" spans="1:2">
      <c r="A96">
        <v>93</v>
      </c>
      <c r="B96" s="21">
        <v>356000</v>
      </c>
    </row>
    <row r="97" spans="1:2">
      <c r="A97">
        <v>94</v>
      </c>
      <c r="B97" s="21">
        <v>367000</v>
      </c>
    </row>
    <row r="98" spans="1:2">
      <c r="A98">
        <v>95</v>
      </c>
      <c r="B98" s="21">
        <v>379000</v>
      </c>
    </row>
    <row r="99" spans="1:2">
      <c r="A99">
        <v>96</v>
      </c>
      <c r="B99" s="21">
        <v>391000</v>
      </c>
    </row>
    <row r="100" spans="1:2">
      <c r="A100">
        <v>97</v>
      </c>
      <c r="B100" s="21">
        <v>403000</v>
      </c>
    </row>
    <row r="101" spans="1:2">
      <c r="A101">
        <v>98</v>
      </c>
      <c r="B101" s="21">
        <v>415000</v>
      </c>
    </row>
    <row r="102" spans="1:2">
      <c r="A102">
        <v>99</v>
      </c>
      <c r="B102" s="21">
        <v>427000</v>
      </c>
    </row>
    <row r="103" spans="1:2">
      <c r="A103">
        <v>100</v>
      </c>
      <c r="B103" s="21">
        <v>427000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"/>
  <sheetViews>
    <sheetView workbookViewId="0">
      <selection activeCell="A1" sqref="$A1:$XFD1048576"/>
    </sheetView>
  </sheetViews>
  <sheetFormatPr defaultColWidth="9" defaultRowHeight="16.5"/>
  <cols>
    <col min="1" max="1" width="14.125" style="18" customWidth="1"/>
    <col min="2" max="2" width="9" style="12"/>
    <col min="4" max="4" width="12.625" style="12"/>
    <col min="5" max="5" width="13" style="12" customWidth="1"/>
    <col min="6" max="6" width="12.625" style="11"/>
    <col min="7" max="7" width="15.25" style="12" customWidth="1"/>
    <col min="8" max="10" width="9" style="12"/>
    <col min="11" max="11" width="13.125" style="12" customWidth="1"/>
    <col min="12" max="13" width="9" style="12"/>
    <col min="14" max="14" width="12.125" style="12" customWidth="1"/>
    <col min="15" max="16" width="9" style="12"/>
    <col min="17" max="17" width="8.5" style="12" customWidth="1"/>
    <col min="18" max="16384" width="9" style="12"/>
  </cols>
  <sheetData>
    <row r="1" s="12" customFormat="1" spans="1:11">
      <c r="A1" s="12" t="s">
        <v>5</v>
      </c>
      <c r="B1" s="12">
        <v>50</v>
      </c>
      <c r="D1" s="19" t="s">
        <v>6</v>
      </c>
      <c r="E1" s="20">
        <v>5</v>
      </c>
      <c r="G1" s="19" t="s">
        <v>7</v>
      </c>
      <c r="H1" s="20">
        <v>1.1</v>
      </c>
      <c r="J1" s="19" t="s">
        <v>8</v>
      </c>
      <c r="K1" s="20">
        <v>1.1</v>
      </c>
    </row>
    <row r="2" s="12" customFormat="1" spans="4:6">
      <c r="D2" s="11"/>
      <c r="E2" s="11"/>
      <c r="F2" s="11"/>
    </row>
    <row r="3" s="12" customFormat="1" spans="6:6">
      <c r="F3" s="11"/>
    </row>
    <row r="4" s="12" customFormat="1" spans="5:8">
      <c r="E4" s="11"/>
      <c r="F4" s="11"/>
      <c r="G4" s="11"/>
      <c r="H4" s="11"/>
    </row>
    <row r="5" s="12" customFormat="1" spans="1:8">
      <c r="A5" s="18"/>
      <c r="B5" s="11" t="s">
        <v>3</v>
      </c>
      <c r="E5" s="11"/>
      <c r="F5" s="11"/>
      <c r="G5" s="11"/>
      <c r="H5" s="11"/>
    </row>
    <row r="6" s="12" customFormat="1" spans="1:10">
      <c r="A6" s="18"/>
      <c r="B6" s="11">
        <v>1</v>
      </c>
      <c r="C6" s="12">
        <v>20</v>
      </c>
      <c r="E6" s="14"/>
      <c r="F6" s="14"/>
      <c r="G6" s="14"/>
      <c r="H6" s="14"/>
      <c r="J6" s="11">
        <v>20</v>
      </c>
    </row>
    <row r="7" s="12" customFormat="1" spans="1:11">
      <c r="A7" s="18"/>
      <c r="B7" s="11">
        <v>2</v>
      </c>
      <c r="C7" s="12">
        <f t="shared" ref="C7:C21" si="0">C6+D7</f>
        <v>40</v>
      </c>
      <c r="D7" s="12">
        <f>ROUND(($E$1+B7)*$H$1*B7*$K$1,-1)</f>
        <v>20</v>
      </c>
      <c r="E7" s="14"/>
      <c r="F7" s="14"/>
      <c r="G7" s="14"/>
      <c r="H7" s="14"/>
      <c r="J7" s="11">
        <v>40</v>
      </c>
      <c r="K7" s="12">
        <f>J7-J6</f>
        <v>20</v>
      </c>
    </row>
    <row r="8" s="12" customFormat="1" spans="1:11">
      <c r="A8" s="18"/>
      <c r="B8" s="11">
        <v>3</v>
      </c>
      <c r="C8" s="12">
        <f t="shared" si="0"/>
        <v>70</v>
      </c>
      <c r="D8" s="12">
        <f t="shared" ref="D8:D39" si="1">ROUND(($E$1+B8)*$H$1*B8*$K$1,-1)</f>
        <v>30</v>
      </c>
      <c r="E8" s="14"/>
      <c r="F8" s="14"/>
      <c r="G8" s="14"/>
      <c r="H8" s="14"/>
      <c r="J8" s="11">
        <v>60</v>
      </c>
      <c r="K8" s="12">
        <f t="shared" ref="K8:K39" si="2">J8-J7</f>
        <v>20</v>
      </c>
    </row>
    <row r="9" s="12" customFormat="1" spans="1:11">
      <c r="A9" s="18"/>
      <c r="B9" s="11">
        <v>4</v>
      </c>
      <c r="C9" s="12">
        <f t="shared" si="0"/>
        <v>110</v>
      </c>
      <c r="D9" s="12">
        <f t="shared" si="1"/>
        <v>40</v>
      </c>
      <c r="E9" s="14"/>
      <c r="F9" s="14"/>
      <c r="G9" s="14"/>
      <c r="H9" s="14"/>
      <c r="J9" s="11">
        <v>80</v>
      </c>
      <c r="K9" s="12">
        <f t="shared" si="2"/>
        <v>20</v>
      </c>
    </row>
    <row r="10" s="12" customFormat="1" spans="1:11">
      <c r="A10" s="18"/>
      <c r="B10" s="11">
        <v>5</v>
      </c>
      <c r="C10" s="12">
        <f t="shared" si="0"/>
        <v>170</v>
      </c>
      <c r="D10" s="12">
        <f t="shared" si="1"/>
        <v>60</v>
      </c>
      <c r="E10" s="14"/>
      <c r="F10" s="14"/>
      <c r="G10" s="14"/>
      <c r="H10" s="14"/>
      <c r="J10" s="11">
        <v>100</v>
      </c>
      <c r="K10" s="12">
        <f t="shared" si="2"/>
        <v>20</v>
      </c>
    </row>
    <row r="11" s="12" customFormat="1" spans="1:11">
      <c r="A11" s="18"/>
      <c r="B11" s="11">
        <v>6</v>
      </c>
      <c r="C11" s="12">
        <f t="shared" si="0"/>
        <v>250</v>
      </c>
      <c r="D11" s="12">
        <f t="shared" si="1"/>
        <v>80</v>
      </c>
      <c r="E11" s="14"/>
      <c r="F11" s="14"/>
      <c r="G11" s="14"/>
      <c r="H11" s="14"/>
      <c r="J11" s="11">
        <v>120</v>
      </c>
      <c r="K11" s="12">
        <f t="shared" si="2"/>
        <v>20</v>
      </c>
    </row>
    <row r="12" s="12" customFormat="1" spans="1:11">
      <c r="A12" s="18"/>
      <c r="B12" s="11">
        <v>7</v>
      </c>
      <c r="C12" s="12">
        <f t="shared" si="0"/>
        <v>350</v>
      </c>
      <c r="D12" s="12">
        <f t="shared" si="1"/>
        <v>100</v>
      </c>
      <c r="E12" s="14"/>
      <c r="F12" s="14"/>
      <c r="G12" s="14"/>
      <c r="H12" s="14"/>
      <c r="J12" s="11">
        <v>140</v>
      </c>
      <c r="K12" s="12">
        <f t="shared" si="2"/>
        <v>20</v>
      </c>
    </row>
    <row r="13" s="12" customFormat="1" spans="1:11">
      <c r="A13" s="18"/>
      <c r="B13" s="11">
        <v>8</v>
      </c>
      <c r="C13" s="12">
        <f t="shared" si="0"/>
        <v>480</v>
      </c>
      <c r="D13" s="12">
        <f t="shared" si="1"/>
        <v>130</v>
      </c>
      <c r="E13" s="14"/>
      <c r="F13" s="14"/>
      <c r="G13" s="14"/>
      <c r="H13" s="14"/>
      <c r="J13" s="11">
        <v>160</v>
      </c>
      <c r="K13" s="12">
        <f t="shared" si="2"/>
        <v>20</v>
      </c>
    </row>
    <row r="14" s="12" customFormat="1" spans="1:11">
      <c r="A14" s="18"/>
      <c r="B14" s="11">
        <v>9</v>
      </c>
      <c r="C14" s="12">
        <f t="shared" si="0"/>
        <v>630</v>
      </c>
      <c r="D14" s="12">
        <f t="shared" si="1"/>
        <v>150</v>
      </c>
      <c r="E14" s="14"/>
      <c r="F14" s="14"/>
      <c r="G14" s="14"/>
      <c r="H14" s="14"/>
      <c r="J14" s="11">
        <v>180</v>
      </c>
      <c r="K14" s="12">
        <f t="shared" si="2"/>
        <v>20</v>
      </c>
    </row>
    <row r="15" s="12" customFormat="1" spans="1:11">
      <c r="A15" s="18"/>
      <c r="B15" s="11">
        <v>10</v>
      </c>
      <c r="C15" s="12">
        <f t="shared" si="0"/>
        <v>810</v>
      </c>
      <c r="D15" s="12">
        <f t="shared" si="1"/>
        <v>180</v>
      </c>
      <c r="E15" s="14"/>
      <c r="F15" s="14"/>
      <c r="G15" s="14"/>
      <c r="H15" s="14"/>
      <c r="J15" s="11">
        <v>200</v>
      </c>
      <c r="K15" s="12">
        <f t="shared" si="2"/>
        <v>20</v>
      </c>
    </row>
    <row r="16" s="12" customFormat="1" spans="1:11">
      <c r="A16" s="18"/>
      <c r="B16" s="11">
        <v>11</v>
      </c>
      <c r="C16" s="12">
        <f t="shared" si="0"/>
        <v>1020</v>
      </c>
      <c r="D16" s="12">
        <f t="shared" si="1"/>
        <v>210</v>
      </c>
      <c r="E16" s="14"/>
      <c r="F16" s="14"/>
      <c r="G16" s="14"/>
      <c r="H16" s="14"/>
      <c r="J16" s="11">
        <v>250</v>
      </c>
      <c r="K16" s="12">
        <f t="shared" si="2"/>
        <v>50</v>
      </c>
    </row>
    <row r="17" s="12" customFormat="1" spans="1:11">
      <c r="A17" s="18"/>
      <c r="B17" s="11">
        <v>12</v>
      </c>
      <c r="C17" s="12">
        <f t="shared" si="0"/>
        <v>1270</v>
      </c>
      <c r="D17" s="12">
        <f t="shared" si="1"/>
        <v>250</v>
      </c>
      <c r="E17" s="14"/>
      <c r="F17" s="14"/>
      <c r="G17" s="14"/>
      <c r="H17" s="14"/>
      <c r="J17" s="11">
        <v>300</v>
      </c>
      <c r="K17" s="12">
        <f t="shared" si="2"/>
        <v>50</v>
      </c>
    </row>
    <row r="18" s="12" customFormat="1" spans="1:11">
      <c r="A18" s="18"/>
      <c r="B18" s="11">
        <v>13</v>
      </c>
      <c r="C18" s="12">
        <f t="shared" si="0"/>
        <v>1550</v>
      </c>
      <c r="D18" s="12">
        <f t="shared" si="1"/>
        <v>280</v>
      </c>
      <c r="E18" s="14"/>
      <c r="F18" s="14"/>
      <c r="G18" s="14"/>
      <c r="H18" s="14"/>
      <c r="J18" s="11">
        <v>350</v>
      </c>
      <c r="K18" s="12">
        <f t="shared" si="2"/>
        <v>50</v>
      </c>
    </row>
    <row r="19" s="12" customFormat="1" spans="1:11">
      <c r="A19" s="18"/>
      <c r="B19" s="11">
        <v>14</v>
      </c>
      <c r="C19" s="12">
        <f t="shared" si="0"/>
        <v>1870</v>
      </c>
      <c r="D19" s="12">
        <f t="shared" si="1"/>
        <v>320</v>
      </c>
      <c r="E19" s="14"/>
      <c r="F19" s="14"/>
      <c r="G19" s="14"/>
      <c r="H19" s="14"/>
      <c r="J19" s="11">
        <v>400</v>
      </c>
      <c r="K19" s="12">
        <f t="shared" si="2"/>
        <v>50</v>
      </c>
    </row>
    <row r="20" s="12" customFormat="1" spans="1:11">
      <c r="A20" s="18"/>
      <c r="B20" s="11">
        <v>15</v>
      </c>
      <c r="C20" s="12">
        <f t="shared" si="0"/>
        <v>2230</v>
      </c>
      <c r="D20" s="12">
        <f t="shared" si="1"/>
        <v>360</v>
      </c>
      <c r="E20" s="14"/>
      <c r="F20" s="14"/>
      <c r="G20" s="14"/>
      <c r="H20" s="14"/>
      <c r="J20" s="11">
        <v>450</v>
      </c>
      <c r="K20" s="12">
        <f t="shared" si="2"/>
        <v>50</v>
      </c>
    </row>
    <row r="21" s="12" customFormat="1" spans="1:11">
      <c r="A21" s="18"/>
      <c r="B21" s="11">
        <v>16</v>
      </c>
      <c r="C21" s="12">
        <f t="shared" si="0"/>
        <v>2640</v>
      </c>
      <c r="D21" s="12">
        <f t="shared" si="1"/>
        <v>410</v>
      </c>
      <c r="E21" s="14"/>
      <c r="F21" s="14"/>
      <c r="G21" s="14"/>
      <c r="H21" s="14"/>
      <c r="J21" s="11">
        <v>500</v>
      </c>
      <c r="K21" s="12">
        <f t="shared" si="2"/>
        <v>50</v>
      </c>
    </row>
    <row r="22" s="12" customFormat="1" spans="1:11">
      <c r="A22" s="18"/>
      <c r="B22" s="11">
        <v>17</v>
      </c>
      <c r="C22" s="12">
        <f>ROUND(C21+D22,-2)</f>
        <v>3100</v>
      </c>
      <c r="D22" s="12">
        <f t="shared" si="1"/>
        <v>450</v>
      </c>
      <c r="E22" s="14"/>
      <c r="F22" s="14"/>
      <c r="G22" s="14"/>
      <c r="H22" s="14"/>
      <c r="J22" s="11">
        <v>550</v>
      </c>
      <c r="K22" s="12">
        <f t="shared" si="2"/>
        <v>50</v>
      </c>
    </row>
    <row r="23" s="12" customFormat="1" spans="1:11">
      <c r="A23" s="18"/>
      <c r="B23" s="11">
        <v>18</v>
      </c>
      <c r="C23" s="12">
        <f t="shared" ref="C23:C54" si="3">ROUND(C22+D23,-2)</f>
        <v>3600</v>
      </c>
      <c r="D23" s="12">
        <f t="shared" si="1"/>
        <v>500</v>
      </c>
      <c r="E23" s="14"/>
      <c r="F23" s="14"/>
      <c r="G23" s="14"/>
      <c r="H23" s="14"/>
      <c r="J23" s="11">
        <v>600</v>
      </c>
      <c r="K23" s="12">
        <f t="shared" si="2"/>
        <v>50</v>
      </c>
    </row>
    <row r="24" s="12" customFormat="1" spans="1:11">
      <c r="A24" s="18"/>
      <c r="B24" s="11">
        <v>19</v>
      </c>
      <c r="C24" s="12">
        <f t="shared" si="3"/>
        <v>4200</v>
      </c>
      <c r="D24" s="12">
        <f t="shared" si="1"/>
        <v>550</v>
      </c>
      <c r="E24" s="14"/>
      <c r="F24" s="14"/>
      <c r="G24" s="14"/>
      <c r="H24" s="14"/>
      <c r="J24" s="11">
        <v>700</v>
      </c>
      <c r="K24" s="12">
        <f t="shared" si="2"/>
        <v>100</v>
      </c>
    </row>
    <row r="25" s="12" customFormat="1" spans="1:11">
      <c r="A25" s="18"/>
      <c r="B25" s="11">
        <v>20</v>
      </c>
      <c r="C25" s="12">
        <f t="shared" si="3"/>
        <v>4800</v>
      </c>
      <c r="D25" s="12">
        <f t="shared" si="1"/>
        <v>610</v>
      </c>
      <c r="E25" s="14"/>
      <c r="F25" s="14"/>
      <c r="G25" s="14"/>
      <c r="H25" s="14"/>
      <c r="J25" s="11">
        <v>1100</v>
      </c>
      <c r="K25" s="12">
        <f t="shared" si="2"/>
        <v>400</v>
      </c>
    </row>
    <row r="26" s="12" customFormat="1" spans="1:11">
      <c r="A26" s="18"/>
      <c r="B26" s="11">
        <v>21</v>
      </c>
      <c r="C26" s="12">
        <f t="shared" si="3"/>
        <v>5500</v>
      </c>
      <c r="D26" s="12">
        <f t="shared" si="1"/>
        <v>660</v>
      </c>
      <c r="E26" s="14"/>
      <c r="F26" s="14"/>
      <c r="G26" s="14"/>
      <c r="H26" s="14"/>
      <c r="J26" s="11">
        <v>1400</v>
      </c>
      <c r="K26" s="12">
        <f t="shared" si="2"/>
        <v>300</v>
      </c>
    </row>
    <row r="27" s="12" customFormat="1" spans="1:11">
      <c r="A27" s="18"/>
      <c r="B27" s="11">
        <v>22</v>
      </c>
      <c r="C27" s="12">
        <f t="shared" si="3"/>
        <v>6200</v>
      </c>
      <c r="D27" s="12">
        <f t="shared" si="1"/>
        <v>720</v>
      </c>
      <c r="E27" s="14"/>
      <c r="F27" s="14"/>
      <c r="G27" s="14"/>
      <c r="H27" s="14"/>
      <c r="J27" s="11">
        <v>1900</v>
      </c>
      <c r="K27" s="12">
        <f t="shared" si="2"/>
        <v>500</v>
      </c>
    </row>
    <row r="28" s="12" customFormat="1" spans="1:11">
      <c r="A28" s="18"/>
      <c r="B28" s="11">
        <v>23</v>
      </c>
      <c r="C28" s="12">
        <f t="shared" si="3"/>
        <v>7000</v>
      </c>
      <c r="D28" s="12">
        <f t="shared" si="1"/>
        <v>780</v>
      </c>
      <c r="E28" s="14"/>
      <c r="F28" s="14"/>
      <c r="G28" s="14"/>
      <c r="H28" s="14"/>
      <c r="J28" s="11">
        <v>2400</v>
      </c>
      <c r="K28" s="12">
        <f t="shared" si="2"/>
        <v>500</v>
      </c>
    </row>
    <row r="29" s="12" customFormat="1" spans="1:11">
      <c r="A29" s="18"/>
      <c r="B29" s="11">
        <v>24</v>
      </c>
      <c r="C29" s="12">
        <f t="shared" si="3"/>
        <v>7800</v>
      </c>
      <c r="D29" s="12">
        <f t="shared" si="1"/>
        <v>840</v>
      </c>
      <c r="E29" s="14"/>
      <c r="F29" s="14"/>
      <c r="G29" s="14"/>
      <c r="H29" s="14"/>
      <c r="J29" s="11">
        <v>2900</v>
      </c>
      <c r="K29" s="12">
        <f t="shared" si="2"/>
        <v>500</v>
      </c>
    </row>
    <row r="30" s="12" customFormat="1" spans="1:11">
      <c r="A30" s="18"/>
      <c r="B30" s="11">
        <v>25</v>
      </c>
      <c r="C30" s="12">
        <f t="shared" si="3"/>
        <v>8700</v>
      </c>
      <c r="D30" s="12">
        <f t="shared" si="1"/>
        <v>910</v>
      </c>
      <c r="E30" s="14"/>
      <c r="F30" s="14"/>
      <c r="G30" s="14"/>
      <c r="H30" s="14"/>
      <c r="J30" s="11">
        <v>3500</v>
      </c>
      <c r="K30" s="12">
        <f t="shared" si="2"/>
        <v>600</v>
      </c>
    </row>
    <row r="31" s="12" customFormat="1" spans="1:11">
      <c r="A31" s="18"/>
      <c r="B31" s="11">
        <v>26</v>
      </c>
      <c r="C31" s="12">
        <f t="shared" si="3"/>
        <v>9700</v>
      </c>
      <c r="D31" s="12">
        <f t="shared" si="1"/>
        <v>980</v>
      </c>
      <c r="E31" s="14"/>
      <c r="F31" s="14"/>
      <c r="G31" s="14"/>
      <c r="H31" s="14"/>
      <c r="J31" s="11">
        <v>4200</v>
      </c>
      <c r="K31" s="12">
        <f t="shared" si="2"/>
        <v>700</v>
      </c>
    </row>
    <row r="32" s="12" customFormat="1" spans="1:11">
      <c r="A32" s="18"/>
      <c r="B32" s="11">
        <v>27</v>
      </c>
      <c r="C32" s="12">
        <f t="shared" si="3"/>
        <v>10800</v>
      </c>
      <c r="D32" s="12">
        <f t="shared" si="1"/>
        <v>1050</v>
      </c>
      <c r="E32" s="14"/>
      <c r="F32" s="14"/>
      <c r="G32" s="14"/>
      <c r="H32" s="14"/>
      <c r="J32" s="11">
        <v>4900</v>
      </c>
      <c r="K32" s="12">
        <f t="shared" si="2"/>
        <v>700</v>
      </c>
    </row>
    <row r="33" s="12" customFormat="1" spans="1:11">
      <c r="A33" s="18"/>
      <c r="B33" s="11">
        <v>28</v>
      </c>
      <c r="C33" s="12">
        <f t="shared" si="3"/>
        <v>11900</v>
      </c>
      <c r="D33" s="12">
        <f t="shared" si="1"/>
        <v>1120</v>
      </c>
      <c r="E33" s="14"/>
      <c r="F33" s="14"/>
      <c r="G33" s="14"/>
      <c r="H33" s="14"/>
      <c r="J33" s="11">
        <v>5700</v>
      </c>
      <c r="K33" s="12">
        <f t="shared" si="2"/>
        <v>800</v>
      </c>
    </row>
    <row r="34" s="12" customFormat="1" spans="1:11">
      <c r="A34" s="18"/>
      <c r="B34" s="11">
        <v>29</v>
      </c>
      <c r="C34" s="12">
        <f t="shared" si="3"/>
        <v>13100</v>
      </c>
      <c r="D34" s="12">
        <f t="shared" si="1"/>
        <v>1190</v>
      </c>
      <c r="E34" s="14"/>
      <c r="F34" s="14"/>
      <c r="G34" s="14"/>
      <c r="H34" s="14"/>
      <c r="J34" s="11">
        <v>6600</v>
      </c>
      <c r="K34" s="12">
        <f t="shared" si="2"/>
        <v>900</v>
      </c>
    </row>
    <row r="35" s="12" customFormat="1" spans="1:11">
      <c r="A35" s="18"/>
      <c r="B35" s="11">
        <v>30</v>
      </c>
      <c r="C35" s="12">
        <f t="shared" si="3"/>
        <v>14400</v>
      </c>
      <c r="D35" s="12">
        <f t="shared" si="1"/>
        <v>1270</v>
      </c>
      <c r="E35" s="14"/>
      <c r="F35" s="14"/>
      <c r="G35" s="14"/>
      <c r="H35" s="14"/>
      <c r="J35" s="11">
        <v>7600</v>
      </c>
      <c r="K35" s="12">
        <f t="shared" si="2"/>
        <v>1000</v>
      </c>
    </row>
    <row r="36" s="12" customFormat="1" spans="1:11">
      <c r="A36" s="18"/>
      <c r="B36" s="11">
        <v>31</v>
      </c>
      <c r="C36" s="12">
        <f t="shared" si="3"/>
        <v>15800</v>
      </c>
      <c r="D36" s="12">
        <f t="shared" si="1"/>
        <v>1350</v>
      </c>
      <c r="E36" s="14"/>
      <c r="F36" s="14"/>
      <c r="G36" s="14"/>
      <c r="H36" s="14"/>
      <c r="J36" s="11">
        <v>8700</v>
      </c>
      <c r="K36" s="12">
        <f t="shared" si="2"/>
        <v>1100</v>
      </c>
    </row>
    <row r="37" s="12" customFormat="1" spans="1:11">
      <c r="A37" s="18"/>
      <c r="B37" s="11">
        <v>32</v>
      </c>
      <c r="C37" s="12">
        <f t="shared" si="3"/>
        <v>17200</v>
      </c>
      <c r="D37" s="12">
        <f t="shared" si="1"/>
        <v>1430</v>
      </c>
      <c r="E37" s="14"/>
      <c r="F37" s="14"/>
      <c r="G37" s="14"/>
      <c r="H37" s="14"/>
      <c r="J37" s="11">
        <v>10000</v>
      </c>
      <c r="K37" s="12">
        <f t="shared" si="2"/>
        <v>1300</v>
      </c>
    </row>
    <row r="38" s="12" customFormat="1" spans="1:11">
      <c r="A38" s="18"/>
      <c r="B38" s="11">
        <v>33</v>
      </c>
      <c r="C38" s="12">
        <f t="shared" si="3"/>
        <v>18700</v>
      </c>
      <c r="D38" s="12">
        <f t="shared" si="1"/>
        <v>1520</v>
      </c>
      <c r="E38" s="14"/>
      <c r="F38" s="14"/>
      <c r="G38" s="14"/>
      <c r="H38" s="14"/>
      <c r="J38" s="11">
        <v>11400</v>
      </c>
      <c r="K38" s="12">
        <f t="shared" si="2"/>
        <v>1400</v>
      </c>
    </row>
    <row r="39" s="12" customFormat="1" spans="1:11">
      <c r="A39" s="18"/>
      <c r="B39" s="11">
        <v>34</v>
      </c>
      <c r="C39" s="12">
        <f t="shared" si="3"/>
        <v>20300</v>
      </c>
      <c r="D39" s="12">
        <f t="shared" si="1"/>
        <v>1600</v>
      </c>
      <c r="E39" s="14"/>
      <c r="F39" s="14"/>
      <c r="G39" s="14"/>
      <c r="H39" s="14"/>
      <c r="J39" s="11">
        <v>12900</v>
      </c>
      <c r="K39" s="12">
        <f t="shared" si="2"/>
        <v>1500</v>
      </c>
    </row>
    <row r="40" s="12" customFormat="1" spans="1:11">
      <c r="A40" s="18"/>
      <c r="B40" s="11">
        <v>35</v>
      </c>
      <c r="C40" s="12">
        <f t="shared" si="3"/>
        <v>22000</v>
      </c>
      <c r="D40" s="12">
        <f t="shared" ref="D40:D71" si="4">ROUND(($E$1+B40)*$H$1*B40*$K$1,-1)</f>
        <v>1690</v>
      </c>
      <c r="E40" s="14"/>
      <c r="F40" s="14"/>
      <c r="G40" s="14"/>
      <c r="H40" s="14"/>
      <c r="J40" s="11">
        <v>14600</v>
      </c>
      <c r="K40" s="12">
        <f t="shared" ref="K40:K74" si="5">J40-J39</f>
        <v>1700</v>
      </c>
    </row>
    <row r="41" s="12" customFormat="1" spans="1:11">
      <c r="A41" s="18"/>
      <c r="B41" s="11">
        <v>36</v>
      </c>
      <c r="C41" s="12">
        <f t="shared" si="3"/>
        <v>23800</v>
      </c>
      <c r="D41" s="12">
        <f t="shared" si="4"/>
        <v>1790</v>
      </c>
      <c r="E41" s="14"/>
      <c r="F41" s="14"/>
      <c r="G41" s="14"/>
      <c r="H41" s="14"/>
      <c r="J41" s="11">
        <v>16500</v>
      </c>
      <c r="K41" s="12">
        <f t="shared" si="5"/>
        <v>1900</v>
      </c>
    </row>
    <row r="42" s="12" customFormat="1" spans="1:11">
      <c r="A42" s="18"/>
      <c r="B42" s="11">
        <v>37</v>
      </c>
      <c r="C42" s="12">
        <f t="shared" si="3"/>
        <v>25700</v>
      </c>
      <c r="D42" s="12">
        <f t="shared" si="4"/>
        <v>1880</v>
      </c>
      <c r="E42" s="14"/>
      <c r="F42" s="14"/>
      <c r="G42" s="14"/>
      <c r="H42" s="14"/>
      <c r="J42" s="11">
        <v>18600</v>
      </c>
      <c r="K42" s="12">
        <f t="shared" si="5"/>
        <v>2100</v>
      </c>
    </row>
    <row r="43" s="12" customFormat="1" spans="1:11">
      <c r="A43" s="18"/>
      <c r="B43" s="11">
        <v>38</v>
      </c>
      <c r="C43" s="12">
        <f t="shared" si="3"/>
        <v>27700</v>
      </c>
      <c r="D43" s="12">
        <f t="shared" si="4"/>
        <v>1980</v>
      </c>
      <c r="E43" s="14"/>
      <c r="F43" s="14"/>
      <c r="G43" s="14"/>
      <c r="H43" s="14"/>
      <c r="J43" s="11">
        <v>21000</v>
      </c>
      <c r="K43" s="12">
        <f t="shared" si="5"/>
        <v>2400</v>
      </c>
    </row>
    <row r="44" s="12" customFormat="1" spans="1:11">
      <c r="A44" s="18"/>
      <c r="B44" s="11">
        <v>39</v>
      </c>
      <c r="C44" s="12">
        <f t="shared" si="3"/>
        <v>29800</v>
      </c>
      <c r="D44" s="12">
        <f t="shared" si="4"/>
        <v>2080</v>
      </c>
      <c r="E44" s="14"/>
      <c r="F44" s="14"/>
      <c r="G44" s="14"/>
      <c r="H44" s="14"/>
      <c r="J44" s="11">
        <v>23600</v>
      </c>
      <c r="K44" s="12">
        <f t="shared" si="5"/>
        <v>2600</v>
      </c>
    </row>
    <row r="45" s="12" customFormat="1" spans="1:11">
      <c r="A45" s="18"/>
      <c r="B45" s="11">
        <v>40</v>
      </c>
      <c r="C45" s="12">
        <f t="shared" si="3"/>
        <v>32000</v>
      </c>
      <c r="D45" s="12">
        <f t="shared" si="4"/>
        <v>2180</v>
      </c>
      <c r="E45" s="14"/>
      <c r="F45" s="14"/>
      <c r="G45" s="14"/>
      <c r="H45" s="14"/>
      <c r="J45" s="11">
        <v>26600</v>
      </c>
      <c r="K45" s="12">
        <f t="shared" si="5"/>
        <v>3000</v>
      </c>
    </row>
    <row r="46" s="12" customFormat="1" spans="1:11">
      <c r="A46" s="18"/>
      <c r="B46" s="11">
        <v>41</v>
      </c>
      <c r="C46" s="12">
        <f t="shared" si="3"/>
        <v>34300</v>
      </c>
      <c r="D46" s="12">
        <f t="shared" si="4"/>
        <v>2280</v>
      </c>
      <c r="E46" s="14"/>
      <c r="F46" s="14"/>
      <c r="G46" s="14"/>
      <c r="H46" s="14"/>
      <c r="J46" s="11">
        <v>29800</v>
      </c>
      <c r="K46" s="12">
        <f t="shared" si="5"/>
        <v>3200</v>
      </c>
    </row>
    <row r="47" s="12" customFormat="1" spans="1:11">
      <c r="A47" s="18"/>
      <c r="B47" s="11">
        <v>42</v>
      </c>
      <c r="C47" s="12">
        <f t="shared" si="3"/>
        <v>36700</v>
      </c>
      <c r="D47" s="12">
        <f t="shared" si="4"/>
        <v>2390</v>
      </c>
      <c r="E47" s="14"/>
      <c r="F47" s="14"/>
      <c r="G47" s="14"/>
      <c r="H47" s="14"/>
      <c r="J47" s="11">
        <v>33500</v>
      </c>
      <c r="K47" s="12">
        <f t="shared" si="5"/>
        <v>3700</v>
      </c>
    </row>
    <row r="48" s="12" customFormat="1" spans="1:11">
      <c r="A48" s="18"/>
      <c r="B48" s="11">
        <v>43</v>
      </c>
      <c r="C48" s="12">
        <f t="shared" si="3"/>
        <v>39200</v>
      </c>
      <c r="D48" s="12">
        <f t="shared" si="4"/>
        <v>2500</v>
      </c>
      <c r="E48" s="14"/>
      <c r="F48" s="14"/>
      <c r="G48" s="14"/>
      <c r="H48" s="14"/>
      <c r="J48" s="11">
        <v>37500</v>
      </c>
      <c r="K48" s="12">
        <f t="shared" si="5"/>
        <v>4000</v>
      </c>
    </row>
    <row r="49" s="12" customFormat="1" spans="1:11">
      <c r="A49" s="18"/>
      <c r="B49" s="11">
        <v>44</v>
      </c>
      <c r="C49" s="12">
        <f t="shared" si="3"/>
        <v>41800</v>
      </c>
      <c r="D49" s="12">
        <f t="shared" si="4"/>
        <v>2610</v>
      </c>
      <c r="E49" s="14"/>
      <c r="F49" s="14"/>
      <c r="G49" s="14"/>
      <c r="H49" s="14"/>
      <c r="J49" s="11">
        <v>42000</v>
      </c>
      <c r="K49" s="12">
        <f t="shared" si="5"/>
        <v>4500</v>
      </c>
    </row>
    <row r="50" s="12" customFormat="1" spans="1:11">
      <c r="A50" s="18"/>
      <c r="B50" s="11">
        <v>45</v>
      </c>
      <c r="C50" s="12">
        <f t="shared" si="3"/>
        <v>44500</v>
      </c>
      <c r="D50" s="12">
        <f t="shared" si="4"/>
        <v>2720</v>
      </c>
      <c r="E50" s="14"/>
      <c r="F50" s="14"/>
      <c r="G50" s="14"/>
      <c r="H50" s="14"/>
      <c r="J50" s="11">
        <v>47000</v>
      </c>
      <c r="K50" s="12">
        <f t="shared" si="5"/>
        <v>5000</v>
      </c>
    </row>
    <row r="51" s="12" customFormat="1" spans="1:11">
      <c r="A51" s="18"/>
      <c r="B51" s="11">
        <v>46</v>
      </c>
      <c r="C51" s="12">
        <f t="shared" si="3"/>
        <v>47300</v>
      </c>
      <c r="D51" s="12">
        <f t="shared" si="4"/>
        <v>2840</v>
      </c>
      <c r="E51" s="14"/>
      <c r="F51" s="14"/>
      <c r="G51" s="14"/>
      <c r="H51" s="14"/>
      <c r="J51" s="11">
        <v>50000</v>
      </c>
      <c r="K51" s="12">
        <f t="shared" si="5"/>
        <v>3000</v>
      </c>
    </row>
    <row r="52" s="12" customFormat="1" spans="1:11">
      <c r="A52" s="18"/>
      <c r="B52" s="11">
        <v>47</v>
      </c>
      <c r="C52" s="12">
        <f t="shared" si="3"/>
        <v>50300</v>
      </c>
      <c r="D52" s="12">
        <f t="shared" si="4"/>
        <v>2960</v>
      </c>
      <c r="E52" s="14"/>
      <c r="F52" s="14"/>
      <c r="G52" s="14"/>
      <c r="H52" s="14"/>
      <c r="J52" s="11">
        <v>55000</v>
      </c>
      <c r="K52" s="12">
        <f t="shared" si="5"/>
        <v>5000</v>
      </c>
    </row>
    <row r="53" s="12" customFormat="1" spans="1:11">
      <c r="A53" s="18"/>
      <c r="B53" s="11">
        <v>48</v>
      </c>
      <c r="C53" s="12">
        <f t="shared" si="3"/>
        <v>53400</v>
      </c>
      <c r="D53" s="12">
        <f t="shared" si="4"/>
        <v>3080</v>
      </c>
      <c r="E53" s="14"/>
      <c r="F53" s="14"/>
      <c r="G53" s="14"/>
      <c r="H53" s="14"/>
      <c r="J53" s="11">
        <v>65000</v>
      </c>
      <c r="K53" s="12">
        <f t="shared" si="5"/>
        <v>10000</v>
      </c>
    </row>
    <row r="54" s="12" customFormat="1" spans="1:11">
      <c r="A54" s="18"/>
      <c r="B54" s="11">
        <v>49</v>
      </c>
      <c r="C54" s="12">
        <f t="shared" si="3"/>
        <v>56600</v>
      </c>
      <c r="D54" s="12">
        <f t="shared" si="4"/>
        <v>3200</v>
      </c>
      <c r="E54" s="14"/>
      <c r="F54" s="14"/>
      <c r="G54" s="14"/>
      <c r="H54" s="14"/>
      <c r="J54" s="11">
        <v>65000</v>
      </c>
      <c r="K54" s="12">
        <f t="shared" si="5"/>
        <v>0</v>
      </c>
    </row>
    <row r="55" s="12" customFormat="1" spans="1:11">
      <c r="A55" s="18"/>
      <c r="B55" s="11">
        <v>50</v>
      </c>
      <c r="C55" s="12">
        <f t="shared" ref="C55:C86" si="6">ROUND(C54+D55,-2)</f>
        <v>59900</v>
      </c>
      <c r="D55" s="12">
        <f t="shared" si="4"/>
        <v>3330</v>
      </c>
      <c r="E55" s="14"/>
      <c r="F55" s="14"/>
      <c r="G55" s="14"/>
      <c r="H55" s="14"/>
      <c r="J55" s="11">
        <v>70000</v>
      </c>
      <c r="K55" s="12">
        <f t="shared" si="5"/>
        <v>5000</v>
      </c>
    </row>
    <row r="56" s="12" customFormat="1" spans="1:11">
      <c r="A56" s="18"/>
      <c r="B56" s="11">
        <v>51</v>
      </c>
      <c r="C56" s="12">
        <f t="shared" si="6"/>
        <v>63400</v>
      </c>
      <c r="D56" s="12">
        <f t="shared" si="4"/>
        <v>3460</v>
      </c>
      <c r="E56" s="14"/>
      <c r="F56" s="14"/>
      <c r="G56" s="14"/>
      <c r="H56" s="14"/>
      <c r="J56" s="11">
        <v>75000</v>
      </c>
      <c r="K56" s="12">
        <f t="shared" si="5"/>
        <v>5000</v>
      </c>
    </row>
    <row r="57" s="12" customFormat="1" spans="1:11">
      <c r="A57" s="18"/>
      <c r="B57" s="11">
        <v>52</v>
      </c>
      <c r="C57" s="12">
        <f t="shared" si="6"/>
        <v>67000</v>
      </c>
      <c r="D57" s="12">
        <f t="shared" si="4"/>
        <v>3590</v>
      </c>
      <c r="E57" s="14"/>
      <c r="F57" s="14"/>
      <c r="G57" s="14"/>
      <c r="H57" s="14"/>
      <c r="J57" s="11">
        <v>80000</v>
      </c>
      <c r="K57" s="12">
        <f t="shared" si="5"/>
        <v>5000</v>
      </c>
    </row>
    <row r="58" s="12" customFormat="1" spans="1:11">
      <c r="A58" s="18"/>
      <c r="B58" s="11">
        <v>53</v>
      </c>
      <c r="C58" s="12">
        <f t="shared" si="6"/>
        <v>70700</v>
      </c>
      <c r="D58" s="12">
        <f t="shared" si="4"/>
        <v>3720</v>
      </c>
      <c r="E58" s="14"/>
      <c r="F58" s="14"/>
      <c r="G58" s="14"/>
      <c r="H58" s="14"/>
      <c r="J58" s="11">
        <v>85000</v>
      </c>
      <c r="K58" s="12">
        <f t="shared" si="5"/>
        <v>5000</v>
      </c>
    </row>
    <row r="59" s="12" customFormat="1" spans="1:11">
      <c r="A59" s="18"/>
      <c r="B59" s="11">
        <v>54</v>
      </c>
      <c r="C59" s="12">
        <f t="shared" si="6"/>
        <v>74600</v>
      </c>
      <c r="D59" s="12">
        <f t="shared" si="4"/>
        <v>3860</v>
      </c>
      <c r="E59" s="14"/>
      <c r="F59" s="14"/>
      <c r="G59" s="14"/>
      <c r="H59" s="14"/>
      <c r="J59" s="11">
        <v>90000</v>
      </c>
      <c r="K59" s="12">
        <f t="shared" si="5"/>
        <v>5000</v>
      </c>
    </row>
    <row r="60" s="12" customFormat="1" spans="1:11">
      <c r="A60" s="18"/>
      <c r="B60" s="11">
        <v>55</v>
      </c>
      <c r="C60" s="12">
        <f t="shared" si="6"/>
        <v>78600</v>
      </c>
      <c r="D60" s="12">
        <f t="shared" si="4"/>
        <v>3990</v>
      </c>
      <c r="E60" s="14"/>
      <c r="F60" s="14"/>
      <c r="G60" s="14"/>
      <c r="H60" s="14"/>
      <c r="J60" s="11">
        <v>95000</v>
      </c>
      <c r="K60" s="12">
        <f t="shared" si="5"/>
        <v>5000</v>
      </c>
    </row>
    <row r="61" s="12" customFormat="1" spans="1:11">
      <c r="A61" s="18"/>
      <c r="B61" s="11">
        <v>56</v>
      </c>
      <c r="C61" s="12">
        <f t="shared" si="6"/>
        <v>82700</v>
      </c>
      <c r="D61" s="12">
        <f t="shared" si="4"/>
        <v>4130</v>
      </c>
      <c r="E61" s="14"/>
      <c r="F61" s="14"/>
      <c r="G61" s="14"/>
      <c r="H61" s="14"/>
      <c r="J61" s="11">
        <v>100000</v>
      </c>
      <c r="K61" s="12">
        <f t="shared" si="5"/>
        <v>5000</v>
      </c>
    </row>
    <row r="62" s="12" customFormat="1" spans="1:11">
      <c r="A62" s="18"/>
      <c r="B62" s="11">
        <v>57</v>
      </c>
      <c r="C62" s="12">
        <f t="shared" si="6"/>
        <v>87000</v>
      </c>
      <c r="D62" s="12">
        <f t="shared" si="4"/>
        <v>4280</v>
      </c>
      <c r="E62" s="14"/>
      <c r="F62" s="14"/>
      <c r="G62" s="14"/>
      <c r="H62" s="14"/>
      <c r="J62" s="11">
        <v>105000</v>
      </c>
      <c r="K62" s="12">
        <f t="shared" si="5"/>
        <v>5000</v>
      </c>
    </row>
    <row r="63" s="12" customFormat="1" spans="1:11">
      <c r="A63" s="18"/>
      <c r="B63" s="11">
        <v>58</v>
      </c>
      <c r="C63" s="12">
        <f t="shared" si="6"/>
        <v>91400</v>
      </c>
      <c r="D63" s="12">
        <f t="shared" si="4"/>
        <v>4420</v>
      </c>
      <c r="E63" s="14"/>
      <c r="F63" s="14"/>
      <c r="G63" s="14"/>
      <c r="H63" s="14"/>
      <c r="J63" s="11">
        <v>110000</v>
      </c>
      <c r="K63" s="12">
        <f t="shared" si="5"/>
        <v>5000</v>
      </c>
    </row>
    <row r="64" s="12" customFormat="1" spans="1:11">
      <c r="A64" s="18"/>
      <c r="B64" s="11">
        <v>59</v>
      </c>
      <c r="C64" s="12">
        <f t="shared" si="6"/>
        <v>96000</v>
      </c>
      <c r="D64" s="12">
        <f t="shared" si="4"/>
        <v>4570</v>
      </c>
      <c r="E64" s="14"/>
      <c r="F64" s="14"/>
      <c r="G64" s="14"/>
      <c r="H64" s="14"/>
      <c r="J64" s="11">
        <v>120000</v>
      </c>
      <c r="K64" s="12">
        <f t="shared" si="5"/>
        <v>10000</v>
      </c>
    </row>
    <row r="65" s="12" customFormat="1" spans="1:11">
      <c r="A65" s="18"/>
      <c r="B65" s="11">
        <v>60</v>
      </c>
      <c r="C65" s="12">
        <f t="shared" si="6"/>
        <v>100700</v>
      </c>
      <c r="D65" s="12">
        <f t="shared" si="4"/>
        <v>4720</v>
      </c>
      <c r="E65" s="14"/>
      <c r="F65" s="14"/>
      <c r="G65" s="14"/>
      <c r="H65" s="14"/>
      <c r="J65" s="11">
        <v>120000</v>
      </c>
      <c r="K65" s="12">
        <f t="shared" si="5"/>
        <v>0</v>
      </c>
    </row>
    <row r="66" s="12" customFormat="1" spans="1:11">
      <c r="A66" s="18"/>
      <c r="B66" s="11">
        <v>61</v>
      </c>
      <c r="C66" s="12">
        <f t="shared" si="6"/>
        <v>105600</v>
      </c>
      <c r="D66" s="12">
        <f t="shared" si="4"/>
        <v>4870</v>
      </c>
      <c r="E66" s="14"/>
      <c r="F66" s="14"/>
      <c r="G66" s="14"/>
      <c r="H66" s="14"/>
      <c r="J66" s="11">
        <v>120000</v>
      </c>
      <c r="K66" s="12">
        <f t="shared" si="5"/>
        <v>0</v>
      </c>
    </row>
    <row r="67" s="12" customFormat="1" spans="1:11">
      <c r="A67" s="18"/>
      <c r="B67" s="11">
        <v>62</v>
      </c>
      <c r="C67" s="12">
        <f t="shared" si="6"/>
        <v>110600</v>
      </c>
      <c r="D67" s="12">
        <f t="shared" si="4"/>
        <v>5030</v>
      </c>
      <c r="E67" s="14"/>
      <c r="F67" s="14"/>
      <c r="G67" s="14"/>
      <c r="H67" s="14"/>
      <c r="J67" s="11">
        <v>120000</v>
      </c>
      <c r="K67" s="12">
        <f t="shared" si="5"/>
        <v>0</v>
      </c>
    </row>
    <row r="68" s="12" customFormat="1" spans="1:11">
      <c r="A68" s="18"/>
      <c r="B68" s="11">
        <v>63</v>
      </c>
      <c r="C68" s="12">
        <f t="shared" si="6"/>
        <v>115800</v>
      </c>
      <c r="D68" s="12">
        <f t="shared" si="4"/>
        <v>5180</v>
      </c>
      <c r="E68" s="14"/>
      <c r="F68" s="14"/>
      <c r="G68" s="14"/>
      <c r="H68" s="14"/>
      <c r="J68" s="11">
        <v>120000</v>
      </c>
      <c r="K68" s="12">
        <f t="shared" si="5"/>
        <v>0</v>
      </c>
    </row>
    <row r="69" s="12" customFormat="1" spans="1:11">
      <c r="A69" s="18"/>
      <c r="B69" s="11">
        <v>64</v>
      </c>
      <c r="C69" s="12">
        <f t="shared" si="6"/>
        <v>121100</v>
      </c>
      <c r="D69" s="12">
        <f t="shared" si="4"/>
        <v>5340</v>
      </c>
      <c r="E69" s="14"/>
      <c r="F69" s="14"/>
      <c r="G69" s="14"/>
      <c r="H69" s="14"/>
      <c r="J69" s="11">
        <v>125000</v>
      </c>
      <c r="K69" s="12">
        <f t="shared" si="5"/>
        <v>5000</v>
      </c>
    </row>
    <row r="70" s="12" customFormat="1" spans="1:11">
      <c r="A70" s="18"/>
      <c r="B70" s="11">
        <v>65</v>
      </c>
      <c r="C70" s="12">
        <f t="shared" si="6"/>
        <v>126600</v>
      </c>
      <c r="D70" s="12">
        <f t="shared" si="4"/>
        <v>5510</v>
      </c>
      <c r="E70" s="14"/>
      <c r="F70" s="14"/>
      <c r="G70" s="14"/>
      <c r="H70" s="14"/>
      <c r="J70" s="11">
        <v>125000</v>
      </c>
      <c r="K70" s="12">
        <f t="shared" si="5"/>
        <v>0</v>
      </c>
    </row>
    <row r="71" s="12" customFormat="1" spans="1:11">
      <c r="A71" s="18"/>
      <c r="B71" s="11">
        <v>66</v>
      </c>
      <c r="C71" s="12">
        <f t="shared" si="6"/>
        <v>132300</v>
      </c>
      <c r="D71" s="12">
        <f t="shared" si="4"/>
        <v>5670</v>
      </c>
      <c r="E71" s="14"/>
      <c r="F71" s="14"/>
      <c r="G71" s="14"/>
      <c r="H71" s="14"/>
      <c r="J71" s="11">
        <v>125000</v>
      </c>
      <c r="K71" s="12">
        <f t="shared" si="5"/>
        <v>0</v>
      </c>
    </row>
    <row r="72" s="12" customFormat="1" spans="1:11">
      <c r="A72" s="18"/>
      <c r="B72" s="11">
        <v>67</v>
      </c>
      <c r="C72" s="12">
        <f t="shared" si="6"/>
        <v>138100</v>
      </c>
      <c r="D72" s="12">
        <f t="shared" ref="D72:D103" si="7">ROUND(($E$1+B72)*$H$1*B72*$K$1,-1)</f>
        <v>5840</v>
      </c>
      <c r="E72" s="14"/>
      <c r="F72" s="14"/>
      <c r="G72" s="14"/>
      <c r="H72" s="14"/>
      <c r="J72" s="11">
        <v>125000</v>
      </c>
      <c r="K72" s="12">
        <f t="shared" si="5"/>
        <v>0</v>
      </c>
    </row>
    <row r="73" s="12" customFormat="1" spans="1:11">
      <c r="A73" s="18"/>
      <c r="B73" s="11">
        <v>68</v>
      </c>
      <c r="C73" s="12">
        <f t="shared" si="6"/>
        <v>144100</v>
      </c>
      <c r="D73" s="12">
        <f t="shared" si="7"/>
        <v>6010</v>
      </c>
      <c r="E73" s="14"/>
      <c r="F73" s="14"/>
      <c r="G73" s="14"/>
      <c r="H73" s="14"/>
      <c r="J73" s="11">
        <v>125000</v>
      </c>
      <c r="K73" s="12">
        <f t="shared" si="5"/>
        <v>0</v>
      </c>
    </row>
    <row r="74" s="12" customFormat="1" spans="1:13">
      <c r="A74" s="18"/>
      <c r="B74" s="11">
        <v>69</v>
      </c>
      <c r="C74" s="12">
        <f>ROUND(C73+D74,-3)</f>
        <v>150000</v>
      </c>
      <c r="D74" s="12">
        <f t="shared" si="7"/>
        <v>6180</v>
      </c>
      <c r="E74" s="14"/>
      <c r="F74" s="14"/>
      <c r="G74" s="14"/>
      <c r="H74" s="14"/>
      <c r="J74" s="11">
        <v>125000</v>
      </c>
      <c r="K74" s="12">
        <f t="shared" si="5"/>
        <v>0</v>
      </c>
      <c r="M74" s="11">
        <f>SUM(J6:J74)</f>
        <v>2796100</v>
      </c>
    </row>
    <row r="75" s="12" customFormat="1" spans="1:8">
      <c r="A75" s="18"/>
      <c r="B75" s="11">
        <v>70</v>
      </c>
      <c r="C75" s="12">
        <f t="shared" ref="C75:C106" si="8">ROUND(C74+D75,-3)</f>
        <v>156000</v>
      </c>
      <c r="D75" s="12">
        <f t="shared" si="7"/>
        <v>6350</v>
      </c>
      <c r="E75" s="14"/>
      <c r="F75" s="14"/>
      <c r="G75" s="14"/>
      <c r="H75" s="14"/>
    </row>
    <row r="76" s="12" customFormat="1" spans="1:8">
      <c r="A76" s="18"/>
      <c r="B76" s="11">
        <v>71</v>
      </c>
      <c r="C76" s="12">
        <f t="shared" si="8"/>
        <v>163000</v>
      </c>
      <c r="D76" s="12">
        <f t="shared" si="7"/>
        <v>6530</v>
      </c>
      <c r="E76" s="14"/>
      <c r="F76" s="14"/>
      <c r="G76" s="14"/>
      <c r="H76" s="14"/>
    </row>
    <row r="77" s="12" customFormat="1" spans="1:8">
      <c r="A77" s="18"/>
      <c r="B77" s="11">
        <v>72</v>
      </c>
      <c r="C77" s="12">
        <f t="shared" si="8"/>
        <v>170000</v>
      </c>
      <c r="D77" s="12">
        <f t="shared" si="7"/>
        <v>6710</v>
      </c>
      <c r="E77" s="14"/>
      <c r="F77" s="14"/>
      <c r="G77" s="14"/>
      <c r="H77" s="14"/>
    </row>
    <row r="78" s="12" customFormat="1" spans="1:8">
      <c r="A78" s="18"/>
      <c r="B78" s="11">
        <v>73</v>
      </c>
      <c r="C78" s="12">
        <f t="shared" si="8"/>
        <v>177000</v>
      </c>
      <c r="D78" s="12">
        <f t="shared" si="7"/>
        <v>6890</v>
      </c>
      <c r="E78" s="14"/>
      <c r="F78" s="14"/>
      <c r="G78" s="14"/>
      <c r="H78" s="14"/>
    </row>
    <row r="79" s="12" customFormat="1" spans="1:8">
      <c r="A79" s="18"/>
      <c r="B79" s="11">
        <v>74</v>
      </c>
      <c r="C79" s="12">
        <f t="shared" si="8"/>
        <v>184000</v>
      </c>
      <c r="D79" s="12">
        <f t="shared" si="7"/>
        <v>7070</v>
      </c>
      <c r="E79" s="14"/>
      <c r="F79" s="14"/>
      <c r="G79" s="14"/>
      <c r="H79" s="14"/>
    </row>
    <row r="80" s="12" customFormat="1" spans="1:8">
      <c r="A80" s="18"/>
      <c r="B80" s="11">
        <v>75</v>
      </c>
      <c r="C80" s="12">
        <f t="shared" si="8"/>
        <v>191000</v>
      </c>
      <c r="D80" s="12">
        <f t="shared" si="7"/>
        <v>7260</v>
      </c>
      <c r="E80" s="14"/>
      <c r="F80" s="14"/>
      <c r="G80" s="14"/>
      <c r="H80" s="14"/>
    </row>
    <row r="81" s="12" customFormat="1" spans="1:8">
      <c r="A81" s="18"/>
      <c r="B81" s="11">
        <v>76</v>
      </c>
      <c r="C81" s="12">
        <f t="shared" si="8"/>
        <v>198000</v>
      </c>
      <c r="D81" s="12">
        <f t="shared" si="7"/>
        <v>7450</v>
      </c>
      <c r="E81" s="14"/>
      <c r="F81" s="14"/>
      <c r="G81" s="14"/>
      <c r="H81" s="14"/>
    </row>
    <row r="82" s="12" customFormat="1" spans="1:8">
      <c r="A82" s="18"/>
      <c r="B82" s="11">
        <v>77</v>
      </c>
      <c r="C82" s="12">
        <f t="shared" si="8"/>
        <v>206000</v>
      </c>
      <c r="D82" s="12">
        <f t="shared" si="7"/>
        <v>7640</v>
      </c>
      <c r="E82" s="14"/>
      <c r="F82" s="14"/>
      <c r="G82" s="14"/>
      <c r="H82" s="14"/>
    </row>
    <row r="83" s="12" customFormat="1" spans="1:8">
      <c r="A83" s="18"/>
      <c r="B83" s="11">
        <v>78</v>
      </c>
      <c r="C83" s="12">
        <f t="shared" si="8"/>
        <v>214000</v>
      </c>
      <c r="D83" s="12">
        <f t="shared" si="7"/>
        <v>7830</v>
      </c>
      <c r="E83" s="14"/>
      <c r="F83" s="14"/>
      <c r="G83" s="14"/>
      <c r="H83" s="14"/>
    </row>
    <row r="84" s="12" customFormat="1" spans="1:8">
      <c r="A84" s="18"/>
      <c r="B84" s="11">
        <v>79</v>
      </c>
      <c r="C84" s="12">
        <f t="shared" si="8"/>
        <v>222000</v>
      </c>
      <c r="D84" s="12">
        <f t="shared" si="7"/>
        <v>8030</v>
      </c>
      <c r="E84" s="14"/>
      <c r="F84" s="14"/>
      <c r="G84" s="14"/>
      <c r="H84" s="14"/>
    </row>
    <row r="85" s="12" customFormat="1" spans="1:8">
      <c r="A85" s="18"/>
      <c r="B85" s="11">
        <v>80</v>
      </c>
      <c r="C85" s="12">
        <f t="shared" si="8"/>
        <v>230000</v>
      </c>
      <c r="D85" s="12">
        <f t="shared" si="7"/>
        <v>8230</v>
      </c>
      <c r="E85" s="14"/>
      <c r="F85" s="14"/>
      <c r="G85" s="14"/>
      <c r="H85" s="14"/>
    </row>
    <row r="86" s="12" customFormat="1" spans="1:8">
      <c r="A86" s="18"/>
      <c r="B86" s="11">
        <v>81</v>
      </c>
      <c r="C86" s="12">
        <f t="shared" si="8"/>
        <v>238000</v>
      </c>
      <c r="D86" s="12">
        <f t="shared" si="7"/>
        <v>8430</v>
      </c>
      <c r="E86" s="14"/>
      <c r="F86" s="14"/>
      <c r="G86" s="14"/>
      <c r="H86" s="14"/>
    </row>
    <row r="87" s="12" customFormat="1" spans="1:8">
      <c r="A87" s="18"/>
      <c r="B87" s="11">
        <v>82</v>
      </c>
      <c r="C87" s="12">
        <f t="shared" si="8"/>
        <v>247000</v>
      </c>
      <c r="D87" s="12">
        <f t="shared" si="7"/>
        <v>8630</v>
      </c>
      <c r="E87" s="14"/>
      <c r="F87" s="14"/>
      <c r="G87" s="14"/>
      <c r="H87" s="14"/>
    </row>
    <row r="88" s="12" customFormat="1" spans="1:8">
      <c r="A88" s="18"/>
      <c r="B88" s="11">
        <v>83</v>
      </c>
      <c r="C88" s="12">
        <f t="shared" si="8"/>
        <v>256000</v>
      </c>
      <c r="D88" s="12">
        <f t="shared" si="7"/>
        <v>8840</v>
      </c>
      <c r="E88" s="14"/>
      <c r="F88" s="14"/>
      <c r="G88" s="14"/>
      <c r="H88" s="14"/>
    </row>
    <row r="89" s="12" customFormat="1" spans="1:8">
      <c r="A89" s="18"/>
      <c r="B89" s="11">
        <v>84</v>
      </c>
      <c r="C89" s="12">
        <f t="shared" si="8"/>
        <v>265000</v>
      </c>
      <c r="D89" s="12">
        <f t="shared" si="7"/>
        <v>9050</v>
      </c>
      <c r="E89" s="14"/>
      <c r="F89" s="14"/>
      <c r="G89" s="14"/>
      <c r="H89" s="14"/>
    </row>
    <row r="90" s="12" customFormat="1" spans="1:8">
      <c r="A90" s="18"/>
      <c r="B90" s="11">
        <v>85</v>
      </c>
      <c r="C90" s="12">
        <f t="shared" si="8"/>
        <v>274000</v>
      </c>
      <c r="D90" s="12">
        <f t="shared" si="7"/>
        <v>9260</v>
      </c>
      <c r="E90" s="14"/>
      <c r="F90" s="14"/>
      <c r="G90" s="14"/>
      <c r="H90" s="14"/>
    </row>
    <row r="91" s="12" customFormat="1" spans="1:8">
      <c r="A91" s="18"/>
      <c r="B91" s="11">
        <v>86</v>
      </c>
      <c r="C91" s="12">
        <f t="shared" si="8"/>
        <v>283000</v>
      </c>
      <c r="D91" s="12">
        <f t="shared" si="7"/>
        <v>9470</v>
      </c>
      <c r="E91" s="14"/>
      <c r="F91" s="14"/>
      <c r="G91" s="14"/>
      <c r="H91" s="14"/>
    </row>
    <row r="92" s="12" customFormat="1" spans="1:8">
      <c r="A92" s="18"/>
      <c r="B92" s="11">
        <v>87</v>
      </c>
      <c r="C92" s="12">
        <f t="shared" si="8"/>
        <v>293000</v>
      </c>
      <c r="D92" s="12">
        <f t="shared" si="7"/>
        <v>9680</v>
      </c>
      <c r="E92" s="14"/>
      <c r="F92" s="14"/>
      <c r="G92" s="14"/>
      <c r="H92" s="14"/>
    </row>
    <row r="93" s="12" customFormat="1" spans="1:8">
      <c r="A93" s="18"/>
      <c r="B93" s="11">
        <v>88</v>
      </c>
      <c r="C93" s="12">
        <f t="shared" si="8"/>
        <v>303000</v>
      </c>
      <c r="D93" s="12">
        <f t="shared" si="7"/>
        <v>9900</v>
      </c>
      <c r="E93" s="14"/>
      <c r="F93" s="14"/>
      <c r="G93" s="14"/>
      <c r="H93" s="14"/>
    </row>
    <row r="94" s="12" customFormat="1" spans="1:8">
      <c r="A94" s="18"/>
      <c r="B94" s="11">
        <v>89</v>
      </c>
      <c r="C94" s="12">
        <f t="shared" si="8"/>
        <v>313000</v>
      </c>
      <c r="D94" s="12">
        <f t="shared" si="7"/>
        <v>10120</v>
      </c>
      <c r="E94" s="14"/>
      <c r="F94" s="14"/>
      <c r="G94" s="14"/>
      <c r="H94" s="14"/>
    </row>
    <row r="95" s="12" customFormat="1" spans="1:8">
      <c r="A95" s="18"/>
      <c r="B95" s="11">
        <v>90</v>
      </c>
      <c r="C95" s="12">
        <f t="shared" si="8"/>
        <v>323000</v>
      </c>
      <c r="D95" s="12">
        <f t="shared" si="7"/>
        <v>10350</v>
      </c>
      <c r="E95" s="14"/>
      <c r="F95" s="14"/>
      <c r="G95" s="14"/>
      <c r="H95" s="14"/>
    </row>
    <row r="96" s="12" customFormat="1" spans="1:8">
      <c r="A96" s="18"/>
      <c r="B96" s="11">
        <v>91</v>
      </c>
      <c r="C96" s="12">
        <f t="shared" si="8"/>
        <v>334000</v>
      </c>
      <c r="D96" s="12">
        <f t="shared" si="7"/>
        <v>10570</v>
      </c>
      <c r="E96" s="14"/>
      <c r="F96" s="14"/>
      <c r="G96" s="14"/>
      <c r="H96" s="14"/>
    </row>
    <row r="97" s="12" customFormat="1" spans="1:8">
      <c r="A97" s="18"/>
      <c r="B97" s="11">
        <v>92</v>
      </c>
      <c r="C97" s="12">
        <f t="shared" si="8"/>
        <v>345000</v>
      </c>
      <c r="D97" s="12">
        <f t="shared" si="7"/>
        <v>10800</v>
      </c>
      <c r="E97" s="14"/>
      <c r="F97" s="14"/>
      <c r="G97" s="14"/>
      <c r="H97" s="14"/>
    </row>
    <row r="98" s="12" customFormat="1" spans="1:8">
      <c r="A98" s="18"/>
      <c r="B98" s="11">
        <v>93</v>
      </c>
      <c r="C98" s="12">
        <f t="shared" si="8"/>
        <v>356000</v>
      </c>
      <c r="D98" s="12">
        <f t="shared" si="7"/>
        <v>11030</v>
      </c>
      <c r="E98" s="14"/>
      <c r="F98" s="14"/>
      <c r="G98" s="14"/>
      <c r="H98" s="14"/>
    </row>
    <row r="99" s="12" customFormat="1" spans="1:8">
      <c r="A99" s="18"/>
      <c r="B99" s="11">
        <v>94</v>
      </c>
      <c r="C99" s="12">
        <f t="shared" si="8"/>
        <v>367000</v>
      </c>
      <c r="D99" s="12">
        <f t="shared" si="7"/>
        <v>11260</v>
      </c>
      <c r="E99" s="14"/>
      <c r="F99" s="14"/>
      <c r="G99" s="14"/>
      <c r="H99" s="14"/>
    </row>
    <row r="100" s="12" customFormat="1" spans="1:8">
      <c r="A100" s="18"/>
      <c r="B100" s="11">
        <v>95</v>
      </c>
      <c r="C100" s="12">
        <f t="shared" si="8"/>
        <v>379000</v>
      </c>
      <c r="D100" s="12">
        <f t="shared" si="7"/>
        <v>11500</v>
      </c>
      <c r="E100" s="14"/>
      <c r="F100" s="14"/>
      <c r="G100" s="14"/>
      <c r="H100" s="14"/>
    </row>
    <row r="101" s="12" customFormat="1" spans="1:8">
      <c r="A101" s="18"/>
      <c r="B101" s="11">
        <v>96</v>
      </c>
      <c r="C101" s="12">
        <f t="shared" si="8"/>
        <v>391000</v>
      </c>
      <c r="D101" s="12">
        <f t="shared" si="7"/>
        <v>11730</v>
      </c>
      <c r="E101" s="14"/>
      <c r="F101" s="14"/>
      <c r="G101" s="14"/>
      <c r="H101" s="14"/>
    </row>
    <row r="102" s="12" customFormat="1" spans="1:8">
      <c r="A102" s="18"/>
      <c r="B102" s="11">
        <v>97</v>
      </c>
      <c r="C102" s="12">
        <f t="shared" si="8"/>
        <v>403000</v>
      </c>
      <c r="D102" s="12">
        <f t="shared" si="7"/>
        <v>11970</v>
      </c>
      <c r="E102" s="14"/>
      <c r="F102" s="14"/>
      <c r="G102" s="14"/>
      <c r="H102" s="14"/>
    </row>
    <row r="103" s="12" customFormat="1" spans="1:8">
      <c r="A103" s="18"/>
      <c r="B103" s="11">
        <v>98</v>
      </c>
      <c r="C103" s="12">
        <f t="shared" si="8"/>
        <v>415000</v>
      </c>
      <c r="D103" s="12">
        <f t="shared" si="7"/>
        <v>12210</v>
      </c>
      <c r="E103" s="14"/>
      <c r="F103" s="14"/>
      <c r="G103" s="14"/>
      <c r="H103" s="14"/>
    </row>
    <row r="104" s="12" customFormat="1" spans="1:8">
      <c r="A104" s="18"/>
      <c r="B104" s="11">
        <v>99</v>
      </c>
      <c r="C104" s="12">
        <f t="shared" si="8"/>
        <v>427000</v>
      </c>
      <c r="D104" s="12">
        <f>ROUND(($E$1+B104)*$H$1*B104*$K$1,-1)</f>
        <v>12460</v>
      </c>
      <c r="E104" s="14"/>
      <c r="F104" s="14"/>
      <c r="G104" s="14"/>
      <c r="H104" s="14"/>
    </row>
    <row r="105" s="12" customFormat="1" spans="1:8">
      <c r="A105" s="18"/>
      <c r="B105" s="11">
        <v>100</v>
      </c>
      <c r="C105" s="12">
        <f t="shared" si="8"/>
        <v>440000</v>
      </c>
      <c r="D105" s="12">
        <f>ROUND(($E$1+B105)*$H$1*B105*$K$1,-1)</f>
        <v>12710</v>
      </c>
      <c r="E105" s="14"/>
      <c r="F105" s="14"/>
      <c r="G105" s="14"/>
      <c r="H105" s="14"/>
    </row>
    <row r="106" s="12" customFormat="1" spans="1:8">
      <c r="A106" s="18"/>
      <c r="E106" s="11"/>
      <c r="F106" s="11"/>
      <c r="G106" s="11"/>
      <c r="H106" s="11"/>
    </row>
    <row r="107" s="12" customFormat="1" spans="1:6">
      <c r="A107" s="18"/>
      <c r="F107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workbookViewId="0">
      <selection activeCell="A1" sqref="$A1:$XFD1048576"/>
    </sheetView>
  </sheetViews>
  <sheetFormatPr defaultColWidth="9" defaultRowHeight="16.5"/>
  <cols>
    <col min="1" max="2" width="9" style="10"/>
    <col min="3" max="3" width="14.5" style="10" customWidth="1"/>
    <col min="4" max="16384" width="9" style="10"/>
  </cols>
  <sheetData>
    <row r="1" spans="2:8">
      <c r="B1" s="11" t="s">
        <v>9</v>
      </c>
      <c r="C1" s="11">
        <v>50</v>
      </c>
      <c r="D1" s="11">
        <v>200</v>
      </c>
      <c r="E1" s="11">
        <v>1000</v>
      </c>
      <c r="F1" s="11">
        <v>5000</v>
      </c>
      <c r="H1" s="10" t="s">
        <v>10</v>
      </c>
    </row>
    <row r="2" spans="3:11">
      <c r="C2" s="11"/>
      <c r="D2" s="11"/>
      <c r="E2" s="11"/>
      <c r="H2" s="10" t="s">
        <v>11</v>
      </c>
      <c r="K2" s="16">
        <v>6</v>
      </c>
    </row>
    <row r="3" spans="1:8">
      <c r="A3" s="11" t="s">
        <v>3</v>
      </c>
      <c r="B3" s="12"/>
      <c r="H3" s="13" t="s">
        <v>12</v>
      </c>
    </row>
    <row r="4" spans="1:8">
      <c r="A4" s="11">
        <v>1</v>
      </c>
      <c r="B4" s="14">
        <f>VLOOKUP(A4,英雄消耗!B5:C105,2,1)</f>
        <v>20</v>
      </c>
      <c r="C4" s="14">
        <f>INT($B4/C$1)</f>
        <v>0</v>
      </c>
      <c r="D4" s="14">
        <f>INT($B4/D$1)</f>
        <v>0</v>
      </c>
      <c r="E4" s="14">
        <f>INT($B4/E$1)</f>
        <v>0</v>
      </c>
      <c r="F4" s="14">
        <f>INT($B4/F$1)</f>
        <v>0</v>
      </c>
      <c r="H4" s="13" t="s">
        <v>13</v>
      </c>
    </row>
    <row r="5" spans="1:6">
      <c r="A5" s="11">
        <v>2</v>
      </c>
      <c r="B5" s="14">
        <f>VLOOKUP(A5,英雄消耗!B6:C106,2,1)</f>
        <v>40</v>
      </c>
      <c r="C5" s="14">
        <f t="shared" ref="C5:C36" si="0">INT($B5/$C$1)</f>
        <v>0</v>
      </c>
      <c r="D5" s="14">
        <f t="shared" ref="D5:D36" si="1">INT($B5/D$1)</f>
        <v>0</v>
      </c>
      <c r="E5" s="14">
        <f t="shared" ref="E5:E36" si="2">INT($B5/E$1)</f>
        <v>0</v>
      </c>
      <c r="F5" s="14">
        <f t="shared" ref="F5:F36" si="3">INT($B5/F$1)</f>
        <v>0</v>
      </c>
    </row>
    <row r="6" spans="1:14">
      <c r="A6" s="11">
        <v>3</v>
      </c>
      <c r="B6" s="14">
        <f>VLOOKUP(A6,英雄消耗!B7:C107,2,1)</f>
        <v>70</v>
      </c>
      <c r="C6" s="14">
        <f t="shared" si="0"/>
        <v>1</v>
      </c>
      <c r="D6" s="14">
        <f t="shared" si="1"/>
        <v>0</v>
      </c>
      <c r="E6" s="14">
        <f t="shared" si="2"/>
        <v>0</v>
      </c>
      <c r="F6" s="14">
        <f t="shared" si="3"/>
        <v>0</v>
      </c>
      <c r="H6" s="15" t="s">
        <v>14</v>
      </c>
      <c r="I6" s="15" t="s">
        <v>15</v>
      </c>
      <c r="J6" s="15" t="s">
        <v>16</v>
      </c>
      <c r="K6" s="15">
        <v>50</v>
      </c>
      <c r="L6" s="15">
        <v>200</v>
      </c>
      <c r="M6" s="15">
        <v>1000</v>
      </c>
      <c r="N6" s="15">
        <v>5000</v>
      </c>
    </row>
    <row r="7" spans="1:14">
      <c r="A7" s="11">
        <v>4</v>
      </c>
      <c r="B7" s="14">
        <f>VLOOKUP(A7,英雄消耗!B8:C108,2,1)</f>
        <v>110</v>
      </c>
      <c r="C7" s="14">
        <f t="shared" si="0"/>
        <v>2</v>
      </c>
      <c r="D7" s="14">
        <f t="shared" si="1"/>
        <v>0</v>
      </c>
      <c r="E7" s="14">
        <f t="shared" si="2"/>
        <v>0</v>
      </c>
      <c r="F7" s="14">
        <f t="shared" si="3"/>
        <v>0</v>
      </c>
      <c r="H7" s="15">
        <v>1</v>
      </c>
      <c r="I7" s="15">
        <v>13</v>
      </c>
      <c r="J7" s="15">
        <v>15</v>
      </c>
      <c r="K7" s="15">
        <f>SUM(C4:C16)*$K$2</f>
        <v>786</v>
      </c>
      <c r="L7" s="15" t="s">
        <v>17</v>
      </c>
      <c r="M7" s="15" t="s">
        <v>17</v>
      </c>
      <c r="N7" s="15" t="s">
        <v>17</v>
      </c>
    </row>
    <row r="8" spans="1:14">
      <c r="A8" s="11">
        <v>5</v>
      </c>
      <c r="B8" s="14">
        <f>VLOOKUP(A8,英雄消耗!B9:C109,2,1)</f>
        <v>170</v>
      </c>
      <c r="C8" s="14">
        <f t="shared" si="0"/>
        <v>3</v>
      </c>
      <c r="D8" s="14">
        <f t="shared" si="1"/>
        <v>0</v>
      </c>
      <c r="E8" s="14">
        <f t="shared" si="2"/>
        <v>0</v>
      </c>
      <c r="F8" s="14">
        <f t="shared" si="3"/>
        <v>0</v>
      </c>
      <c r="H8" s="15">
        <v>2</v>
      </c>
      <c r="I8" s="15">
        <v>15</v>
      </c>
      <c r="J8" s="15">
        <v>18</v>
      </c>
      <c r="K8" s="17">
        <v>150</v>
      </c>
      <c r="L8" s="15">
        <f>SUM(D17:D18)*$K$2</f>
        <v>120</v>
      </c>
      <c r="M8" s="15" t="s">
        <v>17</v>
      </c>
      <c r="N8" s="15" t="s">
        <v>17</v>
      </c>
    </row>
    <row r="9" spans="1:14">
      <c r="A9" s="11">
        <v>6</v>
      </c>
      <c r="B9" s="14">
        <f>VLOOKUP(A9,英雄消耗!B10:C110,2,1)</f>
        <v>250</v>
      </c>
      <c r="C9" s="14">
        <f t="shared" si="0"/>
        <v>5</v>
      </c>
      <c r="D9" s="14">
        <f t="shared" si="1"/>
        <v>1</v>
      </c>
      <c r="E9" s="14">
        <f t="shared" si="2"/>
        <v>0</v>
      </c>
      <c r="F9" s="14">
        <f t="shared" si="3"/>
        <v>0</v>
      </c>
      <c r="H9" s="15">
        <v>3</v>
      </c>
      <c r="I9" s="15">
        <v>17</v>
      </c>
      <c r="J9" s="15">
        <v>20</v>
      </c>
      <c r="K9" s="17">
        <v>150</v>
      </c>
      <c r="L9" s="15">
        <f>SUM(D19:D20)*$K$2</f>
        <v>168</v>
      </c>
      <c r="M9" s="15" t="s">
        <v>17</v>
      </c>
      <c r="N9" s="15" t="s">
        <v>17</v>
      </c>
    </row>
    <row r="10" spans="1:14">
      <c r="A10" s="11">
        <v>7</v>
      </c>
      <c r="B10" s="14">
        <f>VLOOKUP(A10,英雄消耗!B11:C111,2,1)</f>
        <v>350</v>
      </c>
      <c r="C10" s="14">
        <f t="shared" si="0"/>
        <v>7</v>
      </c>
      <c r="D10" s="14">
        <f t="shared" si="1"/>
        <v>1</v>
      </c>
      <c r="E10" s="14">
        <f t="shared" si="2"/>
        <v>0</v>
      </c>
      <c r="F10" s="14">
        <f t="shared" si="3"/>
        <v>0</v>
      </c>
      <c r="H10" s="15">
        <v>4</v>
      </c>
      <c r="I10" s="15">
        <v>18</v>
      </c>
      <c r="J10" s="15">
        <v>22</v>
      </c>
      <c r="K10" s="17">
        <v>150</v>
      </c>
      <c r="L10" s="17">
        <v>100</v>
      </c>
      <c r="M10" s="15">
        <f>SUM(E21)*$K$2</f>
        <v>18</v>
      </c>
      <c r="N10" s="15" t="s">
        <v>17</v>
      </c>
    </row>
    <row r="11" spans="1:14">
      <c r="A11" s="11">
        <v>8</v>
      </c>
      <c r="B11" s="14">
        <f>VLOOKUP(A11,英雄消耗!B12:C112,2,1)</f>
        <v>480</v>
      </c>
      <c r="C11" s="14">
        <f t="shared" si="0"/>
        <v>9</v>
      </c>
      <c r="D11" s="14">
        <f t="shared" si="1"/>
        <v>2</v>
      </c>
      <c r="E11" s="14">
        <f t="shared" si="2"/>
        <v>0</v>
      </c>
      <c r="F11" s="14">
        <f t="shared" si="3"/>
        <v>0</v>
      </c>
      <c r="H11" s="15">
        <v>5</v>
      </c>
      <c r="I11" s="15">
        <v>19</v>
      </c>
      <c r="J11" s="15">
        <v>24</v>
      </c>
      <c r="K11" s="17">
        <v>150</v>
      </c>
      <c r="L11" s="17">
        <v>100</v>
      </c>
      <c r="M11" s="15">
        <f>SUM(E22)*$K$2</f>
        <v>24</v>
      </c>
      <c r="N11" s="15" t="s">
        <v>17</v>
      </c>
    </row>
    <row r="12" spans="1:14">
      <c r="A12" s="11">
        <v>9</v>
      </c>
      <c r="B12" s="14">
        <f>VLOOKUP(A12,英雄消耗!B13:C113,2,1)</f>
        <v>630</v>
      </c>
      <c r="C12" s="14">
        <f t="shared" si="0"/>
        <v>12</v>
      </c>
      <c r="D12" s="14">
        <f t="shared" si="1"/>
        <v>3</v>
      </c>
      <c r="E12" s="14">
        <f t="shared" si="2"/>
        <v>0</v>
      </c>
      <c r="F12" s="14">
        <f t="shared" si="3"/>
        <v>0</v>
      </c>
      <c r="H12" s="15">
        <v>6</v>
      </c>
      <c r="I12" s="15">
        <v>20</v>
      </c>
      <c r="J12" s="15">
        <v>25</v>
      </c>
      <c r="K12" s="17">
        <v>150</v>
      </c>
      <c r="L12" s="17">
        <v>100</v>
      </c>
      <c r="M12" s="15">
        <f>SUM(E23)*$K$2</f>
        <v>24</v>
      </c>
      <c r="N12" s="15" t="s">
        <v>17</v>
      </c>
    </row>
    <row r="13" spans="1:14">
      <c r="A13" s="11">
        <v>10</v>
      </c>
      <c r="B13" s="14">
        <f>VLOOKUP(A13,英雄消耗!B14:C114,2,1)</f>
        <v>810</v>
      </c>
      <c r="C13" s="14">
        <f t="shared" si="0"/>
        <v>16</v>
      </c>
      <c r="D13" s="14">
        <f t="shared" si="1"/>
        <v>4</v>
      </c>
      <c r="E13" s="14">
        <f t="shared" si="2"/>
        <v>0</v>
      </c>
      <c r="F13" s="14">
        <f t="shared" si="3"/>
        <v>0</v>
      </c>
      <c r="H13" s="15">
        <v>7</v>
      </c>
      <c r="I13" s="15">
        <v>21</v>
      </c>
      <c r="J13" s="15">
        <v>26</v>
      </c>
      <c r="K13" s="17">
        <v>150</v>
      </c>
      <c r="L13" s="17">
        <v>100</v>
      </c>
      <c r="M13" s="15">
        <f>SUM(E24)*$K$2</f>
        <v>30</v>
      </c>
      <c r="N13" s="15" t="s">
        <v>17</v>
      </c>
    </row>
    <row r="14" spans="1:14">
      <c r="A14" s="11">
        <v>11</v>
      </c>
      <c r="B14" s="14">
        <f>VLOOKUP(A14,英雄消耗!B15:C115,2,1)</f>
        <v>1020</v>
      </c>
      <c r="C14" s="14">
        <f t="shared" si="0"/>
        <v>20</v>
      </c>
      <c r="D14" s="14">
        <f t="shared" si="1"/>
        <v>5</v>
      </c>
      <c r="E14" s="14">
        <f t="shared" si="2"/>
        <v>1</v>
      </c>
      <c r="F14" s="14">
        <f t="shared" si="3"/>
        <v>0</v>
      </c>
      <c r="H14" s="15">
        <v>15</v>
      </c>
      <c r="I14" s="15">
        <v>27</v>
      </c>
      <c r="J14" s="15">
        <v>34</v>
      </c>
      <c r="K14" s="17" t="s">
        <v>17</v>
      </c>
      <c r="L14" s="17">
        <v>100</v>
      </c>
      <c r="M14" s="17">
        <v>50</v>
      </c>
      <c r="N14" s="15">
        <f>SUM(F25:F30)*$K$2</f>
        <v>42</v>
      </c>
    </row>
    <row r="15" spans="1:14">
      <c r="A15" s="11">
        <v>12</v>
      </c>
      <c r="B15" s="14">
        <f>VLOOKUP(A15,英雄消耗!B16:C116,2,1)</f>
        <v>1270</v>
      </c>
      <c r="C15" s="14">
        <f t="shared" si="0"/>
        <v>25</v>
      </c>
      <c r="D15" s="14">
        <f t="shared" si="1"/>
        <v>6</v>
      </c>
      <c r="E15" s="14">
        <f t="shared" si="2"/>
        <v>1</v>
      </c>
      <c r="F15" s="14">
        <f t="shared" si="3"/>
        <v>0</v>
      </c>
      <c r="H15" s="15">
        <v>30</v>
      </c>
      <c r="I15" s="15">
        <v>33</v>
      </c>
      <c r="J15" s="15">
        <v>42</v>
      </c>
      <c r="K15" s="17" t="s">
        <v>17</v>
      </c>
      <c r="L15" s="17" t="s">
        <v>17</v>
      </c>
      <c r="M15" s="17">
        <v>50</v>
      </c>
      <c r="N15" s="17">
        <v>25</v>
      </c>
    </row>
    <row r="16" spans="1:6">
      <c r="A16" s="11">
        <v>13</v>
      </c>
      <c r="B16" s="14">
        <f>VLOOKUP(A16,英雄消耗!B17:C117,2,1)</f>
        <v>1550</v>
      </c>
      <c r="C16" s="14">
        <f t="shared" si="0"/>
        <v>31</v>
      </c>
      <c r="D16" s="14">
        <f t="shared" si="1"/>
        <v>7</v>
      </c>
      <c r="E16" s="14">
        <f t="shared" si="2"/>
        <v>1</v>
      </c>
      <c r="F16" s="14">
        <f t="shared" si="3"/>
        <v>0</v>
      </c>
    </row>
    <row r="17" spans="1:6">
      <c r="A17" s="11">
        <v>14</v>
      </c>
      <c r="B17" s="14">
        <f>VLOOKUP(A17,英雄消耗!B18:C118,2,1)</f>
        <v>1870</v>
      </c>
      <c r="C17" s="14">
        <f t="shared" si="0"/>
        <v>37</v>
      </c>
      <c r="D17" s="14">
        <f t="shared" si="1"/>
        <v>9</v>
      </c>
      <c r="E17" s="14">
        <f t="shared" si="2"/>
        <v>1</v>
      </c>
      <c r="F17" s="14">
        <f t="shared" si="3"/>
        <v>0</v>
      </c>
    </row>
    <row r="18" spans="1:6">
      <c r="A18" s="11">
        <v>15</v>
      </c>
      <c r="B18" s="14">
        <f>VLOOKUP(A18,英雄消耗!B19:C119,2,1)</f>
        <v>2230</v>
      </c>
      <c r="C18" s="14">
        <f t="shared" si="0"/>
        <v>44</v>
      </c>
      <c r="D18" s="14">
        <f t="shared" si="1"/>
        <v>11</v>
      </c>
      <c r="E18" s="14">
        <f t="shared" si="2"/>
        <v>2</v>
      </c>
      <c r="F18" s="14">
        <f t="shared" si="3"/>
        <v>0</v>
      </c>
    </row>
    <row r="19" spans="1:6">
      <c r="A19" s="11">
        <v>16</v>
      </c>
      <c r="B19" s="14">
        <f>VLOOKUP(A19,英雄消耗!B20:C120,2,1)</f>
        <v>2640</v>
      </c>
      <c r="C19" s="14">
        <f t="shared" si="0"/>
        <v>52</v>
      </c>
      <c r="D19" s="14">
        <f t="shared" si="1"/>
        <v>13</v>
      </c>
      <c r="E19" s="14">
        <f t="shared" si="2"/>
        <v>2</v>
      </c>
      <c r="F19" s="14">
        <f t="shared" si="3"/>
        <v>0</v>
      </c>
    </row>
    <row r="20" spans="1:6">
      <c r="A20" s="11">
        <v>17</v>
      </c>
      <c r="B20" s="14">
        <f>VLOOKUP(A20,英雄消耗!B21:C121,2,1)</f>
        <v>3100</v>
      </c>
      <c r="C20" s="14">
        <f t="shared" si="0"/>
        <v>62</v>
      </c>
      <c r="D20" s="14">
        <f t="shared" si="1"/>
        <v>15</v>
      </c>
      <c r="E20" s="14">
        <f t="shared" si="2"/>
        <v>3</v>
      </c>
      <c r="F20" s="14">
        <f t="shared" si="3"/>
        <v>0</v>
      </c>
    </row>
    <row r="21" spans="1:6">
      <c r="A21" s="11">
        <v>18</v>
      </c>
      <c r="B21" s="14">
        <f>VLOOKUP(A21,英雄消耗!B22:C122,2,1)</f>
        <v>3600</v>
      </c>
      <c r="C21" s="14">
        <f t="shared" si="0"/>
        <v>72</v>
      </c>
      <c r="D21" s="14">
        <f t="shared" si="1"/>
        <v>18</v>
      </c>
      <c r="E21" s="14">
        <f t="shared" si="2"/>
        <v>3</v>
      </c>
      <c r="F21" s="14">
        <f t="shared" si="3"/>
        <v>0</v>
      </c>
    </row>
    <row r="22" spans="1:6">
      <c r="A22" s="11">
        <v>19</v>
      </c>
      <c r="B22" s="14">
        <f>VLOOKUP(A22,英雄消耗!B23:C123,2,1)</f>
        <v>4200</v>
      </c>
      <c r="C22" s="14">
        <f t="shared" si="0"/>
        <v>84</v>
      </c>
      <c r="D22" s="14">
        <f t="shared" si="1"/>
        <v>21</v>
      </c>
      <c r="E22" s="14">
        <f t="shared" si="2"/>
        <v>4</v>
      </c>
      <c r="F22" s="14">
        <f t="shared" si="3"/>
        <v>0</v>
      </c>
    </row>
    <row r="23" spans="1:6">
      <c r="A23" s="11">
        <v>20</v>
      </c>
      <c r="B23" s="14">
        <f>VLOOKUP(A23,英雄消耗!B24:C124,2,1)</f>
        <v>4800</v>
      </c>
      <c r="C23" s="14">
        <f t="shared" si="0"/>
        <v>96</v>
      </c>
      <c r="D23" s="14">
        <f t="shared" si="1"/>
        <v>24</v>
      </c>
      <c r="E23" s="14">
        <f t="shared" si="2"/>
        <v>4</v>
      </c>
      <c r="F23" s="14">
        <f t="shared" si="3"/>
        <v>0</v>
      </c>
    </row>
    <row r="24" spans="1:6">
      <c r="A24" s="11">
        <v>21</v>
      </c>
      <c r="B24" s="14">
        <f>VLOOKUP(A24,英雄消耗!B25:C125,2,1)</f>
        <v>5500</v>
      </c>
      <c r="C24" s="14">
        <f t="shared" si="0"/>
        <v>110</v>
      </c>
      <c r="D24" s="14">
        <f t="shared" si="1"/>
        <v>27</v>
      </c>
      <c r="E24" s="14">
        <f t="shared" si="2"/>
        <v>5</v>
      </c>
      <c r="F24" s="14">
        <f t="shared" si="3"/>
        <v>1</v>
      </c>
    </row>
    <row r="25" spans="1:6">
      <c r="A25" s="11">
        <v>22</v>
      </c>
      <c r="B25" s="14">
        <f>VLOOKUP(A25,英雄消耗!B26:C126,2,1)</f>
        <v>6200</v>
      </c>
      <c r="C25" s="14">
        <f t="shared" si="0"/>
        <v>124</v>
      </c>
      <c r="D25" s="14">
        <f t="shared" si="1"/>
        <v>31</v>
      </c>
      <c r="E25" s="14">
        <f t="shared" si="2"/>
        <v>6</v>
      </c>
      <c r="F25" s="14">
        <f t="shared" si="3"/>
        <v>1</v>
      </c>
    </row>
    <row r="26" spans="1:6">
      <c r="A26" s="11">
        <v>23</v>
      </c>
      <c r="B26" s="14">
        <f>VLOOKUP(A26,英雄消耗!B27:C127,2,1)</f>
        <v>7000</v>
      </c>
      <c r="C26" s="14">
        <f t="shared" si="0"/>
        <v>140</v>
      </c>
      <c r="D26" s="14">
        <f t="shared" si="1"/>
        <v>35</v>
      </c>
      <c r="E26" s="14">
        <f t="shared" si="2"/>
        <v>7</v>
      </c>
      <c r="F26" s="14">
        <f t="shared" si="3"/>
        <v>1</v>
      </c>
    </row>
    <row r="27" spans="1:6">
      <c r="A27" s="11">
        <v>24</v>
      </c>
      <c r="B27" s="14">
        <f>VLOOKUP(A27,英雄消耗!B28:C128,2,1)</f>
        <v>7800</v>
      </c>
      <c r="C27" s="14">
        <f t="shared" si="0"/>
        <v>156</v>
      </c>
      <c r="D27" s="14">
        <f t="shared" si="1"/>
        <v>39</v>
      </c>
      <c r="E27" s="14">
        <f t="shared" si="2"/>
        <v>7</v>
      </c>
      <c r="F27" s="14">
        <f t="shared" si="3"/>
        <v>1</v>
      </c>
    </row>
    <row r="28" spans="1:6">
      <c r="A28" s="11">
        <v>25</v>
      </c>
      <c r="B28" s="14">
        <f>VLOOKUP(A28,英雄消耗!B29:C129,2,1)</f>
        <v>8700</v>
      </c>
      <c r="C28" s="14">
        <f t="shared" si="0"/>
        <v>174</v>
      </c>
      <c r="D28" s="14">
        <f t="shared" si="1"/>
        <v>43</v>
      </c>
      <c r="E28" s="14">
        <f t="shared" si="2"/>
        <v>8</v>
      </c>
      <c r="F28" s="14">
        <f t="shared" si="3"/>
        <v>1</v>
      </c>
    </row>
    <row r="29" spans="1:6">
      <c r="A29" s="11">
        <v>26</v>
      </c>
      <c r="B29" s="14">
        <f>VLOOKUP(A29,英雄消耗!B30:C130,2,1)</f>
        <v>9700</v>
      </c>
      <c r="C29" s="14">
        <f t="shared" si="0"/>
        <v>194</v>
      </c>
      <c r="D29" s="14">
        <f t="shared" si="1"/>
        <v>48</v>
      </c>
      <c r="E29" s="14">
        <f t="shared" si="2"/>
        <v>9</v>
      </c>
      <c r="F29" s="14">
        <f t="shared" si="3"/>
        <v>1</v>
      </c>
    </row>
    <row r="30" spans="1:6">
      <c r="A30" s="11">
        <v>27</v>
      </c>
      <c r="B30" s="14">
        <f>VLOOKUP(A30,英雄消耗!B31:C131,2,1)</f>
        <v>10800</v>
      </c>
      <c r="C30" s="14">
        <f t="shared" si="0"/>
        <v>216</v>
      </c>
      <c r="D30" s="14">
        <f t="shared" si="1"/>
        <v>54</v>
      </c>
      <c r="E30" s="14">
        <f t="shared" si="2"/>
        <v>10</v>
      </c>
      <c r="F30" s="14">
        <f t="shared" si="3"/>
        <v>2</v>
      </c>
    </row>
    <row r="31" spans="1:6">
      <c r="A31" s="11">
        <v>28</v>
      </c>
      <c r="B31" s="14">
        <f>VLOOKUP(A31,英雄消耗!B32:C132,2,1)</f>
        <v>11900</v>
      </c>
      <c r="C31" s="14">
        <f t="shared" si="0"/>
        <v>238</v>
      </c>
      <c r="D31" s="14">
        <f t="shared" si="1"/>
        <v>59</v>
      </c>
      <c r="E31" s="14">
        <f t="shared" si="2"/>
        <v>11</v>
      </c>
      <c r="F31" s="14">
        <f t="shared" si="3"/>
        <v>2</v>
      </c>
    </row>
    <row r="32" spans="1:6">
      <c r="A32" s="11">
        <v>29</v>
      </c>
      <c r="B32" s="14">
        <f>VLOOKUP(A32,英雄消耗!B33:C133,2,1)</f>
        <v>13100</v>
      </c>
      <c r="C32" s="14">
        <f t="shared" si="0"/>
        <v>262</v>
      </c>
      <c r="D32" s="14">
        <f t="shared" si="1"/>
        <v>65</v>
      </c>
      <c r="E32" s="14">
        <f t="shared" si="2"/>
        <v>13</v>
      </c>
      <c r="F32" s="14">
        <f t="shared" si="3"/>
        <v>2</v>
      </c>
    </row>
    <row r="33" spans="1:6">
      <c r="A33" s="11">
        <v>30</v>
      </c>
      <c r="B33" s="14">
        <f>VLOOKUP(A33,英雄消耗!B34:C134,2,1)</f>
        <v>14400</v>
      </c>
      <c r="C33" s="14">
        <f t="shared" si="0"/>
        <v>288</v>
      </c>
      <c r="D33" s="14">
        <f t="shared" si="1"/>
        <v>72</v>
      </c>
      <c r="E33" s="14">
        <f t="shared" si="2"/>
        <v>14</v>
      </c>
      <c r="F33" s="14">
        <f t="shared" si="3"/>
        <v>2</v>
      </c>
    </row>
    <row r="34" spans="1:6">
      <c r="A34" s="11">
        <v>31</v>
      </c>
      <c r="B34" s="14">
        <f>VLOOKUP(A34,英雄消耗!B35:C135,2,1)</f>
        <v>15800</v>
      </c>
      <c r="C34" s="14">
        <f t="shared" si="0"/>
        <v>316</v>
      </c>
      <c r="D34" s="14">
        <f t="shared" si="1"/>
        <v>79</v>
      </c>
      <c r="E34" s="14">
        <f t="shared" si="2"/>
        <v>15</v>
      </c>
      <c r="F34" s="14">
        <f t="shared" si="3"/>
        <v>3</v>
      </c>
    </row>
    <row r="35" spans="1:6">
      <c r="A35" s="11">
        <v>32</v>
      </c>
      <c r="B35" s="14">
        <f>VLOOKUP(A35,英雄消耗!B36:C136,2,1)</f>
        <v>17200</v>
      </c>
      <c r="C35" s="14">
        <f t="shared" si="0"/>
        <v>344</v>
      </c>
      <c r="D35" s="14">
        <f t="shared" si="1"/>
        <v>86</v>
      </c>
      <c r="E35" s="14">
        <f t="shared" si="2"/>
        <v>17</v>
      </c>
      <c r="F35" s="14">
        <f t="shared" si="3"/>
        <v>3</v>
      </c>
    </row>
    <row r="36" spans="1:6">
      <c r="A36" s="11">
        <v>33</v>
      </c>
      <c r="B36" s="14">
        <f>VLOOKUP(A36,英雄消耗!B37:C137,2,1)</f>
        <v>18700</v>
      </c>
      <c r="C36" s="14">
        <f t="shared" si="0"/>
        <v>374</v>
      </c>
      <c r="D36" s="14">
        <f t="shared" si="1"/>
        <v>93</v>
      </c>
      <c r="E36" s="14">
        <f t="shared" si="2"/>
        <v>18</v>
      </c>
      <c r="F36" s="14">
        <f t="shared" si="3"/>
        <v>3</v>
      </c>
    </row>
    <row r="37" spans="1:6">
      <c r="A37" s="11">
        <v>34</v>
      </c>
      <c r="B37" s="14">
        <f>VLOOKUP(A37,英雄消耗!B38:C138,2,1)</f>
        <v>20300</v>
      </c>
      <c r="C37" s="14">
        <f t="shared" ref="C37:C68" si="4">INT($B37/$C$1)</f>
        <v>406</v>
      </c>
      <c r="D37" s="14">
        <f t="shared" ref="D37:D68" si="5">INT($B37/D$1)</f>
        <v>101</v>
      </c>
      <c r="E37" s="14">
        <f t="shared" ref="E37:E68" si="6">INT($B37/E$1)</f>
        <v>20</v>
      </c>
      <c r="F37" s="14">
        <f t="shared" ref="F37:F68" si="7">INT($B37/F$1)</f>
        <v>4</v>
      </c>
    </row>
    <row r="38" spans="1:6">
      <c r="A38" s="11">
        <v>35</v>
      </c>
      <c r="B38" s="14">
        <f>VLOOKUP(A38,英雄消耗!B39:C139,2,1)</f>
        <v>22000</v>
      </c>
      <c r="C38" s="14">
        <f t="shared" si="4"/>
        <v>440</v>
      </c>
      <c r="D38" s="14">
        <f t="shared" si="5"/>
        <v>110</v>
      </c>
      <c r="E38" s="14">
        <f t="shared" si="6"/>
        <v>22</v>
      </c>
      <c r="F38" s="14">
        <f t="shared" si="7"/>
        <v>4</v>
      </c>
    </row>
    <row r="39" spans="1:6">
      <c r="A39" s="11">
        <v>36</v>
      </c>
      <c r="B39" s="14">
        <f>VLOOKUP(A39,英雄消耗!B40:C140,2,1)</f>
        <v>23800</v>
      </c>
      <c r="C39" s="14">
        <f t="shared" si="4"/>
        <v>476</v>
      </c>
      <c r="D39" s="14">
        <f t="shared" si="5"/>
        <v>119</v>
      </c>
      <c r="E39" s="14">
        <f t="shared" si="6"/>
        <v>23</v>
      </c>
      <c r="F39" s="14">
        <f t="shared" si="7"/>
        <v>4</v>
      </c>
    </row>
    <row r="40" spans="1:6">
      <c r="A40" s="11">
        <v>37</v>
      </c>
      <c r="B40" s="14">
        <f>VLOOKUP(A40,英雄消耗!B41:C141,2,1)</f>
        <v>25700</v>
      </c>
      <c r="C40" s="14">
        <f t="shared" si="4"/>
        <v>514</v>
      </c>
      <c r="D40" s="14">
        <f t="shared" si="5"/>
        <v>128</v>
      </c>
      <c r="E40" s="14">
        <f t="shared" si="6"/>
        <v>25</v>
      </c>
      <c r="F40" s="14">
        <f t="shared" si="7"/>
        <v>5</v>
      </c>
    </row>
    <row r="41" spans="1:6">
      <c r="A41" s="11">
        <v>38</v>
      </c>
      <c r="B41" s="14">
        <f>VLOOKUP(A41,英雄消耗!B42:C142,2,1)</f>
        <v>27700</v>
      </c>
      <c r="C41" s="14">
        <f t="shared" si="4"/>
        <v>554</v>
      </c>
      <c r="D41" s="14">
        <f t="shared" si="5"/>
        <v>138</v>
      </c>
      <c r="E41" s="14">
        <f t="shared" si="6"/>
        <v>27</v>
      </c>
      <c r="F41" s="14">
        <f t="shared" si="7"/>
        <v>5</v>
      </c>
    </row>
    <row r="42" spans="1:6">
      <c r="A42" s="11">
        <v>39</v>
      </c>
      <c r="B42" s="14">
        <f>VLOOKUP(A42,英雄消耗!B43:C143,2,1)</f>
        <v>29800</v>
      </c>
      <c r="C42" s="14">
        <f t="shared" si="4"/>
        <v>596</v>
      </c>
      <c r="D42" s="14">
        <f t="shared" si="5"/>
        <v>149</v>
      </c>
      <c r="E42" s="14">
        <f t="shared" si="6"/>
        <v>29</v>
      </c>
      <c r="F42" s="14">
        <f t="shared" si="7"/>
        <v>5</v>
      </c>
    </row>
    <row r="43" spans="1:6">
      <c r="A43" s="11">
        <v>40</v>
      </c>
      <c r="B43" s="14">
        <f>VLOOKUP(A43,英雄消耗!B44:C144,2,1)</f>
        <v>32000</v>
      </c>
      <c r="C43" s="14">
        <f t="shared" si="4"/>
        <v>640</v>
      </c>
      <c r="D43" s="14">
        <f t="shared" si="5"/>
        <v>160</v>
      </c>
      <c r="E43" s="14">
        <f t="shared" si="6"/>
        <v>32</v>
      </c>
      <c r="F43" s="14">
        <f t="shared" si="7"/>
        <v>6</v>
      </c>
    </row>
    <row r="44" spans="1:6">
      <c r="A44" s="11">
        <v>41</v>
      </c>
      <c r="B44" s="14">
        <f>VLOOKUP(A44,英雄消耗!B45:C145,2,1)</f>
        <v>34300</v>
      </c>
      <c r="C44" s="14">
        <f t="shared" si="4"/>
        <v>686</v>
      </c>
      <c r="D44" s="14">
        <f t="shared" si="5"/>
        <v>171</v>
      </c>
      <c r="E44" s="14">
        <f t="shared" si="6"/>
        <v>34</v>
      </c>
      <c r="F44" s="14">
        <f t="shared" si="7"/>
        <v>6</v>
      </c>
    </row>
    <row r="45" spans="1:6">
      <c r="A45" s="11">
        <v>42</v>
      </c>
      <c r="B45" s="14">
        <f>VLOOKUP(A45,英雄消耗!B46:C146,2,1)</f>
        <v>36700</v>
      </c>
      <c r="C45" s="14">
        <f t="shared" si="4"/>
        <v>734</v>
      </c>
      <c r="D45" s="14">
        <f t="shared" si="5"/>
        <v>183</v>
      </c>
      <c r="E45" s="14">
        <f t="shared" si="6"/>
        <v>36</v>
      </c>
      <c r="F45" s="14">
        <f t="shared" si="7"/>
        <v>7</v>
      </c>
    </row>
    <row r="46" spans="1:6">
      <c r="A46" s="11">
        <v>43</v>
      </c>
      <c r="B46" s="14">
        <f>VLOOKUP(A46,英雄消耗!B47:C147,2,1)</f>
        <v>39200</v>
      </c>
      <c r="C46" s="14">
        <f t="shared" si="4"/>
        <v>784</v>
      </c>
      <c r="D46" s="14">
        <f t="shared" si="5"/>
        <v>196</v>
      </c>
      <c r="E46" s="14">
        <f t="shared" si="6"/>
        <v>39</v>
      </c>
      <c r="F46" s="14">
        <f t="shared" si="7"/>
        <v>7</v>
      </c>
    </row>
    <row r="47" spans="1:6">
      <c r="A47" s="11">
        <v>44</v>
      </c>
      <c r="B47" s="14">
        <f>VLOOKUP(A47,英雄消耗!B48:C148,2,1)</f>
        <v>41800</v>
      </c>
      <c r="C47" s="14">
        <f t="shared" si="4"/>
        <v>836</v>
      </c>
      <c r="D47" s="14">
        <f t="shared" si="5"/>
        <v>209</v>
      </c>
      <c r="E47" s="14">
        <f t="shared" si="6"/>
        <v>41</v>
      </c>
      <c r="F47" s="14">
        <f t="shared" si="7"/>
        <v>8</v>
      </c>
    </row>
    <row r="48" spans="1:6">
      <c r="A48" s="11">
        <v>45</v>
      </c>
      <c r="B48" s="14">
        <f>VLOOKUP(A48,英雄消耗!B49:C149,2,1)</f>
        <v>44500</v>
      </c>
      <c r="C48" s="14">
        <f t="shared" si="4"/>
        <v>890</v>
      </c>
      <c r="D48" s="14">
        <f t="shared" si="5"/>
        <v>222</v>
      </c>
      <c r="E48" s="14">
        <f t="shared" si="6"/>
        <v>44</v>
      </c>
      <c r="F48" s="14">
        <f t="shared" si="7"/>
        <v>8</v>
      </c>
    </row>
    <row r="49" spans="1:6">
      <c r="A49" s="11">
        <v>46</v>
      </c>
      <c r="B49" s="14">
        <f>VLOOKUP(A49,英雄消耗!B50:C150,2,1)</f>
        <v>47300</v>
      </c>
      <c r="C49" s="14">
        <f t="shared" si="4"/>
        <v>946</v>
      </c>
      <c r="D49" s="14">
        <f t="shared" si="5"/>
        <v>236</v>
      </c>
      <c r="E49" s="14">
        <f t="shared" si="6"/>
        <v>47</v>
      </c>
      <c r="F49" s="14">
        <f t="shared" si="7"/>
        <v>9</v>
      </c>
    </row>
    <row r="50" spans="1:6">
      <c r="A50" s="11">
        <v>47</v>
      </c>
      <c r="B50" s="14">
        <f>VLOOKUP(A50,英雄消耗!B51:C151,2,1)</f>
        <v>50300</v>
      </c>
      <c r="C50" s="14">
        <f t="shared" si="4"/>
        <v>1006</v>
      </c>
      <c r="D50" s="14">
        <f t="shared" si="5"/>
        <v>251</v>
      </c>
      <c r="E50" s="14">
        <f t="shared" si="6"/>
        <v>50</v>
      </c>
      <c r="F50" s="14">
        <f t="shared" si="7"/>
        <v>10</v>
      </c>
    </row>
    <row r="51" spans="1:6">
      <c r="A51" s="11">
        <v>48</v>
      </c>
      <c r="B51" s="14">
        <f>VLOOKUP(A51,英雄消耗!B52:C152,2,1)</f>
        <v>53400</v>
      </c>
      <c r="C51" s="14">
        <f t="shared" si="4"/>
        <v>1068</v>
      </c>
      <c r="D51" s="14">
        <f t="shared" si="5"/>
        <v>267</v>
      </c>
      <c r="E51" s="14">
        <f t="shared" si="6"/>
        <v>53</v>
      </c>
      <c r="F51" s="14">
        <f t="shared" si="7"/>
        <v>10</v>
      </c>
    </row>
    <row r="52" spans="1:6">
      <c r="A52" s="11">
        <v>49</v>
      </c>
      <c r="B52" s="14">
        <f>VLOOKUP(A52,英雄消耗!B53:C153,2,1)</f>
        <v>56600</v>
      </c>
      <c r="C52" s="14">
        <f t="shared" si="4"/>
        <v>1132</v>
      </c>
      <c r="D52" s="14">
        <f t="shared" si="5"/>
        <v>283</v>
      </c>
      <c r="E52" s="14">
        <f t="shared" si="6"/>
        <v>56</v>
      </c>
      <c r="F52" s="14">
        <f t="shared" si="7"/>
        <v>11</v>
      </c>
    </row>
    <row r="53" spans="1:6">
      <c r="A53" s="11">
        <v>50</v>
      </c>
      <c r="B53" s="14">
        <f>VLOOKUP(A53,英雄消耗!B54:C154,2,1)</f>
        <v>59900</v>
      </c>
      <c r="C53" s="14">
        <f t="shared" si="4"/>
        <v>1198</v>
      </c>
      <c r="D53" s="14">
        <f t="shared" si="5"/>
        <v>299</v>
      </c>
      <c r="E53" s="14">
        <f t="shared" si="6"/>
        <v>59</v>
      </c>
      <c r="F53" s="14">
        <f t="shared" si="7"/>
        <v>11</v>
      </c>
    </row>
    <row r="54" spans="1:6">
      <c r="A54" s="11">
        <v>51</v>
      </c>
      <c r="B54" s="14">
        <f>VLOOKUP(A54,英雄消耗!B55:C155,2,1)</f>
        <v>63400</v>
      </c>
      <c r="C54" s="14">
        <f t="shared" si="4"/>
        <v>1268</v>
      </c>
      <c r="D54" s="14">
        <f t="shared" si="5"/>
        <v>317</v>
      </c>
      <c r="E54" s="14">
        <f t="shared" si="6"/>
        <v>63</v>
      </c>
      <c r="F54" s="14">
        <f t="shared" si="7"/>
        <v>12</v>
      </c>
    </row>
    <row r="55" spans="1:6">
      <c r="A55" s="11">
        <v>52</v>
      </c>
      <c r="B55" s="14">
        <f>VLOOKUP(A55,英雄消耗!B56:C156,2,1)</f>
        <v>67000</v>
      </c>
      <c r="C55" s="14">
        <f t="shared" si="4"/>
        <v>1340</v>
      </c>
      <c r="D55" s="14">
        <f t="shared" si="5"/>
        <v>335</v>
      </c>
      <c r="E55" s="14">
        <f t="shared" si="6"/>
        <v>67</v>
      </c>
      <c r="F55" s="14">
        <f t="shared" si="7"/>
        <v>13</v>
      </c>
    </row>
    <row r="56" spans="1:6">
      <c r="A56" s="11">
        <v>53</v>
      </c>
      <c r="B56" s="14">
        <f>VLOOKUP(A56,英雄消耗!B57:C157,2,1)</f>
        <v>70700</v>
      </c>
      <c r="C56" s="14">
        <f t="shared" si="4"/>
        <v>1414</v>
      </c>
      <c r="D56" s="14">
        <f t="shared" si="5"/>
        <v>353</v>
      </c>
      <c r="E56" s="14">
        <f t="shared" si="6"/>
        <v>70</v>
      </c>
      <c r="F56" s="14">
        <f t="shared" si="7"/>
        <v>14</v>
      </c>
    </row>
    <row r="57" spans="1:6">
      <c r="A57" s="11">
        <v>54</v>
      </c>
      <c r="B57" s="14">
        <f>VLOOKUP(A57,英雄消耗!B58:C158,2,1)</f>
        <v>74600</v>
      </c>
      <c r="C57" s="14">
        <f t="shared" si="4"/>
        <v>1492</v>
      </c>
      <c r="D57" s="14">
        <f t="shared" si="5"/>
        <v>373</v>
      </c>
      <c r="E57" s="14">
        <f t="shared" si="6"/>
        <v>74</v>
      </c>
      <c r="F57" s="14">
        <f t="shared" si="7"/>
        <v>14</v>
      </c>
    </row>
    <row r="58" spans="1:6">
      <c r="A58" s="11">
        <v>55</v>
      </c>
      <c r="B58" s="14">
        <f>VLOOKUP(A58,英雄消耗!B59:C159,2,1)</f>
        <v>78600</v>
      </c>
      <c r="C58" s="14">
        <f t="shared" si="4"/>
        <v>1572</v>
      </c>
      <c r="D58" s="14">
        <f t="shared" si="5"/>
        <v>393</v>
      </c>
      <c r="E58" s="14">
        <f t="shared" si="6"/>
        <v>78</v>
      </c>
      <c r="F58" s="14">
        <f t="shared" si="7"/>
        <v>15</v>
      </c>
    </row>
    <row r="59" spans="1:6">
      <c r="A59" s="11">
        <v>56</v>
      </c>
      <c r="B59" s="14">
        <f>VLOOKUP(A59,英雄消耗!B60:C160,2,1)</f>
        <v>82700</v>
      </c>
      <c r="C59" s="14">
        <f t="shared" si="4"/>
        <v>1654</v>
      </c>
      <c r="D59" s="14">
        <f t="shared" si="5"/>
        <v>413</v>
      </c>
      <c r="E59" s="14">
        <f t="shared" si="6"/>
        <v>82</v>
      </c>
      <c r="F59" s="14">
        <f t="shared" si="7"/>
        <v>16</v>
      </c>
    </row>
    <row r="60" spans="1:6">
      <c r="A60" s="11">
        <v>57</v>
      </c>
      <c r="B60" s="14">
        <f>VLOOKUP(A60,英雄消耗!B61:C161,2,1)</f>
        <v>87000</v>
      </c>
      <c r="C60" s="14">
        <f t="shared" si="4"/>
        <v>1740</v>
      </c>
      <c r="D60" s="14">
        <f t="shared" si="5"/>
        <v>435</v>
      </c>
      <c r="E60" s="14">
        <f t="shared" si="6"/>
        <v>87</v>
      </c>
      <c r="F60" s="14">
        <f t="shared" si="7"/>
        <v>17</v>
      </c>
    </row>
    <row r="61" spans="1:6">
      <c r="A61" s="11">
        <v>58</v>
      </c>
      <c r="B61" s="14">
        <f>VLOOKUP(A61,英雄消耗!B62:C162,2,1)</f>
        <v>91400</v>
      </c>
      <c r="C61" s="14">
        <f t="shared" si="4"/>
        <v>1828</v>
      </c>
      <c r="D61" s="14">
        <f t="shared" si="5"/>
        <v>457</v>
      </c>
      <c r="E61" s="14">
        <f t="shared" si="6"/>
        <v>91</v>
      </c>
      <c r="F61" s="14">
        <f t="shared" si="7"/>
        <v>18</v>
      </c>
    </row>
    <row r="62" spans="1:6">
      <c r="A62" s="11">
        <v>59</v>
      </c>
      <c r="B62" s="14">
        <f>VLOOKUP(A62,英雄消耗!B63:C163,2,1)</f>
        <v>96000</v>
      </c>
      <c r="C62" s="14">
        <f t="shared" si="4"/>
        <v>1920</v>
      </c>
      <c r="D62" s="14">
        <f t="shared" si="5"/>
        <v>480</v>
      </c>
      <c r="E62" s="14">
        <f t="shared" si="6"/>
        <v>96</v>
      </c>
      <c r="F62" s="14">
        <f t="shared" si="7"/>
        <v>19</v>
      </c>
    </row>
    <row r="63" spans="1:6">
      <c r="A63" s="11">
        <v>60</v>
      </c>
      <c r="B63" s="14">
        <f>VLOOKUP(A63,英雄消耗!B64:C164,2,1)</f>
        <v>100700</v>
      </c>
      <c r="C63" s="14">
        <f t="shared" si="4"/>
        <v>2014</v>
      </c>
      <c r="D63" s="14">
        <f t="shared" si="5"/>
        <v>503</v>
      </c>
      <c r="E63" s="14">
        <f t="shared" si="6"/>
        <v>100</v>
      </c>
      <c r="F63" s="14">
        <f t="shared" si="7"/>
        <v>20</v>
      </c>
    </row>
    <row r="64" spans="1:6">
      <c r="A64" s="11">
        <v>61</v>
      </c>
      <c r="B64" s="14">
        <f>VLOOKUP(A64,英雄消耗!B65:C165,2,1)</f>
        <v>105600</v>
      </c>
      <c r="C64" s="14">
        <f t="shared" si="4"/>
        <v>2112</v>
      </c>
      <c r="D64" s="14">
        <f t="shared" si="5"/>
        <v>528</v>
      </c>
      <c r="E64" s="14">
        <f t="shared" si="6"/>
        <v>105</v>
      </c>
      <c r="F64" s="14">
        <f t="shared" si="7"/>
        <v>21</v>
      </c>
    </row>
    <row r="65" spans="1:6">
      <c r="A65" s="11">
        <v>62</v>
      </c>
      <c r="B65" s="14">
        <f>VLOOKUP(A65,英雄消耗!B66:C166,2,1)</f>
        <v>110600</v>
      </c>
      <c r="C65" s="14">
        <f t="shared" si="4"/>
        <v>2212</v>
      </c>
      <c r="D65" s="14">
        <f t="shared" si="5"/>
        <v>553</v>
      </c>
      <c r="E65" s="14">
        <f t="shared" si="6"/>
        <v>110</v>
      </c>
      <c r="F65" s="14">
        <f t="shared" si="7"/>
        <v>22</v>
      </c>
    </row>
    <row r="66" spans="1:6">
      <c r="A66" s="11">
        <v>63</v>
      </c>
      <c r="B66" s="14">
        <f>VLOOKUP(A66,英雄消耗!B67:C167,2,1)</f>
        <v>115800</v>
      </c>
      <c r="C66" s="14">
        <f t="shared" si="4"/>
        <v>2316</v>
      </c>
      <c r="D66" s="14">
        <f t="shared" si="5"/>
        <v>579</v>
      </c>
      <c r="E66" s="14">
        <f t="shared" si="6"/>
        <v>115</v>
      </c>
      <c r="F66" s="14">
        <f t="shared" si="7"/>
        <v>23</v>
      </c>
    </row>
    <row r="67" spans="1:6">
      <c r="A67" s="11">
        <v>64</v>
      </c>
      <c r="B67" s="14">
        <f>VLOOKUP(A67,英雄消耗!B68:C168,2,1)</f>
        <v>121100</v>
      </c>
      <c r="C67" s="14">
        <f t="shared" si="4"/>
        <v>2422</v>
      </c>
      <c r="D67" s="14">
        <f t="shared" si="5"/>
        <v>605</v>
      </c>
      <c r="E67" s="14">
        <f t="shared" si="6"/>
        <v>121</v>
      </c>
      <c r="F67" s="14">
        <f t="shared" si="7"/>
        <v>24</v>
      </c>
    </row>
    <row r="68" spans="1:6">
      <c r="A68" s="11">
        <v>65</v>
      </c>
      <c r="B68" s="14">
        <f>VLOOKUP(A68,英雄消耗!B69:C169,2,1)</f>
        <v>126600</v>
      </c>
      <c r="C68" s="14">
        <f t="shared" si="4"/>
        <v>2532</v>
      </c>
      <c r="D68" s="14">
        <f t="shared" si="5"/>
        <v>633</v>
      </c>
      <c r="E68" s="14">
        <f t="shared" si="6"/>
        <v>126</v>
      </c>
      <c r="F68" s="14">
        <f t="shared" si="7"/>
        <v>25</v>
      </c>
    </row>
    <row r="69" spans="1:6">
      <c r="A69" s="11">
        <v>66</v>
      </c>
      <c r="B69" s="14">
        <f>VLOOKUP(A69,英雄消耗!B70:C170,2,1)</f>
        <v>132300</v>
      </c>
      <c r="C69" s="14">
        <f t="shared" ref="C69:C100" si="8">INT($B69/$C$1)</f>
        <v>2646</v>
      </c>
      <c r="D69" s="14">
        <f t="shared" ref="D69:D100" si="9">INT($B69/D$1)</f>
        <v>661</v>
      </c>
      <c r="E69" s="14">
        <f t="shared" ref="E69:E100" si="10">INT($B69/E$1)</f>
        <v>132</v>
      </c>
      <c r="F69" s="14">
        <f t="shared" ref="F69:F100" si="11">INT($B69/F$1)</f>
        <v>26</v>
      </c>
    </row>
    <row r="70" spans="1:6">
      <c r="A70" s="11">
        <v>67</v>
      </c>
      <c r="B70" s="14">
        <f>VLOOKUP(A70,英雄消耗!B71:C171,2,1)</f>
        <v>138100</v>
      </c>
      <c r="C70" s="14">
        <f t="shared" si="8"/>
        <v>2762</v>
      </c>
      <c r="D70" s="14">
        <f t="shared" si="9"/>
        <v>690</v>
      </c>
      <c r="E70" s="14">
        <f t="shared" si="10"/>
        <v>138</v>
      </c>
      <c r="F70" s="14">
        <f t="shared" si="11"/>
        <v>27</v>
      </c>
    </row>
    <row r="71" spans="1:6">
      <c r="A71" s="11">
        <v>68</v>
      </c>
      <c r="B71" s="14">
        <f>VLOOKUP(A71,英雄消耗!B72:C172,2,1)</f>
        <v>144100</v>
      </c>
      <c r="C71" s="14">
        <f t="shared" si="8"/>
        <v>2882</v>
      </c>
      <c r="D71" s="14">
        <f t="shared" si="9"/>
        <v>720</v>
      </c>
      <c r="E71" s="14">
        <f t="shared" si="10"/>
        <v>144</v>
      </c>
      <c r="F71" s="14">
        <f t="shared" si="11"/>
        <v>28</v>
      </c>
    </row>
    <row r="72" spans="1:6">
      <c r="A72" s="11">
        <v>69</v>
      </c>
      <c r="B72" s="14">
        <f>VLOOKUP(A72,英雄消耗!B73:C173,2,1)</f>
        <v>150000</v>
      </c>
      <c r="C72" s="14">
        <f t="shared" si="8"/>
        <v>3000</v>
      </c>
      <c r="D72" s="14">
        <f t="shared" si="9"/>
        <v>750</v>
      </c>
      <c r="E72" s="14">
        <f t="shared" si="10"/>
        <v>150</v>
      </c>
      <c r="F72" s="14">
        <f t="shared" si="11"/>
        <v>30</v>
      </c>
    </row>
    <row r="73" spans="1:6">
      <c r="A73" s="11">
        <v>70</v>
      </c>
      <c r="B73" s="14">
        <f>VLOOKUP(A73,英雄消耗!B74:C174,2,1)</f>
        <v>156000</v>
      </c>
      <c r="C73" s="14">
        <f t="shared" si="8"/>
        <v>3120</v>
      </c>
      <c r="D73" s="14">
        <f t="shared" si="9"/>
        <v>780</v>
      </c>
      <c r="E73" s="14">
        <f t="shared" si="10"/>
        <v>156</v>
      </c>
      <c r="F73" s="14">
        <f t="shared" si="11"/>
        <v>31</v>
      </c>
    </row>
    <row r="74" spans="1:6">
      <c r="A74" s="11">
        <v>71</v>
      </c>
      <c r="B74" s="14">
        <f>VLOOKUP(A74,英雄消耗!B75:C175,2,1)</f>
        <v>163000</v>
      </c>
      <c r="C74" s="14">
        <f t="shared" si="8"/>
        <v>3260</v>
      </c>
      <c r="D74" s="14">
        <f t="shared" si="9"/>
        <v>815</v>
      </c>
      <c r="E74" s="14">
        <f t="shared" si="10"/>
        <v>163</v>
      </c>
      <c r="F74" s="14">
        <f t="shared" si="11"/>
        <v>32</v>
      </c>
    </row>
    <row r="75" spans="1:6">
      <c r="A75" s="11">
        <v>72</v>
      </c>
      <c r="B75" s="14">
        <f>VLOOKUP(A75,英雄消耗!B76:C176,2,1)</f>
        <v>170000</v>
      </c>
      <c r="C75" s="14">
        <f t="shared" si="8"/>
        <v>3400</v>
      </c>
      <c r="D75" s="14">
        <f t="shared" si="9"/>
        <v>850</v>
      </c>
      <c r="E75" s="14">
        <f t="shared" si="10"/>
        <v>170</v>
      </c>
      <c r="F75" s="14">
        <f t="shared" si="11"/>
        <v>34</v>
      </c>
    </row>
    <row r="76" spans="1:6">
      <c r="A76" s="11">
        <v>73</v>
      </c>
      <c r="B76" s="14">
        <f>VLOOKUP(A76,英雄消耗!B77:C177,2,1)</f>
        <v>177000</v>
      </c>
      <c r="C76" s="14">
        <f t="shared" si="8"/>
        <v>3540</v>
      </c>
      <c r="D76" s="14">
        <f t="shared" si="9"/>
        <v>885</v>
      </c>
      <c r="E76" s="14">
        <f t="shared" si="10"/>
        <v>177</v>
      </c>
      <c r="F76" s="14">
        <f t="shared" si="11"/>
        <v>35</v>
      </c>
    </row>
    <row r="77" spans="1:6">
      <c r="A77" s="11">
        <v>74</v>
      </c>
      <c r="B77" s="14">
        <f>VLOOKUP(A77,英雄消耗!B78:C178,2,1)</f>
        <v>184000</v>
      </c>
      <c r="C77" s="14">
        <f t="shared" si="8"/>
        <v>3680</v>
      </c>
      <c r="D77" s="14">
        <f t="shared" si="9"/>
        <v>920</v>
      </c>
      <c r="E77" s="14">
        <f t="shared" si="10"/>
        <v>184</v>
      </c>
      <c r="F77" s="14">
        <f t="shared" si="11"/>
        <v>36</v>
      </c>
    </row>
    <row r="78" spans="1:6">
      <c r="A78" s="11">
        <v>75</v>
      </c>
      <c r="B78" s="14">
        <f>VLOOKUP(A78,英雄消耗!B79:C179,2,1)</f>
        <v>191000</v>
      </c>
      <c r="C78" s="14">
        <f t="shared" si="8"/>
        <v>3820</v>
      </c>
      <c r="D78" s="14">
        <f t="shared" si="9"/>
        <v>955</v>
      </c>
      <c r="E78" s="14">
        <f t="shared" si="10"/>
        <v>191</v>
      </c>
      <c r="F78" s="14">
        <f t="shared" si="11"/>
        <v>38</v>
      </c>
    </row>
    <row r="79" spans="1:6">
      <c r="A79" s="11">
        <v>76</v>
      </c>
      <c r="B79" s="14">
        <f>VLOOKUP(A79,英雄消耗!B80:C180,2,1)</f>
        <v>198000</v>
      </c>
      <c r="C79" s="14">
        <f t="shared" si="8"/>
        <v>3960</v>
      </c>
      <c r="D79" s="14">
        <f t="shared" si="9"/>
        <v>990</v>
      </c>
      <c r="E79" s="14">
        <f t="shared" si="10"/>
        <v>198</v>
      </c>
      <c r="F79" s="14">
        <f t="shared" si="11"/>
        <v>39</v>
      </c>
    </row>
    <row r="80" spans="1:6">
      <c r="A80" s="11">
        <v>77</v>
      </c>
      <c r="B80" s="14">
        <f>VLOOKUP(A80,英雄消耗!B81:C181,2,1)</f>
        <v>206000</v>
      </c>
      <c r="C80" s="14">
        <f t="shared" si="8"/>
        <v>4120</v>
      </c>
      <c r="D80" s="14">
        <f t="shared" si="9"/>
        <v>1030</v>
      </c>
      <c r="E80" s="14">
        <f t="shared" si="10"/>
        <v>206</v>
      </c>
      <c r="F80" s="14">
        <f t="shared" si="11"/>
        <v>41</v>
      </c>
    </row>
    <row r="81" spans="1:6">
      <c r="A81" s="11">
        <v>78</v>
      </c>
      <c r="B81" s="14">
        <f>VLOOKUP(A81,英雄消耗!B82:C182,2,1)</f>
        <v>214000</v>
      </c>
      <c r="C81" s="14">
        <f t="shared" si="8"/>
        <v>4280</v>
      </c>
      <c r="D81" s="14">
        <f t="shared" si="9"/>
        <v>1070</v>
      </c>
      <c r="E81" s="14">
        <f t="shared" si="10"/>
        <v>214</v>
      </c>
      <c r="F81" s="14">
        <f t="shared" si="11"/>
        <v>42</v>
      </c>
    </row>
    <row r="82" spans="1:6">
      <c r="A82" s="11">
        <v>79</v>
      </c>
      <c r="B82" s="14">
        <f>VLOOKUP(A82,英雄消耗!B83:C183,2,1)</f>
        <v>222000</v>
      </c>
      <c r="C82" s="14">
        <f t="shared" si="8"/>
        <v>4440</v>
      </c>
      <c r="D82" s="14">
        <f t="shared" si="9"/>
        <v>1110</v>
      </c>
      <c r="E82" s="14">
        <f t="shared" si="10"/>
        <v>222</v>
      </c>
      <c r="F82" s="14">
        <f t="shared" si="11"/>
        <v>44</v>
      </c>
    </row>
    <row r="83" spans="1:6">
      <c r="A83" s="11">
        <v>80</v>
      </c>
      <c r="B83" s="14">
        <f>VLOOKUP(A83,英雄消耗!B84:C184,2,1)</f>
        <v>230000</v>
      </c>
      <c r="C83" s="14">
        <f t="shared" si="8"/>
        <v>4600</v>
      </c>
      <c r="D83" s="14">
        <f t="shared" si="9"/>
        <v>1150</v>
      </c>
      <c r="E83" s="14">
        <f t="shared" si="10"/>
        <v>230</v>
      </c>
      <c r="F83" s="14">
        <f t="shared" si="11"/>
        <v>46</v>
      </c>
    </row>
    <row r="84" spans="1:6">
      <c r="A84" s="11">
        <v>81</v>
      </c>
      <c r="B84" s="14">
        <f>VLOOKUP(A84,英雄消耗!B85:C185,2,1)</f>
        <v>238000</v>
      </c>
      <c r="C84" s="14">
        <f t="shared" si="8"/>
        <v>4760</v>
      </c>
      <c r="D84" s="14">
        <f t="shared" si="9"/>
        <v>1190</v>
      </c>
      <c r="E84" s="14">
        <f t="shared" si="10"/>
        <v>238</v>
      </c>
      <c r="F84" s="14">
        <f t="shared" si="11"/>
        <v>47</v>
      </c>
    </row>
    <row r="85" spans="1:6">
      <c r="A85" s="11">
        <v>82</v>
      </c>
      <c r="B85" s="14">
        <f>VLOOKUP(A85,英雄消耗!B86:C186,2,1)</f>
        <v>247000</v>
      </c>
      <c r="C85" s="14">
        <f t="shared" si="8"/>
        <v>4940</v>
      </c>
      <c r="D85" s="14">
        <f t="shared" si="9"/>
        <v>1235</v>
      </c>
      <c r="E85" s="14">
        <f t="shared" si="10"/>
        <v>247</v>
      </c>
      <c r="F85" s="14">
        <f t="shared" si="11"/>
        <v>49</v>
      </c>
    </row>
    <row r="86" spans="1:6">
      <c r="A86" s="11">
        <v>83</v>
      </c>
      <c r="B86" s="14">
        <f>VLOOKUP(A86,英雄消耗!B87:C187,2,1)</f>
        <v>256000</v>
      </c>
      <c r="C86" s="14">
        <f t="shared" si="8"/>
        <v>5120</v>
      </c>
      <c r="D86" s="14">
        <f t="shared" si="9"/>
        <v>1280</v>
      </c>
      <c r="E86" s="14">
        <f t="shared" si="10"/>
        <v>256</v>
      </c>
      <c r="F86" s="14">
        <f t="shared" si="11"/>
        <v>51</v>
      </c>
    </row>
    <row r="87" spans="1:6">
      <c r="A87" s="11">
        <v>84</v>
      </c>
      <c r="B87" s="14">
        <f>VLOOKUP(A87,英雄消耗!B88:C188,2,1)</f>
        <v>265000</v>
      </c>
      <c r="C87" s="14">
        <f t="shared" si="8"/>
        <v>5300</v>
      </c>
      <c r="D87" s="14">
        <f t="shared" si="9"/>
        <v>1325</v>
      </c>
      <c r="E87" s="14">
        <f t="shared" si="10"/>
        <v>265</v>
      </c>
      <c r="F87" s="14">
        <f t="shared" si="11"/>
        <v>53</v>
      </c>
    </row>
    <row r="88" spans="1:6">
      <c r="A88" s="11">
        <v>85</v>
      </c>
      <c r="B88" s="14">
        <f>VLOOKUP(A88,英雄消耗!B89:C189,2,1)</f>
        <v>274000</v>
      </c>
      <c r="C88" s="14">
        <f t="shared" si="8"/>
        <v>5480</v>
      </c>
      <c r="D88" s="14">
        <f t="shared" si="9"/>
        <v>1370</v>
      </c>
      <c r="E88" s="14">
        <f t="shared" si="10"/>
        <v>274</v>
      </c>
      <c r="F88" s="14">
        <f t="shared" si="11"/>
        <v>54</v>
      </c>
    </row>
    <row r="89" spans="1:6">
      <c r="A89" s="11">
        <v>86</v>
      </c>
      <c r="B89" s="14">
        <f>VLOOKUP(A89,英雄消耗!B90:C190,2,1)</f>
        <v>283000</v>
      </c>
      <c r="C89" s="14">
        <f t="shared" si="8"/>
        <v>5660</v>
      </c>
      <c r="D89" s="14">
        <f t="shared" si="9"/>
        <v>1415</v>
      </c>
      <c r="E89" s="14">
        <f t="shared" si="10"/>
        <v>283</v>
      </c>
      <c r="F89" s="14">
        <f t="shared" si="11"/>
        <v>56</v>
      </c>
    </row>
    <row r="90" spans="1:6">
      <c r="A90" s="11">
        <v>87</v>
      </c>
      <c r="B90" s="14">
        <f>VLOOKUP(A90,英雄消耗!B91:C191,2,1)</f>
        <v>293000</v>
      </c>
      <c r="C90" s="14">
        <f t="shared" si="8"/>
        <v>5860</v>
      </c>
      <c r="D90" s="14">
        <f t="shared" si="9"/>
        <v>1465</v>
      </c>
      <c r="E90" s="14">
        <f t="shared" si="10"/>
        <v>293</v>
      </c>
      <c r="F90" s="14">
        <f t="shared" si="11"/>
        <v>58</v>
      </c>
    </row>
    <row r="91" spans="1:6">
      <c r="A91" s="11">
        <v>88</v>
      </c>
      <c r="B91" s="14">
        <f>VLOOKUP(A91,英雄消耗!B92:C192,2,1)</f>
        <v>303000</v>
      </c>
      <c r="C91" s="14">
        <f t="shared" si="8"/>
        <v>6060</v>
      </c>
      <c r="D91" s="14">
        <f t="shared" si="9"/>
        <v>1515</v>
      </c>
      <c r="E91" s="14">
        <f t="shared" si="10"/>
        <v>303</v>
      </c>
      <c r="F91" s="14">
        <f t="shared" si="11"/>
        <v>60</v>
      </c>
    </row>
    <row r="92" spans="1:6">
      <c r="A92" s="11">
        <v>89</v>
      </c>
      <c r="B92" s="14">
        <f>VLOOKUP(A92,英雄消耗!B93:C193,2,1)</f>
        <v>313000</v>
      </c>
      <c r="C92" s="14">
        <f t="shared" si="8"/>
        <v>6260</v>
      </c>
      <c r="D92" s="14">
        <f t="shared" si="9"/>
        <v>1565</v>
      </c>
      <c r="E92" s="14">
        <f t="shared" si="10"/>
        <v>313</v>
      </c>
      <c r="F92" s="14">
        <f t="shared" si="11"/>
        <v>62</v>
      </c>
    </row>
    <row r="93" spans="1:6">
      <c r="A93" s="11">
        <v>90</v>
      </c>
      <c r="B93" s="14">
        <f>VLOOKUP(A93,英雄消耗!B94:C194,2,1)</f>
        <v>323000</v>
      </c>
      <c r="C93" s="14">
        <f t="shared" si="8"/>
        <v>6460</v>
      </c>
      <c r="D93" s="14">
        <f t="shared" si="9"/>
        <v>1615</v>
      </c>
      <c r="E93" s="14">
        <f t="shared" si="10"/>
        <v>323</v>
      </c>
      <c r="F93" s="14">
        <f t="shared" si="11"/>
        <v>64</v>
      </c>
    </row>
    <row r="94" spans="1:6">
      <c r="A94" s="11">
        <v>91</v>
      </c>
      <c r="B94" s="14">
        <f>VLOOKUP(A94,英雄消耗!B95:C195,2,1)</f>
        <v>334000</v>
      </c>
      <c r="C94" s="14">
        <f t="shared" si="8"/>
        <v>6680</v>
      </c>
      <c r="D94" s="14">
        <f t="shared" si="9"/>
        <v>1670</v>
      </c>
      <c r="E94" s="14">
        <f t="shared" si="10"/>
        <v>334</v>
      </c>
      <c r="F94" s="14">
        <f t="shared" si="11"/>
        <v>66</v>
      </c>
    </row>
    <row r="95" spans="1:6">
      <c r="A95" s="11">
        <v>92</v>
      </c>
      <c r="B95" s="14">
        <f>VLOOKUP(A95,英雄消耗!B96:C196,2,1)</f>
        <v>345000</v>
      </c>
      <c r="C95" s="14">
        <f t="shared" si="8"/>
        <v>6900</v>
      </c>
      <c r="D95" s="14">
        <f t="shared" si="9"/>
        <v>1725</v>
      </c>
      <c r="E95" s="14">
        <f t="shared" si="10"/>
        <v>345</v>
      </c>
      <c r="F95" s="14">
        <f t="shared" si="11"/>
        <v>69</v>
      </c>
    </row>
    <row r="96" spans="1:6">
      <c r="A96" s="11">
        <v>93</v>
      </c>
      <c r="B96" s="14">
        <f>VLOOKUP(A96,英雄消耗!B97:C197,2,1)</f>
        <v>356000</v>
      </c>
      <c r="C96" s="14">
        <f t="shared" si="8"/>
        <v>7120</v>
      </c>
      <c r="D96" s="14">
        <f t="shared" si="9"/>
        <v>1780</v>
      </c>
      <c r="E96" s="14">
        <f t="shared" si="10"/>
        <v>356</v>
      </c>
      <c r="F96" s="14">
        <f t="shared" si="11"/>
        <v>71</v>
      </c>
    </row>
    <row r="97" spans="1:6">
      <c r="A97" s="11">
        <v>94</v>
      </c>
      <c r="B97" s="14">
        <f>VLOOKUP(A97,英雄消耗!B98:C198,2,1)</f>
        <v>367000</v>
      </c>
      <c r="C97" s="14">
        <f t="shared" si="8"/>
        <v>7340</v>
      </c>
      <c r="D97" s="14">
        <f t="shared" si="9"/>
        <v>1835</v>
      </c>
      <c r="E97" s="14">
        <f t="shared" si="10"/>
        <v>367</v>
      </c>
      <c r="F97" s="14">
        <f t="shared" si="11"/>
        <v>73</v>
      </c>
    </row>
    <row r="98" spans="1:6">
      <c r="A98" s="11">
        <v>95</v>
      </c>
      <c r="B98" s="14">
        <f>VLOOKUP(A98,英雄消耗!B99:C199,2,1)</f>
        <v>379000</v>
      </c>
      <c r="C98" s="14">
        <f t="shared" si="8"/>
        <v>7580</v>
      </c>
      <c r="D98" s="14">
        <f t="shared" si="9"/>
        <v>1895</v>
      </c>
      <c r="E98" s="14">
        <f t="shared" si="10"/>
        <v>379</v>
      </c>
      <c r="F98" s="14">
        <f t="shared" si="11"/>
        <v>75</v>
      </c>
    </row>
    <row r="99" spans="1:6">
      <c r="A99" s="11">
        <v>96</v>
      </c>
      <c r="B99" s="14">
        <f>VLOOKUP(A99,英雄消耗!B100:C200,2,1)</f>
        <v>391000</v>
      </c>
      <c r="C99" s="14">
        <f t="shared" si="8"/>
        <v>7820</v>
      </c>
      <c r="D99" s="14">
        <f t="shared" si="9"/>
        <v>1955</v>
      </c>
      <c r="E99" s="14">
        <f t="shared" si="10"/>
        <v>391</v>
      </c>
      <c r="F99" s="14">
        <f t="shared" si="11"/>
        <v>78</v>
      </c>
    </row>
    <row r="100" spans="1:6">
      <c r="A100" s="11">
        <v>97</v>
      </c>
      <c r="B100" s="14">
        <f>VLOOKUP(A100,英雄消耗!B101:C201,2,1)</f>
        <v>403000</v>
      </c>
      <c r="C100" s="14">
        <f t="shared" si="8"/>
        <v>8060</v>
      </c>
      <c r="D100" s="14">
        <f t="shared" si="9"/>
        <v>2015</v>
      </c>
      <c r="E100" s="14">
        <f t="shared" si="10"/>
        <v>403</v>
      </c>
      <c r="F100" s="14">
        <f t="shared" si="11"/>
        <v>80</v>
      </c>
    </row>
    <row r="101" spans="1:6">
      <c r="A101" s="11">
        <v>98</v>
      </c>
      <c r="B101" s="14">
        <f>VLOOKUP(A101,英雄消耗!B102:C202,2,1)</f>
        <v>415000</v>
      </c>
      <c r="C101" s="14">
        <f>INT($B101/$C$1)</f>
        <v>8300</v>
      </c>
      <c r="D101" s="14">
        <f>INT($B101/D$1)</f>
        <v>2075</v>
      </c>
      <c r="E101" s="14">
        <f>INT($B101/E$1)</f>
        <v>415</v>
      </c>
      <c r="F101" s="14">
        <f>INT($B101/F$1)</f>
        <v>83</v>
      </c>
    </row>
    <row r="102" spans="1:6">
      <c r="A102" s="11">
        <v>99</v>
      </c>
      <c r="B102" s="14">
        <f>VLOOKUP(A102,英雄消耗!B103:C203,2,1)</f>
        <v>427000</v>
      </c>
      <c r="C102" s="14">
        <f>INT($B102/$C$1)</f>
        <v>8540</v>
      </c>
      <c r="D102" s="14">
        <f>INT($B102/D$1)</f>
        <v>2135</v>
      </c>
      <c r="E102" s="14">
        <f>INT($B102/E$1)</f>
        <v>427</v>
      </c>
      <c r="F102" s="14">
        <f>INT($B102/F$1)</f>
        <v>85</v>
      </c>
    </row>
    <row r="103" spans="1:6">
      <c r="A103" s="11">
        <v>100</v>
      </c>
      <c r="B103" s="14">
        <f>VLOOKUP(A103,英雄消耗!B104:C204,2,1)</f>
        <v>440000</v>
      </c>
      <c r="C103" s="14">
        <f>INT($B103/$C$1)</f>
        <v>8800</v>
      </c>
      <c r="D103" s="14">
        <f>INT($B103/D$1)</f>
        <v>2200</v>
      </c>
      <c r="E103" s="14">
        <f>INT($B103/E$1)</f>
        <v>440</v>
      </c>
      <c r="F103" s="14">
        <f>INT($B103/F$1)</f>
        <v>88</v>
      </c>
    </row>
    <row r="104" spans="2:6">
      <c r="B104" s="11"/>
      <c r="C104" s="11">
        <f>SUM(C4:C103)</f>
        <v>230806</v>
      </c>
      <c r="D104" s="11">
        <f>SUM(D4:D103)</f>
        <v>57686</v>
      </c>
      <c r="E104" s="11">
        <f>SUM(E4:E103)</f>
        <v>11511</v>
      </c>
      <c r="F104" s="11">
        <f>SUM(F4:F103)</f>
        <v>2267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74"/>
  <sheetViews>
    <sheetView workbookViewId="0">
      <selection activeCell="B10" sqref="B10"/>
    </sheetView>
  </sheetViews>
  <sheetFormatPr defaultColWidth="9" defaultRowHeight="13.5"/>
  <cols>
    <col min="2" max="2" width="24.875" customWidth="1"/>
    <col min="4" max="4" width="14.625" customWidth="1"/>
    <col min="5" max="5" width="17.625" customWidth="1"/>
    <col min="6" max="6" width="17.5" customWidth="1"/>
    <col min="7" max="7" width="12.875" customWidth="1"/>
    <col min="8" max="8" width="14.25" customWidth="1"/>
    <col min="10" max="10" width="14.75" customWidth="1"/>
    <col min="11" max="11" width="38.5" customWidth="1"/>
    <col min="12" max="12" width="13.875" customWidth="1"/>
    <col min="13" max="13" width="20.25" customWidth="1"/>
  </cols>
  <sheetData>
    <row r="1" spans="2:2">
      <c r="B1" t="s">
        <v>18</v>
      </c>
    </row>
    <row r="2" spans="2:2">
      <c r="B2" t="s">
        <v>19</v>
      </c>
    </row>
    <row r="3" spans="2:11">
      <c r="B3" t="s">
        <v>20</v>
      </c>
      <c r="D3" t="s">
        <v>21</v>
      </c>
      <c r="H3" t="s">
        <v>22</v>
      </c>
      <c r="K3" t="s">
        <v>23</v>
      </c>
    </row>
    <row r="4" spans="3:16">
      <c r="C4" t="s">
        <v>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M4" t="s">
        <v>32</v>
      </c>
      <c r="P4" t="s">
        <v>33</v>
      </c>
    </row>
    <row r="5" spans="3:18">
      <c r="C5">
        <v>1</v>
      </c>
      <c r="D5">
        <v>3</v>
      </c>
      <c r="E5">
        <v>2</v>
      </c>
      <c r="F5">
        <v>1</v>
      </c>
      <c r="G5" s="6">
        <f>E5*10*K5</f>
        <v>80</v>
      </c>
      <c r="H5" s="6"/>
      <c r="I5" s="6"/>
      <c r="J5">
        <f>G5*3</f>
        <v>240</v>
      </c>
      <c r="K5">
        <v>4</v>
      </c>
      <c r="L5">
        <f>30*(C5*C5+5*C5)-80</f>
        <v>100</v>
      </c>
      <c r="M5" t="s">
        <v>34</v>
      </c>
      <c r="P5" t="s">
        <v>35</v>
      </c>
      <c r="Q5" t="s">
        <v>36</v>
      </c>
      <c r="R5" t="s">
        <v>37</v>
      </c>
    </row>
    <row r="6" spans="3:18">
      <c r="C6">
        <v>2</v>
      </c>
      <c r="D6">
        <f t="shared" ref="D6:D11" si="0">D5+E6</f>
        <v>6</v>
      </c>
      <c r="E6">
        <v>3</v>
      </c>
      <c r="F6">
        <v>1</v>
      </c>
      <c r="G6" s="6">
        <f t="shared" ref="G6:G37" si="1">E6*10*K6</f>
        <v>120</v>
      </c>
      <c r="H6" s="6"/>
      <c r="I6" s="6"/>
      <c r="J6">
        <f t="shared" ref="J6:J37" si="2">G6*3</f>
        <v>360</v>
      </c>
      <c r="K6">
        <v>4</v>
      </c>
      <c r="L6">
        <f t="shared" ref="L6:L20" si="3">30*(C6*C6+5*C6)-80</f>
        <v>340</v>
      </c>
      <c r="M6" t="s">
        <v>38</v>
      </c>
      <c r="O6">
        <v>1</v>
      </c>
      <c r="P6">
        <f>10*60*2*O6</f>
        <v>1200</v>
      </c>
      <c r="Q6">
        <f>60*10*10*O6</f>
        <v>6000</v>
      </c>
      <c r="R6">
        <f>(P6+Q6)/2</f>
        <v>3600</v>
      </c>
    </row>
    <row r="7" spans="3:18">
      <c r="C7">
        <v>3</v>
      </c>
      <c r="D7">
        <f t="shared" si="0"/>
        <v>10</v>
      </c>
      <c r="E7">
        <v>4</v>
      </c>
      <c r="F7">
        <v>2</v>
      </c>
      <c r="G7" s="6">
        <f t="shared" si="1"/>
        <v>160</v>
      </c>
      <c r="H7" s="6"/>
      <c r="I7" s="6"/>
      <c r="J7">
        <f t="shared" si="2"/>
        <v>480</v>
      </c>
      <c r="K7">
        <v>4</v>
      </c>
      <c r="L7">
        <f t="shared" si="3"/>
        <v>640</v>
      </c>
      <c r="M7" t="s">
        <v>39</v>
      </c>
      <c r="O7">
        <v>2</v>
      </c>
      <c r="P7">
        <f t="shared" ref="P7:P45" si="4">10*60*2*O7</f>
        <v>2400</v>
      </c>
      <c r="Q7">
        <f t="shared" ref="Q7:Q45" si="5">60*10*10*O7</f>
        <v>12000</v>
      </c>
      <c r="R7">
        <f t="shared" ref="R7:R45" si="6">(P7+Q7)/2</f>
        <v>7200</v>
      </c>
    </row>
    <row r="8" spans="3:18">
      <c r="C8">
        <v>4</v>
      </c>
      <c r="D8">
        <f t="shared" si="0"/>
        <v>14</v>
      </c>
      <c r="E8">
        <v>4</v>
      </c>
      <c r="F8">
        <v>0</v>
      </c>
      <c r="G8" s="6">
        <f t="shared" si="1"/>
        <v>160</v>
      </c>
      <c r="H8" s="6"/>
      <c r="I8" s="6"/>
      <c r="J8">
        <f t="shared" si="2"/>
        <v>480</v>
      </c>
      <c r="K8">
        <v>4</v>
      </c>
      <c r="L8">
        <f t="shared" si="3"/>
        <v>1000</v>
      </c>
      <c r="M8" t="s">
        <v>40</v>
      </c>
      <c r="O8">
        <v>3</v>
      </c>
      <c r="P8">
        <f t="shared" si="4"/>
        <v>3600</v>
      </c>
      <c r="Q8">
        <f t="shared" si="5"/>
        <v>18000</v>
      </c>
      <c r="R8">
        <f t="shared" si="6"/>
        <v>10800</v>
      </c>
    </row>
    <row r="9" spans="3:18">
      <c r="C9">
        <v>5</v>
      </c>
      <c r="D9">
        <f t="shared" si="0"/>
        <v>19</v>
      </c>
      <c r="E9">
        <v>5</v>
      </c>
      <c r="F9">
        <v>1</v>
      </c>
      <c r="G9" s="6">
        <f t="shared" si="1"/>
        <v>200</v>
      </c>
      <c r="H9" s="6"/>
      <c r="I9" s="6"/>
      <c r="J9">
        <f t="shared" si="2"/>
        <v>600</v>
      </c>
      <c r="K9">
        <v>4</v>
      </c>
      <c r="L9">
        <f t="shared" si="3"/>
        <v>1420</v>
      </c>
      <c r="M9" t="s">
        <v>41</v>
      </c>
      <c r="O9">
        <v>4</v>
      </c>
      <c r="P9">
        <f t="shared" si="4"/>
        <v>4800</v>
      </c>
      <c r="Q9">
        <f t="shared" si="5"/>
        <v>24000</v>
      </c>
      <c r="R9">
        <f t="shared" si="6"/>
        <v>14400</v>
      </c>
    </row>
    <row r="10" spans="3:18">
      <c r="C10">
        <v>6</v>
      </c>
      <c r="D10">
        <f t="shared" si="0"/>
        <v>25</v>
      </c>
      <c r="E10">
        <v>6</v>
      </c>
      <c r="F10">
        <v>3</v>
      </c>
      <c r="G10" s="6">
        <f t="shared" si="1"/>
        <v>240</v>
      </c>
      <c r="H10" s="6"/>
      <c r="I10" s="6"/>
      <c r="J10">
        <f t="shared" si="2"/>
        <v>720</v>
      </c>
      <c r="K10">
        <v>4</v>
      </c>
      <c r="L10">
        <f t="shared" si="3"/>
        <v>1900</v>
      </c>
      <c r="M10" t="s">
        <v>42</v>
      </c>
      <c r="O10">
        <v>5</v>
      </c>
      <c r="P10">
        <f t="shared" si="4"/>
        <v>6000</v>
      </c>
      <c r="Q10">
        <f t="shared" si="5"/>
        <v>30000</v>
      </c>
      <c r="R10">
        <f t="shared" si="6"/>
        <v>18000</v>
      </c>
    </row>
    <row r="11" spans="3:18">
      <c r="C11">
        <v>7</v>
      </c>
      <c r="D11">
        <f t="shared" si="0"/>
        <v>34</v>
      </c>
      <c r="E11">
        <v>9</v>
      </c>
      <c r="F11">
        <v>3</v>
      </c>
      <c r="G11" s="6">
        <f t="shared" si="1"/>
        <v>360</v>
      </c>
      <c r="H11" s="6"/>
      <c r="I11" s="6"/>
      <c r="J11">
        <f t="shared" si="2"/>
        <v>1080</v>
      </c>
      <c r="K11">
        <v>4</v>
      </c>
      <c r="L11">
        <f t="shared" si="3"/>
        <v>2440</v>
      </c>
      <c r="O11">
        <v>6</v>
      </c>
      <c r="P11">
        <f t="shared" si="4"/>
        <v>7200</v>
      </c>
      <c r="Q11">
        <f t="shared" si="5"/>
        <v>36000</v>
      </c>
      <c r="R11">
        <f t="shared" si="6"/>
        <v>21600</v>
      </c>
    </row>
    <row r="12" spans="3:18">
      <c r="C12">
        <v>8</v>
      </c>
      <c r="D12">
        <f t="shared" ref="D12:D34" si="7">D11+E12</f>
        <v>46</v>
      </c>
      <c r="E12">
        <v>12</v>
      </c>
      <c r="F12">
        <v>4</v>
      </c>
      <c r="G12" s="6">
        <f t="shared" si="1"/>
        <v>480</v>
      </c>
      <c r="H12" s="6"/>
      <c r="I12" s="6"/>
      <c r="J12">
        <f t="shared" si="2"/>
        <v>1440</v>
      </c>
      <c r="K12">
        <v>4</v>
      </c>
      <c r="L12">
        <f t="shared" si="3"/>
        <v>3040</v>
      </c>
      <c r="O12">
        <v>7</v>
      </c>
      <c r="P12">
        <f t="shared" si="4"/>
        <v>8400</v>
      </c>
      <c r="Q12">
        <f t="shared" si="5"/>
        <v>42000</v>
      </c>
      <c r="R12">
        <f t="shared" si="6"/>
        <v>25200</v>
      </c>
    </row>
    <row r="13" spans="3:18">
      <c r="C13" s="7">
        <v>9</v>
      </c>
      <c r="D13">
        <f t="shared" si="7"/>
        <v>62</v>
      </c>
      <c r="E13">
        <v>16</v>
      </c>
      <c r="F13">
        <v>5</v>
      </c>
      <c r="G13" s="6">
        <f t="shared" si="1"/>
        <v>640</v>
      </c>
      <c r="H13" s="7"/>
      <c r="I13" s="7"/>
      <c r="J13">
        <f t="shared" si="2"/>
        <v>1920</v>
      </c>
      <c r="K13">
        <v>4</v>
      </c>
      <c r="L13">
        <f t="shared" si="3"/>
        <v>3700</v>
      </c>
      <c r="O13">
        <v>8</v>
      </c>
      <c r="P13">
        <f t="shared" si="4"/>
        <v>9600</v>
      </c>
      <c r="Q13">
        <f t="shared" si="5"/>
        <v>48000</v>
      </c>
      <c r="R13">
        <f t="shared" si="6"/>
        <v>28800</v>
      </c>
    </row>
    <row r="14" spans="3:18">
      <c r="C14" s="7">
        <v>10</v>
      </c>
      <c r="D14">
        <f t="shared" si="7"/>
        <v>83</v>
      </c>
      <c r="E14">
        <v>21</v>
      </c>
      <c r="F14">
        <v>6</v>
      </c>
      <c r="G14" s="6">
        <f t="shared" si="1"/>
        <v>840</v>
      </c>
      <c r="H14" s="8"/>
      <c r="I14" s="8"/>
      <c r="J14">
        <f t="shared" si="2"/>
        <v>2520</v>
      </c>
      <c r="K14">
        <v>4</v>
      </c>
      <c r="L14">
        <f t="shared" si="3"/>
        <v>4420</v>
      </c>
      <c r="O14">
        <v>9</v>
      </c>
      <c r="P14">
        <f t="shared" si="4"/>
        <v>10800</v>
      </c>
      <c r="Q14">
        <f t="shared" si="5"/>
        <v>54000</v>
      </c>
      <c r="R14">
        <f t="shared" si="6"/>
        <v>32400</v>
      </c>
    </row>
    <row r="15" spans="3:18">
      <c r="C15" s="7">
        <v>11</v>
      </c>
      <c r="D15">
        <f t="shared" si="7"/>
        <v>110</v>
      </c>
      <c r="E15">
        <v>27</v>
      </c>
      <c r="F15">
        <v>7</v>
      </c>
      <c r="G15" s="6">
        <f t="shared" si="1"/>
        <v>1080</v>
      </c>
      <c r="H15" s="6"/>
      <c r="I15" s="6"/>
      <c r="J15">
        <f t="shared" si="2"/>
        <v>3240</v>
      </c>
      <c r="K15">
        <v>4</v>
      </c>
      <c r="L15">
        <f t="shared" si="3"/>
        <v>5200</v>
      </c>
      <c r="O15" s="6">
        <v>10</v>
      </c>
      <c r="P15" s="6">
        <f t="shared" si="4"/>
        <v>12000</v>
      </c>
      <c r="Q15" s="6">
        <f t="shared" si="5"/>
        <v>60000</v>
      </c>
      <c r="R15" s="6">
        <f t="shared" si="6"/>
        <v>36000</v>
      </c>
    </row>
    <row r="16" spans="3:18">
      <c r="C16" s="7">
        <v>12</v>
      </c>
      <c r="D16">
        <f t="shared" si="7"/>
        <v>144</v>
      </c>
      <c r="E16">
        <v>34</v>
      </c>
      <c r="F16">
        <v>9</v>
      </c>
      <c r="G16" s="6">
        <f t="shared" si="1"/>
        <v>1360</v>
      </c>
      <c r="H16" s="6"/>
      <c r="I16" s="6"/>
      <c r="J16">
        <f t="shared" si="2"/>
        <v>4080</v>
      </c>
      <c r="K16">
        <v>4</v>
      </c>
      <c r="L16">
        <f t="shared" si="3"/>
        <v>6040</v>
      </c>
      <c r="O16">
        <v>11</v>
      </c>
      <c r="P16">
        <f t="shared" si="4"/>
        <v>13200</v>
      </c>
      <c r="Q16">
        <f t="shared" si="5"/>
        <v>66000</v>
      </c>
      <c r="R16">
        <f t="shared" si="6"/>
        <v>39600</v>
      </c>
    </row>
    <row r="17" spans="3:18">
      <c r="C17" s="7">
        <v>13</v>
      </c>
      <c r="D17">
        <f t="shared" si="7"/>
        <v>187</v>
      </c>
      <c r="E17">
        <v>43</v>
      </c>
      <c r="F17" s="7">
        <v>9</v>
      </c>
      <c r="G17" s="6">
        <f t="shared" si="1"/>
        <v>1720</v>
      </c>
      <c r="H17" s="6"/>
      <c r="I17" s="6"/>
      <c r="J17">
        <f t="shared" si="2"/>
        <v>5160</v>
      </c>
      <c r="K17">
        <v>4</v>
      </c>
      <c r="L17">
        <f t="shared" si="3"/>
        <v>6940</v>
      </c>
      <c r="O17">
        <v>12</v>
      </c>
      <c r="P17">
        <f t="shared" si="4"/>
        <v>14400</v>
      </c>
      <c r="Q17">
        <f t="shared" si="5"/>
        <v>72000</v>
      </c>
      <c r="R17">
        <f t="shared" si="6"/>
        <v>43200</v>
      </c>
    </row>
    <row r="18" spans="3:18">
      <c r="C18" s="7">
        <v>14</v>
      </c>
      <c r="D18">
        <f t="shared" si="7"/>
        <v>239</v>
      </c>
      <c r="E18">
        <v>52</v>
      </c>
      <c r="F18" s="7">
        <v>11</v>
      </c>
      <c r="G18" s="6">
        <f t="shared" si="1"/>
        <v>2080</v>
      </c>
      <c r="H18" s="6"/>
      <c r="I18" s="6"/>
      <c r="J18">
        <f t="shared" si="2"/>
        <v>6240</v>
      </c>
      <c r="K18">
        <v>4</v>
      </c>
      <c r="L18">
        <f t="shared" si="3"/>
        <v>7900</v>
      </c>
      <c r="O18">
        <v>13</v>
      </c>
      <c r="P18">
        <f t="shared" si="4"/>
        <v>15600</v>
      </c>
      <c r="Q18">
        <f t="shared" si="5"/>
        <v>78000</v>
      </c>
      <c r="R18">
        <f t="shared" si="6"/>
        <v>46800</v>
      </c>
    </row>
    <row r="19" spans="2:18">
      <c r="B19" t="s">
        <v>43</v>
      </c>
      <c r="C19" s="7">
        <v>15</v>
      </c>
      <c r="D19" s="9">
        <f t="shared" si="7"/>
        <v>302</v>
      </c>
      <c r="E19" s="9">
        <v>63</v>
      </c>
      <c r="F19" s="9">
        <v>13</v>
      </c>
      <c r="G19" s="9">
        <f t="shared" si="1"/>
        <v>2520</v>
      </c>
      <c r="H19" s="8">
        <f>G19/(2*20)</f>
        <v>63</v>
      </c>
      <c r="I19" s="8"/>
      <c r="J19">
        <f t="shared" si="2"/>
        <v>7560</v>
      </c>
      <c r="K19">
        <v>4</v>
      </c>
      <c r="L19">
        <f t="shared" si="3"/>
        <v>8920</v>
      </c>
      <c r="O19">
        <v>14</v>
      </c>
      <c r="P19">
        <f t="shared" si="4"/>
        <v>16800</v>
      </c>
      <c r="Q19">
        <f t="shared" si="5"/>
        <v>84000</v>
      </c>
      <c r="R19">
        <f t="shared" si="6"/>
        <v>50400</v>
      </c>
    </row>
    <row r="20" spans="3:18">
      <c r="C20" s="7">
        <v>16</v>
      </c>
      <c r="D20">
        <f t="shared" si="7"/>
        <v>378</v>
      </c>
      <c r="E20">
        <v>76</v>
      </c>
      <c r="F20" s="7">
        <v>14</v>
      </c>
      <c r="G20" s="6">
        <f t="shared" si="1"/>
        <v>3040</v>
      </c>
      <c r="H20" s="6"/>
      <c r="I20" s="6"/>
      <c r="J20">
        <f t="shared" si="2"/>
        <v>9120</v>
      </c>
      <c r="K20">
        <f t="shared" ref="K6:K37" si="8">INT((C20-1)/7)+2</f>
        <v>4</v>
      </c>
      <c r="L20">
        <f t="shared" si="3"/>
        <v>10000</v>
      </c>
      <c r="O20">
        <v>15</v>
      </c>
      <c r="P20">
        <f t="shared" si="4"/>
        <v>18000</v>
      </c>
      <c r="Q20">
        <f t="shared" si="5"/>
        <v>90000</v>
      </c>
      <c r="R20">
        <f t="shared" si="6"/>
        <v>54000</v>
      </c>
    </row>
    <row r="21" spans="3:18">
      <c r="C21" s="7">
        <v>17</v>
      </c>
      <c r="D21">
        <f t="shared" si="7"/>
        <v>468</v>
      </c>
      <c r="E21">
        <v>90</v>
      </c>
      <c r="F21" s="7">
        <v>10</v>
      </c>
      <c r="G21" s="6">
        <f t="shared" si="1"/>
        <v>3600</v>
      </c>
      <c r="H21" s="6"/>
      <c r="I21" s="6"/>
      <c r="J21">
        <f t="shared" si="2"/>
        <v>10800</v>
      </c>
      <c r="K21">
        <f t="shared" si="8"/>
        <v>4</v>
      </c>
      <c r="O21">
        <v>16</v>
      </c>
      <c r="P21">
        <f t="shared" si="4"/>
        <v>19200</v>
      </c>
      <c r="Q21">
        <f t="shared" si="5"/>
        <v>96000</v>
      </c>
      <c r="R21">
        <f t="shared" si="6"/>
        <v>57600</v>
      </c>
    </row>
    <row r="22" spans="3:18">
      <c r="C22" s="7">
        <v>18</v>
      </c>
      <c r="D22">
        <f t="shared" si="7"/>
        <v>568</v>
      </c>
      <c r="E22">
        <v>100</v>
      </c>
      <c r="F22" s="7">
        <v>5</v>
      </c>
      <c r="G22" s="6">
        <f t="shared" si="1"/>
        <v>4000</v>
      </c>
      <c r="H22" s="8"/>
      <c r="I22" s="8"/>
      <c r="J22">
        <f t="shared" si="2"/>
        <v>12000</v>
      </c>
      <c r="K22">
        <f t="shared" si="8"/>
        <v>4</v>
      </c>
      <c r="O22">
        <v>17</v>
      </c>
      <c r="P22">
        <f t="shared" si="4"/>
        <v>20400</v>
      </c>
      <c r="Q22">
        <f t="shared" si="5"/>
        <v>102000</v>
      </c>
      <c r="R22">
        <f t="shared" si="6"/>
        <v>61200</v>
      </c>
    </row>
    <row r="23" spans="3:18">
      <c r="C23" s="7">
        <v>19</v>
      </c>
      <c r="D23">
        <f t="shared" si="7"/>
        <v>673</v>
      </c>
      <c r="E23">
        <f t="shared" ref="E12:E33" si="9">E22+F23</f>
        <v>105</v>
      </c>
      <c r="F23" s="7">
        <v>5</v>
      </c>
      <c r="G23" s="6">
        <f t="shared" si="1"/>
        <v>4200</v>
      </c>
      <c r="H23" s="6"/>
      <c r="I23" s="6"/>
      <c r="J23">
        <f t="shared" si="2"/>
        <v>12600</v>
      </c>
      <c r="K23">
        <f t="shared" si="8"/>
        <v>4</v>
      </c>
      <c r="O23">
        <v>18</v>
      </c>
      <c r="P23">
        <f t="shared" si="4"/>
        <v>21600</v>
      </c>
      <c r="Q23">
        <f t="shared" si="5"/>
        <v>108000</v>
      </c>
      <c r="R23">
        <f t="shared" si="6"/>
        <v>64800</v>
      </c>
    </row>
    <row r="24" spans="3:18">
      <c r="C24" s="7">
        <v>20</v>
      </c>
      <c r="D24">
        <f t="shared" si="7"/>
        <v>783</v>
      </c>
      <c r="E24">
        <f t="shared" si="9"/>
        <v>110</v>
      </c>
      <c r="F24" s="7">
        <v>5</v>
      </c>
      <c r="G24" s="6">
        <f t="shared" si="1"/>
        <v>4400</v>
      </c>
      <c r="H24" s="8"/>
      <c r="I24" s="8"/>
      <c r="J24">
        <f t="shared" si="2"/>
        <v>13200</v>
      </c>
      <c r="K24">
        <f t="shared" si="8"/>
        <v>4</v>
      </c>
      <c r="O24">
        <v>19</v>
      </c>
      <c r="P24">
        <f t="shared" si="4"/>
        <v>22800</v>
      </c>
      <c r="Q24">
        <f t="shared" si="5"/>
        <v>114000</v>
      </c>
      <c r="R24">
        <f t="shared" si="6"/>
        <v>68400</v>
      </c>
    </row>
    <row r="25" spans="3:18">
      <c r="C25" s="7">
        <v>21</v>
      </c>
      <c r="D25">
        <f t="shared" si="7"/>
        <v>898</v>
      </c>
      <c r="E25">
        <f t="shared" si="9"/>
        <v>115</v>
      </c>
      <c r="F25" s="7">
        <v>5</v>
      </c>
      <c r="G25" s="6">
        <f t="shared" si="1"/>
        <v>4600</v>
      </c>
      <c r="H25" s="6"/>
      <c r="I25" s="6"/>
      <c r="J25">
        <f t="shared" si="2"/>
        <v>13800</v>
      </c>
      <c r="K25">
        <f t="shared" si="8"/>
        <v>4</v>
      </c>
      <c r="O25">
        <v>20</v>
      </c>
      <c r="P25">
        <f t="shared" si="4"/>
        <v>24000</v>
      </c>
      <c r="Q25">
        <f t="shared" si="5"/>
        <v>120000</v>
      </c>
      <c r="R25">
        <f t="shared" si="6"/>
        <v>72000</v>
      </c>
    </row>
    <row r="26" spans="3:18">
      <c r="C26" s="7">
        <v>22</v>
      </c>
      <c r="D26">
        <f t="shared" si="7"/>
        <v>1018</v>
      </c>
      <c r="E26">
        <f t="shared" si="9"/>
        <v>120</v>
      </c>
      <c r="F26" s="7">
        <v>5</v>
      </c>
      <c r="G26" s="6">
        <f t="shared" si="1"/>
        <v>6000</v>
      </c>
      <c r="H26" s="6"/>
      <c r="I26" s="6"/>
      <c r="J26">
        <f t="shared" si="2"/>
        <v>18000</v>
      </c>
      <c r="K26">
        <f t="shared" si="8"/>
        <v>5</v>
      </c>
      <c r="O26">
        <v>21</v>
      </c>
      <c r="P26">
        <f t="shared" si="4"/>
        <v>25200</v>
      </c>
      <c r="Q26">
        <f t="shared" si="5"/>
        <v>126000</v>
      </c>
      <c r="R26">
        <f t="shared" si="6"/>
        <v>75600</v>
      </c>
    </row>
    <row r="27" spans="3:18">
      <c r="C27" s="7">
        <v>23</v>
      </c>
      <c r="D27">
        <f t="shared" si="7"/>
        <v>1143</v>
      </c>
      <c r="E27">
        <f t="shared" si="9"/>
        <v>125</v>
      </c>
      <c r="F27" s="7">
        <v>5</v>
      </c>
      <c r="G27" s="6">
        <f t="shared" si="1"/>
        <v>6250</v>
      </c>
      <c r="H27" s="6"/>
      <c r="I27" s="6"/>
      <c r="J27">
        <f t="shared" si="2"/>
        <v>18750</v>
      </c>
      <c r="K27">
        <f t="shared" si="8"/>
        <v>5</v>
      </c>
      <c r="O27">
        <v>22</v>
      </c>
      <c r="P27">
        <f t="shared" si="4"/>
        <v>26400</v>
      </c>
      <c r="Q27">
        <f t="shared" si="5"/>
        <v>132000</v>
      </c>
      <c r="R27">
        <f t="shared" si="6"/>
        <v>79200</v>
      </c>
    </row>
    <row r="28" spans="3:18">
      <c r="C28" s="7">
        <v>24</v>
      </c>
      <c r="D28">
        <f t="shared" si="7"/>
        <v>1273</v>
      </c>
      <c r="E28">
        <f t="shared" si="9"/>
        <v>130</v>
      </c>
      <c r="F28" s="7">
        <v>5</v>
      </c>
      <c r="G28" s="6">
        <f t="shared" si="1"/>
        <v>6500</v>
      </c>
      <c r="H28" s="6"/>
      <c r="I28" s="6"/>
      <c r="J28">
        <f t="shared" si="2"/>
        <v>19500</v>
      </c>
      <c r="K28">
        <f t="shared" si="8"/>
        <v>5</v>
      </c>
      <c r="O28">
        <v>23</v>
      </c>
      <c r="P28">
        <f t="shared" si="4"/>
        <v>27600</v>
      </c>
      <c r="Q28">
        <f t="shared" si="5"/>
        <v>138000</v>
      </c>
      <c r="R28">
        <f t="shared" si="6"/>
        <v>82800</v>
      </c>
    </row>
    <row r="29" spans="3:18">
      <c r="C29" s="7">
        <v>25</v>
      </c>
      <c r="D29">
        <f t="shared" si="7"/>
        <v>1408</v>
      </c>
      <c r="E29">
        <f t="shared" si="9"/>
        <v>135</v>
      </c>
      <c r="F29" s="7">
        <v>5</v>
      </c>
      <c r="G29" s="6">
        <f t="shared" si="1"/>
        <v>6750</v>
      </c>
      <c r="H29" s="8"/>
      <c r="I29" s="8"/>
      <c r="J29">
        <f t="shared" si="2"/>
        <v>20250</v>
      </c>
      <c r="K29">
        <f t="shared" si="8"/>
        <v>5</v>
      </c>
      <c r="O29">
        <v>24</v>
      </c>
      <c r="P29">
        <f t="shared" si="4"/>
        <v>28800</v>
      </c>
      <c r="Q29">
        <f t="shared" si="5"/>
        <v>144000</v>
      </c>
      <c r="R29">
        <f t="shared" si="6"/>
        <v>86400</v>
      </c>
    </row>
    <row r="30" spans="3:18">
      <c r="C30" s="7">
        <v>26</v>
      </c>
      <c r="D30">
        <f t="shared" si="7"/>
        <v>1548</v>
      </c>
      <c r="E30">
        <f t="shared" si="9"/>
        <v>140</v>
      </c>
      <c r="F30" s="7">
        <v>5</v>
      </c>
      <c r="G30" s="6">
        <f t="shared" si="1"/>
        <v>7000</v>
      </c>
      <c r="H30" s="6"/>
      <c r="I30" s="6"/>
      <c r="J30">
        <f t="shared" si="2"/>
        <v>21000</v>
      </c>
      <c r="K30">
        <f t="shared" si="8"/>
        <v>5</v>
      </c>
      <c r="O30">
        <v>25</v>
      </c>
      <c r="P30">
        <f t="shared" si="4"/>
        <v>30000</v>
      </c>
      <c r="Q30">
        <f t="shared" si="5"/>
        <v>150000</v>
      </c>
      <c r="R30">
        <f t="shared" si="6"/>
        <v>90000</v>
      </c>
    </row>
    <row r="31" spans="3:18">
      <c r="C31" s="7">
        <v>27</v>
      </c>
      <c r="D31">
        <f t="shared" si="7"/>
        <v>1693</v>
      </c>
      <c r="E31">
        <f t="shared" si="9"/>
        <v>145</v>
      </c>
      <c r="F31" s="7">
        <v>5</v>
      </c>
      <c r="G31" s="6">
        <f t="shared" si="1"/>
        <v>7250</v>
      </c>
      <c r="H31" s="6"/>
      <c r="I31" s="6"/>
      <c r="J31">
        <f t="shared" si="2"/>
        <v>21750</v>
      </c>
      <c r="K31">
        <f t="shared" si="8"/>
        <v>5</v>
      </c>
      <c r="O31">
        <v>26</v>
      </c>
      <c r="P31">
        <f t="shared" si="4"/>
        <v>31200</v>
      </c>
      <c r="Q31">
        <f t="shared" si="5"/>
        <v>156000</v>
      </c>
      <c r="R31">
        <f t="shared" si="6"/>
        <v>93600</v>
      </c>
    </row>
    <row r="32" spans="3:18">
      <c r="C32">
        <v>28</v>
      </c>
      <c r="D32">
        <f t="shared" si="7"/>
        <v>1843</v>
      </c>
      <c r="E32">
        <f t="shared" si="9"/>
        <v>150</v>
      </c>
      <c r="F32" s="7">
        <v>5</v>
      </c>
      <c r="G32" s="6">
        <f t="shared" si="1"/>
        <v>7500</v>
      </c>
      <c r="H32" s="6"/>
      <c r="I32" s="6"/>
      <c r="J32">
        <f t="shared" si="2"/>
        <v>22500</v>
      </c>
      <c r="K32">
        <f t="shared" si="8"/>
        <v>5</v>
      </c>
      <c r="O32">
        <v>27</v>
      </c>
      <c r="P32">
        <f t="shared" si="4"/>
        <v>32400</v>
      </c>
      <c r="Q32">
        <f t="shared" si="5"/>
        <v>162000</v>
      </c>
      <c r="R32">
        <f t="shared" si="6"/>
        <v>97200</v>
      </c>
    </row>
    <row r="33" spans="3:18">
      <c r="C33">
        <v>29</v>
      </c>
      <c r="D33">
        <f t="shared" si="7"/>
        <v>1998</v>
      </c>
      <c r="E33">
        <f t="shared" si="9"/>
        <v>155</v>
      </c>
      <c r="F33" s="7">
        <v>5</v>
      </c>
      <c r="G33" s="6">
        <f t="shared" si="1"/>
        <v>9300</v>
      </c>
      <c r="H33" s="6"/>
      <c r="I33" s="6"/>
      <c r="J33">
        <f t="shared" si="2"/>
        <v>27900</v>
      </c>
      <c r="K33">
        <f t="shared" si="8"/>
        <v>6</v>
      </c>
      <c r="O33">
        <v>28</v>
      </c>
      <c r="P33">
        <f t="shared" si="4"/>
        <v>33600</v>
      </c>
      <c r="Q33">
        <f t="shared" si="5"/>
        <v>168000</v>
      </c>
      <c r="R33">
        <f t="shared" si="6"/>
        <v>100800</v>
      </c>
    </row>
    <row r="34" spans="3:18">
      <c r="C34">
        <v>30</v>
      </c>
      <c r="D34">
        <f t="shared" si="7"/>
        <v>2158</v>
      </c>
      <c r="E34">
        <f t="shared" ref="E16:E54" si="10">E33+F34</f>
        <v>160</v>
      </c>
      <c r="F34" s="7">
        <v>5</v>
      </c>
      <c r="G34" s="6">
        <f t="shared" si="1"/>
        <v>9600</v>
      </c>
      <c r="H34" s="6"/>
      <c r="I34" s="6"/>
      <c r="J34">
        <f t="shared" si="2"/>
        <v>28800</v>
      </c>
      <c r="K34">
        <f t="shared" si="8"/>
        <v>6</v>
      </c>
      <c r="O34">
        <v>29</v>
      </c>
      <c r="P34">
        <f t="shared" si="4"/>
        <v>34800</v>
      </c>
      <c r="Q34">
        <f t="shared" si="5"/>
        <v>174000</v>
      </c>
      <c r="R34">
        <f t="shared" si="6"/>
        <v>104400</v>
      </c>
    </row>
    <row r="35" spans="3:18">
      <c r="C35">
        <v>31</v>
      </c>
      <c r="D35">
        <f t="shared" ref="D35:D54" si="11">D34+E35</f>
        <v>2323</v>
      </c>
      <c r="E35">
        <f t="shared" si="10"/>
        <v>165</v>
      </c>
      <c r="F35" s="7">
        <v>5</v>
      </c>
      <c r="G35" s="6">
        <f t="shared" si="1"/>
        <v>9900</v>
      </c>
      <c r="H35" s="6"/>
      <c r="I35" s="6"/>
      <c r="J35">
        <f t="shared" si="2"/>
        <v>29700</v>
      </c>
      <c r="K35">
        <f t="shared" si="8"/>
        <v>6</v>
      </c>
      <c r="O35">
        <v>30</v>
      </c>
      <c r="P35">
        <f t="shared" si="4"/>
        <v>36000</v>
      </c>
      <c r="Q35">
        <f t="shared" si="5"/>
        <v>180000</v>
      </c>
      <c r="R35">
        <f t="shared" si="6"/>
        <v>108000</v>
      </c>
    </row>
    <row r="36" spans="3:18">
      <c r="C36">
        <v>32</v>
      </c>
      <c r="D36">
        <f t="shared" si="11"/>
        <v>2493</v>
      </c>
      <c r="E36">
        <f t="shared" si="10"/>
        <v>170</v>
      </c>
      <c r="F36" s="7">
        <v>5</v>
      </c>
      <c r="G36" s="6">
        <f t="shared" si="1"/>
        <v>10200</v>
      </c>
      <c r="H36" s="6"/>
      <c r="I36" s="6"/>
      <c r="J36">
        <f t="shared" si="2"/>
        <v>30600</v>
      </c>
      <c r="K36">
        <f t="shared" si="8"/>
        <v>6</v>
      </c>
      <c r="O36">
        <v>31</v>
      </c>
      <c r="P36">
        <f t="shared" si="4"/>
        <v>37200</v>
      </c>
      <c r="Q36">
        <f t="shared" si="5"/>
        <v>186000</v>
      </c>
      <c r="R36">
        <f t="shared" si="6"/>
        <v>111600</v>
      </c>
    </row>
    <row r="37" spans="3:18">
      <c r="C37">
        <v>33</v>
      </c>
      <c r="D37">
        <f t="shared" si="11"/>
        <v>2668</v>
      </c>
      <c r="E37">
        <f t="shared" si="10"/>
        <v>175</v>
      </c>
      <c r="F37" s="7">
        <v>5</v>
      </c>
      <c r="G37" s="6">
        <f t="shared" si="1"/>
        <v>10500</v>
      </c>
      <c r="H37" s="6"/>
      <c r="I37" s="6"/>
      <c r="J37">
        <f t="shared" si="2"/>
        <v>31500</v>
      </c>
      <c r="K37">
        <f t="shared" si="8"/>
        <v>6</v>
      </c>
      <c r="O37">
        <v>32</v>
      </c>
      <c r="P37">
        <f t="shared" si="4"/>
        <v>38400</v>
      </c>
      <c r="Q37">
        <f t="shared" si="5"/>
        <v>192000</v>
      </c>
      <c r="R37">
        <f t="shared" si="6"/>
        <v>115200</v>
      </c>
    </row>
    <row r="38" spans="3:18">
      <c r="C38">
        <v>34</v>
      </c>
      <c r="D38">
        <f t="shared" si="11"/>
        <v>2848</v>
      </c>
      <c r="E38">
        <f t="shared" si="10"/>
        <v>180</v>
      </c>
      <c r="F38" s="7">
        <v>5</v>
      </c>
      <c r="G38" s="6">
        <f t="shared" ref="G38:G74" si="12">E38*10*K38</f>
        <v>10800</v>
      </c>
      <c r="H38" s="6"/>
      <c r="I38" s="6"/>
      <c r="J38">
        <f t="shared" ref="J38:J74" si="13">G38*3</f>
        <v>32400</v>
      </c>
      <c r="K38">
        <f t="shared" ref="K38:K74" si="14">INT((C38-1)/7)+2</f>
        <v>6</v>
      </c>
      <c r="O38">
        <v>33</v>
      </c>
      <c r="P38">
        <f t="shared" si="4"/>
        <v>39600</v>
      </c>
      <c r="Q38">
        <f t="shared" si="5"/>
        <v>198000</v>
      </c>
      <c r="R38">
        <f t="shared" si="6"/>
        <v>118800</v>
      </c>
    </row>
    <row r="39" spans="3:18">
      <c r="C39">
        <v>35</v>
      </c>
      <c r="D39">
        <f t="shared" si="11"/>
        <v>3033</v>
      </c>
      <c r="E39">
        <f t="shared" si="10"/>
        <v>185</v>
      </c>
      <c r="F39" s="7">
        <v>5</v>
      </c>
      <c r="G39" s="6">
        <f t="shared" si="12"/>
        <v>11100</v>
      </c>
      <c r="H39" s="6"/>
      <c r="I39" s="6"/>
      <c r="J39">
        <f t="shared" si="13"/>
        <v>33300</v>
      </c>
      <c r="K39">
        <f t="shared" si="14"/>
        <v>6</v>
      </c>
      <c r="O39">
        <v>34</v>
      </c>
      <c r="P39">
        <f t="shared" si="4"/>
        <v>40800</v>
      </c>
      <c r="Q39">
        <f t="shared" si="5"/>
        <v>204000</v>
      </c>
      <c r="R39">
        <f t="shared" si="6"/>
        <v>122400</v>
      </c>
    </row>
    <row r="40" spans="3:18">
      <c r="C40">
        <v>36</v>
      </c>
      <c r="D40">
        <f t="shared" si="11"/>
        <v>3223</v>
      </c>
      <c r="E40">
        <f t="shared" si="10"/>
        <v>190</v>
      </c>
      <c r="F40" s="7">
        <v>5</v>
      </c>
      <c r="G40" s="6">
        <f t="shared" si="12"/>
        <v>13300</v>
      </c>
      <c r="H40" s="6"/>
      <c r="I40" s="6"/>
      <c r="J40">
        <f t="shared" si="13"/>
        <v>39900</v>
      </c>
      <c r="K40">
        <f t="shared" si="14"/>
        <v>7</v>
      </c>
      <c r="O40">
        <v>35</v>
      </c>
      <c r="P40">
        <f t="shared" si="4"/>
        <v>42000</v>
      </c>
      <c r="Q40">
        <f t="shared" si="5"/>
        <v>210000</v>
      </c>
      <c r="R40">
        <f t="shared" si="6"/>
        <v>126000</v>
      </c>
    </row>
    <row r="41" spans="3:18">
      <c r="C41">
        <v>37</v>
      </c>
      <c r="D41">
        <f t="shared" si="11"/>
        <v>3418</v>
      </c>
      <c r="E41">
        <f t="shared" si="10"/>
        <v>195</v>
      </c>
      <c r="F41" s="7">
        <v>5</v>
      </c>
      <c r="G41" s="6">
        <f t="shared" si="12"/>
        <v>13650</v>
      </c>
      <c r="H41" s="6"/>
      <c r="I41" s="6"/>
      <c r="J41">
        <f t="shared" si="13"/>
        <v>40950</v>
      </c>
      <c r="K41">
        <f t="shared" si="14"/>
        <v>7</v>
      </c>
      <c r="O41">
        <v>36</v>
      </c>
      <c r="P41">
        <f t="shared" si="4"/>
        <v>43200</v>
      </c>
      <c r="Q41">
        <f t="shared" si="5"/>
        <v>216000</v>
      </c>
      <c r="R41">
        <f t="shared" si="6"/>
        <v>129600</v>
      </c>
    </row>
    <row r="42" spans="3:18">
      <c r="C42">
        <v>38</v>
      </c>
      <c r="D42">
        <f t="shared" si="11"/>
        <v>3618</v>
      </c>
      <c r="E42">
        <f t="shared" si="10"/>
        <v>200</v>
      </c>
      <c r="F42" s="7">
        <v>5</v>
      </c>
      <c r="G42" s="6">
        <f t="shared" si="12"/>
        <v>14000</v>
      </c>
      <c r="H42" s="6"/>
      <c r="I42" s="6"/>
      <c r="J42">
        <f t="shared" si="13"/>
        <v>42000</v>
      </c>
      <c r="K42">
        <f t="shared" si="14"/>
        <v>7</v>
      </c>
      <c r="O42">
        <v>37</v>
      </c>
      <c r="P42">
        <f t="shared" si="4"/>
        <v>44400</v>
      </c>
      <c r="Q42">
        <f t="shared" si="5"/>
        <v>222000</v>
      </c>
      <c r="R42">
        <f t="shared" si="6"/>
        <v>133200</v>
      </c>
    </row>
    <row r="43" spans="3:18">
      <c r="C43">
        <v>39</v>
      </c>
      <c r="D43">
        <f t="shared" si="11"/>
        <v>3823</v>
      </c>
      <c r="E43">
        <f t="shared" si="10"/>
        <v>205</v>
      </c>
      <c r="F43" s="7">
        <v>5</v>
      </c>
      <c r="G43" s="6">
        <f t="shared" si="12"/>
        <v>14350</v>
      </c>
      <c r="H43" s="6"/>
      <c r="I43" s="6"/>
      <c r="J43">
        <f t="shared" si="13"/>
        <v>43050</v>
      </c>
      <c r="K43">
        <f t="shared" si="14"/>
        <v>7</v>
      </c>
      <c r="O43">
        <v>38</v>
      </c>
      <c r="P43">
        <f t="shared" si="4"/>
        <v>45600</v>
      </c>
      <c r="Q43">
        <f t="shared" si="5"/>
        <v>228000</v>
      </c>
      <c r="R43">
        <f t="shared" si="6"/>
        <v>136800</v>
      </c>
    </row>
    <row r="44" spans="3:18">
      <c r="C44">
        <v>40</v>
      </c>
      <c r="D44">
        <f t="shared" si="11"/>
        <v>4033</v>
      </c>
      <c r="E44">
        <f t="shared" si="10"/>
        <v>210</v>
      </c>
      <c r="F44" s="7">
        <v>5</v>
      </c>
      <c r="G44" s="6">
        <f t="shared" si="12"/>
        <v>14700</v>
      </c>
      <c r="H44" s="6"/>
      <c r="I44" s="6"/>
      <c r="J44">
        <f t="shared" si="13"/>
        <v>44100</v>
      </c>
      <c r="K44">
        <f t="shared" si="14"/>
        <v>7</v>
      </c>
      <c r="O44">
        <v>39</v>
      </c>
      <c r="P44">
        <f t="shared" si="4"/>
        <v>46800</v>
      </c>
      <c r="Q44">
        <f t="shared" si="5"/>
        <v>234000</v>
      </c>
      <c r="R44">
        <f t="shared" si="6"/>
        <v>140400</v>
      </c>
    </row>
    <row r="45" spans="3:18">
      <c r="C45">
        <v>41</v>
      </c>
      <c r="D45">
        <f t="shared" si="11"/>
        <v>4248</v>
      </c>
      <c r="E45">
        <f t="shared" si="10"/>
        <v>215</v>
      </c>
      <c r="F45" s="7">
        <v>5</v>
      </c>
      <c r="G45" s="6">
        <f t="shared" si="12"/>
        <v>15050</v>
      </c>
      <c r="H45" s="6"/>
      <c r="I45" s="6"/>
      <c r="J45">
        <f t="shared" si="13"/>
        <v>45150</v>
      </c>
      <c r="K45">
        <f t="shared" si="14"/>
        <v>7</v>
      </c>
      <c r="O45">
        <v>40</v>
      </c>
      <c r="P45">
        <f t="shared" si="4"/>
        <v>48000</v>
      </c>
      <c r="Q45">
        <f t="shared" si="5"/>
        <v>240000</v>
      </c>
      <c r="R45">
        <f t="shared" si="6"/>
        <v>144000</v>
      </c>
    </row>
    <row r="46" spans="3:11">
      <c r="C46">
        <v>42</v>
      </c>
      <c r="D46">
        <f t="shared" si="11"/>
        <v>4468</v>
      </c>
      <c r="E46">
        <f t="shared" si="10"/>
        <v>220</v>
      </c>
      <c r="F46" s="7">
        <v>5</v>
      </c>
      <c r="G46" s="6">
        <f t="shared" si="12"/>
        <v>15400</v>
      </c>
      <c r="H46" s="6"/>
      <c r="I46" s="6"/>
      <c r="J46">
        <f t="shared" si="13"/>
        <v>46200</v>
      </c>
      <c r="K46">
        <f t="shared" si="14"/>
        <v>7</v>
      </c>
    </row>
    <row r="47" spans="3:11">
      <c r="C47">
        <v>43</v>
      </c>
      <c r="D47">
        <f t="shared" si="11"/>
        <v>4693</v>
      </c>
      <c r="E47">
        <f t="shared" si="10"/>
        <v>225</v>
      </c>
      <c r="F47" s="7">
        <v>5</v>
      </c>
      <c r="G47" s="6">
        <f t="shared" si="12"/>
        <v>18000</v>
      </c>
      <c r="H47" s="6"/>
      <c r="I47" s="6"/>
      <c r="J47">
        <f t="shared" si="13"/>
        <v>54000</v>
      </c>
      <c r="K47">
        <f t="shared" si="14"/>
        <v>8</v>
      </c>
    </row>
    <row r="48" spans="3:11">
      <c r="C48">
        <v>44</v>
      </c>
      <c r="D48">
        <f t="shared" si="11"/>
        <v>4923</v>
      </c>
      <c r="E48">
        <f t="shared" si="10"/>
        <v>230</v>
      </c>
      <c r="F48" s="7">
        <v>5</v>
      </c>
      <c r="G48" s="6">
        <f t="shared" si="12"/>
        <v>18400</v>
      </c>
      <c r="H48" s="6"/>
      <c r="I48" s="6"/>
      <c r="J48">
        <f t="shared" si="13"/>
        <v>55200</v>
      </c>
      <c r="K48">
        <f t="shared" si="14"/>
        <v>8</v>
      </c>
    </row>
    <row r="49" spans="3:11">
      <c r="C49">
        <v>45</v>
      </c>
      <c r="D49">
        <f t="shared" si="11"/>
        <v>5158</v>
      </c>
      <c r="E49">
        <f t="shared" si="10"/>
        <v>235</v>
      </c>
      <c r="F49" s="7">
        <v>5</v>
      </c>
      <c r="G49" s="6">
        <f t="shared" si="12"/>
        <v>18800</v>
      </c>
      <c r="H49" s="6"/>
      <c r="I49" s="6"/>
      <c r="J49">
        <f t="shared" si="13"/>
        <v>56400</v>
      </c>
      <c r="K49">
        <f t="shared" si="14"/>
        <v>8</v>
      </c>
    </row>
    <row r="50" spans="3:11">
      <c r="C50">
        <v>46</v>
      </c>
      <c r="D50">
        <f t="shared" si="11"/>
        <v>5398</v>
      </c>
      <c r="E50">
        <f t="shared" si="10"/>
        <v>240</v>
      </c>
      <c r="F50" s="7">
        <v>5</v>
      </c>
      <c r="G50" s="6">
        <f t="shared" si="12"/>
        <v>19200</v>
      </c>
      <c r="H50" s="6"/>
      <c r="I50" s="6"/>
      <c r="J50">
        <f t="shared" si="13"/>
        <v>57600</v>
      </c>
      <c r="K50">
        <f t="shared" si="14"/>
        <v>8</v>
      </c>
    </row>
    <row r="51" spans="3:11">
      <c r="C51">
        <v>47</v>
      </c>
      <c r="D51">
        <f t="shared" si="11"/>
        <v>5643</v>
      </c>
      <c r="E51">
        <f t="shared" si="10"/>
        <v>245</v>
      </c>
      <c r="F51" s="7">
        <v>5</v>
      </c>
      <c r="G51" s="6">
        <f t="shared" si="12"/>
        <v>19600</v>
      </c>
      <c r="H51" s="6"/>
      <c r="I51" s="6"/>
      <c r="J51">
        <f t="shared" si="13"/>
        <v>58800</v>
      </c>
      <c r="K51">
        <f t="shared" si="14"/>
        <v>8</v>
      </c>
    </row>
    <row r="52" spans="3:11">
      <c r="C52">
        <v>48</v>
      </c>
      <c r="D52">
        <f t="shared" si="11"/>
        <v>5893</v>
      </c>
      <c r="E52">
        <f t="shared" si="10"/>
        <v>250</v>
      </c>
      <c r="F52" s="7">
        <v>5</v>
      </c>
      <c r="G52" s="6">
        <f t="shared" si="12"/>
        <v>20000</v>
      </c>
      <c r="H52" s="6"/>
      <c r="I52" s="6"/>
      <c r="J52">
        <f t="shared" si="13"/>
        <v>60000</v>
      </c>
      <c r="K52">
        <f t="shared" si="14"/>
        <v>8</v>
      </c>
    </row>
    <row r="53" spans="3:11">
      <c r="C53">
        <v>49</v>
      </c>
      <c r="D53">
        <f t="shared" si="11"/>
        <v>6148</v>
      </c>
      <c r="E53">
        <f t="shared" si="10"/>
        <v>255</v>
      </c>
      <c r="F53" s="7">
        <v>5</v>
      </c>
      <c r="G53" s="6">
        <f t="shared" si="12"/>
        <v>20400</v>
      </c>
      <c r="H53" s="6"/>
      <c r="I53" s="6"/>
      <c r="J53">
        <f t="shared" si="13"/>
        <v>61200</v>
      </c>
      <c r="K53">
        <f t="shared" si="14"/>
        <v>8</v>
      </c>
    </row>
    <row r="54" spans="3:11">
      <c r="C54" s="8">
        <v>50</v>
      </c>
      <c r="D54" s="8">
        <f t="shared" si="11"/>
        <v>6408</v>
      </c>
      <c r="E54">
        <f t="shared" si="10"/>
        <v>260</v>
      </c>
      <c r="F54" s="7">
        <v>5</v>
      </c>
      <c r="G54" s="6">
        <f t="shared" si="12"/>
        <v>23400</v>
      </c>
      <c r="H54" s="6"/>
      <c r="I54" s="6"/>
      <c r="J54">
        <f t="shared" si="13"/>
        <v>70200</v>
      </c>
      <c r="K54">
        <f t="shared" si="14"/>
        <v>9</v>
      </c>
    </row>
    <row r="55" spans="3:11">
      <c r="C55">
        <v>51</v>
      </c>
      <c r="D55">
        <f t="shared" ref="D55:D74" si="15">D54+E55</f>
        <v>6673</v>
      </c>
      <c r="E55">
        <f t="shared" ref="E55:E74" si="16">E54+F55</f>
        <v>265</v>
      </c>
      <c r="F55" s="7">
        <v>5</v>
      </c>
      <c r="G55" s="6">
        <f t="shared" si="12"/>
        <v>23850</v>
      </c>
      <c r="H55" s="6"/>
      <c r="I55" s="6"/>
      <c r="J55">
        <f t="shared" si="13"/>
        <v>71550</v>
      </c>
      <c r="K55">
        <f t="shared" si="14"/>
        <v>9</v>
      </c>
    </row>
    <row r="56" spans="3:11">
      <c r="C56">
        <v>52</v>
      </c>
      <c r="D56">
        <f t="shared" si="15"/>
        <v>6943</v>
      </c>
      <c r="E56">
        <f t="shared" si="16"/>
        <v>270</v>
      </c>
      <c r="F56" s="7">
        <v>5</v>
      </c>
      <c r="G56" s="6">
        <f t="shared" si="12"/>
        <v>24300</v>
      </c>
      <c r="H56" s="6"/>
      <c r="I56" s="6"/>
      <c r="J56">
        <f t="shared" si="13"/>
        <v>72900</v>
      </c>
      <c r="K56">
        <f t="shared" si="14"/>
        <v>9</v>
      </c>
    </row>
    <row r="57" spans="3:11">
      <c r="C57">
        <v>53</v>
      </c>
      <c r="D57">
        <f t="shared" si="15"/>
        <v>7218</v>
      </c>
      <c r="E57">
        <f t="shared" si="16"/>
        <v>275</v>
      </c>
      <c r="F57" s="7">
        <v>5</v>
      </c>
      <c r="G57" s="6">
        <f t="shared" si="12"/>
        <v>24750</v>
      </c>
      <c r="H57" s="6"/>
      <c r="I57" s="6"/>
      <c r="J57">
        <f t="shared" si="13"/>
        <v>74250</v>
      </c>
      <c r="K57">
        <f t="shared" si="14"/>
        <v>9</v>
      </c>
    </row>
    <row r="58" spans="3:11">
      <c r="C58">
        <v>54</v>
      </c>
      <c r="D58">
        <f t="shared" si="15"/>
        <v>7498</v>
      </c>
      <c r="E58">
        <f t="shared" si="16"/>
        <v>280</v>
      </c>
      <c r="F58" s="7">
        <v>5</v>
      </c>
      <c r="G58" s="6">
        <f t="shared" si="12"/>
        <v>25200</v>
      </c>
      <c r="H58" s="6"/>
      <c r="I58" s="6"/>
      <c r="J58">
        <f t="shared" si="13"/>
        <v>75600</v>
      </c>
      <c r="K58">
        <f t="shared" si="14"/>
        <v>9</v>
      </c>
    </row>
    <row r="59" spans="3:11">
      <c r="C59">
        <v>55</v>
      </c>
      <c r="D59">
        <f t="shared" si="15"/>
        <v>7783</v>
      </c>
      <c r="E59">
        <f t="shared" si="16"/>
        <v>285</v>
      </c>
      <c r="F59" s="7">
        <v>5</v>
      </c>
      <c r="G59" s="6">
        <f t="shared" si="12"/>
        <v>25650</v>
      </c>
      <c r="H59" s="6"/>
      <c r="I59" s="6"/>
      <c r="J59">
        <f t="shared" si="13"/>
        <v>76950</v>
      </c>
      <c r="K59">
        <f t="shared" si="14"/>
        <v>9</v>
      </c>
    </row>
    <row r="60" spans="3:11">
      <c r="C60">
        <v>56</v>
      </c>
      <c r="D60">
        <f t="shared" si="15"/>
        <v>8073</v>
      </c>
      <c r="E60">
        <f t="shared" si="16"/>
        <v>290</v>
      </c>
      <c r="F60" s="7">
        <v>5</v>
      </c>
      <c r="G60" s="6">
        <f t="shared" si="12"/>
        <v>26100</v>
      </c>
      <c r="H60" s="6"/>
      <c r="I60" s="6"/>
      <c r="J60">
        <f t="shared" si="13"/>
        <v>78300</v>
      </c>
      <c r="K60">
        <f t="shared" si="14"/>
        <v>9</v>
      </c>
    </row>
    <row r="61" spans="3:11">
      <c r="C61">
        <v>57</v>
      </c>
      <c r="D61">
        <f t="shared" si="15"/>
        <v>8368</v>
      </c>
      <c r="E61">
        <f t="shared" si="16"/>
        <v>295</v>
      </c>
      <c r="F61" s="7">
        <v>5</v>
      </c>
      <c r="G61" s="6">
        <f t="shared" si="12"/>
        <v>29500</v>
      </c>
      <c r="H61" s="6"/>
      <c r="I61" s="6"/>
      <c r="J61">
        <f t="shared" si="13"/>
        <v>88500</v>
      </c>
      <c r="K61">
        <f t="shared" si="14"/>
        <v>10</v>
      </c>
    </row>
    <row r="62" spans="3:11">
      <c r="C62">
        <v>58</v>
      </c>
      <c r="D62">
        <f t="shared" si="15"/>
        <v>8668</v>
      </c>
      <c r="E62">
        <f t="shared" si="16"/>
        <v>300</v>
      </c>
      <c r="F62" s="7">
        <v>5</v>
      </c>
      <c r="G62" s="6">
        <f t="shared" si="12"/>
        <v>30000</v>
      </c>
      <c r="H62" s="6"/>
      <c r="I62" s="6"/>
      <c r="J62">
        <f t="shared" si="13"/>
        <v>90000</v>
      </c>
      <c r="K62">
        <f t="shared" si="14"/>
        <v>10</v>
      </c>
    </row>
    <row r="63" spans="3:11">
      <c r="C63">
        <v>59</v>
      </c>
      <c r="D63">
        <f t="shared" si="15"/>
        <v>8973</v>
      </c>
      <c r="E63">
        <f t="shared" si="16"/>
        <v>305</v>
      </c>
      <c r="F63" s="7">
        <v>5</v>
      </c>
      <c r="G63" s="6">
        <f t="shared" si="12"/>
        <v>30500</v>
      </c>
      <c r="H63" s="6"/>
      <c r="I63" s="6"/>
      <c r="J63">
        <f t="shared" si="13"/>
        <v>91500</v>
      </c>
      <c r="K63">
        <f t="shared" si="14"/>
        <v>10</v>
      </c>
    </row>
    <row r="64" spans="3:11">
      <c r="C64">
        <v>60</v>
      </c>
      <c r="D64">
        <f t="shared" si="15"/>
        <v>9283</v>
      </c>
      <c r="E64">
        <f t="shared" si="16"/>
        <v>310</v>
      </c>
      <c r="F64" s="7">
        <v>5</v>
      </c>
      <c r="G64" s="6">
        <f t="shared" si="12"/>
        <v>31000</v>
      </c>
      <c r="H64" s="6"/>
      <c r="I64" s="6"/>
      <c r="J64">
        <f t="shared" si="13"/>
        <v>93000</v>
      </c>
      <c r="K64">
        <f t="shared" si="14"/>
        <v>10</v>
      </c>
    </row>
    <row r="65" spans="3:11">
      <c r="C65">
        <v>61</v>
      </c>
      <c r="D65">
        <f t="shared" si="15"/>
        <v>9598</v>
      </c>
      <c r="E65">
        <f t="shared" si="16"/>
        <v>315</v>
      </c>
      <c r="F65" s="7">
        <v>5</v>
      </c>
      <c r="G65" s="6">
        <f t="shared" si="12"/>
        <v>31500</v>
      </c>
      <c r="H65" s="6"/>
      <c r="I65" s="6"/>
      <c r="J65">
        <f t="shared" si="13"/>
        <v>94500</v>
      </c>
      <c r="K65">
        <f t="shared" si="14"/>
        <v>10</v>
      </c>
    </row>
    <row r="66" spans="3:11">
      <c r="C66">
        <v>62</v>
      </c>
      <c r="D66">
        <f t="shared" si="15"/>
        <v>9918</v>
      </c>
      <c r="E66">
        <f t="shared" si="16"/>
        <v>320</v>
      </c>
      <c r="F66" s="7">
        <v>5</v>
      </c>
      <c r="G66" s="6">
        <f t="shared" si="12"/>
        <v>32000</v>
      </c>
      <c r="H66" s="6"/>
      <c r="I66" s="6"/>
      <c r="J66">
        <f t="shared" si="13"/>
        <v>96000</v>
      </c>
      <c r="K66">
        <f t="shared" si="14"/>
        <v>10</v>
      </c>
    </row>
    <row r="67" spans="3:11">
      <c r="C67">
        <v>63</v>
      </c>
      <c r="D67">
        <f t="shared" si="15"/>
        <v>10243</v>
      </c>
      <c r="E67">
        <f t="shared" si="16"/>
        <v>325</v>
      </c>
      <c r="F67" s="7">
        <v>5</v>
      </c>
      <c r="G67" s="6">
        <f t="shared" si="12"/>
        <v>32500</v>
      </c>
      <c r="H67" s="6"/>
      <c r="I67" s="6"/>
      <c r="J67">
        <f t="shared" si="13"/>
        <v>97500</v>
      </c>
      <c r="K67">
        <f t="shared" si="14"/>
        <v>10</v>
      </c>
    </row>
    <row r="68" spans="3:11">
      <c r="C68">
        <v>64</v>
      </c>
      <c r="D68">
        <f t="shared" si="15"/>
        <v>10573</v>
      </c>
      <c r="E68">
        <f t="shared" si="16"/>
        <v>330</v>
      </c>
      <c r="F68" s="7">
        <v>5</v>
      </c>
      <c r="G68" s="6">
        <f t="shared" si="12"/>
        <v>36300</v>
      </c>
      <c r="H68" s="6"/>
      <c r="I68" s="6"/>
      <c r="J68">
        <f t="shared" si="13"/>
        <v>108900</v>
      </c>
      <c r="K68">
        <f t="shared" si="14"/>
        <v>11</v>
      </c>
    </row>
    <row r="69" spans="3:11">
      <c r="C69">
        <v>65</v>
      </c>
      <c r="D69">
        <f t="shared" si="15"/>
        <v>10908</v>
      </c>
      <c r="E69">
        <f t="shared" si="16"/>
        <v>335</v>
      </c>
      <c r="F69" s="7">
        <v>5</v>
      </c>
      <c r="G69" s="6">
        <f t="shared" si="12"/>
        <v>36850</v>
      </c>
      <c r="H69" s="6"/>
      <c r="I69" s="6"/>
      <c r="J69">
        <f t="shared" si="13"/>
        <v>110550</v>
      </c>
      <c r="K69">
        <f t="shared" si="14"/>
        <v>11</v>
      </c>
    </row>
    <row r="70" spans="3:11">
      <c r="C70">
        <v>66</v>
      </c>
      <c r="D70">
        <f t="shared" si="15"/>
        <v>11248</v>
      </c>
      <c r="E70">
        <f t="shared" si="16"/>
        <v>340</v>
      </c>
      <c r="F70" s="7">
        <v>5</v>
      </c>
      <c r="G70" s="6">
        <f t="shared" si="12"/>
        <v>37400</v>
      </c>
      <c r="H70" s="6"/>
      <c r="I70" s="6"/>
      <c r="J70">
        <f t="shared" si="13"/>
        <v>112200</v>
      </c>
      <c r="K70">
        <f t="shared" si="14"/>
        <v>11</v>
      </c>
    </row>
    <row r="71" spans="3:11">
      <c r="C71">
        <v>67</v>
      </c>
      <c r="D71">
        <f t="shared" si="15"/>
        <v>11593</v>
      </c>
      <c r="E71">
        <f t="shared" si="16"/>
        <v>345</v>
      </c>
      <c r="F71" s="7">
        <v>5</v>
      </c>
      <c r="G71" s="6">
        <f t="shared" si="12"/>
        <v>37950</v>
      </c>
      <c r="H71" s="6"/>
      <c r="I71" s="6"/>
      <c r="J71">
        <f t="shared" si="13"/>
        <v>113850</v>
      </c>
      <c r="K71">
        <f t="shared" si="14"/>
        <v>11</v>
      </c>
    </row>
    <row r="72" spans="3:11">
      <c r="C72">
        <v>68</v>
      </c>
      <c r="D72">
        <f t="shared" si="15"/>
        <v>11943</v>
      </c>
      <c r="E72">
        <f t="shared" si="16"/>
        <v>350</v>
      </c>
      <c r="F72" s="7">
        <v>5</v>
      </c>
      <c r="G72" s="6">
        <f t="shared" si="12"/>
        <v>38500</v>
      </c>
      <c r="H72" s="6"/>
      <c r="I72" s="6"/>
      <c r="J72">
        <f t="shared" si="13"/>
        <v>115500</v>
      </c>
      <c r="K72">
        <f t="shared" si="14"/>
        <v>11</v>
      </c>
    </row>
    <row r="73" spans="3:11">
      <c r="C73">
        <v>69</v>
      </c>
      <c r="D73">
        <f t="shared" si="15"/>
        <v>12298</v>
      </c>
      <c r="E73">
        <f t="shared" si="16"/>
        <v>355</v>
      </c>
      <c r="F73" s="7">
        <v>5</v>
      </c>
      <c r="G73" s="6">
        <f t="shared" si="12"/>
        <v>39050</v>
      </c>
      <c r="H73" s="6"/>
      <c r="I73" s="6"/>
      <c r="J73">
        <f t="shared" si="13"/>
        <v>117150</v>
      </c>
      <c r="K73">
        <f t="shared" si="14"/>
        <v>11</v>
      </c>
    </row>
    <row r="74" spans="3:11">
      <c r="C74">
        <v>70</v>
      </c>
      <c r="D74">
        <f t="shared" si="15"/>
        <v>12658</v>
      </c>
      <c r="E74">
        <f t="shared" si="16"/>
        <v>360</v>
      </c>
      <c r="F74" s="7">
        <v>5</v>
      </c>
      <c r="G74" s="6">
        <f t="shared" si="12"/>
        <v>39600</v>
      </c>
      <c r="H74" s="6"/>
      <c r="I74" s="6"/>
      <c r="J74">
        <f t="shared" si="13"/>
        <v>118800</v>
      </c>
      <c r="K74">
        <f t="shared" si="14"/>
        <v>11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74"/>
  <sheetViews>
    <sheetView topLeftCell="A9" workbookViewId="0">
      <selection activeCell="T32" sqref="T15:T32"/>
    </sheetView>
  </sheetViews>
  <sheetFormatPr defaultColWidth="9" defaultRowHeight="13.5"/>
  <cols>
    <col min="1" max="1" width="11.75" customWidth="1"/>
    <col min="20" max="20" width="12.625"/>
  </cols>
  <sheetData>
    <row r="2" spans="1:2">
      <c r="A2" s="1" t="s">
        <v>44</v>
      </c>
      <c r="B2" s="2"/>
    </row>
    <row r="3" spans="1:2">
      <c r="A3" s="1" t="s">
        <v>45</v>
      </c>
      <c r="B3" s="2"/>
    </row>
    <row r="4" spans="1:2">
      <c r="A4" s="1" t="s">
        <v>46</v>
      </c>
      <c r="B4" s="2"/>
    </row>
    <row r="6" spans="1:1">
      <c r="A6" s="3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1" ht="18" spans="1:1">
      <c r="A11" s="4" t="s">
        <v>51</v>
      </c>
    </row>
    <row r="12" ht="18" spans="1:1">
      <c r="A12" s="5" t="s">
        <v>52</v>
      </c>
    </row>
    <row r="14" spans="17:20">
      <c r="Q14" t="s">
        <v>53</v>
      </c>
      <c r="S14" t="s">
        <v>54</v>
      </c>
      <c r="T14" t="s">
        <v>55</v>
      </c>
    </row>
    <row r="15" spans="17:20">
      <c r="Q15">
        <v>1</v>
      </c>
      <c r="S15">
        <f>POWER(Q15,3)+POWER(Q15,2)+Q15*10+60</f>
        <v>72</v>
      </c>
      <c r="T15">
        <f>ROUND(S15/60,1)</f>
        <v>1.2</v>
      </c>
    </row>
    <row r="16" spans="17:20">
      <c r="Q16">
        <v>2</v>
      </c>
      <c r="S16">
        <f t="shared" ref="S16:S47" si="0">POWER(Q16,3)+POWER(Q16,2)+Q16*10+60</f>
        <v>92</v>
      </c>
      <c r="T16">
        <f t="shared" ref="T16:T47" si="1">ROUND(S16/60,1)</f>
        <v>1.5</v>
      </c>
    </row>
    <row r="17" spans="17:20">
      <c r="Q17">
        <v>3</v>
      </c>
      <c r="S17">
        <f t="shared" si="0"/>
        <v>126</v>
      </c>
      <c r="T17">
        <f t="shared" si="1"/>
        <v>2.1</v>
      </c>
    </row>
    <row r="18" spans="17:20">
      <c r="Q18">
        <v>4</v>
      </c>
      <c r="S18">
        <f t="shared" si="0"/>
        <v>180</v>
      </c>
      <c r="T18">
        <f t="shared" si="1"/>
        <v>3</v>
      </c>
    </row>
    <row r="19" spans="17:20">
      <c r="Q19">
        <v>5</v>
      </c>
      <c r="S19">
        <f t="shared" si="0"/>
        <v>260</v>
      </c>
      <c r="T19">
        <f t="shared" si="1"/>
        <v>4.3</v>
      </c>
    </row>
    <row r="20" spans="17:20">
      <c r="Q20">
        <v>6</v>
      </c>
      <c r="S20">
        <f t="shared" si="0"/>
        <v>372</v>
      </c>
      <c r="T20">
        <f t="shared" si="1"/>
        <v>6.2</v>
      </c>
    </row>
    <row r="21" spans="17:20">
      <c r="Q21">
        <v>7</v>
      </c>
      <c r="S21">
        <f t="shared" si="0"/>
        <v>522</v>
      </c>
      <c r="T21">
        <f t="shared" si="1"/>
        <v>8.7</v>
      </c>
    </row>
    <row r="22" spans="17:20">
      <c r="Q22">
        <v>8</v>
      </c>
      <c r="S22">
        <f t="shared" si="0"/>
        <v>716</v>
      </c>
      <c r="T22">
        <f t="shared" si="1"/>
        <v>11.9</v>
      </c>
    </row>
    <row r="23" spans="17:20">
      <c r="Q23">
        <v>9</v>
      </c>
      <c r="S23">
        <f t="shared" si="0"/>
        <v>960</v>
      </c>
      <c r="T23">
        <f t="shared" si="1"/>
        <v>16</v>
      </c>
    </row>
    <row r="24" spans="17:20">
      <c r="Q24">
        <v>10</v>
      </c>
      <c r="S24">
        <f t="shared" si="0"/>
        <v>1260</v>
      </c>
      <c r="T24">
        <f t="shared" si="1"/>
        <v>21</v>
      </c>
    </row>
    <row r="25" spans="17:20">
      <c r="Q25">
        <v>11</v>
      </c>
      <c r="S25">
        <f t="shared" si="0"/>
        <v>1622</v>
      </c>
      <c r="T25">
        <f t="shared" si="1"/>
        <v>27</v>
      </c>
    </row>
    <row r="26" spans="17:20">
      <c r="Q26">
        <v>12</v>
      </c>
      <c r="S26">
        <f t="shared" si="0"/>
        <v>2052</v>
      </c>
      <c r="T26">
        <f t="shared" si="1"/>
        <v>34.2</v>
      </c>
    </row>
    <row r="27" spans="17:20">
      <c r="Q27">
        <v>13</v>
      </c>
      <c r="S27">
        <f t="shared" si="0"/>
        <v>2556</v>
      </c>
      <c r="T27">
        <f t="shared" si="1"/>
        <v>42.6</v>
      </c>
    </row>
    <row r="28" spans="17:20">
      <c r="Q28">
        <v>14</v>
      </c>
      <c r="S28">
        <f t="shared" si="0"/>
        <v>3140</v>
      </c>
      <c r="T28">
        <f t="shared" si="1"/>
        <v>52.3</v>
      </c>
    </row>
    <row r="29" spans="17:20">
      <c r="Q29">
        <v>15</v>
      </c>
      <c r="S29">
        <f t="shared" si="0"/>
        <v>3810</v>
      </c>
      <c r="T29">
        <f t="shared" si="1"/>
        <v>63.5</v>
      </c>
    </row>
    <row r="30" spans="17:20">
      <c r="Q30">
        <v>16</v>
      </c>
      <c r="S30">
        <f t="shared" si="0"/>
        <v>4572</v>
      </c>
      <c r="T30">
        <f t="shared" si="1"/>
        <v>76.2</v>
      </c>
    </row>
    <row r="31" spans="17:20">
      <c r="Q31">
        <v>17</v>
      </c>
      <c r="S31">
        <f t="shared" si="0"/>
        <v>5432</v>
      </c>
      <c r="T31">
        <f t="shared" si="1"/>
        <v>90.5</v>
      </c>
    </row>
    <row r="32" spans="17:20">
      <c r="Q32">
        <v>18</v>
      </c>
      <c r="S32">
        <f t="shared" si="0"/>
        <v>6396</v>
      </c>
      <c r="T32">
        <f t="shared" si="1"/>
        <v>106.6</v>
      </c>
    </row>
    <row r="33" spans="17:20">
      <c r="Q33">
        <v>19</v>
      </c>
      <c r="S33">
        <f t="shared" si="0"/>
        <v>7470</v>
      </c>
      <c r="T33">
        <f t="shared" si="1"/>
        <v>124.5</v>
      </c>
    </row>
    <row r="34" spans="17:20">
      <c r="Q34">
        <v>20</v>
      </c>
      <c r="S34">
        <f t="shared" si="0"/>
        <v>8660</v>
      </c>
      <c r="T34">
        <f t="shared" si="1"/>
        <v>144.3</v>
      </c>
    </row>
    <row r="35" spans="17:20">
      <c r="Q35">
        <v>21</v>
      </c>
      <c r="S35">
        <f t="shared" si="0"/>
        <v>9972</v>
      </c>
      <c r="T35">
        <f t="shared" si="1"/>
        <v>166.2</v>
      </c>
    </row>
    <row r="36" spans="17:20">
      <c r="Q36">
        <v>22</v>
      </c>
      <c r="S36">
        <f t="shared" si="0"/>
        <v>11412</v>
      </c>
      <c r="T36">
        <f t="shared" si="1"/>
        <v>190.2</v>
      </c>
    </row>
    <row r="37" spans="17:20">
      <c r="Q37">
        <v>23</v>
      </c>
      <c r="S37">
        <f t="shared" si="0"/>
        <v>12986</v>
      </c>
      <c r="T37">
        <f t="shared" si="1"/>
        <v>216.4</v>
      </c>
    </row>
    <row r="38" spans="17:20">
      <c r="Q38">
        <v>24</v>
      </c>
      <c r="S38">
        <f t="shared" si="0"/>
        <v>14700</v>
      </c>
      <c r="T38">
        <f t="shared" si="1"/>
        <v>245</v>
      </c>
    </row>
    <row r="39" spans="17:20">
      <c r="Q39">
        <v>25</v>
      </c>
      <c r="S39">
        <f t="shared" si="0"/>
        <v>16560</v>
      </c>
      <c r="T39">
        <f t="shared" si="1"/>
        <v>276</v>
      </c>
    </row>
    <row r="40" spans="17:20">
      <c r="Q40">
        <v>26</v>
      </c>
      <c r="S40">
        <f t="shared" si="0"/>
        <v>18572</v>
      </c>
      <c r="T40">
        <f t="shared" si="1"/>
        <v>309.5</v>
      </c>
    </row>
    <row r="41" spans="17:20">
      <c r="Q41">
        <v>27</v>
      </c>
      <c r="S41">
        <f t="shared" si="0"/>
        <v>20742</v>
      </c>
      <c r="T41">
        <f t="shared" si="1"/>
        <v>345.7</v>
      </c>
    </row>
    <row r="42" spans="17:20">
      <c r="Q42">
        <v>28</v>
      </c>
      <c r="S42">
        <f t="shared" si="0"/>
        <v>23076</v>
      </c>
      <c r="T42">
        <f t="shared" si="1"/>
        <v>384.6</v>
      </c>
    </row>
    <row r="43" spans="17:20">
      <c r="Q43">
        <v>29</v>
      </c>
      <c r="S43">
        <f t="shared" si="0"/>
        <v>25580</v>
      </c>
      <c r="T43">
        <f t="shared" si="1"/>
        <v>426.3</v>
      </c>
    </row>
    <row r="44" spans="17:20">
      <c r="Q44">
        <v>30</v>
      </c>
      <c r="S44">
        <f t="shared" si="0"/>
        <v>28260</v>
      </c>
      <c r="T44">
        <f t="shared" si="1"/>
        <v>471</v>
      </c>
    </row>
    <row r="45" spans="17:20">
      <c r="Q45">
        <v>31</v>
      </c>
      <c r="S45">
        <f t="shared" si="0"/>
        <v>31122</v>
      </c>
      <c r="T45">
        <f t="shared" si="1"/>
        <v>518.7</v>
      </c>
    </row>
    <row r="46" spans="17:20">
      <c r="Q46">
        <v>32</v>
      </c>
      <c r="S46">
        <f t="shared" si="0"/>
        <v>34172</v>
      </c>
      <c r="T46">
        <f t="shared" si="1"/>
        <v>569.5</v>
      </c>
    </row>
    <row r="47" spans="17:20">
      <c r="Q47">
        <v>33</v>
      </c>
      <c r="S47">
        <f t="shared" si="0"/>
        <v>37416</v>
      </c>
      <c r="T47">
        <f t="shared" si="1"/>
        <v>623.6</v>
      </c>
    </row>
    <row r="48" spans="17:20">
      <c r="Q48">
        <v>34</v>
      </c>
      <c r="S48">
        <f t="shared" ref="S48:S74" si="2">POWER(Q48,3)+POWER(Q48,2)+Q48*10+60</f>
        <v>40860</v>
      </c>
      <c r="T48">
        <f t="shared" ref="T48:T74" si="3">ROUND(S48/60,1)</f>
        <v>681</v>
      </c>
    </row>
    <row r="49" spans="17:20">
      <c r="Q49">
        <v>35</v>
      </c>
      <c r="S49">
        <f t="shared" si="2"/>
        <v>44510</v>
      </c>
      <c r="T49">
        <f t="shared" si="3"/>
        <v>741.8</v>
      </c>
    </row>
    <row r="50" spans="17:20">
      <c r="Q50">
        <v>36</v>
      </c>
      <c r="S50">
        <f t="shared" si="2"/>
        <v>48372</v>
      </c>
      <c r="T50">
        <f t="shared" si="3"/>
        <v>806.2</v>
      </c>
    </row>
    <row r="51" spans="17:20">
      <c r="Q51">
        <v>37</v>
      </c>
      <c r="S51">
        <f t="shared" si="2"/>
        <v>52452</v>
      </c>
      <c r="T51">
        <f t="shared" si="3"/>
        <v>874.2</v>
      </c>
    </row>
    <row r="52" spans="17:20">
      <c r="Q52">
        <v>38</v>
      </c>
      <c r="S52">
        <f t="shared" si="2"/>
        <v>56756</v>
      </c>
      <c r="T52">
        <f t="shared" si="3"/>
        <v>945.9</v>
      </c>
    </row>
    <row r="53" spans="17:20">
      <c r="Q53">
        <v>39</v>
      </c>
      <c r="S53">
        <f t="shared" si="2"/>
        <v>61290</v>
      </c>
      <c r="T53">
        <f t="shared" si="3"/>
        <v>1021.5</v>
      </c>
    </row>
    <row r="54" spans="17:20">
      <c r="Q54">
        <v>40</v>
      </c>
      <c r="S54">
        <f t="shared" si="2"/>
        <v>66060</v>
      </c>
      <c r="T54">
        <f t="shared" si="3"/>
        <v>1101</v>
      </c>
    </row>
    <row r="55" spans="17:20">
      <c r="Q55">
        <v>41</v>
      </c>
      <c r="S55">
        <f t="shared" si="2"/>
        <v>71072</v>
      </c>
      <c r="T55">
        <f t="shared" si="3"/>
        <v>1184.5</v>
      </c>
    </row>
    <row r="56" spans="17:20">
      <c r="Q56">
        <v>42</v>
      </c>
      <c r="S56">
        <f t="shared" si="2"/>
        <v>76332</v>
      </c>
      <c r="T56">
        <f t="shared" si="3"/>
        <v>1272.2</v>
      </c>
    </row>
    <row r="57" spans="17:20">
      <c r="Q57">
        <v>43</v>
      </c>
      <c r="S57">
        <f t="shared" si="2"/>
        <v>81846</v>
      </c>
      <c r="T57">
        <f t="shared" si="3"/>
        <v>1364.1</v>
      </c>
    </row>
    <row r="58" spans="17:20">
      <c r="Q58">
        <v>44</v>
      </c>
      <c r="S58">
        <f t="shared" si="2"/>
        <v>87620</v>
      </c>
      <c r="T58">
        <f t="shared" si="3"/>
        <v>1460.3</v>
      </c>
    </row>
    <row r="59" spans="17:20">
      <c r="Q59">
        <v>45</v>
      </c>
      <c r="S59">
        <f t="shared" si="2"/>
        <v>93660</v>
      </c>
      <c r="T59">
        <f t="shared" si="3"/>
        <v>1561</v>
      </c>
    </row>
    <row r="60" spans="17:20">
      <c r="Q60">
        <v>46</v>
      </c>
      <c r="S60">
        <f t="shared" si="2"/>
        <v>99972</v>
      </c>
      <c r="T60">
        <f t="shared" si="3"/>
        <v>1666.2</v>
      </c>
    </row>
    <row r="61" spans="17:20">
      <c r="Q61">
        <v>47</v>
      </c>
      <c r="S61">
        <f t="shared" si="2"/>
        <v>106562</v>
      </c>
      <c r="T61">
        <f t="shared" si="3"/>
        <v>1776</v>
      </c>
    </row>
    <row r="62" spans="17:20">
      <c r="Q62">
        <v>48</v>
      </c>
      <c r="S62">
        <f t="shared" si="2"/>
        <v>113436</v>
      </c>
      <c r="T62">
        <f t="shared" si="3"/>
        <v>1890.6</v>
      </c>
    </row>
    <row r="63" spans="17:20">
      <c r="Q63">
        <v>49</v>
      </c>
      <c r="S63">
        <f t="shared" si="2"/>
        <v>120600</v>
      </c>
      <c r="T63">
        <f t="shared" si="3"/>
        <v>2010</v>
      </c>
    </row>
    <row r="64" spans="17:20">
      <c r="Q64">
        <v>50</v>
      </c>
      <c r="S64">
        <f t="shared" si="2"/>
        <v>128060</v>
      </c>
      <c r="T64">
        <f t="shared" si="3"/>
        <v>2134.3</v>
      </c>
    </row>
    <row r="65" spans="17:20">
      <c r="Q65">
        <v>51</v>
      </c>
      <c r="S65">
        <f t="shared" si="2"/>
        <v>135822</v>
      </c>
      <c r="T65">
        <f t="shared" si="3"/>
        <v>2263.7</v>
      </c>
    </row>
    <row r="66" spans="17:20">
      <c r="Q66">
        <v>52</v>
      </c>
      <c r="S66">
        <f t="shared" si="2"/>
        <v>143892</v>
      </c>
      <c r="T66">
        <f t="shared" si="3"/>
        <v>2398.2</v>
      </c>
    </row>
    <row r="67" spans="17:20">
      <c r="Q67">
        <v>53</v>
      </c>
      <c r="S67">
        <f t="shared" si="2"/>
        <v>152276</v>
      </c>
      <c r="T67">
        <f t="shared" si="3"/>
        <v>2537.9</v>
      </c>
    </row>
    <row r="68" spans="17:20">
      <c r="Q68">
        <v>54</v>
      </c>
      <c r="S68">
        <f t="shared" si="2"/>
        <v>160980</v>
      </c>
      <c r="T68">
        <f t="shared" si="3"/>
        <v>2683</v>
      </c>
    </row>
    <row r="69" spans="17:20">
      <c r="Q69">
        <v>55</v>
      </c>
      <c r="S69">
        <f t="shared" si="2"/>
        <v>170010</v>
      </c>
      <c r="T69">
        <f t="shared" si="3"/>
        <v>2833.5</v>
      </c>
    </row>
    <row r="70" spans="17:20">
      <c r="Q70">
        <v>56</v>
      </c>
      <c r="S70">
        <f t="shared" si="2"/>
        <v>179372</v>
      </c>
      <c r="T70">
        <f t="shared" si="3"/>
        <v>2989.5</v>
      </c>
    </row>
    <row r="71" spans="17:20">
      <c r="Q71">
        <v>57</v>
      </c>
      <c r="S71">
        <f t="shared" si="2"/>
        <v>189072</v>
      </c>
      <c r="T71">
        <f t="shared" si="3"/>
        <v>3151.2</v>
      </c>
    </row>
    <row r="72" spans="17:20">
      <c r="Q72">
        <v>58</v>
      </c>
      <c r="S72">
        <f t="shared" si="2"/>
        <v>199116</v>
      </c>
      <c r="T72">
        <f t="shared" si="3"/>
        <v>3318.6</v>
      </c>
    </row>
    <row r="73" spans="17:20">
      <c r="Q73">
        <v>59</v>
      </c>
      <c r="S73">
        <f t="shared" si="2"/>
        <v>209510</v>
      </c>
      <c r="T73">
        <f t="shared" si="3"/>
        <v>3491.8</v>
      </c>
    </row>
    <row r="74" spans="17:20">
      <c r="Q74">
        <v>60</v>
      </c>
      <c r="S74">
        <f t="shared" si="2"/>
        <v>220260</v>
      </c>
      <c r="T74">
        <f t="shared" si="3"/>
        <v>3671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</vt:lpstr>
      <vt:lpstr>英雄消耗</vt:lpstr>
      <vt:lpstr>消耗产出</vt:lpstr>
      <vt:lpstr>玩家经验预估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WPS_1670481113</cp:lastModifiedBy>
  <dcterms:created xsi:type="dcterms:W3CDTF">2020-08-07T05:36:00Z</dcterms:created>
  <dcterms:modified xsi:type="dcterms:W3CDTF">2024-10-12T07:35:18Z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39B0114F487741148A739B1B3FFAE61E</vt:lpwstr>
  </property>
</Properties>
</file>