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EquipAdd" sheetId="1" r:id="rId1"/>
    <sheet name="Sheet2" sheetId="2" r:id="rId2"/>
    <sheet name="Sheet3" sheetId="3" r:id="rId3"/>
  </sheets>
  <definedNames>
    <definedName name="_xlnm._FilterDatabase" localSheetId="0" hidden="1">EquipAdd!$A$3:$R$35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NINGMEI</author>
  </authors>
  <commentList>
    <comment ref="B1" authorId="0">
      <text>
        <r>
          <rPr>
            <sz val="9"/>
            <rFont val="宋体"/>
            <charset val="134"/>
          </rPr>
          <t>装备品质
1.N
2.R
3.SR
4.SRR</t>
        </r>
      </text>
    </comment>
    <comment ref="C1" authorId="0">
      <text>
        <r>
          <rPr>
            <sz val="9"/>
            <rFont val="宋体"/>
            <charset val="134"/>
          </rPr>
          <t>2饰品3武器4护甲5鞋子</t>
        </r>
      </text>
    </comment>
    <comment ref="D1" authorId="0">
      <text>
        <r>
          <rPr>
            <sz val="9"/>
            <rFont val="宋体"/>
            <charset val="134"/>
          </rPr>
          <t>1物理2法术（用于装备部位穿戴区分）</t>
        </r>
      </text>
    </comment>
  </commentList>
</comments>
</file>

<file path=xl/sharedStrings.xml><?xml version="1.0" encoding="utf-8"?>
<sst xmlns="http://schemas.openxmlformats.org/spreadsheetml/2006/main" count="51" uniqueCount="35">
  <si>
    <t>ID</t>
  </si>
  <si>
    <t>Quality</t>
  </si>
  <si>
    <t>Type</t>
  </si>
  <si>
    <t>TypeHero</t>
  </si>
  <si>
    <t>Hp</t>
  </si>
  <si>
    <t>Hpup</t>
  </si>
  <si>
    <t>Atk</t>
  </si>
  <si>
    <t>Atkup</t>
  </si>
  <si>
    <t>Apk</t>
  </si>
  <si>
    <t>Apkup</t>
  </si>
  <si>
    <t>Pdef</t>
  </si>
  <si>
    <t>Pdefup</t>
  </si>
  <si>
    <t>Mdef</t>
  </si>
  <si>
    <t>Mdefup</t>
  </si>
  <si>
    <t>Tec</t>
  </si>
  <si>
    <t>Tecup</t>
  </si>
  <si>
    <t>Coldcast</t>
  </si>
  <si>
    <t>int</t>
  </si>
  <si>
    <t>float</t>
  </si>
  <si>
    <t>品质</t>
  </si>
  <si>
    <t>道具表部位</t>
  </si>
  <si>
    <t>英雄类型</t>
  </si>
  <si>
    <t>生命</t>
  </si>
  <si>
    <t>生命成长</t>
  </si>
  <si>
    <t>物攻</t>
  </si>
  <si>
    <t>物攻成长</t>
  </si>
  <si>
    <t>魔攻</t>
  </si>
  <si>
    <t>魔攻成长</t>
  </si>
  <si>
    <t>物防</t>
  </si>
  <si>
    <t>物防成长</t>
  </si>
  <si>
    <t>魔防</t>
  </si>
  <si>
    <t>魔防成长</t>
  </si>
  <si>
    <t>技巧</t>
  </si>
  <si>
    <t>技巧成长</t>
  </si>
  <si>
    <t>装备增加1经验花费的金币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</si>
</sst>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20" fontId="0" fillId="0" borderId="0" xfId="0" applyNumberFormat="1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22</xdr:col>
      <xdr:colOff>390525</xdr:colOff>
      <xdr:row>20</xdr:row>
      <xdr:rowOff>66675</xdr:rowOff>
    </xdr:from>
    <xdr:to>
      <xdr:col>28</xdr:col>
      <xdr:colOff>485775</xdr:colOff>
      <xdr:row>31</xdr:row>
      <xdr:rowOff>152400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269075" y="3857625"/>
          <a:ext cx="4210050" cy="1971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123825</xdr:colOff>
      <xdr:row>4</xdr:row>
      <xdr:rowOff>76200</xdr:rowOff>
    </xdr:from>
    <xdr:to>
      <xdr:col>27</xdr:col>
      <xdr:colOff>504825</xdr:colOff>
      <xdr:row>12</xdr:row>
      <xdr:rowOff>95250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9002375" y="1123950"/>
          <a:ext cx="3810000" cy="13906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5"/>
  <sheetViews>
    <sheetView tabSelected="1" workbookViewId="0">
      <selection activeCell="Q5" sqref="Q5:Q35"/>
    </sheetView>
  </sheetViews>
  <sheetFormatPr defaultColWidth="9" defaultRowHeight="13.5"/>
  <cols>
    <col min="1" max="1" width="9" style="1"/>
    <col min="2" max="2" width="10.25" style="1" customWidth="1"/>
    <col min="3" max="3" width="9" style="1"/>
    <col min="4" max="4" width="9" style="1" customWidth="1"/>
    <col min="5" max="16" width="11.875" style="2" customWidth="1"/>
    <col min="17" max="17" width="23" style="2" customWidth="1"/>
    <col min="18" max="16384" width="9" style="1"/>
  </cols>
  <sheetData>
    <row r="1" s="1" customFormat="1" spans="1:17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="1" customFormat="1" spans="1:17">
      <c r="A2" s="3" t="s">
        <v>17</v>
      </c>
      <c r="B2" s="3" t="s">
        <v>17</v>
      </c>
      <c r="C2" s="3" t="s">
        <v>17</v>
      </c>
      <c r="D2" s="3" t="s">
        <v>17</v>
      </c>
      <c r="E2" s="2" t="s">
        <v>18</v>
      </c>
      <c r="F2" s="2" t="s">
        <v>18</v>
      </c>
      <c r="G2" s="2" t="s">
        <v>18</v>
      </c>
      <c r="H2" s="2" t="s">
        <v>18</v>
      </c>
      <c r="I2" s="2" t="s">
        <v>18</v>
      </c>
      <c r="J2" s="2" t="s">
        <v>18</v>
      </c>
      <c r="K2" s="2" t="s">
        <v>18</v>
      </c>
      <c r="L2" s="2" t="s">
        <v>18</v>
      </c>
      <c r="M2" s="2" t="s">
        <v>18</v>
      </c>
      <c r="N2" s="2" t="s">
        <v>18</v>
      </c>
      <c r="O2" s="2" t="s">
        <v>18</v>
      </c>
      <c r="P2" s="2" t="s">
        <v>18</v>
      </c>
      <c r="Q2" s="2" t="s">
        <v>17</v>
      </c>
    </row>
    <row r="3" s="1" customFormat="1" ht="42" customHeight="1" spans="1:17">
      <c r="A3" s="1" t="s">
        <v>0</v>
      </c>
      <c r="B3" s="1" t="s">
        <v>19</v>
      </c>
      <c r="C3" s="1" t="s">
        <v>20</v>
      </c>
      <c r="D3" s="1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 t="s">
        <v>29</v>
      </c>
      <c r="M3" s="2" t="s">
        <v>30</v>
      </c>
      <c r="N3" s="2" t="s">
        <v>31</v>
      </c>
      <c r="O3" s="2" t="s">
        <v>32</v>
      </c>
      <c r="P3" s="2" t="s">
        <v>33</v>
      </c>
      <c r="Q3" s="2" t="s">
        <v>34</v>
      </c>
    </row>
    <row r="4" s="1" customFormat="1" spans="1:18">
      <c r="A4" s="1">
        <v>10101</v>
      </c>
      <c r="B4" s="1" t="str">
        <f t="shared" ref="B4:B11" si="0">LEFT(A4,1)</f>
        <v>1</v>
      </c>
      <c r="C4" s="1">
        <v>2</v>
      </c>
      <c r="D4" s="1">
        <v>1</v>
      </c>
      <c r="E4" s="4">
        <v>10.04</v>
      </c>
      <c r="F4" s="4">
        <v>2.45</v>
      </c>
      <c r="G4" s="4">
        <v>1.26</v>
      </c>
      <c r="H4" s="4">
        <v>0.31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50</v>
      </c>
      <c r="R4" s="5"/>
    </row>
    <row r="5" s="1" customFormat="1" spans="1:18">
      <c r="A5" s="1">
        <v>10102</v>
      </c>
      <c r="B5" s="1" t="str">
        <f t="shared" si="0"/>
        <v>1</v>
      </c>
      <c r="C5" s="1">
        <v>3</v>
      </c>
      <c r="D5" s="1">
        <v>1</v>
      </c>
      <c r="E5" s="4">
        <v>5.01</v>
      </c>
      <c r="F5" s="4">
        <v>1.22</v>
      </c>
      <c r="G5" s="4">
        <v>5.05</v>
      </c>
      <c r="H5" s="4">
        <v>1.24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50</v>
      </c>
      <c r="R5" s="5"/>
    </row>
    <row r="6" s="1" customFormat="1" spans="1:18">
      <c r="A6" s="1">
        <v>10103</v>
      </c>
      <c r="B6" s="1" t="str">
        <f t="shared" si="0"/>
        <v>1</v>
      </c>
      <c r="C6" s="1">
        <v>4</v>
      </c>
      <c r="D6" s="1">
        <v>1</v>
      </c>
      <c r="E6" s="4">
        <v>20.08</v>
      </c>
      <c r="F6" s="4">
        <v>4.91</v>
      </c>
      <c r="G6" s="4">
        <v>0</v>
      </c>
      <c r="H6" s="4">
        <v>0</v>
      </c>
      <c r="I6" s="4">
        <v>0</v>
      </c>
      <c r="J6" s="4">
        <v>0</v>
      </c>
      <c r="K6" s="4">
        <v>3.81</v>
      </c>
      <c r="L6" s="4">
        <v>0.92</v>
      </c>
      <c r="M6" s="4">
        <v>0</v>
      </c>
      <c r="N6" s="4">
        <v>0</v>
      </c>
      <c r="O6" s="4">
        <v>0</v>
      </c>
      <c r="P6" s="4">
        <v>0</v>
      </c>
      <c r="Q6" s="4">
        <v>50</v>
      </c>
      <c r="R6" s="5"/>
    </row>
    <row r="7" s="1" customFormat="1" spans="1:18">
      <c r="A7" s="1">
        <v>10104</v>
      </c>
      <c r="B7" s="1" t="str">
        <f t="shared" si="0"/>
        <v>1</v>
      </c>
      <c r="C7" s="1">
        <v>5</v>
      </c>
      <c r="D7" s="1">
        <v>1</v>
      </c>
      <c r="E7" s="4">
        <v>15.06</v>
      </c>
      <c r="F7" s="4">
        <v>3.68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3.48</v>
      </c>
      <c r="N7" s="4">
        <v>0.84</v>
      </c>
      <c r="O7" s="4">
        <v>0</v>
      </c>
      <c r="P7" s="4">
        <v>0</v>
      </c>
      <c r="Q7" s="4">
        <v>50</v>
      </c>
      <c r="R7" s="5"/>
    </row>
    <row r="8" s="1" customFormat="1" spans="1:18">
      <c r="A8" s="1">
        <v>10105</v>
      </c>
      <c r="B8" s="1" t="str">
        <f t="shared" si="0"/>
        <v>1</v>
      </c>
      <c r="C8" s="1">
        <v>2</v>
      </c>
      <c r="D8" s="1">
        <v>2</v>
      </c>
      <c r="E8" s="4">
        <v>7.83</v>
      </c>
      <c r="F8" s="4">
        <v>1.91</v>
      </c>
      <c r="G8" s="4">
        <v>0</v>
      </c>
      <c r="H8" s="4">
        <v>0</v>
      </c>
      <c r="I8" s="4">
        <v>1.38</v>
      </c>
      <c r="J8" s="4">
        <v>0.33</v>
      </c>
      <c r="K8" s="4">
        <v>0</v>
      </c>
      <c r="L8" s="4">
        <v>0</v>
      </c>
      <c r="M8" s="4">
        <v>0</v>
      </c>
      <c r="N8" s="4">
        <v>0</v>
      </c>
      <c r="O8" s="1">
        <v>0</v>
      </c>
      <c r="P8" s="1">
        <v>0</v>
      </c>
      <c r="Q8" s="4">
        <v>50</v>
      </c>
      <c r="R8" s="5"/>
    </row>
    <row r="9" s="1" customFormat="1" spans="1:18">
      <c r="A9" s="1">
        <v>10106</v>
      </c>
      <c r="B9" s="1" t="str">
        <f t="shared" si="0"/>
        <v>1</v>
      </c>
      <c r="C9" s="1">
        <v>3</v>
      </c>
      <c r="D9" s="1">
        <v>2</v>
      </c>
      <c r="E9" s="4">
        <v>3.91</v>
      </c>
      <c r="F9" s="4">
        <v>0.95</v>
      </c>
      <c r="G9" s="4">
        <v>0</v>
      </c>
      <c r="H9" s="4">
        <v>0</v>
      </c>
      <c r="I9" s="4">
        <v>5.55</v>
      </c>
      <c r="J9" s="4">
        <v>1.35</v>
      </c>
      <c r="K9" s="4">
        <v>0</v>
      </c>
      <c r="L9" s="4">
        <v>0</v>
      </c>
      <c r="M9" s="4">
        <v>0</v>
      </c>
      <c r="N9" s="4">
        <v>0</v>
      </c>
      <c r="O9" s="1">
        <v>0</v>
      </c>
      <c r="P9" s="1">
        <v>0</v>
      </c>
      <c r="Q9" s="4">
        <v>50</v>
      </c>
      <c r="R9" s="5"/>
    </row>
    <row r="10" s="1" customFormat="1" spans="1:18">
      <c r="A10" s="1">
        <v>10107</v>
      </c>
      <c r="B10" s="1" t="str">
        <f t="shared" si="0"/>
        <v>1</v>
      </c>
      <c r="C10" s="1">
        <v>4</v>
      </c>
      <c r="D10" s="1">
        <v>2</v>
      </c>
      <c r="E10" s="4">
        <v>15.68</v>
      </c>
      <c r="F10" s="4">
        <v>3.83</v>
      </c>
      <c r="G10" s="4">
        <v>0</v>
      </c>
      <c r="H10" s="4">
        <v>0</v>
      </c>
      <c r="I10" s="4">
        <v>0</v>
      </c>
      <c r="J10" s="4">
        <v>0</v>
      </c>
      <c r="K10" s="4">
        <v>3.22</v>
      </c>
      <c r="L10" s="4">
        <v>0.78</v>
      </c>
      <c r="M10" s="4">
        <v>0</v>
      </c>
      <c r="N10" s="4">
        <v>0</v>
      </c>
      <c r="O10" s="1">
        <v>0</v>
      </c>
      <c r="P10" s="1">
        <v>0</v>
      </c>
      <c r="Q10" s="4">
        <v>50</v>
      </c>
      <c r="R10" s="5"/>
    </row>
    <row r="11" s="1" customFormat="1" spans="1:18">
      <c r="A11" s="1">
        <v>10108</v>
      </c>
      <c r="B11" s="1" t="str">
        <f t="shared" si="0"/>
        <v>1</v>
      </c>
      <c r="C11" s="1">
        <v>5</v>
      </c>
      <c r="D11" s="1">
        <v>2</v>
      </c>
      <c r="E11" s="4">
        <v>11.76</v>
      </c>
      <c r="F11" s="4">
        <v>2.87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4.77</v>
      </c>
      <c r="N11" s="4">
        <v>1.16</v>
      </c>
      <c r="O11" s="1">
        <v>0</v>
      </c>
      <c r="P11" s="1">
        <v>0</v>
      </c>
      <c r="Q11" s="4">
        <v>50</v>
      </c>
      <c r="R11" s="5"/>
    </row>
    <row r="12" s="1" customFormat="1" spans="1:18">
      <c r="A12" s="1">
        <v>20101</v>
      </c>
      <c r="B12" s="1" t="str">
        <f t="shared" ref="B12:B19" si="1">LEFT(A12,1)</f>
        <v>2</v>
      </c>
      <c r="C12" s="1">
        <v>2</v>
      </c>
      <c r="D12" s="1">
        <v>1</v>
      </c>
      <c r="E12" s="1">
        <v>12.55</v>
      </c>
      <c r="F12" s="1">
        <v>3.07</v>
      </c>
      <c r="G12" s="1">
        <v>1.58</v>
      </c>
      <c r="H12" s="1">
        <v>0.39</v>
      </c>
      <c r="I12" s="1">
        <v>0</v>
      </c>
      <c r="J12" s="1">
        <v>0</v>
      </c>
      <c r="K12" s="1">
        <v>0</v>
      </c>
      <c r="L12" s="4">
        <v>0</v>
      </c>
      <c r="M12" s="4">
        <v>0</v>
      </c>
      <c r="N12" s="4">
        <v>0</v>
      </c>
      <c r="O12" s="4">
        <f>O4*2</f>
        <v>0</v>
      </c>
      <c r="P12" s="4">
        <f>P4*2</f>
        <v>0</v>
      </c>
      <c r="Q12" s="4">
        <v>50</v>
      </c>
      <c r="R12" s="5"/>
    </row>
    <row r="13" s="1" customFormat="1" spans="1:18">
      <c r="A13" s="1">
        <v>20102</v>
      </c>
      <c r="B13" s="1" t="str">
        <f t="shared" si="1"/>
        <v>2</v>
      </c>
      <c r="C13" s="1">
        <v>3</v>
      </c>
      <c r="D13" s="1">
        <v>1</v>
      </c>
      <c r="E13" s="4">
        <v>6.27</v>
      </c>
      <c r="F13" s="1">
        <v>1.53</v>
      </c>
      <c r="G13" s="1">
        <v>6.32</v>
      </c>
      <c r="H13" s="1">
        <v>1.56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4">
        <f>O5*2</f>
        <v>0</v>
      </c>
      <c r="P13" s="4">
        <f t="shared" ref="P12:P15" si="2">P5*2</f>
        <v>0</v>
      </c>
      <c r="Q13" s="4">
        <v>50</v>
      </c>
      <c r="R13" s="5"/>
    </row>
    <row r="14" s="1" customFormat="1" spans="1:18">
      <c r="A14" s="1">
        <v>20103</v>
      </c>
      <c r="B14" s="1" t="str">
        <f t="shared" si="1"/>
        <v>2</v>
      </c>
      <c r="C14" s="1">
        <v>4</v>
      </c>
      <c r="D14" s="1">
        <v>1</v>
      </c>
      <c r="E14" s="1">
        <v>25.11</v>
      </c>
      <c r="F14" s="1">
        <v>6.14</v>
      </c>
      <c r="G14" s="1">
        <v>0</v>
      </c>
      <c r="H14" s="1">
        <v>0</v>
      </c>
      <c r="I14" s="1">
        <v>0</v>
      </c>
      <c r="J14" s="1">
        <v>0</v>
      </c>
      <c r="K14" s="1">
        <v>4.77</v>
      </c>
      <c r="L14" s="1">
        <v>1.16</v>
      </c>
      <c r="M14" s="1">
        <v>0</v>
      </c>
      <c r="N14" s="1">
        <v>0</v>
      </c>
      <c r="O14" s="4">
        <f t="shared" ref="O12:O15" si="3">O6*2</f>
        <v>0</v>
      </c>
      <c r="P14" s="4">
        <f t="shared" si="2"/>
        <v>0</v>
      </c>
      <c r="Q14" s="4">
        <v>50</v>
      </c>
      <c r="R14" s="5"/>
    </row>
    <row r="15" s="1" customFormat="1" spans="1:18">
      <c r="A15" s="1">
        <v>20104</v>
      </c>
      <c r="B15" s="1" t="str">
        <f t="shared" si="1"/>
        <v>2</v>
      </c>
      <c r="C15" s="1">
        <v>5</v>
      </c>
      <c r="D15" s="1">
        <v>1</v>
      </c>
      <c r="E15" s="1">
        <v>18.83</v>
      </c>
      <c r="F15" s="1">
        <v>4.61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4.35</v>
      </c>
      <c r="N15" s="1">
        <v>1.06</v>
      </c>
      <c r="O15" s="4">
        <f t="shared" si="3"/>
        <v>0</v>
      </c>
      <c r="P15" s="4">
        <f t="shared" si="2"/>
        <v>0</v>
      </c>
      <c r="Q15" s="4">
        <v>50</v>
      </c>
      <c r="R15" s="5"/>
    </row>
    <row r="16" s="1" customFormat="1" spans="1:18">
      <c r="A16" s="1">
        <v>20105</v>
      </c>
      <c r="B16" s="1" t="str">
        <f t="shared" si="1"/>
        <v>2</v>
      </c>
      <c r="C16" s="1">
        <v>2</v>
      </c>
      <c r="D16" s="1">
        <v>2</v>
      </c>
      <c r="E16" s="1">
        <v>8.71</v>
      </c>
      <c r="F16" s="1">
        <v>2.13</v>
      </c>
      <c r="G16" s="1">
        <v>0</v>
      </c>
      <c r="H16" s="1">
        <v>0</v>
      </c>
      <c r="I16" s="1">
        <v>1.54</v>
      </c>
      <c r="J16" s="1">
        <v>0.37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4">
        <v>50</v>
      </c>
      <c r="R16" s="5"/>
    </row>
    <row r="17" s="1" customFormat="1" spans="1:18">
      <c r="A17" s="1">
        <v>20106</v>
      </c>
      <c r="B17" s="1" t="str">
        <f t="shared" si="1"/>
        <v>2</v>
      </c>
      <c r="C17" s="1">
        <v>3</v>
      </c>
      <c r="D17" s="1">
        <v>2</v>
      </c>
      <c r="E17" s="1">
        <v>4.35</v>
      </c>
      <c r="F17" s="1">
        <v>1.06</v>
      </c>
      <c r="G17" s="1">
        <v>0</v>
      </c>
      <c r="H17" s="1">
        <v>0</v>
      </c>
      <c r="I17" s="1">
        <v>6.17</v>
      </c>
      <c r="J17" s="1">
        <v>1.51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4">
        <v>50</v>
      </c>
      <c r="R17" s="5"/>
    </row>
    <row r="18" s="1" customFormat="1" spans="1:18">
      <c r="A18" s="1">
        <v>20107</v>
      </c>
      <c r="B18" s="1" t="str">
        <f t="shared" si="1"/>
        <v>2</v>
      </c>
      <c r="C18" s="1">
        <v>4</v>
      </c>
      <c r="D18" s="1">
        <v>2</v>
      </c>
      <c r="E18" s="1">
        <v>17.43</v>
      </c>
      <c r="F18" s="1">
        <v>4.26</v>
      </c>
      <c r="G18" s="1">
        <v>0</v>
      </c>
      <c r="H18" s="1">
        <v>0</v>
      </c>
      <c r="I18" s="1">
        <v>0</v>
      </c>
      <c r="J18" s="1">
        <v>0</v>
      </c>
      <c r="K18" s="1">
        <v>3.58</v>
      </c>
      <c r="L18" s="1">
        <v>0.87</v>
      </c>
      <c r="M18" s="1">
        <v>0</v>
      </c>
      <c r="N18" s="1">
        <v>0</v>
      </c>
      <c r="O18" s="1">
        <v>0</v>
      </c>
      <c r="P18" s="1">
        <v>0</v>
      </c>
      <c r="Q18" s="4">
        <v>50</v>
      </c>
      <c r="R18" s="5"/>
    </row>
    <row r="19" s="1" customFormat="1" spans="1:18">
      <c r="A19" s="1">
        <v>20108</v>
      </c>
      <c r="B19" s="1" t="str">
        <f t="shared" si="1"/>
        <v>2</v>
      </c>
      <c r="C19" s="1">
        <v>5</v>
      </c>
      <c r="D19" s="1">
        <v>2</v>
      </c>
      <c r="E19" s="1">
        <v>13.07</v>
      </c>
      <c r="F19" s="1">
        <v>3.19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5.3</v>
      </c>
      <c r="N19" s="1">
        <v>1.29</v>
      </c>
      <c r="O19" s="1">
        <v>0</v>
      </c>
      <c r="P19" s="1">
        <v>0</v>
      </c>
      <c r="Q19" s="4">
        <v>50</v>
      </c>
      <c r="R19" s="5"/>
    </row>
    <row r="20" s="1" customFormat="1" spans="1:18">
      <c r="A20" s="1">
        <v>30101</v>
      </c>
      <c r="B20" s="1" t="str">
        <f t="shared" ref="B20:B27" si="4">LEFT(A20,1)</f>
        <v>3</v>
      </c>
      <c r="C20" s="1">
        <v>2</v>
      </c>
      <c r="D20" s="1">
        <v>1</v>
      </c>
      <c r="E20" s="1">
        <v>13.81</v>
      </c>
      <c r="F20" s="1">
        <v>3.38</v>
      </c>
      <c r="G20" s="1">
        <v>1.74</v>
      </c>
      <c r="H20" s="1">
        <v>0.42</v>
      </c>
      <c r="I20" s="4">
        <f t="shared" ref="I20:P20" si="5">I12*2</f>
        <v>0</v>
      </c>
      <c r="J20" s="4">
        <f t="shared" si="5"/>
        <v>0</v>
      </c>
      <c r="K20" s="4">
        <f t="shared" si="5"/>
        <v>0</v>
      </c>
      <c r="L20" s="4">
        <f t="shared" si="5"/>
        <v>0</v>
      </c>
      <c r="M20" s="4">
        <f t="shared" si="5"/>
        <v>0</v>
      </c>
      <c r="N20" s="4">
        <f t="shared" si="5"/>
        <v>0</v>
      </c>
      <c r="O20" s="4">
        <f t="shared" si="5"/>
        <v>0</v>
      </c>
      <c r="P20" s="4">
        <f t="shared" si="5"/>
        <v>0</v>
      </c>
      <c r="Q20" s="4">
        <v>50</v>
      </c>
      <c r="R20" s="5"/>
    </row>
    <row r="21" s="1" customFormat="1" spans="1:18">
      <c r="A21" s="1">
        <v>30102</v>
      </c>
      <c r="B21" s="1" t="str">
        <f t="shared" si="4"/>
        <v>3</v>
      </c>
      <c r="C21" s="1">
        <v>3</v>
      </c>
      <c r="D21" s="1">
        <v>1</v>
      </c>
      <c r="E21" s="1">
        <v>6.9</v>
      </c>
      <c r="F21" s="1">
        <v>1.69</v>
      </c>
      <c r="G21" s="1">
        <v>6.96</v>
      </c>
      <c r="H21" s="1">
        <v>1.68</v>
      </c>
      <c r="I21" s="4">
        <f>I13*2</f>
        <v>0</v>
      </c>
      <c r="J21" s="4">
        <f>J13*2</f>
        <v>0</v>
      </c>
      <c r="K21" s="1">
        <v>0</v>
      </c>
      <c r="L21" s="1">
        <v>0</v>
      </c>
      <c r="M21" s="1">
        <v>0</v>
      </c>
      <c r="N21" s="1">
        <v>0</v>
      </c>
      <c r="O21" s="4">
        <f t="shared" ref="O20:O23" si="6">O5*3</f>
        <v>0</v>
      </c>
      <c r="P21" s="4">
        <f t="shared" ref="P20:P23" si="7">P5*3</f>
        <v>0</v>
      </c>
      <c r="Q21" s="4">
        <v>50</v>
      </c>
      <c r="R21" s="5"/>
    </row>
    <row r="22" s="1" customFormat="1" spans="1:18">
      <c r="A22" s="1">
        <v>30103</v>
      </c>
      <c r="B22" s="1" t="str">
        <f t="shared" si="4"/>
        <v>3</v>
      </c>
      <c r="C22" s="1">
        <v>4</v>
      </c>
      <c r="D22" s="1">
        <v>1</v>
      </c>
      <c r="E22" s="1">
        <v>27.62</v>
      </c>
      <c r="F22" s="1">
        <v>6.76</v>
      </c>
      <c r="G22" s="1">
        <v>0</v>
      </c>
      <c r="H22" s="1">
        <v>0</v>
      </c>
      <c r="I22" s="4">
        <f>I14*2</f>
        <v>0</v>
      </c>
      <c r="J22" s="4">
        <f>J14*2</f>
        <v>0</v>
      </c>
      <c r="K22" s="1">
        <v>5.25</v>
      </c>
      <c r="L22" s="1">
        <v>1.28</v>
      </c>
      <c r="M22" s="1">
        <v>0</v>
      </c>
      <c r="N22" s="1">
        <v>0</v>
      </c>
      <c r="O22" s="4">
        <f t="shared" si="6"/>
        <v>0</v>
      </c>
      <c r="P22" s="4">
        <f t="shared" si="7"/>
        <v>0</v>
      </c>
      <c r="Q22" s="4">
        <v>50</v>
      </c>
      <c r="R22" s="5"/>
    </row>
    <row r="23" s="1" customFormat="1" spans="1:18">
      <c r="A23" s="1">
        <v>30104</v>
      </c>
      <c r="B23" s="1" t="str">
        <f t="shared" si="4"/>
        <v>3</v>
      </c>
      <c r="C23" s="1">
        <v>5</v>
      </c>
      <c r="D23" s="1">
        <v>1</v>
      </c>
      <c r="E23" s="1">
        <v>20.71</v>
      </c>
      <c r="F23" s="1">
        <v>5.07</v>
      </c>
      <c r="G23" s="1">
        <v>0</v>
      </c>
      <c r="H23" s="1">
        <v>0</v>
      </c>
      <c r="I23" s="4">
        <f>I15*2</f>
        <v>0</v>
      </c>
      <c r="J23" s="4">
        <f>J15*2</f>
        <v>0</v>
      </c>
      <c r="K23" s="1">
        <v>0</v>
      </c>
      <c r="L23" s="1">
        <v>0</v>
      </c>
      <c r="M23" s="1">
        <v>4.79</v>
      </c>
      <c r="N23" s="1">
        <v>1.17</v>
      </c>
      <c r="O23" s="4">
        <f t="shared" si="6"/>
        <v>0</v>
      </c>
      <c r="P23" s="4">
        <f t="shared" si="7"/>
        <v>0</v>
      </c>
      <c r="Q23" s="4">
        <v>50</v>
      </c>
      <c r="R23" s="5"/>
    </row>
    <row r="24" s="1" customFormat="1" spans="1:18">
      <c r="A24" s="1">
        <v>30105</v>
      </c>
      <c r="B24" s="1" t="str">
        <f t="shared" si="4"/>
        <v>3</v>
      </c>
      <c r="C24" s="1">
        <v>2</v>
      </c>
      <c r="D24" s="1">
        <v>2</v>
      </c>
      <c r="E24" s="1">
        <v>9.58</v>
      </c>
      <c r="F24" s="1">
        <v>2.34</v>
      </c>
      <c r="G24" s="1">
        <v>0</v>
      </c>
      <c r="H24" s="1">
        <v>0</v>
      </c>
      <c r="I24" s="1">
        <v>1.69</v>
      </c>
      <c r="J24" s="1">
        <v>0.41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4">
        <v>50</v>
      </c>
      <c r="R24" s="5"/>
    </row>
    <row r="25" s="1" customFormat="1" spans="1:18">
      <c r="A25" s="1">
        <v>30106</v>
      </c>
      <c r="B25" s="1" t="str">
        <f t="shared" si="4"/>
        <v>3</v>
      </c>
      <c r="C25" s="1">
        <v>3</v>
      </c>
      <c r="D25" s="1">
        <v>2</v>
      </c>
      <c r="E25" s="1">
        <v>4.79</v>
      </c>
      <c r="F25" s="1">
        <v>1.17</v>
      </c>
      <c r="G25" s="1">
        <v>0</v>
      </c>
      <c r="H25" s="1">
        <v>0</v>
      </c>
      <c r="I25" s="1">
        <v>6.79</v>
      </c>
      <c r="J25" s="1">
        <v>1.66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4">
        <v>50</v>
      </c>
      <c r="R25" s="5"/>
    </row>
    <row r="26" s="1" customFormat="1" spans="1:18">
      <c r="A26" s="1">
        <v>30107</v>
      </c>
      <c r="B26" s="1" t="str">
        <f t="shared" si="4"/>
        <v>3</v>
      </c>
      <c r="C26" s="1">
        <v>4</v>
      </c>
      <c r="D26" s="1">
        <v>2</v>
      </c>
      <c r="E26" s="1">
        <v>19.17</v>
      </c>
      <c r="F26" s="1">
        <v>4.69</v>
      </c>
      <c r="G26" s="1">
        <v>0</v>
      </c>
      <c r="H26" s="1">
        <v>0</v>
      </c>
      <c r="I26" s="1">
        <v>0</v>
      </c>
      <c r="J26" s="1">
        <v>0</v>
      </c>
      <c r="K26" s="1">
        <v>3.94</v>
      </c>
      <c r="L26" s="1">
        <v>0.96</v>
      </c>
      <c r="M26" s="1">
        <v>0</v>
      </c>
      <c r="N26" s="1">
        <v>0</v>
      </c>
      <c r="O26" s="1">
        <v>0</v>
      </c>
      <c r="P26" s="1">
        <v>0</v>
      </c>
      <c r="Q26" s="4">
        <v>50</v>
      </c>
      <c r="R26" s="5"/>
    </row>
    <row r="27" s="1" customFormat="1" spans="1:18">
      <c r="A27" s="1">
        <v>30108</v>
      </c>
      <c r="B27" s="1" t="str">
        <f t="shared" si="4"/>
        <v>3</v>
      </c>
      <c r="C27" s="1">
        <v>5</v>
      </c>
      <c r="D27" s="1">
        <v>2</v>
      </c>
      <c r="E27" s="1">
        <v>14.38</v>
      </c>
      <c r="F27" s="1">
        <v>3.51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5.83</v>
      </c>
      <c r="N27" s="1">
        <v>1.42</v>
      </c>
      <c r="O27" s="1">
        <v>0</v>
      </c>
      <c r="P27" s="1">
        <v>0</v>
      </c>
      <c r="Q27" s="4">
        <v>50</v>
      </c>
      <c r="R27" s="5"/>
    </row>
    <row r="28" s="1" customFormat="1" spans="1:18">
      <c r="A28" s="1">
        <v>40101</v>
      </c>
      <c r="B28" s="1" t="str">
        <f t="shared" ref="B28:B35" si="8">LEFT(A28,1)</f>
        <v>4</v>
      </c>
      <c r="C28" s="1">
        <v>2</v>
      </c>
      <c r="D28" s="1">
        <v>1</v>
      </c>
      <c r="E28" s="1">
        <v>15.06</v>
      </c>
      <c r="F28" s="1">
        <v>3.69</v>
      </c>
      <c r="G28" s="1">
        <v>1.9</v>
      </c>
      <c r="H28" s="1">
        <v>0.46</v>
      </c>
      <c r="I28" s="4">
        <f>I12*3</f>
        <v>0</v>
      </c>
      <c r="J28" s="4">
        <f>J12*3</f>
        <v>0</v>
      </c>
      <c r="K28" s="1">
        <v>0</v>
      </c>
      <c r="L28" s="1">
        <v>0</v>
      </c>
      <c r="M28" s="1">
        <v>0</v>
      </c>
      <c r="N28" s="1">
        <v>0</v>
      </c>
      <c r="O28" s="4">
        <f>O20*2</f>
        <v>0</v>
      </c>
      <c r="P28" s="4">
        <f>P20*2</f>
        <v>0</v>
      </c>
      <c r="Q28" s="4">
        <v>50</v>
      </c>
      <c r="R28" s="5"/>
    </row>
    <row r="29" s="1" customFormat="1" spans="1:18">
      <c r="A29" s="1">
        <v>40102</v>
      </c>
      <c r="B29" s="1" t="str">
        <f t="shared" si="8"/>
        <v>4</v>
      </c>
      <c r="C29" s="1">
        <v>3</v>
      </c>
      <c r="D29" s="1">
        <v>1</v>
      </c>
      <c r="E29" s="1">
        <v>7.53</v>
      </c>
      <c r="F29" s="1">
        <v>1.84</v>
      </c>
      <c r="G29" s="1">
        <v>7.6</v>
      </c>
      <c r="H29" s="1">
        <v>1.87</v>
      </c>
      <c r="I29" s="4">
        <f>I13*3</f>
        <v>0</v>
      </c>
      <c r="J29" s="4">
        <f>J13*3</f>
        <v>0</v>
      </c>
      <c r="K29" s="1">
        <v>0</v>
      </c>
      <c r="L29" s="1">
        <v>0</v>
      </c>
      <c r="M29" s="1">
        <v>0</v>
      </c>
      <c r="N29" s="1">
        <v>0</v>
      </c>
      <c r="O29" s="4">
        <f>O5*4</f>
        <v>0</v>
      </c>
      <c r="P29" s="4">
        <f t="shared" ref="P28:P31" si="9">P5*4</f>
        <v>0</v>
      </c>
      <c r="Q29" s="4">
        <v>50</v>
      </c>
      <c r="R29" s="5"/>
    </row>
    <row r="30" s="1" customFormat="1" spans="1:18">
      <c r="A30" s="1">
        <v>40103</v>
      </c>
      <c r="B30" s="1" t="str">
        <f t="shared" si="8"/>
        <v>4</v>
      </c>
      <c r="C30" s="1">
        <v>4</v>
      </c>
      <c r="D30" s="1">
        <v>1</v>
      </c>
      <c r="E30" s="1">
        <v>30.13</v>
      </c>
      <c r="F30" s="1">
        <v>7.38</v>
      </c>
      <c r="G30" s="1">
        <v>0</v>
      </c>
      <c r="H30" s="1">
        <v>0</v>
      </c>
      <c r="I30" s="4">
        <f>I14*3</f>
        <v>0</v>
      </c>
      <c r="J30" s="4">
        <f>J14*3</f>
        <v>0</v>
      </c>
      <c r="K30" s="1">
        <v>5.73</v>
      </c>
      <c r="L30" s="1">
        <v>1.4</v>
      </c>
      <c r="M30" s="1">
        <v>0</v>
      </c>
      <c r="N30" s="1">
        <v>0</v>
      </c>
      <c r="O30" s="4">
        <f>O6*4</f>
        <v>0</v>
      </c>
      <c r="P30" s="4">
        <f t="shared" si="9"/>
        <v>0</v>
      </c>
      <c r="Q30" s="4">
        <v>50</v>
      </c>
      <c r="R30" s="5"/>
    </row>
    <row r="31" s="1" customFormat="1" spans="1:18">
      <c r="A31" s="1">
        <v>40104</v>
      </c>
      <c r="B31" s="1" t="str">
        <f t="shared" si="8"/>
        <v>4</v>
      </c>
      <c r="C31" s="1">
        <v>5</v>
      </c>
      <c r="D31" s="1">
        <v>1</v>
      </c>
      <c r="E31" s="1">
        <v>22.6</v>
      </c>
      <c r="F31" s="1">
        <v>5.53</v>
      </c>
      <c r="G31" s="1">
        <v>0</v>
      </c>
      <c r="H31" s="1">
        <v>0</v>
      </c>
      <c r="I31" s="4">
        <f>I15*3</f>
        <v>0</v>
      </c>
      <c r="J31" s="4">
        <f>J15*3</f>
        <v>0</v>
      </c>
      <c r="K31" s="1">
        <v>0</v>
      </c>
      <c r="L31" s="1">
        <v>0</v>
      </c>
      <c r="M31" s="1">
        <v>5.23</v>
      </c>
      <c r="N31" s="1">
        <v>1.28</v>
      </c>
      <c r="O31" s="4">
        <f>O7*4</f>
        <v>0</v>
      </c>
      <c r="P31" s="4">
        <f t="shared" si="9"/>
        <v>0</v>
      </c>
      <c r="Q31" s="4">
        <v>50</v>
      </c>
      <c r="R31" s="5"/>
    </row>
    <row r="32" s="1" customFormat="1" spans="1:17">
      <c r="A32" s="1">
        <v>40105</v>
      </c>
      <c r="B32" s="1" t="str">
        <f t="shared" si="8"/>
        <v>4</v>
      </c>
      <c r="C32" s="1">
        <v>2</v>
      </c>
      <c r="D32" s="1">
        <v>2</v>
      </c>
      <c r="E32" s="1">
        <v>10.46</v>
      </c>
      <c r="F32" s="1">
        <v>2.56</v>
      </c>
      <c r="G32" s="1">
        <v>0</v>
      </c>
      <c r="H32" s="1">
        <v>0</v>
      </c>
      <c r="I32" s="1">
        <v>1.85</v>
      </c>
      <c r="J32" s="1">
        <v>0.45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4">
        <v>50</v>
      </c>
    </row>
    <row r="33" s="1" customFormat="1" spans="1:17">
      <c r="A33" s="1">
        <v>40106</v>
      </c>
      <c r="B33" s="1" t="str">
        <f t="shared" si="8"/>
        <v>4</v>
      </c>
      <c r="C33" s="1">
        <v>3</v>
      </c>
      <c r="D33" s="1">
        <v>2</v>
      </c>
      <c r="E33" s="1">
        <v>5.23</v>
      </c>
      <c r="F33" s="1">
        <v>1.28</v>
      </c>
      <c r="G33" s="1">
        <v>0</v>
      </c>
      <c r="H33" s="1">
        <v>0</v>
      </c>
      <c r="I33" s="1">
        <v>7.41</v>
      </c>
      <c r="J33" s="1">
        <v>1.81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4">
        <v>50</v>
      </c>
    </row>
    <row r="34" s="1" customFormat="1" spans="1:17">
      <c r="A34" s="1">
        <v>40107</v>
      </c>
      <c r="B34" s="1" t="str">
        <f t="shared" si="8"/>
        <v>4</v>
      </c>
      <c r="C34" s="1">
        <v>4</v>
      </c>
      <c r="D34" s="1">
        <v>2</v>
      </c>
      <c r="E34" s="1">
        <v>20.92</v>
      </c>
      <c r="F34" s="1">
        <v>5.12</v>
      </c>
      <c r="G34" s="1">
        <v>0</v>
      </c>
      <c r="H34" s="1">
        <v>0</v>
      </c>
      <c r="I34" s="1">
        <v>0</v>
      </c>
      <c r="J34" s="1">
        <v>0</v>
      </c>
      <c r="K34" s="1">
        <v>4.3</v>
      </c>
      <c r="L34" s="1">
        <v>1.05</v>
      </c>
      <c r="M34" s="1">
        <v>0</v>
      </c>
      <c r="N34" s="1">
        <v>0</v>
      </c>
      <c r="O34" s="1">
        <v>0</v>
      </c>
      <c r="P34" s="1">
        <v>0</v>
      </c>
      <c r="Q34" s="4">
        <v>50</v>
      </c>
    </row>
    <row r="35" s="1" customFormat="1" spans="1:17">
      <c r="A35" s="1">
        <v>40108</v>
      </c>
      <c r="B35" s="1" t="str">
        <f t="shared" si="8"/>
        <v>4</v>
      </c>
      <c r="C35" s="1">
        <v>5</v>
      </c>
      <c r="D35" s="1">
        <v>2</v>
      </c>
      <c r="E35" s="1">
        <v>15.69</v>
      </c>
      <c r="F35" s="1">
        <v>3.84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6.36</v>
      </c>
      <c r="N35" s="1">
        <v>1.55</v>
      </c>
      <c r="O35" s="1">
        <v>0</v>
      </c>
      <c r="P35" s="1">
        <v>0</v>
      </c>
      <c r="Q35" s="4">
        <v>50</v>
      </c>
    </row>
  </sheetData>
  <autoFilter ref="A3:R35">
    <extLst/>
  </autoFilter>
  <pageMargins left="0.7" right="0.7" top="0.75" bottom="0.75" header="0.3" footer="0.3"/>
  <pageSetup paperSize="9" orientation="portrait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EquipAdd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NINGMEI</cp:lastModifiedBy>
  <dcterms:created xsi:type="dcterms:W3CDTF">2023-05-12T11:15:00Z</dcterms:created>
  <dcterms:modified xsi:type="dcterms:W3CDTF">2024-09-29T08:07:29Z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2052-12.1.0.15990</vt:lpwstr>
  </property>
</Properties>
</file>